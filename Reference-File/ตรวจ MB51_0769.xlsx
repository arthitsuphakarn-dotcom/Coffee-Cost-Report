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pallgroup-my.sharepoint.com/personal/chamaipornint_cpretailink_co_th/Documents/Desktop/"/>
    </mc:Choice>
  </mc:AlternateContent>
  <xr:revisionPtr revIDLastSave="4" documentId="8_{607B7A22-FF4A-419E-AE73-6C69F6E3726B}" xr6:coauthVersionLast="47" xr6:coauthVersionMax="47" xr10:uidLastSave="{E337CDC9-07B7-4AF8-85F4-1EAE6503E511}"/>
  <bookViews>
    <workbookView xWindow="-110" yWindow="-110" windowWidth="19420" windowHeight="10300" tabRatio="832" activeTab="7" xr2:uid="{5D277634-8E0E-4340-94FE-AAAFE7C74F11}"/>
  </bookViews>
  <sheets>
    <sheet name="Remake" sheetId="34" r:id="rId1"/>
    <sheet name="สรุป" sheetId="11" state="hidden" r:id="rId2"/>
    <sheet name="PVcode54#301" sheetId="44" state="hidden" r:id="rId3"/>
    <sheet name="Order 301-305 (เรียง)" sheetId="48" r:id="rId4"/>
    <sheet name="Order 301-305" sheetId="33" r:id="rId5"/>
    <sheet name="MB51 328" sheetId="1" r:id="rId6"/>
    <sheet name="GL Name" sheetId="14" r:id="rId7"/>
    <sheet name="301" sheetId="53" r:id="rId8"/>
    <sheet name="302" sheetId="55" r:id="rId9"/>
    <sheet name="303 " sheetId="56" r:id="rId10"/>
    <sheet name="305" sheetId="57" r:id="rId11"/>
    <sheet name="301-305" sheetId="82" r:id="rId12"/>
    <sheet name="เกณฑ์กำลังการผลิต" sheetId="61" state="hidden" r:id="rId13"/>
  </sheets>
  <definedNames>
    <definedName name="_xlnm._FilterDatabase" localSheetId="5" hidden="1">'MB51 328'!$A$1:$AO$938</definedName>
  </definedNames>
  <calcPr calcId="191028"/>
  <pivotCaches>
    <pivotCache cacheId="0" r:id="rId14"/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56" l="1"/>
  <c r="A23" i="33"/>
  <c r="A22" i="33"/>
  <c r="A21" i="33"/>
  <c r="D28" i="33"/>
  <c r="D27" i="33"/>
  <c r="I28" i="33"/>
  <c r="F28" i="33" s="1"/>
  <c r="H28" i="33"/>
  <c r="E28" i="33" s="1"/>
  <c r="I27" i="33"/>
  <c r="F27" i="33" s="1"/>
  <c r="H27" i="33"/>
  <c r="E27" i="33" s="1"/>
  <c r="G28" i="33"/>
  <c r="G27" i="33"/>
  <c r="I80" i="53"/>
  <c r="I79" i="53"/>
  <c r="H81" i="53"/>
  <c r="H80" i="53"/>
  <c r="H79" i="53"/>
  <c r="G79" i="53"/>
  <c r="L80" i="53"/>
  <c r="AH935" i="1"/>
  <c r="AI935" i="1"/>
  <c r="AJ935" i="1"/>
  <c r="AL935" i="1"/>
  <c r="AM935" i="1"/>
  <c r="AN935" i="1"/>
  <c r="AH936" i="1"/>
  <c r="AI936" i="1"/>
  <c r="AJ936" i="1"/>
  <c r="AL936" i="1"/>
  <c r="AM936" i="1"/>
  <c r="AN936" i="1"/>
  <c r="AH937" i="1"/>
  <c r="AI937" i="1"/>
  <c r="AJ937" i="1"/>
  <c r="AL937" i="1"/>
  <c r="AM937" i="1"/>
  <c r="AN937" i="1"/>
  <c r="AH938" i="1"/>
  <c r="AI938" i="1"/>
  <c r="AJ938" i="1"/>
  <c r="AL938" i="1"/>
  <c r="AM938" i="1"/>
  <c r="AN938" i="1"/>
  <c r="F180" i="56"/>
  <c r="E180" i="56"/>
  <c r="F179" i="56"/>
  <c r="E179" i="56"/>
  <c r="F178" i="56"/>
  <c r="E178" i="56"/>
  <c r="F177" i="56"/>
  <c r="E177" i="56"/>
  <c r="F176" i="56"/>
  <c r="E176" i="56"/>
  <c r="F132" i="55"/>
  <c r="F133" i="55"/>
  <c r="E133" i="55"/>
  <c r="E132" i="55"/>
  <c r="E130" i="55"/>
  <c r="E131" i="55"/>
  <c r="F130" i="55"/>
  <c r="AM166" i="56"/>
  <c r="V4" i="53"/>
  <c r="P161" i="56"/>
  <c r="I158" i="56"/>
  <c r="P155" i="56"/>
  <c r="J74" i="53"/>
  <c r="K78" i="53"/>
  <c r="L77" i="53"/>
  <c r="L76" i="53"/>
  <c r="L73" i="53"/>
  <c r="K123" i="55"/>
  <c r="K122" i="55"/>
  <c r="K121" i="55"/>
  <c r="K120" i="55"/>
  <c r="I123" i="55"/>
  <c r="I122" i="55"/>
  <c r="I121" i="55"/>
  <c r="I120" i="55"/>
  <c r="G120" i="55"/>
  <c r="G116" i="55"/>
  <c r="AI165" i="56"/>
  <c r="G165" i="56"/>
  <c r="AN164" i="56"/>
  <c r="AI164" i="56"/>
  <c r="I164" i="56"/>
  <c r="G164" i="56"/>
  <c r="AI163" i="56"/>
  <c r="G163" i="56"/>
  <c r="AI162" i="56"/>
  <c r="G162" i="56"/>
  <c r="AK161" i="56"/>
  <c r="AJ161" i="56"/>
  <c r="AI161" i="56"/>
  <c r="AE161" i="56"/>
  <c r="G161" i="56"/>
  <c r="AH907" i="1"/>
  <c r="AI907" i="1"/>
  <c r="AJ907" i="1"/>
  <c r="AL907" i="1"/>
  <c r="AM907" i="1"/>
  <c r="AN907" i="1"/>
  <c r="AH908" i="1"/>
  <c r="AI908" i="1"/>
  <c r="AJ908" i="1"/>
  <c r="AL908" i="1"/>
  <c r="AM908" i="1"/>
  <c r="AN908" i="1"/>
  <c r="AH909" i="1"/>
  <c r="AI909" i="1"/>
  <c r="AJ909" i="1"/>
  <c r="AL909" i="1"/>
  <c r="AM909" i="1"/>
  <c r="AN909" i="1"/>
  <c r="AH910" i="1"/>
  <c r="AI910" i="1"/>
  <c r="AJ910" i="1"/>
  <c r="AL910" i="1"/>
  <c r="AM910" i="1"/>
  <c r="AN910" i="1"/>
  <c r="AH911" i="1"/>
  <c r="AI911" i="1"/>
  <c r="AJ911" i="1"/>
  <c r="AL911" i="1"/>
  <c r="AM911" i="1"/>
  <c r="AN911" i="1"/>
  <c r="AH912" i="1"/>
  <c r="AI912" i="1"/>
  <c r="AJ912" i="1"/>
  <c r="AL912" i="1"/>
  <c r="AM912" i="1"/>
  <c r="AN912" i="1"/>
  <c r="AH913" i="1"/>
  <c r="AI913" i="1"/>
  <c r="AJ913" i="1"/>
  <c r="AL913" i="1"/>
  <c r="AM913" i="1"/>
  <c r="AN913" i="1"/>
  <c r="AH914" i="1"/>
  <c r="AI914" i="1"/>
  <c r="AJ914" i="1"/>
  <c r="AL914" i="1"/>
  <c r="AM914" i="1"/>
  <c r="AN914" i="1"/>
  <c r="AH915" i="1"/>
  <c r="AI915" i="1"/>
  <c r="AJ915" i="1"/>
  <c r="AL915" i="1"/>
  <c r="AM915" i="1"/>
  <c r="AN915" i="1"/>
  <c r="AH916" i="1"/>
  <c r="AI916" i="1"/>
  <c r="AJ916" i="1"/>
  <c r="AL916" i="1"/>
  <c r="AM916" i="1"/>
  <c r="AN916" i="1"/>
  <c r="AH917" i="1"/>
  <c r="AI917" i="1"/>
  <c r="AJ917" i="1"/>
  <c r="AL917" i="1"/>
  <c r="AM917" i="1"/>
  <c r="AN917" i="1"/>
  <c r="AH918" i="1"/>
  <c r="AI918" i="1"/>
  <c r="AJ918" i="1"/>
  <c r="AL918" i="1"/>
  <c r="AM918" i="1"/>
  <c r="AN918" i="1"/>
  <c r="AH919" i="1"/>
  <c r="AI919" i="1"/>
  <c r="AJ919" i="1"/>
  <c r="AL919" i="1"/>
  <c r="AM919" i="1"/>
  <c r="AN919" i="1"/>
  <c r="AH920" i="1"/>
  <c r="AI920" i="1"/>
  <c r="AJ920" i="1"/>
  <c r="AL920" i="1"/>
  <c r="AM920" i="1"/>
  <c r="AN920" i="1"/>
  <c r="AH921" i="1"/>
  <c r="AI921" i="1"/>
  <c r="AJ921" i="1"/>
  <c r="AL921" i="1"/>
  <c r="AM921" i="1"/>
  <c r="AN921" i="1"/>
  <c r="AH922" i="1"/>
  <c r="AI922" i="1"/>
  <c r="AJ922" i="1"/>
  <c r="AL922" i="1"/>
  <c r="AM922" i="1"/>
  <c r="AN922" i="1"/>
  <c r="AH923" i="1"/>
  <c r="AI923" i="1"/>
  <c r="AJ923" i="1"/>
  <c r="AL923" i="1"/>
  <c r="AM923" i="1"/>
  <c r="AN923" i="1"/>
  <c r="AH924" i="1"/>
  <c r="AI924" i="1"/>
  <c r="AJ924" i="1"/>
  <c r="AL924" i="1"/>
  <c r="AM924" i="1"/>
  <c r="AN924" i="1"/>
  <c r="AH925" i="1"/>
  <c r="AI925" i="1"/>
  <c r="AJ925" i="1"/>
  <c r="AL925" i="1"/>
  <c r="AM925" i="1"/>
  <c r="AN925" i="1"/>
  <c r="AH926" i="1"/>
  <c r="AI926" i="1"/>
  <c r="AJ926" i="1"/>
  <c r="AL926" i="1"/>
  <c r="AM926" i="1"/>
  <c r="AN926" i="1"/>
  <c r="AH927" i="1"/>
  <c r="AI927" i="1"/>
  <c r="AJ927" i="1"/>
  <c r="AL927" i="1"/>
  <c r="AM927" i="1"/>
  <c r="AN927" i="1"/>
  <c r="AH928" i="1"/>
  <c r="AI928" i="1"/>
  <c r="AJ928" i="1"/>
  <c r="AL928" i="1"/>
  <c r="AM928" i="1"/>
  <c r="AN928" i="1"/>
  <c r="AH929" i="1"/>
  <c r="AI929" i="1"/>
  <c r="AJ929" i="1"/>
  <c r="AL929" i="1"/>
  <c r="AM929" i="1"/>
  <c r="AN929" i="1"/>
  <c r="AH930" i="1"/>
  <c r="AI930" i="1"/>
  <c r="AJ930" i="1"/>
  <c r="AL930" i="1"/>
  <c r="AM930" i="1"/>
  <c r="AN930" i="1"/>
  <c r="AH931" i="1"/>
  <c r="AI931" i="1"/>
  <c r="AJ931" i="1"/>
  <c r="AL931" i="1"/>
  <c r="AM931" i="1"/>
  <c r="AN931" i="1"/>
  <c r="AH932" i="1"/>
  <c r="AI932" i="1"/>
  <c r="AJ932" i="1"/>
  <c r="AL932" i="1"/>
  <c r="AM932" i="1"/>
  <c r="AN932" i="1"/>
  <c r="AH933" i="1"/>
  <c r="AI933" i="1"/>
  <c r="AJ933" i="1"/>
  <c r="AL933" i="1"/>
  <c r="AM933" i="1"/>
  <c r="AN933" i="1"/>
  <c r="AH934" i="1"/>
  <c r="AI934" i="1"/>
  <c r="AJ934" i="1"/>
  <c r="AL934" i="1"/>
  <c r="AM934" i="1"/>
  <c r="AN934" i="1"/>
  <c r="AM160" i="56"/>
  <c r="AI159" i="56"/>
  <c r="G159" i="56"/>
  <c r="AN158" i="56"/>
  <c r="AI158" i="56"/>
  <c r="G158" i="56"/>
  <c r="AI157" i="56"/>
  <c r="G157" i="56"/>
  <c r="AI156" i="56"/>
  <c r="G156" i="56"/>
  <c r="AK155" i="56"/>
  <c r="AJ155" i="56"/>
  <c r="AI155" i="56"/>
  <c r="AE155" i="56"/>
  <c r="G155" i="56"/>
  <c r="K119" i="55"/>
  <c r="K118" i="55"/>
  <c r="K117" i="55"/>
  <c r="K116" i="55"/>
  <c r="I119" i="55"/>
  <c r="I118" i="55"/>
  <c r="I117" i="55"/>
  <c r="I116" i="55"/>
  <c r="I77" i="53"/>
  <c r="I76" i="53"/>
  <c r="I75" i="53"/>
  <c r="H78" i="53"/>
  <c r="H77" i="53"/>
  <c r="H76" i="53"/>
  <c r="H75" i="53"/>
  <c r="G75" i="53"/>
  <c r="I73" i="53"/>
  <c r="I72" i="53"/>
  <c r="H74" i="53"/>
  <c r="H73" i="53"/>
  <c r="H72" i="53"/>
  <c r="G72" i="53"/>
  <c r="M77" i="53"/>
  <c r="M76" i="53"/>
  <c r="AH871" i="1"/>
  <c r="AI871" i="1"/>
  <c r="AJ871" i="1"/>
  <c r="AL871" i="1"/>
  <c r="AH872" i="1"/>
  <c r="AI872" i="1"/>
  <c r="AJ872" i="1"/>
  <c r="AL872" i="1"/>
  <c r="AH873" i="1"/>
  <c r="AI873" i="1"/>
  <c r="AJ873" i="1"/>
  <c r="AL873" i="1"/>
  <c r="AH874" i="1"/>
  <c r="AI874" i="1"/>
  <c r="AJ874" i="1"/>
  <c r="AL874" i="1"/>
  <c r="AH875" i="1"/>
  <c r="AI875" i="1"/>
  <c r="AJ875" i="1"/>
  <c r="AL875" i="1"/>
  <c r="AN875" i="1"/>
  <c r="AH876" i="1"/>
  <c r="AI876" i="1"/>
  <c r="AJ876" i="1"/>
  <c r="AL876" i="1"/>
  <c r="AM876" i="1"/>
  <c r="AN876" i="1"/>
  <c r="AH877" i="1"/>
  <c r="AI877" i="1"/>
  <c r="AJ877" i="1"/>
  <c r="AL877" i="1"/>
  <c r="AM877" i="1"/>
  <c r="AN877" i="1"/>
  <c r="AH878" i="1"/>
  <c r="AI878" i="1"/>
  <c r="AJ878" i="1"/>
  <c r="AL878" i="1"/>
  <c r="AM878" i="1"/>
  <c r="AN878" i="1"/>
  <c r="AH879" i="1"/>
  <c r="AI879" i="1"/>
  <c r="AJ879" i="1"/>
  <c r="AL879" i="1"/>
  <c r="AM879" i="1"/>
  <c r="AN879" i="1"/>
  <c r="AH880" i="1"/>
  <c r="AI880" i="1"/>
  <c r="AJ880" i="1"/>
  <c r="AL880" i="1"/>
  <c r="AM880" i="1"/>
  <c r="AN880" i="1"/>
  <c r="AH881" i="1"/>
  <c r="AI881" i="1"/>
  <c r="AJ881" i="1"/>
  <c r="AL881" i="1"/>
  <c r="AM881" i="1"/>
  <c r="AN881" i="1"/>
  <c r="AH882" i="1"/>
  <c r="AI882" i="1"/>
  <c r="AJ882" i="1"/>
  <c r="AL882" i="1"/>
  <c r="AM882" i="1"/>
  <c r="AN882" i="1"/>
  <c r="AH883" i="1"/>
  <c r="AI883" i="1"/>
  <c r="AJ883" i="1"/>
  <c r="AL883" i="1"/>
  <c r="AM883" i="1"/>
  <c r="AN883" i="1"/>
  <c r="AH884" i="1"/>
  <c r="AI884" i="1"/>
  <c r="AJ884" i="1"/>
  <c r="AL884" i="1"/>
  <c r="AM884" i="1"/>
  <c r="AN884" i="1"/>
  <c r="AH885" i="1"/>
  <c r="AI885" i="1"/>
  <c r="AJ885" i="1"/>
  <c r="AL885" i="1"/>
  <c r="AM885" i="1"/>
  <c r="AN885" i="1"/>
  <c r="AH886" i="1"/>
  <c r="AI886" i="1"/>
  <c r="AJ886" i="1"/>
  <c r="AL886" i="1"/>
  <c r="AM886" i="1"/>
  <c r="AN886" i="1"/>
  <c r="AH887" i="1"/>
  <c r="AI887" i="1"/>
  <c r="AJ887" i="1"/>
  <c r="AL887" i="1"/>
  <c r="AM887" i="1"/>
  <c r="AN887" i="1"/>
  <c r="AH888" i="1"/>
  <c r="AI888" i="1"/>
  <c r="AJ888" i="1"/>
  <c r="AL888" i="1"/>
  <c r="AM888" i="1"/>
  <c r="AN888" i="1"/>
  <c r="AH889" i="1"/>
  <c r="AI889" i="1"/>
  <c r="AJ889" i="1"/>
  <c r="AL889" i="1"/>
  <c r="AM889" i="1"/>
  <c r="AN889" i="1"/>
  <c r="AH890" i="1"/>
  <c r="AI890" i="1"/>
  <c r="AJ890" i="1"/>
  <c r="AL890" i="1"/>
  <c r="AM890" i="1"/>
  <c r="AN890" i="1"/>
  <c r="AH891" i="1"/>
  <c r="AI891" i="1"/>
  <c r="AJ891" i="1"/>
  <c r="AL891" i="1"/>
  <c r="AM891" i="1"/>
  <c r="AN891" i="1"/>
  <c r="AH892" i="1"/>
  <c r="AI892" i="1"/>
  <c r="AJ892" i="1"/>
  <c r="AL892" i="1"/>
  <c r="AM892" i="1"/>
  <c r="AN892" i="1"/>
  <c r="AH893" i="1"/>
  <c r="AI893" i="1"/>
  <c r="AJ893" i="1"/>
  <c r="AL893" i="1"/>
  <c r="AM893" i="1"/>
  <c r="AN893" i="1"/>
  <c r="AH894" i="1"/>
  <c r="AI894" i="1"/>
  <c r="AJ894" i="1"/>
  <c r="AL894" i="1"/>
  <c r="AM894" i="1"/>
  <c r="AN894" i="1"/>
  <c r="AH895" i="1"/>
  <c r="AI895" i="1"/>
  <c r="AJ895" i="1"/>
  <c r="AL895" i="1"/>
  <c r="AM895" i="1"/>
  <c r="AN895" i="1"/>
  <c r="AH896" i="1"/>
  <c r="AI896" i="1"/>
  <c r="AJ896" i="1"/>
  <c r="AL896" i="1"/>
  <c r="AM896" i="1"/>
  <c r="AN896" i="1"/>
  <c r="AH897" i="1"/>
  <c r="AI897" i="1"/>
  <c r="AJ897" i="1"/>
  <c r="AL897" i="1"/>
  <c r="AM897" i="1"/>
  <c r="AN897" i="1"/>
  <c r="AH898" i="1"/>
  <c r="AI898" i="1"/>
  <c r="AJ898" i="1"/>
  <c r="AL898" i="1"/>
  <c r="AM898" i="1"/>
  <c r="AN898" i="1"/>
  <c r="AH899" i="1"/>
  <c r="AI899" i="1"/>
  <c r="AJ899" i="1"/>
  <c r="AL899" i="1"/>
  <c r="AH900" i="1"/>
  <c r="AI900" i="1"/>
  <c r="AJ900" i="1"/>
  <c r="AL900" i="1"/>
  <c r="AH901" i="1"/>
  <c r="AI901" i="1"/>
  <c r="AJ901" i="1"/>
  <c r="AL901" i="1"/>
  <c r="AH902" i="1"/>
  <c r="AI902" i="1"/>
  <c r="AJ902" i="1"/>
  <c r="AL902" i="1"/>
  <c r="AH903" i="1"/>
  <c r="AI903" i="1"/>
  <c r="AJ903" i="1"/>
  <c r="AL903" i="1"/>
  <c r="AH904" i="1"/>
  <c r="AI904" i="1"/>
  <c r="AJ904" i="1"/>
  <c r="AL904" i="1"/>
  <c r="AM904" i="1"/>
  <c r="AN904" i="1"/>
  <c r="AH905" i="1"/>
  <c r="AI905" i="1"/>
  <c r="AJ905" i="1"/>
  <c r="AL905" i="1"/>
  <c r="AM905" i="1"/>
  <c r="AN905" i="1"/>
  <c r="AH906" i="1"/>
  <c r="AI906" i="1"/>
  <c r="AJ906" i="1"/>
  <c r="AL906" i="1"/>
  <c r="AM906" i="1"/>
  <c r="AN906" i="1"/>
  <c r="AN152" i="56"/>
  <c r="K100" i="55"/>
  <c r="G141" i="56"/>
  <c r="G140" i="56"/>
  <c r="G139" i="56"/>
  <c r="G138" i="56"/>
  <c r="G131" i="56"/>
  <c r="G137" i="56"/>
  <c r="G119" i="56"/>
  <c r="G123" i="56"/>
  <c r="I122" i="56"/>
  <c r="G122" i="56"/>
  <c r="G121" i="56"/>
  <c r="G120" i="56"/>
  <c r="I134" i="56"/>
  <c r="I128" i="56"/>
  <c r="J128" i="56" s="1"/>
  <c r="G129" i="56"/>
  <c r="G128" i="56"/>
  <c r="G127" i="56"/>
  <c r="G126" i="56"/>
  <c r="G125" i="56"/>
  <c r="G135" i="56"/>
  <c r="G134" i="56"/>
  <c r="G133" i="56"/>
  <c r="G132" i="56"/>
  <c r="H125" i="56"/>
  <c r="G92" i="55"/>
  <c r="L7" i="33"/>
  <c r="K7" i="33"/>
  <c r="J7" i="33"/>
  <c r="L6" i="33"/>
  <c r="K6" i="33"/>
  <c r="J6" i="33"/>
  <c r="A20" i="33"/>
  <c r="A19" i="33"/>
  <c r="A18" i="33"/>
  <c r="D26" i="33"/>
  <c r="D25" i="33"/>
  <c r="D24" i="33"/>
  <c r="D23" i="33"/>
  <c r="D22" i="33"/>
  <c r="D21" i="33"/>
  <c r="I26" i="33"/>
  <c r="H26" i="33"/>
  <c r="I25" i="33"/>
  <c r="H25" i="33"/>
  <c r="I24" i="33"/>
  <c r="H24" i="33"/>
  <c r="I23" i="33"/>
  <c r="H23" i="33"/>
  <c r="I22" i="33"/>
  <c r="H22" i="33"/>
  <c r="I21" i="33"/>
  <c r="H21" i="33"/>
  <c r="G26" i="33"/>
  <c r="G25" i="33"/>
  <c r="G24" i="33"/>
  <c r="G23" i="33"/>
  <c r="G22" i="33"/>
  <c r="G21" i="33"/>
  <c r="AA19" i="57"/>
  <c r="AA16" i="57"/>
  <c r="AM142" i="56"/>
  <c r="AM136" i="56"/>
  <c r="AM130" i="56"/>
  <c r="AM124" i="56"/>
  <c r="AM148" i="56"/>
  <c r="AM154" i="56"/>
  <c r="AN146" i="56"/>
  <c r="AI153" i="56"/>
  <c r="AI152" i="56"/>
  <c r="AI151" i="56"/>
  <c r="AI150" i="56"/>
  <c r="AI149" i="56"/>
  <c r="G153" i="56"/>
  <c r="I152" i="56"/>
  <c r="G152" i="56"/>
  <c r="G151" i="56"/>
  <c r="G150" i="56"/>
  <c r="AK149" i="56"/>
  <c r="AJ149" i="56" s="1"/>
  <c r="AE149" i="56"/>
  <c r="P149" i="56"/>
  <c r="G149" i="56"/>
  <c r="AI147" i="56"/>
  <c r="G147" i="56"/>
  <c r="AI146" i="56"/>
  <c r="I146" i="56"/>
  <c r="G146" i="56"/>
  <c r="AI145" i="56"/>
  <c r="G145" i="56"/>
  <c r="AI144" i="56"/>
  <c r="G144" i="56"/>
  <c r="AK143" i="56"/>
  <c r="AI143" i="56"/>
  <c r="AE143" i="56"/>
  <c r="P143" i="56"/>
  <c r="G143" i="56"/>
  <c r="AN116" i="56"/>
  <c r="AN122" i="56"/>
  <c r="AN128" i="56"/>
  <c r="AN134" i="56"/>
  <c r="AN140" i="56"/>
  <c r="AK137" i="56"/>
  <c r="AI141" i="56"/>
  <c r="AI140" i="56"/>
  <c r="AI139" i="56"/>
  <c r="AI138" i="56"/>
  <c r="AI137" i="56"/>
  <c r="I140" i="56"/>
  <c r="K115" i="55"/>
  <c r="K113" i="55"/>
  <c r="K114" i="55"/>
  <c r="K112" i="55"/>
  <c r="I115" i="55"/>
  <c r="I114" i="55"/>
  <c r="I113" i="55"/>
  <c r="I112" i="55"/>
  <c r="G112" i="55"/>
  <c r="K111" i="55"/>
  <c r="K109" i="55"/>
  <c r="K110" i="55"/>
  <c r="K108" i="55"/>
  <c r="I111" i="55"/>
  <c r="I110" i="55"/>
  <c r="I109" i="55"/>
  <c r="I108" i="55"/>
  <c r="G108" i="55"/>
  <c r="K107" i="55"/>
  <c r="K105" i="55"/>
  <c r="K106" i="55"/>
  <c r="K104" i="55"/>
  <c r="I107" i="55"/>
  <c r="I106" i="55"/>
  <c r="I105" i="55"/>
  <c r="I104" i="55"/>
  <c r="G104" i="55"/>
  <c r="K103" i="55"/>
  <c r="K101" i="55"/>
  <c r="K102" i="55"/>
  <c r="I102" i="55"/>
  <c r="I101" i="55"/>
  <c r="I100" i="55"/>
  <c r="G100" i="55"/>
  <c r="K99" i="55"/>
  <c r="K98" i="55"/>
  <c r="K97" i="55"/>
  <c r="K96" i="55"/>
  <c r="I98" i="55"/>
  <c r="I97" i="55"/>
  <c r="I96" i="55"/>
  <c r="G96" i="55"/>
  <c r="I94" i="55"/>
  <c r="I93" i="55"/>
  <c r="I92" i="55"/>
  <c r="I95" i="55"/>
  <c r="K95" i="55"/>
  <c r="K93" i="55"/>
  <c r="K94" i="55"/>
  <c r="K92" i="55"/>
  <c r="AC20" i="57"/>
  <c r="AB20" i="57"/>
  <c r="AD19" i="57"/>
  <c r="AC19" i="57"/>
  <c r="AB19" i="57"/>
  <c r="AG20" i="57"/>
  <c r="AG17" i="57"/>
  <c r="AB16" i="57"/>
  <c r="H71" i="53"/>
  <c r="I70" i="53"/>
  <c r="I69" i="53"/>
  <c r="I68" i="53"/>
  <c r="H69" i="53"/>
  <c r="H70" i="53"/>
  <c r="H68" i="53"/>
  <c r="G68" i="53"/>
  <c r="I66" i="53"/>
  <c r="I65" i="53"/>
  <c r="H67" i="53"/>
  <c r="H66" i="53"/>
  <c r="H65" i="53"/>
  <c r="I63" i="53"/>
  <c r="I62" i="53"/>
  <c r="H64" i="53"/>
  <c r="H63" i="53"/>
  <c r="H62" i="53"/>
  <c r="G65" i="53"/>
  <c r="G62" i="53"/>
  <c r="AH717" i="1"/>
  <c r="AI717" i="1"/>
  <c r="AJ717" i="1"/>
  <c r="AL717" i="1"/>
  <c r="AM717" i="1"/>
  <c r="AN717" i="1"/>
  <c r="AH718" i="1"/>
  <c r="AI718" i="1"/>
  <c r="AJ718" i="1"/>
  <c r="AL718" i="1"/>
  <c r="AM718" i="1"/>
  <c r="AN718" i="1"/>
  <c r="AH719" i="1"/>
  <c r="AI719" i="1"/>
  <c r="AJ719" i="1"/>
  <c r="AL719" i="1"/>
  <c r="AM719" i="1"/>
  <c r="AN719" i="1"/>
  <c r="AH720" i="1"/>
  <c r="AI720" i="1"/>
  <c r="AJ720" i="1"/>
  <c r="AL720" i="1"/>
  <c r="AM720" i="1"/>
  <c r="AN720" i="1"/>
  <c r="AH721" i="1"/>
  <c r="AI721" i="1"/>
  <c r="AJ721" i="1"/>
  <c r="AL721" i="1"/>
  <c r="AM721" i="1"/>
  <c r="AN721" i="1"/>
  <c r="AH722" i="1"/>
  <c r="AI722" i="1"/>
  <c r="AJ722" i="1"/>
  <c r="AL722" i="1"/>
  <c r="AM722" i="1"/>
  <c r="AN722" i="1"/>
  <c r="AH723" i="1"/>
  <c r="AI723" i="1"/>
  <c r="AJ723" i="1"/>
  <c r="AL723" i="1"/>
  <c r="AM723" i="1"/>
  <c r="AN723" i="1"/>
  <c r="AH724" i="1"/>
  <c r="AI724" i="1"/>
  <c r="AJ724" i="1"/>
  <c r="AL724" i="1"/>
  <c r="AM724" i="1"/>
  <c r="AN724" i="1"/>
  <c r="AH725" i="1"/>
  <c r="AI725" i="1"/>
  <c r="AJ725" i="1"/>
  <c r="AL725" i="1"/>
  <c r="AM725" i="1"/>
  <c r="AN725" i="1"/>
  <c r="AH726" i="1"/>
  <c r="AI726" i="1"/>
  <c r="AJ726" i="1"/>
  <c r="AL726" i="1"/>
  <c r="AM726" i="1"/>
  <c r="AN726" i="1"/>
  <c r="AH727" i="1"/>
  <c r="AI727" i="1"/>
  <c r="AJ727" i="1"/>
  <c r="AL727" i="1"/>
  <c r="AM727" i="1"/>
  <c r="AN727" i="1"/>
  <c r="AH728" i="1"/>
  <c r="AI728" i="1"/>
  <c r="AJ728" i="1"/>
  <c r="AL728" i="1"/>
  <c r="AM728" i="1"/>
  <c r="AN728" i="1"/>
  <c r="AH729" i="1"/>
  <c r="AI729" i="1"/>
  <c r="AJ729" i="1"/>
  <c r="AL729" i="1"/>
  <c r="AM729" i="1"/>
  <c r="AN729" i="1"/>
  <c r="AH730" i="1"/>
  <c r="AI730" i="1"/>
  <c r="AJ730" i="1"/>
  <c r="AL730" i="1"/>
  <c r="AM730" i="1"/>
  <c r="AN730" i="1"/>
  <c r="AH731" i="1"/>
  <c r="AI731" i="1"/>
  <c r="AJ731" i="1"/>
  <c r="AL731" i="1"/>
  <c r="AM731" i="1"/>
  <c r="AN731" i="1"/>
  <c r="AH732" i="1"/>
  <c r="AI732" i="1"/>
  <c r="AJ732" i="1"/>
  <c r="AL732" i="1"/>
  <c r="AM732" i="1"/>
  <c r="AN732" i="1"/>
  <c r="AH733" i="1"/>
  <c r="AI733" i="1"/>
  <c r="AJ733" i="1"/>
  <c r="AL733" i="1"/>
  <c r="AM733" i="1"/>
  <c r="AN733" i="1"/>
  <c r="AH734" i="1"/>
  <c r="AI734" i="1"/>
  <c r="AJ734" i="1"/>
  <c r="AL734" i="1"/>
  <c r="AM734" i="1"/>
  <c r="AN734" i="1"/>
  <c r="AH735" i="1"/>
  <c r="AI735" i="1"/>
  <c r="AJ735" i="1"/>
  <c r="AL735" i="1"/>
  <c r="AM735" i="1"/>
  <c r="AN735" i="1"/>
  <c r="AH736" i="1"/>
  <c r="AI736" i="1"/>
  <c r="AJ736" i="1"/>
  <c r="AL736" i="1"/>
  <c r="AM736" i="1"/>
  <c r="AN736" i="1"/>
  <c r="AH737" i="1"/>
  <c r="AI737" i="1"/>
  <c r="AJ737" i="1"/>
  <c r="AL737" i="1"/>
  <c r="AM737" i="1"/>
  <c r="AN737" i="1"/>
  <c r="AH738" i="1"/>
  <c r="AI738" i="1"/>
  <c r="AJ738" i="1"/>
  <c r="AL738" i="1"/>
  <c r="AM738" i="1"/>
  <c r="AN738" i="1"/>
  <c r="AH739" i="1"/>
  <c r="AI739" i="1"/>
  <c r="AJ739" i="1"/>
  <c r="AL739" i="1"/>
  <c r="AM739" i="1"/>
  <c r="AN739" i="1"/>
  <c r="AH740" i="1"/>
  <c r="AI740" i="1"/>
  <c r="AJ740" i="1"/>
  <c r="AL740" i="1"/>
  <c r="AH741" i="1"/>
  <c r="AI741" i="1"/>
  <c r="AJ741" i="1"/>
  <c r="AL741" i="1"/>
  <c r="AH742" i="1"/>
  <c r="AI742" i="1"/>
  <c r="AJ742" i="1"/>
  <c r="AL742" i="1"/>
  <c r="AH743" i="1"/>
  <c r="AI743" i="1"/>
  <c r="AJ743" i="1"/>
  <c r="AL743" i="1"/>
  <c r="AH744" i="1"/>
  <c r="AI744" i="1"/>
  <c r="AJ744" i="1"/>
  <c r="AL744" i="1"/>
  <c r="AH745" i="1"/>
  <c r="AI745" i="1"/>
  <c r="AJ745" i="1"/>
  <c r="AL745" i="1"/>
  <c r="AH746" i="1"/>
  <c r="AI746" i="1"/>
  <c r="AJ746" i="1"/>
  <c r="AL746" i="1"/>
  <c r="AH747" i="1"/>
  <c r="AI747" i="1"/>
  <c r="AJ747" i="1"/>
  <c r="AL747" i="1"/>
  <c r="AH748" i="1"/>
  <c r="AI748" i="1"/>
  <c r="AJ748" i="1"/>
  <c r="AL748" i="1"/>
  <c r="AH749" i="1"/>
  <c r="AI749" i="1"/>
  <c r="AJ749" i="1"/>
  <c r="AL749" i="1"/>
  <c r="AH750" i="1"/>
  <c r="AI750" i="1"/>
  <c r="AJ750" i="1"/>
  <c r="AL750" i="1"/>
  <c r="AH751" i="1"/>
  <c r="AI751" i="1"/>
  <c r="AJ751" i="1"/>
  <c r="AL751" i="1"/>
  <c r="AH752" i="1"/>
  <c r="AI752" i="1"/>
  <c r="AJ752" i="1"/>
  <c r="AL752" i="1"/>
  <c r="AH753" i="1"/>
  <c r="AI753" i="1"/>
  <c r="AJ753" i="1"/>
  <c r="AL753" i="1"/>
  <c r="AH754" i="1"/>
  <c r="AI754" i="1"/>
  <c r="AJ754" i="1"/>
  <c r="AL754" i="1"/>
  <c r="AH755" i="1"/>
  <c r="AI755" i="1"/>
  <c r="AJ755" i="1"/>
  <c r="AL755" i="1"/>
  <c r="AH756" i="1"/>
  <c r="AI756" i="1"/>
  <c r="AJ756" i="1"/>
  <c r="AL756" i="1"/>
  <c r="AH757" i="1"/>
  <c r="AI757" i="1"/>
  <c r="AJ757" i="1"/>
  <c r="AL757" i="1"/>
  <c r="AH758" i="1"/>
  <c r="AI758" i="1"/>
  <c r="AJ758" i="1"/>
  <c r="AL758" i="1"/>
  <c r="AH759" i="1"/>
  <c r="AI759" i="1"/>
  <c r="AJ759" i="1"/>
  <c r="AL759" i="1"/>
  <c r="AH760" i="1"/>
  <c r="AI760" i="1"/>
  <c r="AJ760" i="1"/>
  <c r="AL760" i="1"/>
  <c r="AH761" i="1"/>
  <c r="AI761" i="1"/>
  <c r="AJ761" i="1"/>
  <c r="AL761" i="1"/>
  <c r="AH762" i="1"/>
  <c r="AI762" i="1"/>
  <c r="AJ762" i="1"/>
  <c r="AL762" i="1"/>
  <c r="AH763" i="1"/>
  <c r="AI763" i="1"/>
  <c r="AJ763" i="1"/>
  <c r="AL763" i="1"/>
  <c r="AH764" i="1"/>
  <c r="AI764" i="1"/>
  <c r="AJ764" i="1"/>
  <c r="AL764" i="1"/>
  <c r="AH765" i="1"/>
  <c r="AI765" i="1"/>
  <c r="AJ765" i="1"/>
  <c r="AL765" i="1"/>
  <c r="AH766" i="1"/>
  <c r="AI766" i="1"/>
  <c r="AJ766" i="1"/>
  <c r="AL766" i="1"/>
  <c r="AH767" i="1"/>
  <c r="AI767" i="1"/>
  <c r="AJ767" i="1"/>
  <c r="AL767" i="1"/>
  <c r="AH768" i="1"/>
  <c r="AI768" i="1"/>
  <c r="AJ768" i="1"/>
  <c r="AL768" i="1"/>
  <c r="AH769" i="1"/>
  <c r="AI769" i="1"/>
  <c r="AJ769" i="1"/>
  <c r="AL769" i="1"/>
  <c r="AH770" i="1"/>
  <c r="AI770" i="1"/>
  <c r="AJ770" i="1"/>
  <c r="AL770" i="1"/>
  <c r="AH771" i="1"/>
  <c r="AI771" i="1"/>
  <c r="AJ771" i="1"/>
  <c r="AL771" i="1"/>
  <c r="AH772" i="1"/>
  <c r="AI772" i="1"/>
  <c r="AJ772" i="1"/>
  <c r="AL772" i="1"/>
  <c r="AH773" i="1"/>
  <c r="AI773" i="1"/>
  <c r="AJ773" i="1"/>
  <c r="AL773" i="1"/>
  <c r="AH774" i="1"/>
  <c r="AI774" i="1"/>
  <c r="AJ774" i="1"/>
  <c r="AL774" i="1"/>
  <c r="AH775" i="1"/>
  <c r="AI775" i="1"/>
  <c r="AJ775" i="1"/>
  <c r="AL775" i="1"/>
  <c r="AH776" i="1"/>
  <c r="AI776" i="1"/>
  <c r="AJ776" i="1"/>
  <c r="AL776" i="1"/>
  <c r="AH777" i="1"/>
  <c r="AI777" i="1"/>
  <c r="AJ777" i="1"/>
  <c r="AL777" i="1"/>
  <c r="AH778" i="1"/>
  <c r="AI778" i="1"/>
  <c r="AJ778" i="1"/>
  <c r="AL778" i="1"/>
  <c r="AH779" i="1"/>
  <c r="AI779" i="1"/>
  <c r="AJ779" i="1"/>
  <c r="AL779" i="1"/>
  <c r="AH780" i="1"/>
  <c r="AI780" i="1"/>
  <c r="AJ780" i="1"/>
  <c r="AL780" i="1"/>
  <c r="AH781" i="1"/>
  <c r="AI781" i="1"/>
  <c r="AJ781" i="1"/>
  <c r="AL781" i="1"/>
  <c r="AH782" i="1"/>
  <c r="AI782" i="1"/>
  <c r="AJ782" i="1"/>
  <c r="AL782" i="1"/>
  <c r="AH783" i="1"/>
  <c r="AI783" i="1"/>
  <c r="AJ783" i="1"/>
  <c r="AL783" i="1"/>
  <c r="AH784" i="1"/>
  <c r="AI784" i="1"/>
  <c r="AJ784" i="1"/>
  <c r="AL784" i="1"/>
  <c r="AH785" i="1"/>
  <c r="AI785" i="1"/>
  <c r="AJ785" i="1"/>
  <c r="AL785" i="1"/>
  <c r="AM785" i="1"/>
  <c r="AN785" i="1"/>
  <c r="AH786" i="1"/>
  <c r="AI786" i="1"/>
  <c r="AJ786" i="1"/>
  <c r="AL786" i="1"/>
  <c r="AM786" i="1"/>
  <c r="AN786" i="1"/>
  <c r="AH787" i="1"/>
  <c r="AI787" i="1"/>
  <c r="AJ787" i="1"/>
  <c r="AL787" i="1"/>
  <c r="AM787" i="1"/>
  <c r="AN787" i="1"/>
  <c r="AH788" i="1"/>
  <c r="AI788" i="1"/>
  <c r="AJ788" i="1"/>
  <c r="AL788" i="1"/>
  <c r="AM788" i="1"/>
  <c r="AN788" i="1"/>
  <c r="AH789" i="1"/>
  <c r="AI789" i="1"/>
  <c r="AJ789" i="1"/>
  <c r="AL789" i="1"/>
  <c r="AM789" i="1"/>
  <c r="AN789" i="1"/>
  <c r="AH790" i="1"/>
  <c r="AI790" i="1"/>
  <c r="AJ790" i="1"/>
  <c r="AL790" i="1"/>
  <c r="AM790" i="1"/>
  <c r="AN790" i="1"/>
  <c r="AH791" i="1"/>
  <c r="AI791" i="1"/>
  <c r="AJ791" i="1"/>
  <c r="AL791" i="1"/>
  <c r="AM791" i="1"/>
  <c r="AN791" i="1"/>
  <c r="AH792" i="1"/>
  <c r="AI792" i="1"/>
  <c r="AJ792" i="1"/>
  <c r="AL792" i="1"/>
  <c r="AM792" i="1"/>
  <c r="AN792" i="1"/>
  <c r="AH793" i="1"/>
  <c r="AI793" i="1"/>
  <c r="AJ793" i="1"/>
  <c r="AL793" i="1"/>
  <c r="AM793" i="1"/>
  <c r="AN793" i="1"/>
  <c r="AH794" i="1"/>
  <c r="AI794" i="1"/>
  <c r="AJ794" i="1"/>
  <c r="AL794" i="1"/>
  <c r="AM794" i="1"/>
  <c r="AN794" i="1"/>
  <c r="AH795" i="1"/>
  <c r="AI795" i="1"/>
  <c r="AJ795" i="1"/>
  <c r="AL795" i="1"/>
  <c r="AM795" i="1"/>
  <c r="AN795" i="1"/>
  <c r="AH796" i="1"/>
  <c r="AI796" i="1"/>
  <c r="AJ796" i="1"/>
  <c r="AL796" i="1"/>
  <c r="AM796" i="1"/>
  <c r="AN796" i="1"/>
  <c r="AH797" i="1"/>
  <c r="AI797" i="1"/>
  <c r="AJ797" i="1"/>
  <c r="AL797" i="1"/>
  <c r="AM797" i="1"/>
  <c r="AN797" i="1"/>
  <c r="AH798" i="1"/>
  <c r="AI798" i="1"/>
  <c r="AJ798" i="1"/>
  <c r="AL798" i="1"/>
  <c r="AM798" i="1"/>
  <c r="AN798" i="1"/>
  <c r="AH799" i="1"/>
  <c r="AI799" i="1"/>
  <c r="AJ799" i="1"/>
  <c r="AL799" i="1"/>
  <c r="AM799" i="1"/>
  <c r="AN799" i="1"/>
  <c r="AH800" i="1"/>
  <c r="AI800" i="1"/>
  <c r="AJ800" i="1"/>
  <c r="AL800" i="1"/>
  <c r="AM800" i="1"/>
  <c r="AN800" i="1"/>
  <c r="AH801" i="1"/>
  <c r="AI801" i="1"/>
  <c r="AJ801" i="1"/>
  <c r="AL801" i="1"/>
  <c r="AM801" i="1"/>
  <c r="AN801" i="1"/>
  <c r="AH802" i="1"/>
  <c r="AI802" i="1"/>
  <c r="AJ802" i="1"/>
  <c r="AL802" i="1"/>
  <c r="AM802" i="1"/>
  <c r="AN802" i="1"/>
  <c r="AH803" i="1"/>
  <c r="AI803" i="1"/>
  <c r="AJ803" i="1"/>
  <c r="AL803" i="1"/>
  <c r="AH804" i="1"/>
  <c r="AI804" i="1"/>
  <c r="AJ804" i="1"/>
  <c r="AL804" i="1"/>
  <c r="AM804" i="1"/>
  <c r="AH805" i="1"/>
  <c r="AI805" i="1"/>
  <c r="AJ805" i="1"/>
  <c r="AL805" i="1"/>
  <c r="AH806" i="1"/>
  <c r="AI806" i="1"/>
  <c r="AJ806" i="1"/>
  <c r="AL806" i="1"/>
  <c r="AH807" i="1"/>
  <c r="AI807" i="1"/>
  <c r="AJ807" i="1"/>
  <c r="AL807" i="1"/>
  <c r="AH808" i="1"/>
  <c r="AI808" i="1"/>
  <c r="AJ808" i="1"/>
  <c r="AL808" i="1"/>
  <c r="AN808" i="1"/>
  <c r="AH809" i="1"/>
  <c r="AI809" i="1"/>
  <c r="AJ809" i="1"/>
  <c r="AL809" i="1"/>
  <c r="AM809" i="1"/>
  <c r="AN809" i="1"/>
  <c r="AH810" i="1"/>
  <c r="AI810" i="1"/>
  <c r="AJ810" i="1"/>
  <c r="AL810" i="1"/>
  <c r="AM810" i="1"/>
  <c r="AN810" i="1"/>
  <c r="AH811" i="1"/>
  <c r="AI811" i="1"/>
  <c r="AJ811" i="1"/>
  <c r="AL811" i="1"/>
  <c r="AM811" i="1"/>
  <c r="AN811" i="1"/>
  <c r="AH812" i="1"/>
  <c r="AI812" i="1"/>
  <c r="AJ812" i="1"/>
  <c r="AL812" i="1"/>
  <c r="AM812" i="1"/>
  <c r="AN812" i="1"/>
  <c r="AH813" i="1"/>
  <c r="AI813" i="1"/>
  <c r="AJ813" i="1"/>
  <c r="AL813" i="1"/>
  <c r="AM813" i="1"/>
  <c r="AN813" i="1"/>
  <c r="AH814" i="1"/>
  <c r="AI814" i="1"/>
  <c r="AJ814" i="1"/>
  <c r="AL814" i="1"/>
  <c r="AM814" i="1"/>
  <c r="AN814" i="1"/>
  <c r="AH815" i="1"/>
  <c r="AI815" i="1"/>
  <c r="AJ815" i="1"/>
  <c r="AL815" i="1"/>
  <c r="AM815" i="1"/>
  <c r="AN815" i="1"/>
  <c r="AH816" i="1"/>
  <c r="AI816" i="1"/>
  <c r="AJ816" i="1"/>
  <c r="AL816" i="1"/>
  <c r="AM816" i="1"/>
  <c r="AN816" i="1"/>
  <c r="AH817" i="1"/>
  <c r="AI817" i="1"/>
  <c r="AJ817" i="1"/>
  <c r="AL817" i="1"/>
  <c r="AM817" i="1"/>
  <c r="AN817" i="1"/>
  <c r="AH818" i="1"/>
  <c r="AI818" i="1"/>
  <c r="AJ818" i="1"/>
  <c r="AL818" i="1"/>
  <c r="AM818" i="1"/>
  <c r="AN818" i="1"/>
  <c r="AH819" i="1"/>
  <c r="AI819" i="1"/>
  <c r="AJ819" i="1"/>
  <c r="AL819" i="1"/>
  <c r="AM819" i="1"/>
  <c r="AN819" i="1"/>
  <c r="AH820" i="1"/>
  <c r="AI820" i="1"/>
  <c r="AJ820" i="1"/>
  <c r="AL820" i="1"/>
  <c r="AM820" i="1"/>
  <c r="AN820" i="1"/>
  <c r="AH821" i="1"/>
  <c r="AI821" i="1"/>
  <c r="AJ821" i="1"/>
  <c r="AL821" i="1"/>
  <c r="AM821" i="1"/>
  <c r="AN821" i="1"/>
  <c r="AH822" i="1"/>
  <c r="AI822" i="1"/>
  <c r="AJ822" i="1"/>
  <c r="AL822" i="1"/>
  <c r="AM822" i="1"/>
  <c r="AN822" i="1"/>
  <c r="AH823" i="1"/>
  <c r="AI823" i="1"/>
  <c r="AJ823" i="1"/>
  <c r="AL823" i="1"/>
  <c r="AM823" i="1"/>
  <c r="AN823" i="1"/>
  <c r="AH824" i="1"/>
  <c r="AI824" i="1"/>
  <c r="AJ824" i="1"/>
  <c r="AL824" i="1"/>
  <c r="AM824" i="1"/>
  <c r="AN824" i="1"/>
  <c r="AH825" i="1"/>
  <c r="AI825" i="1"/>
  <c r="AJ825" i="1"/>
  <c r="AL825" i="1"/>
  <c r="AM825" i="1"/>
  <c r="AN825" i="1"/>
  <c r="AH826" i="1"/>
  <c r="AI826" i="1"/>
  <c r="AJ826" i="1"/>
  <c r="AL826" i="1"/>
  <c r="AM826" i="1"/>
  <c r="AN826" i="1"/>
  <c r="AH827" i="1"/>
  <c r="AI827" i="1"/>
  <c r="AJ827" i="1"/>
  <c r="AL827" i="1"/>
  <c r="AM827" i="1"/>
  <c r="AN827" i="1"/>
  <c r="AH828" i="1"/>
  <c r="AI828" i="1"/>
  <c r="AJ828" i="1"/>
  <c r="AL828" i="1"/>
  <c r="AM828" i="1"/>
  <c r="AN828" i="1"/>
  <c r="AH829" i="1"/>
  <c r="AI829" i="1"/>
  <c r="AJ829" i="1"/>
  <c r="AL829" i="1"/>
  <c r="AM829" i="1"/>
  <c r="AN829" i="1"/>
  <c r="AH830" i="1"/>
  <c r="AI830" i="1"/>
  <c r="AJ830" i="1"/>
  <c r="AL830" i="1"/>
  <c r="AM830" i="1"/>
  <c r="AN830" i="1"/>
  <c r="AH831" i="1"/>
  <c r="AI831" i="1"/>
  <c r="AJ831" i="1"/>
  <c r="AL831" i="1"/>
  <c r="AM831" i="1"/>
  <c r="AN831" i="1"/>
  <c r="AH832" i="1"/>
  <c r="AI832" i="1"/>
  <c r="AJ832" i="1"/>
  <c r="AL832" i="1"/>
  <c r="AM832" i="1"/>
  <c r="AN832" i="1"/>
  <c r="AH833" i="1"/>
  <c r="AI833" i="1"/>
  <c r="AJ833" i="1"/>
  <c r="AL833" i="1"/>
  <c r="AM833" i="1"/>
  <c r="AN833" i="1"/>
  <c r="AH834" i="1"/>
  <c r="AI834" i="1"/>
  <c r="AJ834" i="1"/>
  <c r="AL834" i="1"/>
  <c r="AM834" i="1"/>
  <c r="AN834" i="1"/>
  <c r="AH835" i="1"/>
  <c r="AI835" i="1"/>
  <c r="AJ835" i="1"/>
  <c r="AL835" i="1"/>
  <c r="AM835" i="1"/>
  <c r="AN835" i="1"/>
  <c r="AH836" i="1"/>
  <c r="AI836" i="1"/>
  <c r="AJ836" i="1"/>
  <c r="AL836" i="1"/>
  <c r="AM836" i="1"/>
  <c r="AN836" i="1"/>
  <c r="AH837" i="1"/>
  <c r="AI837" i="1"/>
  <c r="AJ837" i="1"/>
  <c r="AL837" i="1"/>
  <c r="AM837" i="1"/>
  <c r="AN837" i="1"/>
  <c r="AH838" i="1"/>
  <c r="AI838" i="1"/>
  <c r="AJ838" i="1"/>
  <c r="AL838" i="1"/>
  <c r="AM838" i="1"/>
  <c r="AN838" i="1"/>
  <c r="AH839" i="1"/>
  <c r="AI839" i="1"/>
  <c r="AJ839" i="1"/>
  <c r="AL839" i="1"/>
  <c r="AM839" i="1"/>
  <c r="AN839" i="1"/>
  <c r="AH840" i="1"/>
  <c r="AI840" i="1"/>
  <c r="AJ840" i="1"/>
  <c r="AL840" i="1"/>
  <c r="AM840" i="1"/>
  <c r="AN840" i="1"/>
  <c r="AH841" i="1"/>
  <c r="AI841" i="1"/>
  <c r="AJ841" i="1"/>
  <c r="AL841" i="1"/>
  <c r="AM841" i="1"/>
  <c r="AN841" i="1"/>
  <c r="AH842" i="1"/>
  <c r="AI842" i="1"/>
  <c r="AJ842" i="1"/>
  <c r="AL842" i="1"/>
  <c r="AM842" i="1"/>
  <c r="AN842" i="1"/>
  <c r="AH843" i="1"/>
  <c r="AI843" i="1"/>
  <c r="AJ843" i="1"/>
  <c r="AL843" i="1"/>
  <c r="AM843" i="1"/>
  <c r="AN843" i="1"/>
  <c r="AH844" i="1"/>
  <c r="AI844" i="1"/>
  <c r="AJ844" i="1"/>
  <c r="AL844" i="1"/>
  <c r="AM844" i="1"/>
  <c r="AN844" i="1"/>
  <c r="AH845" i="1"/>
  <c r="AI845" i="1"/>
  <c r="AJ845" i="1"/>
  <c r="AL845" i="1"/>
  <c r="AM845" i="1"/>
  <c r="AN845" i="1"/>
  <c r="AH846" i="1"/>
  <c r="AI846" i="1"/>
  <c r="AJ846" i="1"/>
  <c r="AL846" i="1"/>
  <c r="AM846" i="1"/>
  <c r="AN846" i="1"/>
  <c r="AH847" i="1"/>
  <c r="AI847" i="1"/>
  <c r="AJ847" i="1"/>
  <c r="AL847" i="1"/>
  <c r="AM847" i="1"/>
  <c r="AN847" i="1"/>
  <c r="AH848" i="1"/>
  <c r="AI848" i="1"/>
  <c r="AJ848" i="1"/>
  <c r="AL848" i="1"/>
  <c r="AM848" i="1"/>
  <c r="AN848" i="1"/>
  <c r="AH849" i="1"/>
  <c r="AI849" i="1"/>
  <c r="AJ849" i="1"/>
  <c r="AL849" i="1"/>
  <c r="AM849" i="1"/>
  <c r="AN849" i="1"/>
  <c r="AH850" i="1"/>
  <c r="AI850" i="1"/>
  <c r="AJ850" i="1"/>
  <c r="AL850" i="1"/>
  <c r="AM850" i="1"/>
  <c r="AN850" i="1"/>
  <c r="AH851" i="1"/>
  <c r="AI851" i="1"/>
  <c r="AJ851" i="1"/>
  <c r="AL851" i="1"/>
  <c r="AM851" i="1"/>
  <c r="AN851" i="1"/>
  <c r="AH852" i="1"/>
  <c r="AI852" i="1"/>
  <c r="AJ852" i="1"/>
  <c r="AL852" i="1"/>
  <c r="AM852" i="1"/>
  <c r="AN852" i="1"/>
  <c r="AH853" i="1"/>
  <c r="AI853" i="1"/>
  <c r="AJ853" i="1"/>
  <c r="AL853" i="1"/>
  <c r="AM853" i="1"/>
  <c r="AN853" i="1"/>
  <c r="AH854" i="1"/>
  <c r="AI854" i="1"/>
  <c r="AJ854" i="1"/>
  <c r="AL854" i="1"/>
  <c r="AM854" i="1"/>
  <c r="AN854" i="1"/>
  <c r="AH855" i="1"/>
  <c r="AI855" i="1"/>
  <c r="AJ855" i="1"/>
  <c r="AL855" i="1"/>
  <c r="AM855" i="1"/>
  <c r="AN855" i="1"/>
  <c r="AH856" i="1"/>
  <c r="AI856" i="1"/>
  <c r="AJ856" i="1"/>
  <c r="AL856" i="1"/>
  <c r="AM856" i="1"/>
  <c r="AN856" i="1"/>
  <c r="AH857" i="1"/>
  <c r="AI857" i="1"/>
  <c r="AJ857" i="1"/>
  <c r="AL857" i="1"/>
  <c r="AM857" i="1"/>
  <c r="AN857" i="1"/>
  <c r="AH858" i="1"/>
  <c r="AI858" i="1"/>
  <c r="AJ858" i="1"/>
  <c r="AL858" i="1"/>
  <c r="AM858" i="1"/>
  <c r="AN858" i="1"/>
  <c r="AH859" i="1"/>
  <c r="AI859" i="1"/>
  <c r="AJ859" i="1"/>
  <c r="AL859" i="1"/>
  <c r="AM859" i="1"/>
  <c r="AN859" i="1"/>
  <c r="AH860" i="1"/>
  <c r="AI860" i="1"/>
  <c r="AJ860" i="1"/>
  <c r="AL860" i="1"/>
  <c r="AM860" i="1"/>
  <c r="AN860" i="1"/>
  <c r="AH861" i="1"/>
  <c r="AI861" i="1"/>
  <c r="AJ861" i="1"/>
  <c r="AL861" i="1"/>
  <c r="AM861" i="1"/>
  <c r="AN861" i="1"/>
  <c r="AH862" i="1"/>
  <c r="AI862" i="1"/>
  <c r="AJ862" i="1"/>
  <c r="AL862" i="1"/>
  <c r="AM862" i="1"/>
  <c r="AN862" i="1"/>
  <c r="AH863" i="1"/>
  <c r="AI863" i="1"/>
  <c r="AJ863" i="1"/>
  <c r="AL863" i="1"/>
  <c r="AM863" i="1"/>
  <c r="AN863" i="1"/>
  <c r="AH864" i="1"/>
  <c r="AI864" i="1"/>
  <c r="AJ864" i="1"/>
  <c r="AL864" i="1"/>
  <c r="AM864" i="1"/>
  <c r="AN864" i="1"/>
  <c r="AH865" i="1"/>
  <c r="AI865" i="1"/>
  <c r="AJ865" i="1"/>
  <c r="AL865" i="1"/>
  <c r="AM865" i="1"/>
  <c r="AH866" i="1"/>
  <c r="AI866" i="1"/>
  <c r="AJ866" i="1"/>
  <c r="AL866" i="1"/>
  <c r="AH867" i="1"/>
  <c r="AI867" i="1"/>
  <c r="AJ867" i="1"/>
  <c r="AL867" i="1"/>
  <c r="AM867" i="1"/>
  <c r="AH868" i="1"/>
  <c r="AI868" i="1"/>
  <c r="AJ868" i="1"/>
  <c r="AL868" i="1"/>
  <c r="AH869" i="1"/>
  <c r="AI869" i="1"/>
  <c r="AJ869" i="1"/>
  <c r="AL869" i="1"/>
  <c r="AH870" i="1"/>
  <c r="AI870" i="1"/>
  <c r="AJ870" i="1"/>
  <c r="AL870" i="1"/>
  <c r="AH694" i="1"/>
  <c r="AI694" i="1"/>
  <c r="AJ694" i="1"/>
  <c r="AL694" i="1"/>
  <c r="AH695" i="1"/>
  <c r="AI695" i="1"/>
  <c r="AJ695" i="1"/>
  <c r="AL695" i="1"/>
  <c r="AH696" i="1"/>
  <c r="AI696" i="1"/>
  <c r="AJ696" i="1"/>
  <c r="AL696" i="1"/>
  <c r="AH697" i="1"/>
  <c r="AI697" i="1"/>
  <c r="AJ697" i="1"/>
  <c r="AL697" i="1"/>
  <c r="AH698" i="1"/>
  <c r="AI698" i="1"/>
  <c r="AJ698" i="1"/>
  <c r="AL698" i="1"/>
  <c r="AH699" i="1"/>
  <c r="AI699" i="1"/>
  <c r="AJ699" i="1"/>
  <c r="AL699" i="1"/>
  <c r="AH700" i="1"/>
  <c r="AI700" i="1"/>
  <c r="AJ700" i="1"/>
  <c r="AL700" i="1"/>
  <c r="AH701" i="1"/>
  <c r="AI701" i="1"/>
  <c r="AJ701" i="1"/>
  <c r="AL701" i="1"/>
  <c r="AH702" i="1"/>
  <c r="AI702" i="1"/>
  <c r="AJ702" i="1"/>
  <c r="AL702" i="1"/>
  <c r="AH703" i="1"/>
  <c r="AI703" i="1"/>
  <c r="AJ703" i="1"/>
  <c r="AL703" i="1"/>
  <c r="AM703" i="1"/>
  <c r="AN703" i="1"/>
  <c r="AH704" i="1"/>
  <c r="AI704" i="1"/>
  <c r="AJ704" i="1"/>
  <c r="AL704" i="1"/>
  <c r="AM704" i="1"/>
  <c r="AN704" i="1"/>
  <c r="AH705" i="1"/>
  <c r="AI705" i="1"/>
  <c r="AJ705" i="1"/>
  <c r="AL705" i="1"/>
  <c r="AM705" i="1"/>
  <c r="AN705" i="1"/>
  <c r="AH706" i="1"/>
  <c r="AI706" i="1"/>
  <c r="AJ706" i="1"/>
  <c r="AL706" i="1"/>
  <c r="AM706" i="1"/>
  <c r="AN706" i="1"/>
  <c r="AH707" i="1"/>
  <c r="AI707" i="1"/>
  <c r="AJ707" i="1"/>
  <c r="AL707" i="1"/>
  <c r="AM707" i="1"/>
  <c r="AN707" i="1"/>
  <c r="AH708" i="1"/>
  <c r="AI708" i="1"/>
  <c r="AJ708" i="1"/>
  <c r="AL708" i="1"/>
  <c r="AM708" i="1"/>
  <c r="AN708" i="1"/>
  <c r="AH709" i="1"/>
  <c r="AI709" i="1"/>
  <c r="AJ709" i="1"/>
  <c r="AL709" i="1"/>
  <c r="AM709" i="1"/>
  <c r="AN709" i="1"/>
  <c r="AH710" i="1"/>
  <c r="AI710" i="1"/>
  <c r="AJ710" i="1"/>
  <c r="AL710" i="1"/>
  <c r="AM710" i="1"/>
  <c r="AN710" i="1"/>
  <c r="AH711" i="1"/>
  <c r="AI711" i="1"/>
  <c r="AJ711" i="1"/>
  <c r="AL711" i="1"/>
  <c r="AM711" i="1"/>
  <c r="AN711" i="1"/>
  <c r="AH712" i="1"/>
  <c r="AI712" i="1"/>
  <c r="AJ712" i="1"/>
  <c r="AL712" i="1"/>
  <c r="AM712" i="1"/>
  <c r="AN712" i="1"/>
  <c r="AH713" i="1"/>
  <c r="AI713" i="1"/>
  <c r="AJ713" i="1"/>
  <c r="AL713" i="1"/>
  <c r="AM713" i="1"/>
  <c r="AN713" i="1"/>
  <c r="AH714" i="1"/>
  <c r="AI714" i="1"/>
  <c r="AJ714" i="1"/>
  <c r="AL714" i="1"/>
  <c r="AM714" i="1"/>
  <c r="AN714" i="1"/>
  <c r="AH715" i="1"/>
  <c r="AI715" i="1"/>
  <c r="AJ715" i="1"/>
  <c r="AL715" i="1"/>
  <c r="AM715" i="1"/>
  <c r="AN715" i="1"/>
  <c r="AH716" i="1"/>
  <c r="AI716" i="1"/>
  <c r="AJ716" i="1"/>
  <c r="AL716" i="1"/>
  <c r="AM716" i="1"/>
  <c r="AN716" i="1"/>
  <c r="F131" i="55"/>
  <c r="E160" i="55"/>
  <c r="F160" i="55"/>
  <c r="E161" i="55"/>
  <c r="F161" i="55"/>
  <c r="F159" i="55"/>
  <c r="E159" i="55"/>
  <c r="G159" i="55"/>
  <c r="E208" i="56"/>
  <c r="F208" i="56"/>
  <c r="E209" i="56"/>
  <c r="F209" i="56"/>
  <c r="E210" i="56"/>
  <c r="F210" i="56"/>
  <c r="E211" i="56"/>
  <c r="F211" i="56"/>
  <c r="F207" i="56"/>
  <c r="E207" i="56"/>
  <c r="G211" i="56"/>
  <c r="G210" i="56"/>
  <c r="G209" i="56"/>
  <c r="G207" i="56"/>
  <c r="AH681" i="1"/>
  <c r="AI681" i="1"/>
  <c r="AJ681" i="1"/>
  <c r="AL681" i="1"/>
  <c r="AM681" i="1"/>
  <c r="AN681" i="1"/>
  <c r="AH682" i="1"/>
  <c r="AI682" i="1"/>
  <c r="AJ682" i="1"/>
  <c r="AL682" i="1"/>
  <c r="AM682" i="1"/>
  <c r="AN682" i="1"/>
  <c r="AH683" i="1"/>
  <c r="AI683" i="1"/>
  <c r="AJ683" i="1"/>
  <c r="AL683" i="1"/>
  <c r="AM683" i="1"/>
  <c r="AN683" i="1"/>
  <c r="AH684" i="1"/>
  <c r="AI684" i="1"/>
  <c r="AJ684" i="1"/>
  <c r="AL684" i="1"/>
  <c r="AM684" i="1"/>
  <c r="AN684" i="1"/>
  <c r="AH685" i="1"/>
  <c r="AI685" i="1"/>
  <c r="AJ685" i="1"/>
  <c r="AL685" i="1"/>
  <c r="AM685" i="1"/>
  <c r="AN685" i="1"/>
  <c r="AH686" i="1"/>
  <c r="AI686" i="1"/>
  <c r="AJ686" i="1"/>
  <c r="AL686" i="1"/>
  <c r="AM686" i="1"/>
  <c r="AN686" i="1"/>
  <c r="AH687" i="1"/>
  <c r="AI687" i="1"/>
  <c r="AJ687" i="1"/>
  <c r="AL687" i="1"/>
  <c r="AM687" i="1"/>
  <c r="AN687" i="1"/>
  <c r="AH688" i="1"/>
  <c r="AI688" i="1"/>
  <c r="AJ688" i="1"/>
  <c r="AL688" i="1"/>
  <c r="AM688" i="1"/>
  <c r="AN688" i="1"/>
  <c r="AH689" i="1"/>
  <c r="AI689" i="1"/>
  <c r="AJ689" i="1"/>
  <c r="AL689" i="1"/>
  <c r="AM689" i="1"/>
  <c r="AN689" i="1"/>
  <c r="AH690" i="1"/>
  <c r="AI690" i="1"/>
  <c r="AJ690" i="1"/>
  <c r="AL690" i="1"/>
  <c r="AM690" i="1"/>
  <c r="AN690" i="1"/>
  <c r="AH691" i="1"/>
  <c r="AI691" i="1"/>
  <c r="AJ691" i="1"/>
  <c r="AL691" i="1"/>
  <c r="AM691" i="1"/>
  <c r="AN691" i="1"/>
  <c r="AH692" i="1"/>
  <c r="AI692" i="1"/>
  <c r="AJ692" i="1"/>
  <c r="AL692" i="1"/>
  <c r="AM692" i="1"/>
  <c r="AN692" i="1"/>
  <c r="AH693" i="1"/>
  <c r="AI693" i="1"/>
  <c r="AJ693" i="1"/>
  <c r="AL693" i="1"/>
  <c r="AM693" i="1"/>
  <c r="AN693" i="1"/>
  <c r="AH675" i="1"/>
  <c r="AI675" i="1"/>
  <c r="AJ675" i="1"/>
  <c r="AL675" i="1"/>
  <c r="AM675" i="1"/>
  <c r="AN675" i="1"/>
  <c r="AH676" i="1"/>
  <c r="AI676" i="1"/>
  <c r="AJ676" i="1"/>
  <c r="AL676" i="1"/>
  <c r="AM676" i="1"/>
  <c r="AN676" i="1"/>
  <c r="AH677" i="1"/>
  <c r="AI677" i="1"/>
  <c r="AJ677" i="1"/>
  <c r="AL677" i="1"/>
  <c r="AM677" i="1"/>
  <c r="AN677" i="1"/>
  <c r="AH678" i="1"/>
  <c r="AI678" i="1"/>
  <c r="AJ678" i="1"/>
  <c r="AL678" i="1"/>
  <c r="AM678" i="1"/>
  <c r="AN678" i="1"/>
  <c r="AH679" i="1"/>
  <c r="AI679" i="1"/>
  <c r="AJ679" i="1"/>
  <c r="AL679" i="1"/>
  <c r="AM679" i="1"/>
  <c r="AN679" i="1"/>
  <c r="AH680" i="1"/>
  <c r="AI680" i="1"/>
  <c r="AJ680" i="1"/>
  <c r="AL680" i="1"/>
  <c r="AM680" i="1"/>
  <c r="AN680" i="1"/>
  <c r="AH672" i="1"/>
  <c r="AI672" i="1"/>
  <c r="AJ672" i="1"/>
  <c r="AL672" i="1"/>
  <c r="AM672" i="1"/>
  <c r="AN672" i="1"/>
  <c r="AH673" i="1"/>
  <c r="AI673" i="1"/>
  <c r="AJ673" i="1"/>
  <c r="AL673" i="1"/>
  <c r="AM673" i="1"/>
  <c r="AN673" i="1"/>
  <c r="AH674" i="1"/>
  <c r="AI674" i="1"/>
  <c r="AJ674" i="1"/>
  <c r="AL674" i="1"/>
  <c r="AM674" i="1"/>
  <c r="AN674" i="1"/>
  <c r="L5" i="33"/>
  <c r="K5" i="33"/>
  <c r="J5" i="33"/>
  <c r="D20" i="33"/>
  <c r="D19" i="33"/>
  <c r="D18" i="33"/>
  <c r="I20" i="33"/>
  <c r="H20" i="33"/>
  <c r="G20" i="33"/>
  <c r="I19" i="33"/>
  <c r="H19" i="33"/>
  <c r="G19" i="33"/>
  <c r="I18" i="33"/>
  <c r="H18" i="33"/>
  <c r="G18" i="33"/>
  <c r="I17" i="33"/>
  <c r="H17" i="33"/>
  <c r="G17" i="33"/>
  <c r="AM118" i="56"/>
  <c r="AM112" i="56"/>
  <c r="AM106" i="56"/>
  <c r="AM100" i="56"/>
  <c r="AK107" i="56"/>
  <c r="AK113" i="56"/>
  <c r="AN92" i="56"/>
  <c r="AN98" i="56"/>
  <c r="AN104" i="56"/>
  <c r="AN110" i="56"/>
  <c r="AH667" i="1"/>
  <c r="AI667" i="1"/>
  <c r="AJ667" i="1"/>
  <c r="AL667" i="1"/>
  <c r="AM667" i="1"/>
  <c r="AN667" i="1"/>
  <c r="AH668" i="1"/>
  <c r="AI668" i="1"/>
  <c r="AJ668" i="1"/>
  <c r="AL668" i="1"/>
  <c r="AM668" i="1"/>
  <c r="AN668" i="1"/>
  <c r="AH669" i="1"/>
  <c r="AI669" i="1"/>
  <c r="AJ669" i="1"/>
  <c r="AL669" i="1"/>
  <c r="AM669" i="1"/>
  <c r="AN669" i="1"/>
  <c r="AH670" i="1"/>
  <c r="AI670" i="1"/>
  <c r="AJ670" i="1"/>
  <c r="AL670" i="1"/>
  <c r="AM670" i="1"/>
  <c r="AN670" i="1"/>
  <c r="AH671" i="1"/>
  <c r="AI671" i="1"/>
  <c r="AJ671" i="1"/>
  <c r="AL671" i="1"/>
  <c r="AN671" i="1"/>
  <c r="AC17" i="57"/>
  <c r="AB17" i="57"/>
  <c r="AD16" i="57"/>
  <c r="AC16" i="57"/>
  <c r="AG14" i="57"/>
  <c r="AC14" i="57"/>
  <c r="AB14" i="57"/>
  <c r="AD13" i="57"/>
  <c r="AC13" i="57"/>
  <c r="AB13" i="57"/>
  <c r="I110" i="56"/>
  <c r="I116" i="56"/>
  <c r="G117" i="56"/>
  <c r="G114" i="56"/>
  <c r="G115" i="56"/>
  <c r="G113" i="56"/>
  <c r="G107" i="56"/>
  <c r="G116" i="56"/>
  <c r="G111" i="56"/>
  <c r="G110" i="56"/>
  <c r="G109" i="56"/>
  <c r="G108" i="56"/>
  <c r="G105" i="56"/>
  <c r="I104" i="56"/>
  <c r="G104" i="56"/>
  <c r="G103" i="56"/>
  <c r="G102" i="56"/>
  <c r="G101" i="56"/>
  <c r="G99" i="56"/>
  <c r="I98" i="56"/>
  <c r="G98" i="56"/>
  <c r="G97" i="56"/>
  <c r="G96" i="56"/>
  <c r="G95" i="56"/>
  <c r="K91" i="55"/>
  <c r="K89" i="55"/>
  <c r="K90" i="55"/>
  <c r="K88" i="55"/>
  <c r="I90" i="55"/>
  <c r="I89" i="55"/>
  <c r="I88" i="55"/>
  <c r="G88" i="55"/>
  <c r="K87" i="55"/>
  <c r="K85" i="55"/>
  <c r="K86" i="55"/>
  <c r="K84" i="55"/>
  <c r="I86" i="55"/>
  <c r="I85" i="55"/>
  <c r="I84" i="55"/>
  <c r="G84" i="55"/>
  <c r="K83" i="55"/>
  <c r="K80" i="55"/>
  <c r="K81" i="55"/>
  <c r="K82" i="55"/>
  <c r="K79" i="55"/>
  <c r="I82" i="55"/>
  <c r="I81" i="55"/>
  <c r="I80" i="55"/>
  <c r="I79" i="55"/>
  <c r="G79" i="55"/>
  <c r="AH625" i="1"/>
  <c r="AI625" i="1"/>
  <c r="AJ625" i="1"/>
  <c r="AL625" i="1"/>
  <c r="AH626" i="1"/>
  <c r="AI626" i="1"/>
  <c r="AJ626" i="1"/>
  <c r="AL626" i="1"/>
  <c r="AH627" i="1"/>
  <c r="AI627" i="1"/>
  <c r="AJ627" i="1"/>
  <c r="AL627" i="1"/>
  <c r="AH628" i="1"/>
  <c r="AI628" i="1"/>
  <c r="AJ628" i="1"/>
  <c r="AL628" i="1"/>
  <c r="AH629" i="1"/>
  <c r="AI629" i="1"/>
  <c r="AJ629" i="1"/>
  <c r="AL629" i="1"/>
  <c r="AH630" i="1"/>
  <c r="AI630" i="1"/>
  <c r="AJ630" i="1"/>
  <c r="AL630" i="1"/>
  <c r="AH631" i="1"/>
  <c r="AI631" i="1"/>
  <c r="AJ631" i="1"/>
  <c r="AL631" i="1"/>
  <c r="AH632" i="1"/>
  <c r="AI632" i="1"/>
  <c r="AJ632" i="1"/>
  <c r="AL632" i="1"/>
  <c r="AH633" i="1"/>
  <c r="AI633" i="1"/>
  <c r="AJ633" i="1"/>
  <c r="AL633" i="1"/>
  <c r="AH634" i="1"/>
  <c r="AI634" i="1"/>
  <c r="AJ634" i="1"/>
  <c r="AL634" i="1"/>
  <c r="AH635" i="1"/>
  <c r="AI635" i="1"/>
  <c r="AJ635" i="1"/>
  <c r="AL635" i="1"/>
  <c r="AH636" i="1"/>
  <c r="AI636" i="1"/>
  <c r="AJ636" i="1"/>
  <c r="AL636" i="1"/>
  <c r="AH637" i="1"/>
  <c r="AI637" i="1"/>
  <c r="AJ637" i="1"/>
  <c r="AL637" i="1"/>
  <c r="AH638" i="1"/>
  <c r="AI638" i="1"/>
  <c r="AJ638" i="1"/>
  <c r="AL638" i="1"/>
  <c r="AH639" i="1"/>
  <c r="AI639" i="1"/>
  <c r="AJ639" i="1"/>
  <c r="AL639" i="1"/>
  <c r="AH640" i="1"/>
  <c r="AI640" i="1"/>
  <c r="AJ640" i="1"/>
  <c r="AL640" i="1"/>
  <c r="AH641" i="1"/>
  <c r="AI641" i="1"/>
  <c r="AJ641" i="1"/>
  <c r="AL641" i="1"/>
  <c r="AH642" i="1"/>
  <c r="AI642" i="1"/>
  <c r="AJ642" i="1"/>
  <c r="AL642" i="1"/>
  <c r="AH643" i="1"/>
  <c r="AI643" i="1"/>
  <c r="AJ643" i="1"/>
  <c r="AL643" i="1"/>
  <c r="AH644" i="1"/>
  <c r="AI644" i="1"/>
  <c r="AJ644" i="1"/>
  <c r="AL644" i="1"/>
  <c r="AH645" i="1"/>
  <c r="AI645" i="1"/>
  <c r="AJ645" i="1"/>
  <c r="AL645" i="1"/>
  <c r="AH646" i="1"/>
  <c r="AI646" i="1"/>
  <c r="AJ646" i="1"/>
  <c r="AL646" i="1"/>
  <c r="AH647" i="1"/>
  <c r="AI647" i="1"/>
  <c r="AJ647" i="1"/>
  <c r="AL647" i="1"/>
  <c r="AH648" i="1"/>
  <c r="AI648" i="1"/>
  <c r="AJ648" i="1"/>
  <c r="AL648" i="1"/>
  <c r="AH649" i="1"/>
  <c r="AI649" i="1"/>
  <c r="AJ649" i="1"/>
  <c r="AL649" i="1"/>
  <c r="AH650" i="1"/>
  <c r="AI650" i="1"/>
  <c r="AJ650" i="1"/>
  <c r="AL650" i="1"/>
  <c r="AH651" i="1"/>
  <c r="AI651" i="1"/>
  <c r="AJ651" i="1"/>
  <c r="AL651" i="1"/>
  <c r="AH652" i="1"/>
  <c r="AI652" i="1"/>
  <c r="AJ652" i="1"/>
  <c r="AL652" i="1"/>
  <c r="AH653" i="1"/>
  <c r="AI653" i="1"/>
  <c r="AJ653" i="1"/>
  <c r="AL653" i="1"/>
  <c r="AH654" i="1"/>
  <c r="AI654" i="1"/>
  <c r="AJ654" i="1"/>
  <c r="AL654" i="1"/>
  <c r="AH655" i="1"/>
  <c r="AI655" i="1"/>
  <c r="AJ655" i="1"/>
  <c r="AL655" i="1"/>
  <c r="AH656" i="1"/>
  <c r="AI656" i="1"/>
  <c r="AJ656" i="1"/>
  <c r="AL656" i="1"/>
  <c r="AH657" i="1"/>
  <c r="AI657" i="1"/>
  <c r="AJ657" i="1"/>
  <c r="AL657" i="1"/>
  <c r="AH658" i="1"/>
  <c r="AI658" i="1"/>
  <c r="AJ658" i="1"/>
  <c r="AL658" i="1"/>
  <c r="AH659" i="1"/>
  <c r="AI659" i="1"/>
  <c r="AJ659" i="1"/>
  <c r="AL659" i="1"/>
  <c r="AH660" i="1"/>
  <c r="AI660" i="1"/>
  <c r="AJ660" i="1"/>
  <c r="AL660" i="1"/>
  <c r="AH661" i="1"/>
  <c r="AI661" i="1"/>
  <c r="AJ661" i="1"/>
  <c r="AL661" i="1"/>
  <c r="AH662" i="1"/>
  <c r="AI662" i="1"/>
  <c r="AJ662" i="1"/>
  <c r="AL662" i="1"/>
  <c r="AM662" i="1"/>
  <c r="AN662" i="1"/>
  <c r="AH663" i="1"/>
  <c r="AI663" i="1"/>
  <c r="AJ663" i="1"/>
  <c r="AL663" i="1"/>
  <c r="AM663" i="1"/>
  <c r="AN663" i="1"/>
  <c r="AH664" i="1"/>
  <c r="AI664" i="1"/>
  <c r="AJ664" i="1"/>
  <c r="AL664" i="1"/>
  <c r="AM664" i="1"/>
  <c r="AN664" i="1"/>
  <c r="AH665" i="1"/>
  <c r="AI665" i="1"/>
  <c r="AJ665" i="1"/>
  <c r="AL665" i="1"/>
  <c r="AM665" i="1"/>
  <c r="AN665" i="1"/>
  <c r="AH666" i="1"/>
  <c r="AI666" i="1"/>
  <c r="AJ666" i="1"/>
  <c r="AL666" i="1"/>
  <c r="AM666" i="1"/>
  <c r="AN666" i="1"/>
  <c r="A17" i="33"/>
  <c r="A16" i="33"/>
  <c r="D17" i="33"/>
  <c r="D16" i="33"/>
  <c r="D15" i="33"/>
  <c r="I16" i="33"/>
  <c r="H16" i="33"/>
  <c r="I15" i="33"/>
  <c r="H15" i="33"/>
  <c r="G16" i="33"/>
  <c r="G15" i="33"/>
  <c r="J71" i="53"/>
  <c r="J67" i="53"/>
  <c r="J64" i="53"/>
  <c r="AG11" i="57"/>
  <c r="AG5" i="57"/>
  <c r="AG8" i="57"/>
  <c r="AC11" i="57"/>
  <c r="AB11" i="57"/>
  <c r="AD10" i="57"/>
  <c r="AC10" i="57"/>
  <c r="AB10" i="57"/>
  <c r="AD4" i="57"/>
  <c r="AD7" i="57"/>
  <c r="AB8" i="57"/>
  <c r="AB7" i="57"/>
  <c r="AC8" i="57"/>
  <c r="AC7" i="57"/>
  <c r="AC5" i="57"/>
  <c r="AC4" i="57"/>
  <c r="AB5" i="57"/>
  <c r="AB4" i="57"/>
  <c r="K78" i="55"/>
  <c r="K75" i="55"/>
  <c r="K76" i="55"/>
  <c r="K77" i="55"/>
  <c r="K74" i="55"/>
  <c r="I77" i="55"/>
  <c r="I76" i="55"/>
  <c r="I75" i="55"/>
  <c r="I74" i="55"/>
  <c r="G74" i="55"/>
  <c r="I60" i="53"/>
  <c r="I59" i="53"/>
  <c r="H61" i="53"/>
  <c r="H60" i="53"/>
  <c r="H59" i="53"/>
  <c r="G59" i="53"/>
  <c r="AH618" i="1"/>
  <c r="AI618" i="1"/>
  <c r="AJ618" i="1"/>
  <c r="AL618" i="1"/>
  <c r="AM618" i="1"/>
  <c r="AN618" i="1"/>
  <c r="AH619" i="1"/>
  <c r="AI619" i="1"/>
  <c r="AJ619" i="1"/>
  <c r="AL619" i="1"/>
  <c r="AM619" i="1"/>
  <c r="AN619" i="1"/>
  <c r="AH620" i="1"/>
  <c r="AI620" i="1"/>
  <c r="AJ620" i="1"/>
  <c r="AL620" i="1"/>
  <c r="AH621" i="1"/>
  <c r="AI621" i="1"/>
  <c r="AJ621" i="1"/>
  <c r="AL621" i="1"/>
  <c r="AH622" i="1"/>
  <c r="AI622" i="1"/>
  <c r="AJ622" i="1"/>
  <c r="AL622" i="1"/>
  <c r="AH623" i="1"/>
  <c r="AI623" i="1"/>
  <c r="AJ623" i="1"/>
  <c r="AL623" i="1"/>
  <c r="AH624" i="1"/>
  <c r="AI624" i="1"/>
  <c r="AJ624" i="1"/>
  <c r="AL624" i="1"/>
  <c r="AI93" i="56"/>
  <c r="AI92" i="56"/>
  <c r="AI91" i="56"/>
  <c r="AI90" i="56"/>
  <c r="AI89" i="56"/>
  <c r="AI87" i="56"/>
  <c r="AI86" i="56"/>
  <c r="AI85" i="56"/>
  <c r="AI84" i="56"/>
  <c r="AI83" i="56"/>
  <c r="AM94" i="56"/>
  <c r="AM88" i="56"/>
  <c r="AN86" i="56"/>
  <c r="K73" i="55"/>
  <c r="K72" i="55"/>
  <c r="K71" i="55"/>
  <c r="K70" i="55"/>
  <c r="I72" i="55"/>
  <c r="I71" i="55"/>
  <c r="I70" i="55"/>
  <c r="G70" i="55"/>
  <c r="K69" i="55"/>
  <c r="K66" i="55"/>
  <c r="K67" i="55"/>
  <c r="K68" i="55"/>
  <c r="K65" i="55"/>
  <c r="I66" i="55"/>
  <c r="I67" i="55"/>
  <c r="I68" i="55"/>
  <c r="I65" i="55"/>
  <c r="G65" i="55"/>
  <c r="G93" i="56"/>
  <c r="I92" i="56"/>
  <c r="G92" i="56"/>
  <c r="G91" i="56"/>
  <c r="G90" i="56"/>
  <c r="G87" i="56"/>
  <c r="I86" i="56"/>
  <c r="G86" i="56"/>
  <c r="G85" i="56"/>
  <c r="G84" i="56"/>
  <c r="G83" i="56"/>
  <c r="J58" i="53"/>
  <c r="I57" i="53"/>
  <c r="I56" i="53"/>
  <c r="H58" i="53"/>
  <c r="H57" i="53"/>
  <c r="H56" i="53"/>
  <c r="G56" i="53"/>
  <c r="AH573" i="1"/>
  <c r="AI573" i="1"/>
  <c r="AJ573" i="1"/>
  <c r="AL573" i="1"/>
  <c r="AH574" i="1"/>
  <c r="AI574" i="1"/>
  <c r="AJ574" i="1"/>
  <c r="AL574" i="1"/>
  <c r="AH575" i="1"/>
  <c r="AI575" i="1"/>
  <c r="AJ575" i="1"/>
  <c r="AL575" i="1"/>
  <c r="AH576" i="1"/>
  <c r="AI576" i="1"/>
  <c r="AJ576" i="1"/>
  <c r="AL576" i="1"/>
  <c r="AH577" i="1"/>
  <c r="AI577" i="1"/>
  <c r="AJ577" i="1"/>
  <c r="AL577" i="1"/>
  <c r="AH578" i="1"/>
  <c r="AI578" i="1"/>
  <c r="AJ578" i="1"/>
  <c r="AL578" i="1"/>
  <c r="AH579" i="1"/>
  <c r="AI579" i="1"/>
  <c r="AJ579" i="1"/>
  <c r="AL579" i="1"/>
  <c r="AH580" i="1"/>
  <c r="AI580" i="1"/>
  <c r="AJ580" i="1"/>
  <c r="AL580" i="1"/>
  <c r="AH581" i="1"/>
  <c r="AI581" i="1"/>
  <c r="AJ581" i="1"/>
  <c r="AL581" i="1"/>
  <c r="AH582" i="1"/>
  <c r="AI582" i="1"/>
  <c r="AJ582" i="1"/>
  <c r="AL582" i="1"/>
  <c r="AH583" i="1"/>
  <c r="AI583" i="1"/>
  <c r="AJ583" i="1"/>
  <c r="AL583" i="1"/>
  <c r="AH584" i="1"/>
  <c r="AI584" i="1"/>
  <c r="AJ584" i="1"/>
  <c r="AL584" i="1"/>
  <c r="AH585" i="1"/>
  <c r="AI585" i="1"/>
  <c r="AJ585" i="1"/>
  <c r="AL585" i="1"/>
  <c r="AH586" i="1"/>
  <c r="AI586" i="1"/>
  <c r="AJ586" i="1"/>
  <c r="AL586" i="1"/>
  <c r="AH587" i="1"/>
  <c r="AI587" i="1"/>
  <c r="AJ587" i="1"/>
  <c r="AL587" i="1"/>
  <c r="AH588" i="1"/>
  <c r="AI588" i="1"/>
  <c r="AJ588" i="1"/>
  <c r="AL588" i="1"/>
  <c r="AH589" i="1"/>
  <c r="AI589" i="1"/>
  <c r="AJ589" i="1"/>
  <c r="AL589" i="1"/>
  <c r="AH590" i="1"/>
  <c r="AI590" i="1"/>
  <c r="AJ590" i="1"/>
  <c r="AL590" i="1"/>
  <c r="AH591" i="1"/>
  <c r="AI591" i="1"/>
  <c r="AJ591" i="1"/>
  <c r="AL591" i="1"/>
  <c r="AH592" i="1"/>
  <c r="AI592" i="1"/>
  <c r="AJ592" i="1"/>
  <c r="AL592" i="1"/>
  <c r="AH593" i="1"/>
  <c r="AI593" i="1"/>
  <c r="AJ593" i="1"/>
  <c r="AL593" i="1"/>
  <c r="AH594" i="1"/>
  <c r="AI594" i="1"/>
  <c r="AJ594" i="1"/>
  <c r="AL594" i="1"/>
  <c r="AH595" i="1"/>
  <c r="AI595" i="1"/>
  <c r="AJ595" i="1"/>
  <c r="AL595" i="1"/>
  <c r="AH596" i="1"/>
  <c r="AI596" i="1"/>
  <c r="AJ596" i="1"/>
  <c r="AL596" i="1"/>
  <c r="AH597" i="1"/>
  <c r="AI597" i="1"/>
  <c r="AJ597" i="1"/>
  <c r="AL597" i="1"/>
  <c r="AH598" i="1"/>
  <c r="AI598" i="1"/>
  <c r="AJ598" i="1"/>
  <c r="AL598" i="1"/>
  <c r="AH599" i="1"/>
  <c r="AI599" i="1"/>
  <c r="AJ599" i="1"/>
  <c r="AL599" i="1"/>
  <c r="AH600" i="1"/>
  <c r="AI600" i="1"/>
  <c r="AJ600" i="1"/>
  <c r="AL600" i="1"/>
  <c r="AH601" i="1"/>
  <c r="AI601" i="1"/>
  <c r="AJ601" i="1"/>
  <c r="AL601" i="1"/>
  <c r="AH602" i="1"/>
  <c r="AI602" i="1"/>
  <c r="AJ602" i="1"/>
  <c r="AL602" i="1"/>
  <c r="AH603" i="1"/>
  <c r="AI603" i="1"/>
  <c r="AJ603" i="1"/>
  <c r="AL603" i="1"/>
  <c r="AH604" i="1"/>
  <c r="AI604" i="1"/>
  <c r="AJ604" i="1"/>
  <c r="AL604" i="1"/>
  <c r="AH605" i="1"/>
  <c r="AI605" i="1"/>
  <c r="AJ605" i="1"/>
  <c r="AL605" i="1"/>
  <c r="AH606" i="1"/>
  <c r="AI606" i="1"/>
  <c r="AJ606" i="1"/>
  <c r="AL606" i="1"/>
  <c r="AH607" i="1"/>
  <c r="AI607" i="1"/>
  <c r="AJ607" i="1"/>
  <c r="AL607" i="1"/>
  <c r="AH608" i="1"/>
  <c r="AI608" i="1"/>
  <c r="AJ608" i="1"/>
  <c r="AL608" i="1"/>
  <c r="AH609" i="1"/>
  <c r="AI609" i="1"/>
  <c r="AJ609" i="1"/>
  <c r="AL609" i="1"/>
  <c r="AH610" i="1"/>
  <c r="AI610" i="1"/>
  <c r="AJ610" i="1"/>
  <c r="AL610" i="1"/>
  <c r="AH611" i="1"/>
  <c r="AI611" i="1"/>
  <c r="AJ611" i="1"/>
  <c r="AL611" i="1"/>
  <c r="AH612" i="1"/>
  <c r="AI612" i="1"/>
  <c r="AJ612" i="1"/>
  <c r="AL612" i="1"/>
  <c r="AH613" i="1"/>
  <c r="AI613" i="1"/>
  <c r="AJ613" i="1"/>
  <c r="AL613" i="1"/>
  <c r="AN613" i="1"/>
  <c r="AH614" i="1"/>
  <c r="AI614" i="1"/>
  <c r="AJ614" i="1"/>
  <c r="AL614" i="1"/>
  <c r="AM614" i="1"/>
  <c r="AN614" i="1"/>
  <c r="AH615" i="1"/>
  <c r="AI615" i="1"/>
  <c r="AJ615" i="1"/>
  <c r="AL615" i="1"/>
  <c r="AM615" i="1"/>
  <c r="AN615" i="1"/>
  <c r="AH616" i="1"/>
  <c r="AI616" i="1"/>
  <c r="AJ616" i="1"/>
  <c r="AL616" i="1"/>
  <c r="AM616" i="1"/>
  <c r="AN616" i="1"/>
  <c r="AH617" i="1"/>
  <c r="AI617" i="1"/>
  <c r="AJ617" i="1"/>
  <c r="AL617" i="1"/>
  <c r="AM617" i="1"/>
  <c r="AN617" i="1"/>
  <c r="E200" i="56"/>
  <c r="F200" i="56"/>
  <c r="E201" i="56"/>
  <c r="F201" i="56"/>
  <c r="E202" i="56"/>
  <c r="F202" i="56"/>
  <c r="E203" i="56"/>
  <c r="F203" i="56"/>
  <c r="E204" i="56"/>
  <c r="F204" i="56"/>
  <c r="F199" i="56"/>
  <c r="E199" i="56"/>
  <c r="E193" i="56"/>
  <c r="F193" i="56"/>
  <c r="E194" i="56"/>
  <c r="F194" i="56"/>
  <c r="E195" i="56"/>
  <c r="F195" i="56"/>
  <c r="E196" i="56"/>
  <c r="F196" i="56"/>
  <c r="F192" i="56"/>
  <c r="E192" i="56"/>
  <c r="E185" i="56"/>
  <c r="F185" i="56"/>
  <c r="E186" i="56"/>
  <c r="F186" i="56"/>
  <c r="E187" i="56"/>
  <c r="F187" i="56"/>
  <c r="E188" i="56"/>
  <c r="F188" i="56"/>
  <c r="F184" i="56"/>
  <c r="E184" i="56"/>
  <c r="K137" i="55"/>
  <c r="F142" i="55"/>
  <c r="E142" i="55"/>
  <c r="F141" i="55"/>
  <c r="E141" i="55"/>
  <c r="F140" i="55"/>
  <c r="E140" i="55"/>
  <c r="F139" i="55"/>
  <c r="E139" i="55"/>
  <c r="F138" i="55"/>
  <c r="E138" i="55"/>
  <c r="AH559" i="1"/>
  <c r="AI559" i="1"/>
  <c r="AJ559" i="1"/>
  <c r="AL559" i="1"/>
  <c r="AM559" i="1"/>
  <c r="AN559" i="1"/>
  <c r="AH560" i="1"/>
  <c r="AI560" i="1"/>
  <c r="AJ560" i="1"/>
  <c r="AL560" i="1"/>
  <c r="AM560" i="1"/>
  <c r="AN560" i="1"/>
  <c r="AH561" i="1"/>
  <c r="AI561" i="1"/>
  <c r="AJ561" i="1"/>
  <c r="AL561" i="1"/>
  <c r="AM561" i="1"/>
  <c r="AN561" i="1"/>
  <c r="AH562" i="1"/>
  <c r="AI562" i="1"/>
  <c r="AJ562" i="1"/>
  <c r="AL562" i="1"/>
  <c r="AM562" i="1"/>
  <c r="AN562" i="1"/>
  <c r="AH563" i="1"/>
  <c r="AI563" i="1"/>
  <c r="AJ563" i="1"/>
  <c r="AL563" i="1"/>
  <c r="AM563" i="1"/>
  <c r="AN563" i="1"/>
  <c r="AH564" i="1"/>
  <c r="AI564" i="1"/>
  <c r="AJ564" i="1"/>
  <c r="AL564" i="1"/>
  <c r="AM564" i="1"/>
  <c r="AN564" i="1"/>
  <c r="AH565" i="1"/>
  <c r="AI565" i="1"/>
  <c r="AJ565" i="1"/>
  <c r="AL565" i="1"/>
  <c r="AM565" i="1"/>
  <c r="AN565" i="1"/>
  <c r="AH566" i="1"/>
  <c r="AI566" i="1"/>
  <c r="AJ566" i="1"/>
  <c r="AL566" i="1"/>
  <c r="AM566" i="1"/>
  <c r="AN566" i="1"/>
  <c r="AH567" i="1"/>
  <c r="AI567" i="1"/>
  <c r="AJ567" i="1"/>
  <c r="AL567" i="1"/>
  <c r="AM567" i="1"/>
  <c r="AN567" i="1"/>
  <c r="AH568" i="1"/>
  <c r="AI568" i="1"/>
  <c r="AJ568" i="1"/>
  <c r="AL568" i="1"/>
  <c r="AM568" i="1"/>
  <c r="AN568" i="1"/>
  <c r="AH569" i="1"/>
  <c r="AI569" i="1"/>
  <c r="AJ569" i="1"/>
  <c r="AL569" i="1"/>
  <c r="AM569" i="1"/>
  <c r="AN569" i="1"/>
  <c r="AH570" i="1"/>
  <c r="AI570" i="1"/>
  <c r="AJ570" i="1"/>
  <c r="AL570" i="1"/>
  <c r="AM570" i="1"/>
  <c r="AN570" i="1"/>
  <c r="AH571" i="1"/>
  <c r="AI571" i="1"/>
  <c r="AJ571" i="1"/>
  <c r="AL571" i="1"/>
  <c r="AM571" i="1"/>
  <c r="AN571" i="1"/>
  <c r="AH572" i="1"/>
  <c r="AI572" i="1"/>
  <c r="AJ572" i="1"/>
  <c r="AL572" i="1"/>
  <c r="AM572" i="1"/>
  <c r="AN572" i="1"/>
  <c r="AM82" i="56"/>
  <c r="AM76" i="56"/>
  <c r="AM70" i="56"/>
  <c r="AM64" i="56"/>
  <c r="AM58" i="56"/>
  <c r="AM52" i="56"/>
  <c r="AM46" i="56"/>
  <c r="AM40" i="56"/>
  <c r="AM34" i="56"/>
  <c r="AM28" i="56"/>
  <c r="AM21" i="56"/>
  <c r="AM15" i="56"/>
  <c r="AM9" i="56"/>
  <c r="AH536" i="1"/>
  <c r="AI536" i="1"/>
  <c r="AJ536" i="1"/>
  <c r="AL536" i="1"/>
  <c r="AM536" i="1"/>
  <c r="AN536" i="1"/>
  <c r="AH537" i="1"/>
  <c r="AI537" i="1"/>
  <c r="AJ537" i="1"/>
  <c r="AL537" i="1"/>
  <c r="AM537" i="1"/>
  <c r="AN537" i="1"/>
  <c r="AH538" i="1"/>
  <c r="AI538" i="1"/>
  <c r="AJ538" i="1"/>
  <c r="AL538" i="1"/>
  <c r="AM538" i="1"/>
  <c r="AN538" i="1"/>
  <c r="AH539" i="1"/>
  <c r="AI539" i="1"/>
  <c r="AJ539" i="1"/>
  <c r="AL539" i="1"/>
  <c r="AM539" i="1"/>
  <c r="AN539" i="1"/>
  <c r="AH540" i="1"/>
  <c r="AI540" i="1"/>
  <c r="AJ540" i="1"/>
  <c r="AL540" i="1"/>
  <c r="AM540" i="1"/>
  <c r="AN540" i="1"/>
  <c r="AH541" i="1"/>
  <c r="AI541" i="1"/>
  <c r="AJ541" i="1"/>
  <c r="AL541" i="1"/>
  <c r="AM541" i="1"/>
  <c r="AN541" i="1"/>
  <c r="AH542" i="1"/>
  <c r="AI542" i="1"/>
  <c r="AJ542" i="1"/>
  <c r="AL542" i="1"/>
  <c r="AM542" i="1"/>
  <c r="AN542" i="1"/>
  <c r="AH543" i="1"/>
  <c r="AI543" i="1"/>
  <c r="AJ543" i="1"/>
  <c r="AL543" i="1"/>
  <c r="AM543" i="1"/>
  <c r="AN543" i="1"/>
  <c r="AH544" i="1"/>
  <c r="AI544" i="1"/>
  <c r="AJ544" i="1"/>
  <c r="AL544" i="1"/>
  <c r="AM544" i="1"/>
  <c r="AN544" i="1"/>
  <c r="AH545" i="1"/>
  <c r="AI545" i="1"/>
  <c r="AJ545" i="1"/>
  <c r="AL545" i="1"/>
  <c r="AM545" i="1"/>
  <c r="AN545" i="1"/>
  <c r="AH546" i="1"/>
  <c r="AI546" i="1"/>
  <c r="AJ546" i="1"/>
  <c r="AL546" i="1"/>
  <c r="AM546" i="1"/>
  <c r="AN546" i="1"/>
  <c r="AH547" i="1"/>
  <c r="AI547" i="1"/>
  <c r="AJ547" i="1"/>
  <c r="AL547" i="1"/>
  <c r="AM547" i="1"/>
  <c r="AN547" i="1"/>
  <c r="AH548" i="1"/>
  <c r="AI548" i="1"/>
  <c r="AJ548" i="1"/>
  <c r="AL548" i="1"/>
  <c r="AM548" i="1"/>
  <c r="AN548" i="1"/>
  <c r="AH549" i="1"/>
  <c r="AI549" i="1"/>
  <c r="AJ549" i="1"/>
  <c r="AL549" i="1"/>
  <c r="AM549" i="1"/>
  <c r="AN549" i="1"/>
  <c r="AH550" i="1"/>
  <c r="AI550" i="1"/>
  <c r="AJ550" i="1"/>
  <c r="AL550" i="1"/>
  <c r="AM550" i="1"/>
  <c r="AN550" i="1"/>
  <c r="AH551" i="1"/>
  <c r="AI551" i="1"/>
  <c r="AJ551" i="1"/>
  <c r="AL551" i="1"/>
  <c r="AM551" i="1"/>
  <c r="AN551" i="1"/>
  <c r="AH552" i="1"/>
  <c r="AI552" i="1"/>
  <c r="AJ552" i="1"/>
  <c r="AL552" i="1"/>
  <c r="AM552" i="1"/>
  <c r="AN552" i="1"/>
  <c r="AH553" i="1"/>
  <c r="AI553" i="1"/>
  <c r="AJ553" i="1"/>
  <c r="AL553" i="1"/>
  <c r="AM553" i="1"/>
  <c r="AN553" i="1"/>
  <c r="AH554" i="1"/>
  <c r="AI554" i="1"/>
  <c r="AJ554" i="1"/>
  <c r="AL554" i="1"/>
  <c r="AM554" i="1"/>
  <c r="AN554" i="1"/>
  <c r="AH555" i="1"/>
  <c r="AI555" i="1"/>
  <c r="AJ555" i="1"/>
  <c r="AL555" i="1"/>
  <c r="AM555" i="1"/>
  <c r="AN555" i="1"/>
  <c r="AH556" i="1"/>
  <c r="AI556" i="1"/>
  <c r="AJ556" i="1"/>
  <c r="AL556" i="1"/>
  <c r="AM556" i="1"/>
  <c r="AN556" i="1"/>
  <c r="AH557" i="1"/>
  <c r="AI557" i="1"/>
  <c r="AJ557" i="1"/>
  <c r="AL557" i="1"/>
  <c r="AM557" i="1"/>
  <c r="AN557" i="1"/>
  <c r="AH558" i="1"/>
  <c r="AI558" i="1"/>
  <c r="AJ558" i="1"/>
  <c r="AL558" i="1"/>
  <c r="AM558" i="1"/>
  <c r="AN558" i="1"/>
  <c r="G53" i="53"/>
  <c r="H55" i="53"/>
  <c r="H54" i="53"/>
  <c r="H53" i="53"/>
  <c r="H52" i="53"/>
  <c r="H51" i="53"/>
  <c r="H50" i="53"/>
  <c r="H49" i="53"/>
  <c r="H48" i="53"/>
  <c r="H47" i="53"/>
  <c r="H46" i="53"/>
  <c r="A15" i="33"/>
  <c r="A14" i="33"/>
  <c r="A13" i="33"/>
  <c r="D2" i="33"/>
  <c r="D14" i="33"/>
  <c r="D13" i="33"/>
  <c r="I14" i="33"/>
  <c r="H14" i="33"/>
  <c r="G14" i="33"/>
  <c r="I13" i="33"/>
  <c r="H13" i="33"/>
  <c r="G13" i="33"/>
  <c r="I12" i="33"/>
  <c r="H12" i="33"/>
  <c r="G12" i="33"/>
  <c r="I11" i="33"/>
  <c r="H11" i="33"/>
  <c r="G11" i="33"/>
  <c r="I10" i="33"/>
  <c r="H10" i="33"/>
  <c r="G10" i="33"/>
  <c r="I9" i="33"/>
  <c r="H9" i="33"/>
  <c r="G9" i="33"/>
  <c r="I8" i="33"/>
  <c r="H8" i="33"/>
  <c r="G8" i="33"/>
  <c r="I7" i="33"/>
  <c r="H7" i="33"/>
  <c r="G7" i="33"/>
  <c r="I6" i="33"/>
  <c r="H6" i="33"/>
  <c r="G6" i="33"/>
  <c r="I5" i="33"/>
  <c r="H5" i="33"/>
  <c r="G5" i="33"/>
  <c r="I4" i="33"/>
  <c r="H4" i="33"/>
  <c r="G4" i="33"/>
  <c r="I3" i="33"/>
  <c r="H3" i="33"/>
  <c r="G3" i="33"/>
  <c r="I2" i="33"/>
  <c r="H2" i="33"/>
  <c r="G2" i="33"/>
  <c r="AN80" i="56"/>
  <c r="AN74" i="56"/>
  <c r="AN68" i="56"/>
  <c r="AN62" i="56"/>
  <c r="AN56" i="56"/>
  <c r="AN50" i="56"/>
  <c r="AN44" i="56"/>
  <c r="AN38" i="56"/>
  <c r="AN32" i="56"/>
  <c r="AN25" i="56"/>
  <c r="AN19" i="56"/>
  <c r="AN13" i="56"/>
  <c r="AN7" i="56"/>
  <c r="AI135" i="56"/>
  <c r="AH135" i="56"/>
  <c r="AI134" i="56"/>
  <c r="AI133" i="56"/>
  <c r="AI132" i="56"/>
  <c r="AK131" i="56"/>
  <c r="AI131" i="56"/>
  <c r="AI129" i="56"/>
  <c r="AI128" i="56"/>
  <c r="AI127" i="56"/>
  <c r="AI126" i="56"/>
  <c r="AK125" i="56"/>
  <c r="AI125" i="56"/>
  <c r="AI123" i="56"/>
  <c r="AI122" i="56"/>
  <c r="AI121" i="56"/>
  <c r="AI120" i="56"/>
  <c r="AK119" i="56"/>
  <c r="AI119" i="56"/>
  <c r="AI117" i="56"/>
  <c r="AI116" i="56"/>
  <c r="AI115" i="56"/>
  <c r="AI114" i="56"/>
  <c r="AI113" i="56"/>
  <c r="AI111" i="56"/>
  <c r="AI110" i="56"/>
  <c r="AI109" i="56"/>
  <c r="AI108" i="56"/>
  <c r="AI107" i="56"/>
  <c r="AI105" i="56"/>
  <c r="AI104" i="56"/>
  <c r="AI103" i="56"/>
  <c r="AI102" i="56"/>
  <c r="AK101" i="56"/>
  <c r="AI101" i="56"/>
  <c r="AI99" i="56"/>
  <c r="AI98" i="56"/>
  <c r="AI97" i="56"/>
  <c r="AI96" i="56"/>
  <c r="AK95" i="56"/>
  <c r="AI95" i="56"/>
  <c r="AK89" i="56"/>
  <c r="AK83" i="56"/>
  <c r="AI81" i="56"/>
  <c r="AI80" i="56"/>
  <c r="AI79" i="56"/>
  <c r="AI78" i="56"/>
  <c r="AK77" i="56"/>
  <c r="AI77" i="56"/>
  <c r="AI75" i="56"/>
  <c r="AI74" i="56"/>
  <c r="AI73" i="56"/>
  <c r="AI72" i="56"/>
  <c r="AK71" i="56"/>
  <c r="AI71" i="56"/>
  <c r="AI69" i="56"/>
  <c r="AI68" i="56"/>
  <c r="AI67" i="56"/>
  <c r="AI66" i="56"/>
  <c r="AK65" i="56"/>
  <c r="AI65" i="56"/>
  <c r="AI63" i="56"/>
  <c r="AI62" i="56"/>
  <c r="AI61" i="56"/>
  <c r="AI60" i="56"/>
  <c r="AK59" i="56"/>
  <c r="AI59" i="56"/>
  <c r="AI57" i="56"/>
  <c r="AI56" i="56"/>
  <c r="AI55" i="56"/>
  <c r="AI54" i="56"/>
  <c r="AK53" i="56"/>
  <c r="AI53" i="56"/>
  <c r="AI51" i="56"/>
  <c r="AI50" i="56"/>
  <c r="AI49" i="56"/>
  <c r="AI48" i="56"/>
  <c r="AK47" i="56"/>
  <c r="AI47" i="56"/>
  <c r="AI45" i="56"/>
  <c r="AI44" i="56"/>
  <c r="AI43" i="56"/>
  <c r="AI42" i="56"/>
  <c r="AK41" i="56"/>
  <c r="AI41" i="56"/>
  <c r="AI39" i="56"/>
  <c r="AI38" i="56"/>
  <c r="AI37" i="56"/>
  <c r="AI36" i="56"/>
  <c r="AK35" i="56"/>
  <c r="AI35" i="56"/>
  <c r="AK29" i="56"/>
  <c r="AI33" i="56"/>
  <c r="AI32" i="56"/>
  <c r="AI31" i="56"/>
  <c r="AI30" i="56"/>
  <c r="AI29" i="56"/>
  <c r="AK16" i="56"/>
  <c r="AK22" i="56"/>
  <c r="AI27" i="56"/>
  <c r="AI26" i="56"/>
  <c r="AI25" i="56"/>
  <c r="AI24" i="56"/>
  <c r="AI23" i="56"/>
  <c r="AI22" i="56"/>
  <c r="AI20" i="56"/>
  <c r="AI19" i="56"/>
  <c r="AI18" i="56"/>
  <c r="AI17" i="56"/>
  <c r="AI16" i="56"/>
  <c r="AK4" i="56"/>
  <c r="AK10" i="56"/>
  <c r="AI8" i="56"/>
  <c r="AI7" i="56"/>
  <c r="AI6" i="56"/>
  <c r="AI5" i="56"/>
  <c r="AJ4" i="56"/>
  <c r="AI4" i="56"/>
  <c r="AI14" i="56"/>
  <c r="AI13" i="56"/>
  <c r="AI12" i="56"/>
  <c r="AI11" i="56"/>
  <c r="AI10" i="56"/>
  <c r="I68" i="56"/>
  <c r="I80" i="56"/>
  <c r="G49" i="55"/>
  <c r="I74" i="56"/>
  <c r="G81" i="56"/>
  <c r="G80" i="56"/>
  <c r="G79" i="56"/>
  <c r="G78" i="56"/>
  <c r="G77" i="56"/>
  <c r="G75" i="56"/>
  <c r="G74" i="56"/>
  <c r="G73" i="56"/>
  <c r="G72" i="56"/>
  <c r="G71" i="56"/>
  <c r="I7" i="56"/>
  <c r="G8" i="56"/>
  <c r="G7" i="56"/>
  <c r="G6" i="56"/>
  <c r="G5" i="56"/>
  <c r="G4" i="56"/>
  <c r="I32" i="56"/>
  <c r="I25" i="56"/>
  <c r="G27" i="56"/>
  <c r="G25" i="56"/>
  <c r="G24" i="56"/>
  <c r="G23" i="56"/>
  <c r="G22" i="56"/>
  <c r="G26" i="56"/>
  <c r="G69" i="56"/>
  <c r="G68" i="56"/>
  <c r="G67" i="56"/>
  <c r="G66" i="56"/>
  <c r="G65" i="56"/>
  <c r="G63" i="56"/>
  <c r="I62" i="56"/>
  <c r="G62" i="56"/>
  <c r="G61" i="56"/>
  <c r="G60" i="56"/>
  <c r="G59" i="56"/>
  <c r="G57" i="56"/>
  <c r="I56" i="56"/>
  <c r="G56" i="56"/>
  <c r="G55" i="56"/>
  <c r="G54" i="56"/>
  <c r="G53" i="56"/>
  <c r="G51" i="56"/>
  <c r="I50" i="56"/>
  <c r="G50" i="56"/>
  <c r="G49" i="56"/>
  <c r="G48" i="56"/>
  <c r="G47" i="56"/>
  <c r="G45" i="56"/>
  <c r="I44" i="56"/>
  <c r="G44" i="56"/>
  <c r="G43" i="56"/>
  <c r="G42" i="56"/>
  <c r="G41" i="56"/>
  <c r="G39" i="56"/>
  <c r="I38" i="56"/>
  <c r="G38" i="56"/>
  <c r="G37" i="56"/>
  <c r="G36" i="56"/>
  <c r="G35" i="56"/>
  <c r="G33" i="56"/>
  <c r="G32" i="56"/>
  <c r="G31" i="56"/>
  <c r="G30" i="56"/>
  <c r="G29" i="56"/>
  <c r="G20" i="56"/>
  <c r="I19" i="56"/>
  <c r="G19" i="56"/>
  <c r="G18" i="56"/>
  <c r="G17" i="56"/>
  <c r="G16" i="56"/>
  <c r="I13" i="56"/>
  <c r="G14" i="56"/>
  <c r="G13" i="56"/>
  <c r="G12" i="56"/>
  <c r="G11" i="56"/>
  <c r="G10" i="56"/>
  <c r="AE4" i="56"/>
  <c r="P4" i="56"/>
  <c r="K64" i="55"/>
  <c r="K61" i="55"/>
  <c r="K62" i="55"/>
  <c r="K63" i="55"/>
  <c r="K60" i="55"/>
  <c r="I63" i="55"/>
  <c r="I62" i="55"/>
  <c r="I61" i="55"/>
  <c r="I60" i="55"/>
  <c r="G60" i="55"/>
  <c r="I55" i="55"/>
  <c r="K59" i="55"/>
  <c r="K56" i="55"/>
  <c r="K57" i="55"/>
  <c r="K58" i="55"/>
  <c r="K55" i="55"/>
  <c r="I58" i="55"/>
  <c r="I57" i="55"/>
  <c r="I56" i="55"/>
  <c r="G55" i="55"/>
  <c r="K53" i="55"/>
  <c r="K52" i="55"/>
  <c r="K51" i="55"/>
  <c r="K50" i="55"/>
  <c r="K49" i="55"/>
  <c r="I53" i="55"/>
  <c r="I52" i="55"/>
  <c r="I51" i="55"/>
  <c r="I50" i="55"/>
  <c r="I49" i="55"/>
  <c r="K54" i="55"/>
  <c r="I54" i="53"/>
  <c r="I53" i="53"/>
  <c r="I51" i="53"/>
  <c r="I50" i="53"/>
  <c r="G50" i="53"/>
  <c r="I47" i="53"/>
  <c r="I48" i="53"/>
  <c r="I46" i="53"/>
  <c r="G46" i="53"/>
  <c r="AH469" i="1"/>
  <c r="AI469" i="1"/>
  <c r="AJ469" i="1"/>
  <c r="AL469" i="1"/>
  <c r="AM469" i="1"/>
  <c r="AN469" i="1"/>
  <c r="AH470" i="1"/>
  <c r="AI470" i="1"/>
  <c r="AJ470" i="1"/>
  <c r="AL470" i="1"/>
  <c r="AM470" i="1"/>
  <c r="AN470" i="1"/>
  <c r="AH471" i="1"/>
  <c r="AI471" i="1"/>
  <c r="AJ471" i="1"/>
  <c r="AL471" i="1"/>
  <c r="AM471" i="1"/>
  <c r="AN471" i="1"/>
  <c r="AH472" i="1"/>
  <c r="AI472" i="1"/>
  <c r="AJ472" i="1"/>
  <c r="AL472" i="1"/>
  <c r="AM472" i="1"/>
  <c r="AN472" i="1"/>
  <c r="AH473" i="1"/>
  <c r="AI473" i="1"/>
  <c r="AJ473" i="1"/>
  <c r="AL473" i="1"/>
  <c r="AM473" i="1"/>
  <c r="AN473" i="1"/>
  <c r="AH474" i="1"/>
  <c r="AI474" i="1"/>
  <c r="AJ474" i="1"/>
  <c r="AL474" i="1"/>
  <c r="AM474" i="1"/>
  <c r="AN474" i="1"/>
  <c r="AH475" i="1"/>
  <c r="AI475" i="1"/>
  <c r="AJ475" i="1"/>
  <c r="AL475" i="1"/>
  <c r="AM475" i="1"/>
  <c r="AN475" i="1"/>
  <c r="AH476" i="1"/>
  <c r="AI476" i="1"/>
  <c r="AJ476" i="1"/>
  <c r="AL476" i="1"/>
  <c r="AM476" i="1"/>
  <c r="AN476" i="1"/>
  <c r="AH477" i="1"/>
  <c r="AI477" i="1"/>
  <c r="AJ477" i="1"/>
  <c r="AL477" i="1"/>
  <c r="AM477" i="1"/>
  <c r="AN477" i="1"/>
  <c r="AH478" i="1"/>
  <c r="AI478" i="1"/>
  <c r="AJ478" i="1"/>
  <c r="AL478" i="1"/>
  <c r="AM478" i="1"/>
  <c r="AN478" i="1"/>
  <c r="AH479" i="1"/>
  <c r="AI479" i="1"/>
  <c r="AJ479" i="1"/>
  <c r="AL479" i="1"/>
  <c r="AM479" i="1"/>
  <c r="AN479" i="1"/>
  <c r="AH480" i="1"/>
  <c r="AI480" i="1"/>
  <c r="AJ480" i="1"/>
  <c r="AL480" i="1"/>
  <c r="AM480" i="1"/>
  <c r="AN480" i="1"/>
  <c r="AH481" i="1"/>
  <c r="AI481" i="1"/>
  <c r="AJ481" i="1"/>
  <c r="AL481" i="1"/>
  <c r="AM481" i="1"/>
  <c r="AN481" i="1"/>
  <c r="AH482" i="1"/>
  <c r="AI482" i="1"/>
  <c r="AJ482" i="1"/>
  <c r="AL482" i="1"/>
  <c r="AM482" i="1"/>
  <c r="AN482" i="1"/>
  <c r="AH483" i="1"/>
  <c r="AI483" i="1"/>
  <c r="AJ483" i="1"/>
  <c r="AL483" i="1"/>
  <c r="AM483" i="1"/>
  <c r="AN483" i="1"/>
  <c r="AH484" i="1"/>
  <c r="AI484" i="1"/>
  <c r="AJ484" i="1"/>
  <c r="AL484" i="1"/>
  <c r="AM484" i="1"/>
  <c r="AN484" i="1"/>
  <c r="AH485" i="1"/>
  <c r="AI485" i="1"/>
  <c r="AJ485" i="1"/>
  <c r="AL485" i="1"/>
  <c r="AM485" i="1"/>
  <c r="AN485" i="1"/>
  <c r="AH486" i="1"/>
  <c r="AI486" i="1"/>
  <c r="AJ486" i="1"/>
  <c r="AL486" i="1"/>
  <c r="AM486" i="1"/>
  <c r="AN486" i="1"/>
  <c r="AH487" i="1"/>
  <c r="AI487" i="1"/>
  <c r="AJ487" i="1"/>
  <c r="AL487" i="1"/>
  <c r="AM487" i="1"/>
  <c r="AN487" i="1"/>
  <c r="AH488" i="1"/>
  <c r="AI488" i="1"/>
  <c r="AJ488" i="1"/>
  <c r="AL488" i="1"/>
  <c r="AM488" i="1"/>
  <c r="AN488" i="1"/>
  <c r="AH489" i="1"/>
  <c r="AI489" i="1"/>
  <c r="AJ489" i="1"/>
  <c r="AL489" i="1"/>
  <c r="AM489" i="1"/>
  <c r="AN489" i="1"/>
  <c r="AH490" i="1"/>
  <c r="AI490" i="1"/>
  <c r="AJ490" i="1"/>
  <c r="AL490" i="1"/>
  <c r="AM490" i="1"/>
  <c r="AN490" i="1"/>
  <c r="AH491" i="1"/>
  <c r="AI491" i="1"/>
  <c r="AJ491" i="1"/>
  <c r="AL491" i="1"/>
  <c r="AM491" i="1"/>
  <c r="AN491" i="1"/>
  <c r="AH492" i="1"/>
  <c r="AI492" i="1"/>
  <c r="AJ492" i="1"/>
  <c r="AL492" i="1"/>
  <c r="AM492" i="1"/>
  <c r="AN492" i="1"/>
  <c r="AH493" i="1"/>
  <c r="AI493" i="1"/>
  <c r="AJ493" i="1"/>
  <c r="AL493" i="1"/>
  <c r="AM493" i="1"/>
  <c r="AN493" i="1"/>
  <c r="AH494" i="1"/>
  <c r="AI494" i="1"/>
  <c r="AJ494" i="1"/>
  <c r="AL494" i="1"/>
  <c r="AM494" i="1"/>
  <c r="AN494" i="1"/>
  <c r="AH495" i="1"/>
  <c r="AI495" i="1"/>
  <c r="AJ495" i="1"/>
  <c r="AL495" i="1"/>
  <c r="AM495" i="1"/>
  <c r="AN495" i="1"/>
  <c r="AH496" i="1"/>
  <c r="AI496" i="1"/>
  <c r="AJ496" i="1"/>
  <c r="AL496" i="1"/>
  <c r="AM496" i="1"/>
  <c r="AN496" i="1"/>
  <c r="AH497" i="1"/>
  <c r="AI497" i="1"/>
  <c r="AJ497" i="1"/>
  <c r="AL497" i="1"/>
  <c r="AM497" i="1"/>
  <c r="AN497" i="1"/>
  <c r="AH498" i="1"/>
  <c r="AI498" i="1"/>
  <c r="AJ498" i="1"/>
  <c r="AL498" i="1"/>
  <c r="AM498" i="1"/>
  <c r="AN498" i="1"/>
  <c r="AH499" i="1"/>
  <c r="AI499" i="1"/>
  <c r="AJ499" i="1"/>
  <c r="AL499" i="1"/>
  <c r="AM499" i="1"/>
  <c r="AN499" i="1"/>
  <c r="AH500" i="1"/>
  <c r="AI500" i="1"/>
  <c r="AJ500" i="1"/>
  <c r="AL500" i="1"/>
  <c r="AM500" i="1"/>
  <c r="AN500" i="1"/>
  <c r="AH501" i="1"/>
  <c r="AI501" i="1"/>
  <c r="AJ501" i="1"/>
  <c r="AL501" i="1"/>
  <c r="AM501" i="1"/>
  <c r="AN501" i="1"/>
  <c r="AH502" i="1"/>
  <c r="AI502" i="1"/>
  <c r="AJ502" i="1"/>
  <c r="AL502" i="1"/>
  <c r="AM502" i="1"/>
  <c r="AN502" i="1"/>
  <c r="AH503" i="1"/>
  <c r="AI503" i="1"/>
  <c r="AJ503" i="1"/>
  <c r="AL503" i="1"/>
  <c r="AM503" i="1"/>
  <c r="AN503" i="1"/>
  <c r="AH504" i="1"/>
  <c r="AI504" i="1"/>
  <c r="AJ504" i="1"/>
  <c r="AL504" i="1"/>
  <c r="AM504" i="1"/>
  <c r="AN504" i="1"/>
  <c r="AH505" i="1"/>
  <c r="AI505" i="1"/>
  <c r="AJ505" i="1"/>
  <c r="AL505" i="1"/>
  <c r="AM505" i="1"/>
  <c r="AN505" i="1"/>
  <c r="AH506" i="1"/>
  <c r="AI506" i="1"/>
  <c r="AJ506" i="1"/>
  <c r="AL506" i="1"/>
  <c r="AM506" i="1"/>
  <c r="AN506" i="1"/>
  <c r="AH507" i="1"/>
  <c r="AI507" i="1"/>
  <c r="AJ507" i="1"/>
  <c r="AL507" i="1"/>
  <c r="AM507" i="1"/>
  <c r="AN507" i="1"/>
  <c r="AH508" i="1"/>
  <c r="AI508" i="1"/>
  <c r="AJ508" i="1"/>
  <c r="AL508" i="1"/>
  <c r="AM508" i="1"/>
  <c r="AN508" i="1"/>
  <c r="AH509" i="1"/>
  <c r="AI509" i="1"/>
  <c r="AJ509" i="1"/>
  <c r="AL509" i="1"/>
  <c r="AM509" i="1"/>
  <c r="AN509" i="1"/>
  <c r="AH510" i="1"/>
  <c r="AI510" i="1"/>
  <c r="AJ510" i="1"/>
  <c r="AL510" i="1"/>
  <c r="AM510" i="1"/>
  <c r="AN510" i="1"/>
  <c r="AH511" i="1"/>
  <c r="AI511" i="1"/>
  <c r="AJ511" i="1"/>
  <c r="AL511" i="1"/>
  <c r="AM511" i="1"/>
  <c r="AN511" i="1"/>
  <c r="AH512" i="1"/>
  <c r="AI512" i="1"/>
  <c r="AJ512" i="1"/>
  <c r="AL512" i="1"/>
  <c r="AM512" i="1"/>
  <c r="AN512" i="1"/>
  <c r="AH513" i="1"/>
  <c r="AI513" i="1"/>
  <c r="AJ513" i="1"/>
  <c r="AL513" i="1"/>
  <c r="AM513" i="1"/>
  <c r="AN513" i="1"/>
  <c r="AH514" i="1"/>
  <c r="AI514" i="1"/>
  <c r="AJ514" i="1"/>
  <c r="AL514" i="1"/>
  <c r="AM514" i="1"/>
  <c r="AN514" i="1"/>
  <c r="AH515" i="1"/>
  <c r="AI515" i="1"/>
  <c r="AJ515" i="1"/>
  <c r="AL515" i="1"/>
  <c r="AM515" i="1"/>
  <c r="AN515" i="1"/>
  <c r="AH516" i="1"/>
  <c r="AI516" i="1"/>
  <c r="AJ516" i="1"/>
  <c r="AL516" i="1"/>
  <c r="AM516" i="1"/>
  <c r="AN516" i="1"/>
  <c r="AH517" i="1"/>
  <c r="AI517" i="1"/>
  <c r="AJ517" i="1"/>
  <c r="AL517" i="1"/>
  <c r="AM517" i="1"/>
  <c r="AN517" i="1"/>
  <c r="AH518" i="1"/>
  <c r="AI518" i="1"/>
  <c r="AJ518" i="1"/>
  <c r="AL518" i="1"/>
  <c r="AM518" i="1"/>
  <c r="AN518" i="1"/>
  <c r="AH519" i="1"/>
  <c r="AI519" i="1"/>
  <c r="AJ519" i="1"/>
  <c r="AL519" i="1"/>
  <c r="AM519" i="1"/>
  <c r="AN519" i="1"/>
  <c r="AH520" i="1"/>
  <c r="AI520" i="1"/>
  <c r="AJ520" i="1"/>
  <c r="AL520" i="1"/>
  <c r="AM520" i="1"/>
  <c r="AN520" i="1"/>
  <c r="AH521" i="1"/>
  <c r="AI521" i="1"/>
  <c r="AJ521" i="1"/>
  <c r="AL521" i="1"/>
  <c r="AM521" i="1"/>
  <c r="AN521" i="1"/>
  <c r="AH522" i="1"/>
  <c r="AI522" i="1"/>
  <c r="AJ522" i="1"/>
  <c r="AL522" i="1"/>
  <c r="AM522" i="1"/>
  <c r="AN522" i="1"/>
  <c r="AH523" i="1"/>
  <c r="AI523" i="1"/>
  <c r="AJ523" i="1"/>
  <c r="AL523" i="1"/>
  <c r="AM523" i="1"/>
  <c r="AN523" i="1"/>
  <c r="AH524" i="1"/>
  <c r="AI524" i="1"/>
  <c r="AJ524" i="1"/>
  <c r="AL524" i="1"/>
  <c r="AM524" i="1"/>
  <c r="AN524" i="1"/>
  <c r="AH525" i="1"/>
  <c r="AI525" i="1"/>
  <c r="AJ525" i="1"/>
  <c r="AL525" i="1"/>
  <c r="AM525" i="1"/>
  <c r="AN525" i="1"/>
  <c r="AH526" i="1"/>
  <c r="AI526" i="1"/>
  <c r="AJ526" i="1"/>
  <c r="AL526" i="1"/>
  <c r="AM526" i="1"/>
  <c r="AN526" i="1"/>
  <c r="AH527" i="1"/>
  <c r="AI527" i="1"/>
  <c r="AJ527" i="1"/>
  <c r="AL527" i="1"/>
  <c r="AM527" i="1"/>
  <c r="AN527" i="1"/>
  <c r="AH528" i="1"/>
  <c r="AI528" i="1"/>
  <c r="AJ528" i="1"/>
  <c r="AL528" i="1"/>
  <c r="AM528" i="1"/>
  <c r="AN528" i="1"/>
  <c r="AH529" i="1"/>
  <c r="AI529" i="1"/>
  <c r="AJ529" i="1"/>
  <c r="AL529" i="1"/>
  <c r="AM529" i="1"/>
  <c r="AN529" i="1"/>
  <c r="AH530" i="1"/>
  <c r="AI530" i="1"/>
  <c r="AJ530" i="1"/>
  <c r="AL530" i="1"/>
  <c r="AM530" i="1"/>
  <c r="AN530" i="1"/>
  <c r="AH531" i="1"/>
  <c r="AI531" i="1"/>
  <c r="AJ531" i="1"/>
  <c r="AL531" i="1"/>
  <c r="AM531" i="1"/>
  <c r="AN531" i="1"/>
  <c r="AH532" i="1"/>
  <c r="AI532" i="1"/>
  <c r="AJ532" i="1"/>
  <c r="AL532" i="1"/>
  <c r="AM532" i="1"/>
  <c r="AN532" i="1"/>
  <c r="AH533" i="1"/>
  <c r="AI533" i="1"/>
  <c r="AJ533" i="1"/>
  <c r="AL533" i="1"/>
  <c r="AM533" i="1"/>
  <c r="AN533" i="1"/>
  <c r="AH534" i="1"/>
  <c r="AI534" i="1"/>
  <c r="AJ534" i="1"/>
  <c r="AL534" i="1"/>
  <c r="AM534" i="1"/>
  <c r="AN534" i="1"/>
  <c r="AH535" i="1"/>
  <c r="AI535" i="1"/>
  <c r="AJ535" i="1"/>
  <c r="AL535" i="1"/>
  <c r="AM535" i="1"/>
  <c r="AN535" i="1"/>
  <c r="F153" i="55"/>
  <c r="F154" i="55"/>
  <c r="F155" i="55"/>
  <c r="E154" i="55"/>
  <c r="E155" i="55"/>
  <c r="E153" i="55"/>
  <c r="F146" i="55"/>
  <c r="F147" i="55"/>
  <c r="F148" i="55"/>
  <c r="F149" i="55"/>
  <c r="E147" i="55"/>
  <c r="E148" i="55"/>
  <c r="E149" i="55"/>
  <c r="E146" i="55"/>
  <c r="AH465" i="1"/>
  <c r="AI465" i="1"/>
  <c r="AJ465" i="1"/>
  <c r="AL465" i="1"/>
  <c r="AM465" i="1"/>
  <c r="AN465" i="1"/>
  <c r="AH466" i="1"/>
  <c r="AI466" i="1"/>
  <c r="AJ466" i="1"/>
  <c r="AL466" i="1"/>
  <c r="AM466" i="1"/>
  <c r="AN466" i="1"/>
  <c r="AH467" i="1"/>
  <c r="AI467" i="1"/>
  <c r="AJ467" i="1"/>
  <c r="AL467" i="1"/>
  <c r="AM467" i="1"/>
  <c r="AN467" i="1"/>
  <c r="AH468" i="1"/>
  <c r="AI468" i="1"/>
  <c r="AJ468" i="1"/>
  <c r="AL468" i="1"/>
  <c r="AM468" i="1"/>
  <c r="AN468" i="1"/>
  <c r="AH453" i="1"/>
  <c r="AI453" i="1"/>
  <c r="AJ453" i="1"/>
  <c r="AL453" i="1"/>
  <c r="AM453" i="1"/>
  <c r="AN453" i="1"/>
  <c r="AH454" i="1"/>
  <c r="AI454" i="1"/>
  <c r="AJ454" i="1"/>
  <c r="AL454" i="1"/>
  <c r="AM454" i="1"/>
  <c r="AN454" i="1"/>
  <c r="AH455" i="1"/>
  <c r="AI455" i="1"/>
  <c r="AJ455" i="1"/>
  <c r="AL455" i="1"/>
  <c r="AM455" i="1"/>
  <c r="AN455" i="1"/>
  <c r="AH456" i="1"/>
  <c r="AI456" i="1"/>
  <c r="AJ456" i="1"/>
  <c r="AL456" i="1"/>
  <c r="AM456" i="1"/>
  <c r="AN456" i="1"/>
  <c r="AH457" i="1"/>
  <c r="AI457" i="1"/>
  <c r="AJ457" i="1"/>
  <c r="AL457" i="1"/>
  <c r="AM457" i="1"/>
  <c r="AN457" i="1"/>
  <c r="AH458" i="1"/>
  <c r="AI458" i="1"/>
  <c r="AJ458" i="1"/>
  <c r="AL458" i="1"/>
  <c r="AM458" i="1"/>
  <c r="AN458" i="1"/>
  <c r="AH459" i="1"/>
  <c r="AI459" i="1"/>
  <c r="AJ459" i="1"/>
  <c r="AL459" i="1"/>
  <c r="AM459" i="1"/>
  <c r="AN459" i="1"/>
  <c r="AH460" i="1"/>
  <c r="AI460" i="1"/>
  <c r="AJ460" i="1"/>
  <c r="AL460" i="1"/>
  <c r="AM460" i="1"/>
  <c r="AN460" i="1"/>
  <c r="AH461" i="1"/>
  <c r="AI461" i="1"/>
  <c r="AJ461" i="1"/>
  <c r="AL461" i="1"/>
  <c r="AM461" i="1"/>
  <c r="AN461" i="1"/>
  <c r="AH462" i="1"/>
  <c r="AI462" i="1"/>
  <c r="AJ462" i="1"/>
  <c r="AL462" i="1"/>
  <c r="AM462" i="1"/>
  <c r="AN462" i="1"/>
  <c r="AH463" i="1"/>
  <c r="AI463" i="1"/>
  <c r="AJ463" i="1"/>
  <c r="AL463" i="1"/>
  <c r="AM463" i="1"/>
  <c r="AN463" i="1"/>
  <c r="AH464" i="1"/>
  <c r="AI464" i="1"/>
  <c r="AJ464" i="1"/>
  <c r="AL464" i="1"/>
  <c r="AM464" i="1"/>
  <c r="AN464" i="1"/>
  <c r="A12" i="33"/>
  <c r="A11" i="33"/>
  <c r="A10" i="33"/>
  <c r="A9" i="33"/>
  <c r="A8" i="33"/>
  <c r="A7" i="33"/>
  <c r="A6" i="33"/>
  <c r="A5" i="33"/>
  <c r="A4" i="33"/>
  <c r="A3" i="33"/>
  <c r="A2" i="33"/>
  <c r="D12" i="33"/>
  <c r="D11" i="33"/>
  <c r="D10" i="33"/>
  <c r="D9" i="33"/>
  <c r="D8" i="33"/>
  <c r="D7" i="33"/>
  <c r="D6" i="33"/>
  <c r="D5" i="33"/>
  <c r="D4" i="33"/>
  <c r="D3" i="33"/>
  <c r="L4" i="33"/>
  <c r="K4" i="33"/>
  <c r="J4" i="33"/>
  <c r="L3" i="33"/>
  <c r="K3" i="33"/>
  <c r="J3" i="33"/>
  <c r="L2" i="33"/>
  <c r="J2" i="33"/>
  <c r="K2" i="33"/>
  <c r="AH451" i="1"/>
  <c r="AI451" i="1"/>
  <c r="AJ451" i="1"/>
  <c r="AL451" i="1"/>
  <c r="AM451" i="1"/>
  <c r="AN451" i="1"/>
  <c r="AH452" i="1"/>
  <c r="AI452" i="1"/>
  <c r="AJ452" i="1"/>
  <c r="AL452" i="1"/>
  <c r="AM452" i="1"/>
  <c r="AN452" i="1"/>
  <c r="AH429" i="1"/>
  <c r="AI429" i="1"/>
  <c r="AJ429" i="1"/>
  <c r="AL429" i="1"/>
  <c r="AM429" i="1"/>
  <c r="AN429" i="1"/>
  <c r="AH430" i="1"/>
  <c r="AI430" i="1"/>
  <c r="AJ430" i="1"/>
  <c r="AL430" i="1"/>
  <c r="AM430" i="1"/>
  <c r="AN430" i="1"/>
  <c r="AH431" i="1"/>
  <c r="AI431" i="1"/>
  <c r="AJ431" i="1"/>
  <c r="AL431" i="1"/>
  <c r="AM431" i="1"/>
  <c r="AN431" i="1"/>
  <c r="AH432" i="1"/>
  <c r="AI432" i="1"/>
  <c r="AJ432" i="1"/>
  <c r="AL432" i="1"/>
  <c r="AM432" i="1"/>
  <c r="AN432" i="1"/>
  <c r="AH433" i="1"/>
  <c r="AI433" i="1"/>
  <c r="AJ433" i="1"/>
  <c r="AL433" i="1"/>
  <c r="AM433" i="1"/>
  <c r="AN433" i="1"/>
  <c r="AH434" i="1"/>
  <c r="AI434" i="1"/>
  <c r="AJ434" i="1"/>
  <c r="AL434" i="1"/>
  <c r="AM434" i="1"/>
  <c r="AN434" i="1"/>
  <c r="AH435" i="1"/>
  <c r="AI435" i="1"/>
  <c r="AJ435" i="1"/>
  <c r="AL435" i="1"/>
  <c r="AM435" i="1"/>
  <c r="AN435" i="1"/>
  <c r="AH436" i="1"/>
  <c r="AI436" i="1"/>
  <c r="AJ436" i="1"/>
  <c r="AL436" i="1"/>
  <c r="AM436" i="1"/>
  <c r="AN436" i="1"/>
  <c r="AH437" i="1"/>
  <c r="AI437" i="1"/>
  <c r="AJ437" i="1"/>
  <c r="AL437" i="1"/>
  <c r="AM437" i="1"/>
  <c r="AN437" i="1"/>
  <c r="AH438" i="1"/>
  <c r="AI438" i="1"/>
  <c r="AJ438" i="1"/>
  <c r="AL438" i="1"/>
  <c r="AM438" i="1"/>
  <c r="AN438" i="1"/>
  <c r="AH439" i="1"/>
  <c r="AI439" i="1"/>
  <c r="AJ439" i="1"/>
  <c r="AL439" i="1"/>
  <c r="AM439" i="1"/>
  <c r="AN439" i="1"/>
  <c r="AH440" i="1"/>
  <c r="AI440" i="1"/>
  <c r="AJ440" i="1"/>
  <c r="AL440" i="1"/>
  <c r="AM440" i="1"/>
  <c r="AN440" i="1"/>
  <c r="AH441" i="1"/>
  <c r="AI441" i="1"/>
  <c r="AJ441" i="1"/>
  <c r="AL441" i="1"/>
  <c r="AM441" i="1"/>
  <c r="AN441" i="1"/>
  <c r="AH442" i="1"/>
  <c r="AI442" i="1"/>
  <c r="AJ442" i="1"/>
  <c r="AL442" i="1"/>
  <c r="AM442" i="1"/>
  <c r="AN442" i="1"/>
  <c r="AH443" i="1"/>
  <c r="AI443" i="1"/>
  <c r="AJ443" i="1"/>
  <c r="AL443" i="1"/>
  <c r="AM443" i="1"/>
  <c r="AN443" i="1"/>
  <c r="AH444" i="1"/>
  <c r="AI444" i="1"/>
  <c r="AJ444" i="1"/>
  <c r="AL444" i="1"/>
  <c r="AM444" i="1"/>
  <c r="AN444" i="1"/>
  <c r="AH445" i="1"/>
  <c r="AI445" i="1"/>
  <c r="AJ445" i="1"/>
  <c r="AL445" i="1"/>
  <c r="AM445" i="1"/>
  <c r="AN445" i="1"/>
  <c r="AH446" i="1"/>
  <c r="AI446" i="1"/>
  <c r="AJ446" i="1"/>
  <c r="AL446" i="1"/>
  <c r="AM446" i="1"/>
  <c r="AN446" i="1"/>
  <c r="AH447" i="1"/>
  <c r="AI447" i="1"/>
  <c r="AJ447" i="1"/>
  <c r="AL447" i="1"/>
  <c r="AM447" i="1"/>
  <c r="AN447" i="1"/>
  <c r="AH448" i="1"/>
  <c r="AI448" i="1"/>
  <c r="AJ448" i="1"/>
  <c r="AL448" i="1"/>
  <c r="AM448" i="1"/>
  <c r="AN448" i="1"/>
  <c r="AH449" i="1"/>
  <c r="AI449" i="1"/>
  <c r="AJ449" i="1"/>
  <c r="AL449" i="1"/>
  <c r="AM449" i="1"/>
  <c r="AN449" i="1"/>
  <c r="AH450" i="1"/>
  <c r="AI450" i="1"/>
  <c r="AJ450" i="1"/>
  <c r="AL450" i="1"/>
  <c r="AM450" i="1"/>
  <c r="AN450" i="1"/>
  <c r="K46" i="55"/>
  <c r="K47" i="55"/>
  <c r="K45" i="55"/>
  <c r="K48" i="55"/>
  <c r="I47" i="55"/>
  <c r="I46" i="55"/>
  <c r="I45" i="55"/>
  <c r="G45" i="55"/>
  <c r="K44" i="55"/>
  <c r="K41" i="55"/>
  <c r="K42" i="55"/>
  <c r="K43" i="55"/>
  <c r="K40" i="55"/>
  <c r="I43" i="55"/>
  <c r="I42" i="55"/>
  <c r="I41" i="55"/>
  <c r="I40" i="55"/>
  <c r="G40" i="55"/>
  <c r="K39" i="55"/>
  <c r="K36" i="55"/>
  <c r="K37" i="55"/>
  <c r="K38" i="55"/>
  <c r="K35" i="55"/>
  <c r="I38" i="55"/>
  <c r="I37" i="55"/>
  <c r="I36" i="55"/>
  <c r="I35" i="55"/>
  <c r="G35" i="55"/>
  <c r="K34" i="55"/>
  <c r="K31" i="55"/>
  <c r="K32" i="55"/>
  <c r="K33" i="55"/>
  <c r="K30" i="55"/>
  <c r="I33" i="55"/>
  <c r="I32" i="55"/>
  <c r="I31" i="55"/>
  <c r="I30" i="55"/>
  <c r="G30" i="55"/>
  <c r="K29" i="55"/>
  <c r="K28" i="55"/>
  <c r="K27" i="55"/>
  <c r="K26" i="55"/>
  <c r="I28" i="55"/>
  <c r="I27" i="55"/>
  <c r="I26" i="55"/>
  <c r="G26" i="55"/>
  <c r="J45" i="53"/>
  <c r="I43" i="53"/>
  <c r="I44" i="53"/>
  <c r="I42" i="53"/>
  <c r="H45" i="53"/>
  <c r="H44" i="53"/>
  <c r="H43" i="53"/>
  <c r="H42" i="53"/>
  <c r="G42" i="53"/>
  <c r="J41" i="53"/>
  <c r="I39" i="53"/>
  <c r="I40" i="53"/>
  <c r="I38" i="53"/>
  <c r="H41" i="53"/>
  <c r="H40" i="53"/>
  <c r="H39" i="53"/>
  <c r="H38" i="53"/>
  <c r="G38" i="53"/>
  <c r="J37" i="53"/>
  <c r="I35" i="53"/>
  <c r="I36" i="53"/>
  <c r="I34" i="53"/>
  <c r="H37" i="53"/>
  <c r="H36" i="53"/>
  <c r="H35" i="53"/>
  <c r="H34" i="53"/>
  <c r="G34" i="53"/>
  <c r="J33" i="53"/>
  <c r="I32" i="53"/>
  <c r="I31" i="53"/>
  <c r="H33" i="53"/>
  <c r="H32" i="53"/>
  <c r="H31" i="53"/>
  <c r="G31" i="53"/>
  <c r="J7" i="53"/>
  <c r="J11" i="53"/>
  <c r="J15" i="53"/>
  <c r="J18" i="53"/>
  <c r="J22" i="53"/>
  <c r="J26" i="53"/>
  <c r="J30" i="53"/>
  <c r="K29" i="53"/>
  <c r="K28" i="53"/>
  <c r="I28" i="53"/>
  <c r="I29" i="53"/>
  <c r="I27" i="53"/>
  <c r="H30" i="53"/>
  <c r="H29" i="53"/>
  <c r="H28" i="53"/>
  <c r="H27" i="53"/>
  <c r="G27" i="53"/>
  <c r="K25" i="53"/>
  <c r="K24" i="53"/>
  <c r="I25" i="53"/>
  <c r="I24" i="53"/>
  <c r="I23" i="53"/>
  <c r="H26" i="53"/>
  <c r="H25" i="53"/>
  <c r="H24" i="53"/>
  <c r="H23" i="53"/>
  <c r="G23" i="53"/>
  <c r="K21" i="53"/>
  <c r="K20" i="53"/>
  <c r="I21" i="53"/>
  <c r="I20" i="53"/>
  <c r="I19" i="53"/>
  <c r="H22" i="53"/>
  <c r="H21" i="53"/>
  <c r="H20" i="53"/>
  <c r="H19" i="53"/>
  <c r="G19" i="53"/>
  <c r="G16" i="53"/>
  <c r="AH286" i="1"/>
  <c r="AI286" i="1"/>
  <c r="AJ286" i="1"/>
  <c r="AL286" i="1"/>
  <c r="AM286" i="1"/>
  <c r="AN286" i="1"/>
  <c r="AH287" i="1"/>
  <c r="AI287" i="1"/>
  <c r="AJ287" i="1"/>
  <c r="AL287" i="1"/>
  <c r="AM287" i="1"/>
  <c r="AN287" i="1"/>
  <c r="AH288" i="1"/>
  <c r="AI288" i="1"/>
  <c r="AJ288" i="1"/>
  <c r="AL288" i="1"/>
  <c r="AM288" i="1"/>
  <c r="AN288" i="1"/>
  <c r="AH289" i="1"/>
  <c r="AI289" i="1"/>
  <c r="AJ289" i="1"/>
  <c r="AL289" i="1"/>
  <c r="AM289" i="1"/>
  <c r="AN289" i="1"/>
  <c r="AH290" i="1"/>
  <c r="AI290" i="1"/>
  <c r="AJ290" i="1"/>
  <c r="AL290" i="1"/>
  <c r="AM290" i="1"/>
  <c r="AN290" i="1"/>
  <c r="AH291" i="1"/>
  <c r="AI291" i="1"/>
  <c r="AJ291" i="1"/>
  <c r="AL291" i="1"/>
  <c r="AM291" i="1"/>
  <c r="AN291" i="1"/>
  <c r="AH292" i="1"/>
  <c r="AI292" i="1"/>
  <c r="AJ292" i="1"/>
  <c r="AL292" i="1"/>
  <c r="AM292" i="1"/>
  <c r="AN292" i="1"/>
  <c r="AH293" i="1"/>
  <c r="AI293" i="1"/>
  <c r="AJ293" i="1"/>
  <c r="AL293" i="1"/>
  <c r="AM293" i="1"/>
  <c r="AN293" i="1"/>
  <c r="AH294" i="1"/>
  <c r="AI294" i="1"/>
  <c r="AJ294" i="1"/>
  <c r="AL294" i="1"/>
  <c r="AM294" i="1"/>
  <c r="AN294" i="1"/>
  <c r="AH295" i="1"/>
  <c r="AI295" i="1"/>
  <c r="AJ295" i="1"/>
  <c r="AL295" i="1"/>
  <c r="AM295" i="1"/>
  <c r="AN295" i="1"/>
  <c r="AH296" i="1"/>
  <c r="AI296" i="1"/>
  <c r="AJ296" i="1"/>
  <c r="AL296" i="1"/>
  <c r="AM296" i="1"/>
  <c r="AN296" i="1"/>
  <c r="AH297" i="1"/>
  <c r="AI297" i="1"/>
  <c r="AJ297" i="1"/>
  <c r="AL297" i="1"/>
  <c r="AM297" i="1"/>
  <c r="AN297" i="1"/>
  <c r="AH298" i="1"/>
  <c r="AI298" i="1"/>
  <c r="AJ298" i="1"/>
  <c r="AL298" i="1"/>
  <c r="AM298" i="1"/>
  <c r="AN298" i="1"/>
  <c r="AH299" i="1"/>
  <c r="AI299" i="1"/>
  <c r="AJ299" i="1"/>
  <c r="AL299" i="1"/>
  <c r="AM299" i="1"/>
  <c r="AN299" i="1"/>
  <c r="AH300" i="1"/>
  <c r="AI300" i="1"/>
  <c r="AJ300" i="1"/>
  <c r="AL300" i="1"/>
  <c r="AM300" i="1"/>
  <c r="AN300" i="1"/>
  <c r="AH301" i="1"/>
  <c r="AI301" i="1"/>
  <c r="AJ301" i="1"/>
  <c r="AL301" i="1"/>
  <c r="AM301" i="1"/>
  <c r="AN301" i="1"/>
  <c r="AH302" i="1"/>
  <c r="AI302" i="1"/>
  <c r="AJ302" i="1"/>
  <c r="AL302" i="1"/>
  <c r="AM302" i="1"/>
  <c r="AN302" i="1"/>
  <c r="AH303" i="1"/>
  <c r="AI303" i="1"/>
  <c r="AJ303" i="1"/>
  <c r="AL303" i="1"/>
  <c r="AM303" i="1"/>
  <c r="AN303" i="1"/>
  <c r="AH304" i="1"/>
  <c r="AI304" i="1"/>
  <c r="AJ304" i="1"/>
  <c r="AL304" i="1"/>
  <c r="AM304" i="1"/>
  <c r="AN304" i="1"/>
  <c r="AH305" i="1"/>
  <c r="AI305" i="1"/>
  <c r="AJ305" i="1"/>
  <c r="AL305" i="1"/>
  <c r="AM305" i="1"/>
  <c r="AN305" i="1"/>
  <c r="AH306" i="1"/>
  <c r="AI306" i="1"/>
  <c r="AJ306" i="1"/>
  <c r="AL306" i="1"/>
  <c r="AM306" i="1"/>
  <c r="AN306" i="1"/>
  <c r="AH307" i="1"/>
  <c r="AI307" i="1"/>
  <c r="AJ307" i="1"/>
  <c r="AL307" i="1"/>
  <c r="AM307" i="1"/>
  <c r="AN307" i="1"/>
  <c r="AH308" i="1"/>
  <c r="AI308" i="1"/>
  <c r="AJ308" i="1"/>
  <c r="AL308" i="1"/>
  <c r="AM308" i="1"/>
  <c r="AN308" i="1"/>
  <c r="AH309" i="1"/>
  <c r="AI309" i="1"/>
  <c r="AJ309" i="1"/>
  <c r="AL309" i="1"/>
  <c r="AM309" i="1"/>
  <c r="AN309" i="1"/>
  <c r="AH310" i="1"/>
  <c r="AI310" i="1"/>
  <c r="AJ310" i="1"/>
  <c r="AL310" i="1"/>
  <c r="AM310" i="1"/>
  <c r="AN310" i="1"/>
  <c r="AH311" i="1"/>
  <c r="AI311" i="1"/>
  <c r="AJ311" i="1"/>
  <c r="AL311" i="1"/>
  <c r="AM311" i="1"/>
  <c r="AN311" i="1"/>
  <c r="AH312" i="1"/>
  <c r="AI312" i="1"/>
  <c r="AJ312" i="1"/>
  <c r="AL312" i="1"/>
  <c r="AM312" i="1"/>
  <c r="AN312" i="1"/>
  <c r="AH313" i="1"/>
  <c r="AI313" i="1"/>
  <c r="AJ313" i="1"/>
  <c r="AL313" i="1"/>
  <c r="AM313" i="1"/>
  <c r="AN313" i="1"/>
  <c r="AH314" i="1"/>
  <c r="AI314" i="1"/>
  <c r="AJ314" i="1"/>
  <c r="AL314" i="1"/>
  <c r="AM314" i="1"/>
  <c r="AN314" i="1"/>
  <c r="AH315" i="1"/>
  <c r="AI315" i="1"/>
  <c r="AJ315" i="1"/>
  <c r="AL315" i="1"/>
  <c r="AM315" i="1"/>
  <c r="AN315" i="1"/>
  <c r="AH316" i="1"/>
  <c r="AI316" i="1"/>
  <c r="AJ316" i="1"/>
  <c r="AL316" i="1"/>
  <c r="AM316" i="1"/>
  <c r="AN316" i="1"/>
  <c r="AH317" i="1"/>
  <c r="AI317" i="1"/>
  <c r="AJ317" i="1"/>
  <c r="AL317" i="1"/>
  <c r="AM317" i="1"/>
  <c r="AN317" i="1"/>
  <c r="AH318" i="1"/>
  <c r="AI318" i="1"/>
  <c r="AJ318" i="1"/>
  <c r="AL318" i="1"/>
  <c r="AM318" i="1"/>
  <c r="AN318" i="1"/>
  <c r="AH319" i="1"/>
  <c r="AI319" i="1"/>
  <c r="AJ319" i="1"/>
  <c r="AL319" i="1"/>
  <c r="AM319" i="1"/>
  <c r="AN319" i="1"/>
  <c r="AH320" i="1"/>
  <c r="AI320" i="1"/>
  <c r="AJ320" i="1"/>
  <c r="AL320" i="1"/>
  <c r="AM320" i="1"/>
  <c r="AN320" i="1"/>
  <c r="AH321" i="1"/>
  <c r="AI321" i="1"/>
  <c r="AJ321" i="1"/>
  <c r="AL321" i="1"/>
  <c r="AM321" i="1"/>
  <c r="AN321" i="1"/>
  <c r="AH322" i="1"/>
  <c r="AI322" i="1"/>
  <c r="AJ322" i="1"/>
  <c r="AL322" i="1"/>
  <c r="AM322" i="1"/>
  <c r="AN322" i="1"/>
  <c r="AH323" i="1"/>
  <c r="AI323" i="1"/>
  <c r="AJ323" i="1"/>
  <c r="AL323" i="1"/>
  <c r="AM323" i="1"/>
  <c r="AN323" i="1"/>
  <c r="AH324" i="1"/>
  <c r="AI324" i="1"/>
  <c r="AJ324" i="1"/>
  <c r="AL324" i="1"/>
  <c r="AM324" i="1"/>
  <c r="AN324" i="1"/>
  <c r="AH325" i="1"/>
  <c r="AI325" i="1"/>
  <c r="AJ325" i="1"/>
  <c r="AL325" i="1"/>
  <c r="AM325" i="1"/>
  <c r="AN325" i="1"/>
  <c r="AH326" i="1"/>
  <c r="AI326" i="1"/>
  <c r="AJ326" i="1"/>
  <c r="AL326" i="1"/>
  <c r="AM326" i="1"/>
  <c r="AN326" i="1"/>
  <c r="AH327" i="1"/>
  <c r="AI327" i="1"/>
  <c r="AJ327" i="1"/>
  <c r="AL327" i="1"/>
  <c r="AM327" i="1"/>
  <c r="AN327" i="1"/>
  <c r="AH328" i="1"/>
  <c r="AI328" i="1"/>
  <c r="AJ328" i="1"/>
  <c r="AL328" i="1"/>
  <c r="AM328" i="1"/>
  <c r="AN328" i="1"/>
  <c r="AH329" i="1"/>
  <c r="AI329" i="1"/>
  <c r="AJ329" i="1"/>
  <c r="AL329" i="1"/>
  <c r="AM329" i="1"/>
  <c r="AN329" i="1"/>
  <c r="AH330" i="1"/>
  <c r="AI330" i="1"/>
  <c r="AJ330" i="1"/>
  <c r="AL330" i="1"/>
  <c r="AM330" i="1"/>
  <c r="AN330" i="1"/>
  <c r="AH331" i="1"/>
  <c r="AI331" i="1"/>
  <c r="AJ331" i="1"/>
  <c r="AL331" i="1"/>
  <c r="AM331" i="1"/>
  <c r="AN331" i="1"/>
  <c r="AH332" i="1"/>
  <c r="AI332" i="1"/>
  <c r="AJ332" i="1"/>
  <c r="AL332" i="1"/>
  <c r="AM332" i="1"/>
  <c r="AN332" i="1"/>
  <c r="AH333" i="1"/>
  <c r="AI333" i="1"/>
  <c r="AJ333" i="1"/>
  <c r="AL333" i="1"/>
  <c r="AM333" i="1"/>
  <c r="AN333" i="1"/>
  <c r="AH334" i="1"/>
  <c r="AI334" i="1"/>
  <c r="AJ334" i="1"/>
  <c r="AL334" i="1"/>
  <c r="AM334" i="1"/>
  <c r="AN334" i="1"/>
  <c r="AH335" i="1"/>
  <c r="AI335" i="1"/>
  <c r="AJ335" i="1"/>
  <c r="AL335" i="1"/>
  <c r="AM335" i="1"/>
  <c r="AN335" i="1"/>
  <c r="AH336" i="1"/>
  <c r="AI336" i="1"/>
  <c r="AJ336" i="1"/>
  <c r="AL336" i="1"/>
  <c r="AM336" i="1"/>
  <c r="AN336" i="1"/>
  <c r="AH337" i="1"/>
  <c r="AI337" i="1"/>
  <c r="AJ337" i="1"/>
  <c r="AL337" i="1"/>
  <c r="AM337" i="1"/>
  <c r="AN337" i="1"/>
  <c r="AH338" i="1"/>
  <c r="AI338" i="1"/>
  <c r="AJ338" i="1"/>
  <c r="AL338" i="1"/>
  <c r="AM338" i="1"/>
  <c r="AN338" i="1"/>
  <c r="AH339" i="1"/>
  <c r="AI339" i="1"/>
  <c r="AJ339" i="1"/>
  <c r="AL339" i="1"/>
  <c r="AM339" i="1"/>
  <c r="AN339" i="1"/>
  <c r="AH340" i="1"/>
  <c r="AI340" i="1"/>
  <c r="AJ340" i="1"/>
  <c r="AL340" i="1"/>
  <c r="AM340" i="1"/>
  <c r="AN340" i="1"/>
  <c r="AH341" i="1"/>
  <c r="AI341" i="1"/>
  <c r="AJ341" i="1"/>
  <c r="AL341" i="1"/>
  <c r="AM341" i="1"/>
  <c r="AN341" i="1"/>
  <c r="AH342" i="1"/>
  <c r="AI342" i="1"/>
  <c r="AJ342" i="1"/>
  <c r="AL342" i="1"/>
  <c r="AM342" i="1"/>
  <c r="AN342" i="1"/>
  <c r="AH343" i="1"/>
  <c r="AI343" i="1"/>
  <c r="AJ343" i="1"/>
  <c r="AL343" i="1"/>
  <c r="AM343" i="1"/>
  <c r="AN343" i="1"/>
  <c r="AH344" i="1"/>
  <c r="AI344" i="1"/>
  <c r="AJ344" i="1"/>
  <c r="AL344" i="1"/>
  <c r="AM344" i="1"/>
  <c r="AN344" i="1"/>
  <c r="AH345" i="1"/>
  <c r="AI345" i="1"/>
  <c r="AJ345" i="1"/>
  <c r="AL345" i="1"/>
  <c r="AM345" i="1"/>
  <c r="AN345" i="1"/>
  <c r="AH346" i="1"/>
  <c r="AI346" i="1"/>
  <c r="AJ346" i="1"/>
  <c r="AL346" i="1"/>
  <c r="AM346" i="1"/>
  <c r="AN346" i="1"/>
  <c r="AH347" i="1"/>
  <c r="AI347" i="1"/>
  <c r="AJ347" i="1"/>
  <c r="AL347" i="1"/>
  <c r="AM347" i="1"/>
  <c r="AN347" i="1"/>
  <c r="AH348" i="1"/>
  <c r="AI348" i="1"/>
  <c r="AJ348" i="1"/>
  <c r="AL348" i="1"/>
  <c r="AM348" i="1"/>
  <c r="AN348" i="1"/>
  <c r="AH349" i="1"/>
  <c r="AI349" i="1"/>
  <c r="AJ349" i="1"/>
  <c r="AL349" i="1"/>
  <c r="AM349" i="1"/>
  <c r="AN349" i="1"/>
  <c r="AH350" i="1"/>
  <c r="AI350" i="1"/>
  <c r="AJ350" i="1"/>
  <c r="AL350" i="1"/>
  <c r="AM350" i="1"/>
  <c r="AN350" i="1"/>
  <c r="AH351" i="1"/>
  <c r="AI351" i="1"/>
  <c r="AJ351" i="1"/>
  <c r="AL351" i="1"/>
  <c r="AM351" i="1"/>
  <c r="AN351" i="1"/>
  <c r="AH352" i="1"/>
  <c r="AI352" i="1"/>
  <c r="AJ352" i="1"/>
  <c r="AL352" i="1"/>
  <c r="AM352" i="1"/>
  <c r="AN352" i="1"/>
  <c r="AH353" i="1"/>
  <c r="AI353" i="1"/>
  <c r="AJ353" i="1"/>
  <c r="AL353" i="1"/>
  <c r="AM353" i="1"/>
  <c r="AN353" i="1"/>
  <c r="AH354" i="1"/>
  <c r="AI354" i="1"/>
  <c r="AJ354" i="1"/>
  <c r="AL354" i="1"/>
  <c r="AM354" i="1"/>
  <c r="AN354" i="1"/>
  <c r="AH355" i="1"/>
  <c r="AI355" i="1"/>
  <c r="AJ355" i="1"/>
  <c r="AL355" i="1"/>
  <c r="AM355" i="1"/>
  <c r="AN355" i="1"/>
  <c r="AH356" i="1"/>
  <c r="AI356" i="1"/>
  <c r="AJ356" i="1"/>
  <c r="AL356" i="1"/>
  <c r="AM356" i="1"/>
  <c r="AN356" i="1"/>
  <c r="AH357" i="1"/>
  <c r="AI357" i="1"/>
  <c r="AJ357" i="1"/>
  <c r="AL357" i="1"/>
  <c r="AM357" i="1"/>
  <c r="AN357" i="1"/>
  <c r="AH358" i="1"/>
  <c r="AI358" i="1"/>
  <c r="AJ358" i="1"/>
  <c r="AL358" i="1"/>
  <c r="AM358" i="1"/>
  <c r="AN358" i="1"/>
  <c r="AH359" i="1"/>
  <c r="AI359" i="1"/>
  <c r="AJ359" i="1"/>
  <c r="AL359" i="1"/>
  <c r="AM359" i="1"/>
  <c r="AN359" i="1"/>
  <c r="AH360" i="1"/>
  <c r="AI360" i="1"/>
  <c r="AJ360" i="1"/>
  <c r="AL360" i="1"/>
  <c r="AM360" i="1"/>
  <c r="AN360" i="1"/>
  <c r="AH361" i="1"/>
  <c r="AI361" i="1"/>
  <c r="AJ361" i="1"/>
  <c r="AL361" i="1"/>
  <c r="AM361" i="1"/>
  <c r="AN361" i="1"/>
  <c r="AH362" i="1"/>
  <c r="AI362" i="1"/>
  <c r="AJ362" i="1"/>
  <c r="AL362" i="1"/>
  <c r="AM362" i="1"/>
  <c r="AN362" i="1"/>
  <c r="AH363" i="1"/>
  <c r="AI363" i="1"/>
  <c r="AJ363" i="1"/>
  <c r="AL363" i="1"/>
  <c r="AM363" i="1"/>
  <c r="AN363" i="1"/>
  <c r="AH364" i="1"/>
  <c r="AI364" i="1"/>
  <c r="AJ364" i="1"/>
  <c r="AL364" i="1"/>
  <c r="AM364" i="1"/>
  <c r="AN364" i="1"/>
  <c r="AH365" i="1"/>
  <c r="AI365" i="1"/>
  <c r="AJ365" i="1"/>
  <c r="AL365" i="1"/>
  <c r="AM365" i="1"/>
  <c r="AN365" i="1"/>
  <c r="AH366" i="1"/>
  <c r="AI366" i="1"/>
  <c r="AJ366" i="1"/>
  <c r="AL366" i="1"/>
  <c r="AM366" i="1"/>
  <c r="AN366" i="1"/>
  <c r="AH367" i="1"/>
  <c r="AI367" i="1"/>
  <c r="AJ367" i="1"/>
  <c r="AL367" i="1"/>
  <c r="AM367" i="1"/>
  <c r="AN367" i="1"/>
  <c r="AH368" i="1"/>
  <c r="AI368" i="1"/>
  <c r="AJ368" i="1"/>
  <c r="AL368" i="1"/>
  <c r="AM368" i="1"/>
  <c r="AN368" i="1"/>
  <c r="AH369" i="1"/>
  <c r="AI369" i="1"/>
  <c r="AJ369" i="1"/>
  <c r="AL369" i="1"/>
  <c r="AM369" i="1"/>
  <c r="AN369" i="1"/>
  <c r="AH370" i="1"/>
  <c r="AI370" i="1"/>
  <c r="AJ370" i="1"/>
  <c r="AL370" i="1"/>
  <c r="AM370" i="1"/>
  <c r="AN370" i="1"/>
  <c r="AH371" i="1"/>
  <c r="AI371" i="1"/>
  <c r="AJ371" i="1"/>
  <c r="AL371" i="1"/>
  <c r="AM371" i="1"/>
  <c r="AN371" i="1"/>
  <c r="AH372" i="1"/>
  <c r="AI372" i="1"/>
  <c r="AJ372" i="1"/>
  <c r="AL372" i="1"/>
  <c r="AM372" i="1"/>
  <c r="AN372" i="1"/>
  <c r="AH373" i="1"/>
  <c r="AI373" i="1"/>
  <c r="AJ373" i="1"/>
  <c r="AL373" i="1"/>
  <c r="AM373" i="1"/>
  <c r="AN373" i="1"/>
  <c r="AH374" i="1"/>
  <c r="AI374" i="1"/>
  <c r="AJ374" i="1"/>
  <c r="AL374" i="1"/>
  <c r="AM374" i="1"/>
  <c r="AN374" i="1"/>
  <c r="AH375" i="1"/>
  <c r="AI375" i="1"/>
  <c r="AJ375" i="1"/>
  <c r="AL375" i="1"/>
  <c r="AM375" i="1"/>
  <c r="AN375" i="1"/>
  <c r="AH376" i="1"/>
  <c r="AI376" i="1"/>
  <c r="AJ376" i="1"/>
  <c r="AL376" i="1"/>
  <c r="AM376" i="1"/>
  <c r="AN376" i="1"/>
  <c r="AH377" i="1"/>
  <c r="AI377" i="1"/>
  <c r="AJ377" i="1"/>
  <c r="AL377" i="1"/>
  <c r="AM377" i="1"/>
  <c r="AN377" i="1"/>
  <c r="AH378" i="1"/>
  <c r="AI378" i="1"/>
  <c r="AJ378" i="1"/>
  <c r="AL378" i="1"/>
  <c r="AM378" i="1"/>
  <c r="AN378" i="1"/>
  <c r="AH379" i="1"/>
  <c r="AI379" i="1"/>
  <c r="AJ379" i="1"/>
  <c r="AL379" i="1"/>
  <c r="AM379" i="1"/>
  <c r="AN379" i="1"/>
  <c r="AH380" i="1"/>
  <c r="AI380" i="1"/>
  <c r="AJ380" i="1"/>
  <c r="AL380" i="1"/>
  <c r="AM380" i="1"/>
  <c r="AN380" i="1"/>
  <c r="AH381" i="1"/>
  <c r="AI381" i="1"/>
  <c r="AJ381" i="1"/>
  <c r="AL381" i="1"/>
  <c r="AM381" i="1"/>
  <c r="AN381" i="1"/>
  <c r="AH382" i="1"/>
  <c r="AI382" i="1"/>
  <c r="AJ382" i="1"/>
  <c r="AL382" i="1"/>
  <c r="AM382" i="1"/>
  <c r="AN382" i="1"/>
  <c r="AH383" i="1"/>
  <c r="AI383" i="1"/>
  <c r="AJ383" i="1"/>
  <c r="AL383" i="1"/>
  <c r="AM383" i="1"/>
  <c r="AN383" i="1"/>
  <c r="AH384" i="1"/>
  <c r="AI384" i="1"/>
  <c r="AJ384" i="1"/>
  <c r="AL384" i="1"/>
  <c r="AM384" i="1"/>
  <c r="AN384" i="1"/>
  <c r="AH385" i="1"/>
  <c r="AI385" i="1"/>
  <c r="AJ385" i="1"/>
  <c r="AL385" i="1"/>
  <c r="AM385" i="1"/>
  <c r="AN385" i="1"/>
  <c r="AH386" i="1"/>
  <c r="AI386" i="1"/>
  <c r="AJ386" i="1"/>
  <c r="AL386" i="1"/>
  <c r="AM386" i="1"/>
  <c r="AN386" i="1"/>
  <c r="AH387" i="1"/>
  <c r="AI387" i="1"/>
  <c r="AJ387" i="1"/>
  <c r="AL387" i="1"/>
  <c r="AM387" i="1"/>
  <c r="AN387" i="1"/>
  <c r="AH388" i="1"/>
  <c r="AI388" i="1"/>
  <c r="AJ388" i="1"/>
  <c r="AL388" i="1"/>
  <c r="AM388" i="1"/>
  <c r="AN388" i="1"/>
  <c r="AH389" i="1"/>
  <c r="AI389" i="1"/>
  <c r="AJ389" i="1"/>
  <c r="AL389" i="1"/>
  <c r="AM389" i="1"/>
  <c r="AN389" i="1"/>
  <c r="AH390" i="1"/>
  <c r="AI390" i="1"/>
  <c r="AJ390" i="1"/>
  <c r="AL390" i="1"/>
  <c r="AM390" i="1"/>
  <c r="AN390" i="1"/>
  <c r="AH391" i="1"/>
  <c r="AI391" i="1"/>
  <c r="AJ391" i="1"/>
  <c r="AL391" i="1"/>
  <c r="AM391" i="1"/>
  <c r="AN391" i="1"/>
  <c r="AH392" i="1"/>
  <c r="AI392" i="1"/>
  <c r="AJ392" i="1"/>
  <c r="AL392" i="1"/>
  <c r="AM392" i="1"/>
  <c r="AN392" i="1"/>
  <c r="AH393" i="1"/>
  <c r="AI393" i="1"/>
  <c r="AJ393" i="1"/>
  <c r="AL393" i="1"/>
  <c r="AM393" i="1"/>
  <c r="AN393" i="1"/>
  <c r="AH394" i="1"/>
  <c r="AI394" i="1"/>
  <c r="AJ394" i="1"/>
  <c r="AL394" i="1"/>
  <c r="AM394" i="1"/>
  <c r="AN394" i="1"/>
  <c r="AH395" i="1"/>
  <c r="AI395" i="1"/>
  <c r="AJ395" i="1"/>
  <c r="AL395" i="1"/>
  <c r="AM395" i="1"/>
  <c r="AN395" i="1"/>
  <c r="AH396" i="1"/>
  <c r="AI396" i="1"/>
  <c r="AJ396" i="1"/>
  <c r="AL396" i="1"/>
  <c r="AM396" i="1"/>
  <c r="AN396" i="1"/>
  <c r="AH397" i="1"/>
  <c r="AI397" i="1"/>
  <c r="AJ397" i="1"/>
  <c r="AL397" i="1"/>
  <c r="AM397" i="1"/>
  <c r="AN397" i="1"/>
  <c r="AH398" i="1"/>
  <c r="AI398" i="1"/>
  <c r="AJ398" i="1"/>
  <c r="AL398" i="1"/>
  <c r="AM398" i="1"/>
  <c r="AN398" i="1"/>
  <c r="AH399" i="1"/>
  <c r="AI399" i="1"/>
  <c r="AJ399" i="1"/>
  <c r="AL399" i="1"/>
  <c r="AM399" i="1"/>
  <c r="AN399" i="1"/>
  <c r="AH400" i="1"/>
  <c r="AI400" i="1"/>
  <c r="AJ400" i="1"/>
  <c r="AL400" i="1"/>
  <c r="AM400" i="1"/>
  <c r="AN400" i="1"/>
  <c r="AH401" i="1"/>
  <c r="AI401" i="1"/>
  <c r="AJ401" i="1"/>
  <c r="AL401" i="1"/>
  <c r="AM401" i="1"/>
  <c r="AN401" i="1"/>
  <c r="AH402" i="1"/>
  <c r="AI402" i="1"/>
  <c r="AJ402" i="1"/>
  <c r="AL402" i="1"/>
  <c r="AM402" i="1"/>
  <c r="AN402" i="1"/>
  <c r="AH403" i="1"/>
  <c r="AI403" i="1"/>
  <c r="AJ403" i="1"/>
  <c r="AL403" i="1"/>
  <c r="AM403" i="1"/>
  <c r="AN403" i="1"/>
  <c r="AH404" i="1"/>
  <c r="AI404" i="1"/>
  <c r="AJ404" i="1"/>
  <c r="AL404" i="1"/>
  <c r="AM404" i="1"/>
  <c r="AN404" i="1"/>
  <c r="AH405" i="1"/>
  <c r="AI405" i="1"/>
  <c r="AJ405" i="1"/>
  <c r="AL405" i="1"/>
  <c r="AM405" i="1"/>
  <c r="AN405" i="1"/>
  <c r="AH406" i="1"/>
  <c r="AI406" i="1"/>
  <c r="AJ406" i="1"/>
  <c r="AL406" i="1"/>
  <c r="AM406" i="1"/>
  <c r="AN406" i="1"/>
  <c r="AH407" i="1"/>
  <c r="AI407" i="1"/>
  <c r="AJ407" i="1"/>
  <c r="AL407" i="1"/>
  <c r="AM407" i="1"/>
  <c r="AN407" i="1"/>
  <c r="AH408" i="1"/>
  <c r="AI408" i="1"/>
  <c r="AJ408" i="1"/>
  <c r="AL408" i="1"/>
  <c r="AM408" i="1"/>
  <c r="AN408" i="1"/>
  <c r="AH409" i="1"/>
  <c r="AI409" i="1"/>
  <c r="AJ409" i="1"/>
  <c r="AL409" i="1"/>
  <c r="AM409" i="1"/>
  <c r="AN409" i="1"/>
  <c r="AH410" i="1"/>
  <c r="AI410" i="1"/>
  <c r="AJ410" i="1"/>
  <c r="AL410" i="1"/>
  <c r="AM410" i="1"/>
  <c r="AN410" i="1"/>
  <c r="AH411" i="1"/>
  <c r="AI411" i="1"/>
  <c r="AJ411" i="1"/>
  <c r="AL411" i="1"/>
  <c r="AM411" i="1"/>
  <c r="AN411" i="1"/>
  <c r="AH412" i="1"/>
  <c r="AI412" i="1"/>
  <c r="AJ412" i="1"/>
  <c r="AL412" i="1"/>
  <c r="AM412" i="1"/>
  <c r="AN412" i="1"/>
  <c r="AH413" i="1"/>
  <c r="AI413" i="1"/>
  <c r="AJ413" i="1"/>
  <c r="AL413" i="1"/>
  <c r="AM413" i="1"/>
  <c r="AN413" i="1"/>
  <c r="AH414" i="1"/>
  <c r="AI414" i="1"/>
  <c r="AJ414" i="1"/>
  <c r="AL414" i="1"/>
  <c r="AM414" i="1"/>
  <c r="AN414" i="1"/>
  <c r="AH415" i="1"/>
  <c r="AI415" i="1"/>
  <c r="AJ415" i="1"/>
  <c r="AL415" i="1"/>
  <c r="AM415" i="1"/>
  <c r="AN415" i="1"/>
  <c r="AH416" i="1"/>
  <c r="AI416" i="1"/>
  <c r="AJ416" i="1"/>
  <c r="AL416" i="1"/>
  <c r="AM416" i="1"/>
  <c r="AN416" i="1"/>
  <c r="AH417" i="1"/>
  <c r="AI417" i="1"/>
  <c r="AJ417" i="1"/>
  <c r="AL417" i="1"/>
  <c r="AM417" i="1"/>
  <c r="AN417" i="1"/>
  <c r="AH418" i="1"/>
  <c r="AI418" i="1"/>
  <c r="AJ418" i="1"/>
  <c r="AL418" i="1"/>
  <c r="AM418" i="1"/>
  <c r="AN418" i="1"/>
  <c r="AH419" i="1"/>
  <c r="AI419" i="1"/>
  <c r="AJ419" i="1"/>
  <c r="AL419" i="1"/>
  <c r="AM419" i="1"/>
  <c r="AN419" i="1"/>
  <c r="AH420" i="1"/>
  <c r="AI420" i="1"/>
  <c r="AJ420" i="1"/>
  <c r="AL420" i="1"/>
  <c r="AM420" i="1"/>
  <c r="AN420" i="1"/>
  <c r="AH421" i="1"/>
  <c r="AI421" i="1"/>
  <c r="AJ421" i="1"/>
  <c r="AL421" i="1"/>
  <c r="AM421" i="1"/>
  <c r="AN421" i="1"/>
  <c r="AH422" i="1"/>
  <c r="AI422" i="1"/>
  <c r="AJ422" i="1"/>
  <c r="AL422" i="1"/>
  <c r="AM422" i="1"/>
  <c r="AN422" i="1"/>
  <c r="AH423" i="1"/>
  <c r="AI423" i="1"/>
  <c r="AJ423" i="1"/>
  <c r="AL423" i="1"/>
  <c r="AM423" i="1"/>
  <c r="AN423" i="1"/>
  <c r="AH424" i="1"/>
  <c r="AI424" i="1"/>
  <c r="AJ424" i="1"/>
  <c r="AL424" i="1"/>
  <c r="AM424" i="1"/>
  <c r="AN424" i="1"/>
  <c r="AH425" i="1"/>
  <c r="AI425" i="1"/>
  <c r="AJ425" i="1"/>
  <c r="AL425" i="1"/>
  <c r="AM425" i="1"/>
  <c r="AN425" i="1"/>
  <c r="AH426" i="1"/>
  <c r="AI426" i="1"/>
  <c r="AJ426" i="1"/>
  <c r="AL426" i="1"/>
  <c r="AM426" i="1"/>
  <c r="AN426" i="1"/>
  <c r="AH427" i="1"/>
  <c r="AI427" i="1"/>
  <c r="AJ427" i="1"/>
  <c r="AL427" i="1"/>
  <c r="AM427" i="1"/>
  <c r="AN427" i="1"/>
  <c r="AH428" i="1"/>
  <c r="AI428" i="1"/>
  <c r="AJ428" i="1"/>
  <c r="AL428" i="1"/>
  <c r="AM428" i="1"/>
  <c r="AN428" i="1"/>
  <c r="K22" i="55"/>
  <c r="K20" i="55"/>
  <c r="K25" i="55"/>
  <c r="I24" i="55"/>
  <c r="I23" i="55"/>
  <c r="I22" i="55"/>
  <c r="I21" i="55"/>
  <c r="G21" i="55"/>
  <c r="K23" i="55"/>
  <c r="K24" i="55"/>
  <c r="K21" i="55"/>
  <c r="K19" i="55"/>
  <c r="K18" i="55"/>
  <c r="K17" i="55"/>
  <c r="I19" i="55"/>
  <c r="I18" i="55"/>
  <c r="I17" i="55"/>
  <c r="G17" i="55"/>
  <c r="I15" i="55"/>
  <c r="I14" i="55"/>
  <c r="I13" i="55"/>
  <c r="G13" i="55"/>
  <c r="K12" i="55"/>
  <c r="K11" i="55"/>
  <c r="K10" i="55"/>
  <c r="K9" i="55"/>
  <c r="I11" i="55"/>
  <c r="I10" i="55"/>
  <c r="I9" i="55"/>
  <c r="G9" i="55"/>
  <c r="K8" i="55"/>
  <c r="K7" i="55"/>
  <c r="K6" i="55"/>
  <c r="K5" i="55"/>
  <c r="K4" i="55"/>
  <c r="I7" i="55"/>
  <c r="I6" i="55"/>
  <c r="I5" i="55"/>
  <c r="I4" i="55"/>
  <c r="G4" i="55"/>
  <c r="I17" i="53"/>
  <c r="I16" i="53"/>
  <c r="H17" i="53"/>
  <c r="H16" i="53"/>
  <c r="I14" i="53"/>
  <c r="I13" i="53"/>
  <c r="I12" i="53"/>
  <c r="H15" i="53"/>
  <c r="H14" i="53"/>
  <c r="H13" i="53"/>
  <c r="H12" i="53"/>
  <c r="G12" i="53"/>
  <c r="I10" i="53"/>
  <c r="I9" i="53"/>
  <c r="I8" i="53"/>
  <c r="H11" i="53"/>
  <c r="H10" i="53"/>
  <c r="H9" i="53"/>
  <c r="H8" i="53"/>
  <c r="G8" i="53"/>
  <c r="I6" i="53"/>
  <c r="I5" i="53"/>
  <c r="I4" i="53"/>
  <c r="H7" i="53"/>
  <c r="H6" i="53"/>
  <c r="H5" i="53"/>
  <c r="H4" i="53"/>
  <c r="G4" i="53"/>
  <c r="AH236" i="1"/>
  <c r="AI236" i="1"/>
  <c r="AJ236" i="1"/>
  <c r="AL236" i="1"/>
  <c r="AH237" i="1"/>
  <c r="AI237" i="1"/>
  <c r="AJ237" i="1"/>
  <c r="AL237" i="1"/>
  <c r="AH238" i="1"/>
  <c r="AI238" i="1"/>
  <c r="AJ238" i="1"/>
  <c r="AL238" i="1"/>
  <c r="AH239" i="1"/>
  <c r="AI239" i="1"/>
  <c r="AJ239" i="1"/>
  <c r="AL239" i="1"/>
  <c r="AH240" i="1"/>
  <c r="AI240" i="1"/>
  <c r="AJ240" i="1"/>
  <c r="AL240" i="1"/>
  <c r="AH241" i="1"/>
  <c r="AI241" i="1"/>
  <c r="AJ241" i="1"/>
  <c r="AL241" i="1"/>
  <c r="AH242" i="1"/>
  <c r="AI242" i="1"/>
  <c r="AJ242" i="1"/>
  <c r="AL242" i="1"/>
  <c r="AH243" i="1"/>
  <c r="AI243" i="1"/>
  <c r="AJ243" i="1"/>
  <c r="AL243" i="1"/>
  <c r="AH244" i="1"/>
  <c r="AI244" i="1"/>
  <c r="AJ244" i="1"/>
  <c r="AL244" i="1"/>
  <c r="AH245" i="1"/>
  <c r="AI245" i="1"/>
  <c r="AJ245" i="1"/>
  <c r="AL245" i="1"/>
  <c r="AN245" i="1"/>
  <c r="AH246" i="1"/>
  <c r="AI246" i="1"/>
  <c r="AJ246" i="1"/>
  <c r="AL246" i="1"/>
  <c r="AM246" i="1"/>
  <c r="AN246" i="1"/>
  <c r="AH247" i="1"/>
  <c r="AI247" i="1"/>
  <c r="AJ247" i="1"/>
  <c r="AL247" i="1"/>
  <c r="AM247" i="1"/>
  <c r="AN247" i="1"/>
  <c r="AH248" i="1"/>
  <c r="AI248" i="1"/>
  <c r="AJ248" i="1"/>
  <c r="AL248" i="1"/>
  <c r="AM248" i="1"/>
  <c r="AN248" i="1"/>
  <c r="AH249" i="1"/>
  <c r="AI249" i="1"/>
  <c r="AJ249" i="1"/>
  <c r="AL249" i="1"/>
  <c r="AM249" i="1"/>
  <c r="AN249" i="1"/>
  <c r="AH250" i="1"/>
  <c r="AI250" i="1"/>
  <c r="AJ250" i="1"/>
  <c r="AL250" i="1"/>
  <c r="AM250" i="1"/>
  <c r="AN250" i="1"/>
  <c r="AH251" i="1"/>
  <c r="AI251" i="1"/>
  <c r="AJ251" i="1"/>
  <c r="AL251" i="1"/>
  <c r="AM251" i="1"/>
  <c r="AN251" i="1"/>
  <c r="AH252" i="1"/>
  <c r="AI252" i="1"/>
  <c r="AJ252" i="1"/>
  <c r="AL252" i="1"/>
  <c r="AM252" i="1"/>
  <c r="AN252" i="1"/>
  <c r="AH253" i="1"/>
  <c r="AI253" i="1"/>
  <c r="AJ253" i="1"/>
  <c r="AL253" i="1"/>
  <c r="AM253" i="1"/>
  <c r="AN253" i="1"/>
  <c r="AH254" i="1"/>
  <c r="AI254" i="1"/>
  <c r="AJ254" i="1"/>
  <c r="AL254" i="1"/>
  <c r="AM254" i="1"/>
  <c r="AN254" i="1"/>
  <c r="AH255" i="1"/>
  <c r="AI255" i="1"/>
  <c r="AJ255" i="1"/>
  <c r="AL255" i="1"/>
  <c r="AM255" i="1"/>
  <c r="AN255" i="1"/>
  <c r="AH256" i="1"/>
  <c r="AI256" i="1"/>
  <c r="AJ256" i="1"/>
  <c r="AL256" i="1"/>
  <c r="AM256" i="1"/>
  <c r="AN256" i="1"/>
  <c r="AH257" i="1"/>
  <c r="AI257" i="1"/>
  <c r="AJ257" i="1"/>
  <c r="AL257" i="1"/>
  <c r="AM257" i="1"/>
  <c r="AN257" i="1"/>
  <c r="AH258" i="1"/>
  <c r="AI258" i="1"/>
  <c r="AJ258" i="1"/>
  <c r="AL258" i="1"/>
  <c r="AM258" i="1"/>
  <c r="AN258" i="1"/>
  <c r="AH259" i="1"/>
  <c r="AI259" i="1"/>
  <c r="AJ259" i="1"/>
  <c r="AL259" i="1"/>
  <c r="AM259" i="1"/>
  <c r="AN259" i="1"/>
  <c r="AH260" i="1"/>
  <c r="AI260" i="1"/>
  <c r="AJ260" i="1"/>
  <c r="AL260" i="1"/>
  <c r="AM260" i="1"/>
  <c r="AN260" i="1"/>
  <c r="AH261" i="1"/>
  <c r="AI261" i="1"/>
  <c r="AJ261" i="1"/>
  <c r="AL261" i="1"/>
  <c r="AM261" i="1"/>
  <c r="AN261" i="1"/>
  <c r="AH262" i="1"/>
  <c r="AI262" i="1"/>
  <c r="AJ262" i="1"/>
  <c r="AL262" i="1"/>
  <c r="AM262" i="1"/>
  <c r="AN262" i="1"/>
  <c r="AH263" i="1"/>
  <c r="AI263" i="1"/>
  <c r="AJ263" i="1"/>
  <c r="AL263" i="1"/>
  <c r="AM263" i="1"/>
  <c r="AN263" i="1"/>
  <c r="AH264" i="1"/>
  <c r="AI264" i="1"/>
  <c r="AJ264" i="1"/>
  <c r="AL264" i="1"/>
  <c r="AM264" i="1"/>
  <c r="AN264" i="1"/>
  <c r="AH265" i="1"/>
  <c r="AI265" i="1"/>
  <c r="AJ265" i="1"/>
  <c r="AL265" i="1"/>
  <c r="AM265" i="1"/>
  <c r="AN265" i="1"/>
  <c r="AH266" i="1"/>
  <c r="AI266" i="1"/>
  <c r="AJ266" i="1"/>
  <c r="AL266" i="1"/>
  <c r="AM266" i="1"/>
  <c r="AN266" i="1"/>
  <c r="AH267" i="1"/>
  <c r="AI267" i="1"/>
  <c r="AJ267" i="1"/>
  <c r="AL267" i="1"/>
  <c r="AM267" i="1"/>
  <c r="AN267" i="1"/>
  <c r="AH268" i="1"/>
  <c r="AI268" i="1"/>
  <c r="AJ268" i="1"/>
  <c r="AL268" i="1"/>
  <c r="AM268" i="1"/>
  <c r="AN268" i="1"/>
  <c r="AH269" i="1"/>
  <c r="AI269" i="1"/>
  <c r="AJ269" i="1"/>
  <c r="AL269" i="1"/>
  <c r="AM269" i="1"/>
  <c r="AN269" i="1"/>
  <c r="AH270" i="1"/>
  <c r="AI270" i="1"/>
  <c r="AJ270" i="1"/>
  <c r="AL270" i="1"/>
  <c r="AM270" i="1"/>
  <c r="AN270" i="1"/>
  <c r="AH271" i="1"/>
  <c r="AI271" i="1"/>
  <c r="AJ271" i="1"/>
  <c r="AL271" i="1"/>
  <c r="AM271" i="1"/>
  <c r="AN271" i="1"/>
  <c r="AH272" i="1"/>
  <c r="AI272" i="1"/>
  <c r="AJ272" i="1"/>
  <c r="AL272" i="1"/>
  <c r="AM272" i="1"/>
  <c r="AN272" i="1"/>
  <c r="AH273" i="1"/>
  <c r="AI273" i="1"/>
  <c r="AJ273" i="1"/>
  <c r="AL273" i="1"/>
  <c r="AM273" i="1"/>
  <c r="AN273" i="1"/>
  <c r="AH274" i="1"/>
  <c r="AI274" i="1"/>
  <c r="AJ274" i="1"/>
  <c r="AL274" i="1"/>
  <c r="AM274" i="1"/>
  <c r="AN274" i="1"/>
  <c r="AH275" i="1"/>
  <c r="AI275" i="1"/>
  <c r="AJ275" i="1"/>
  <c r="AL275" i="1"/>
  <c r="AM275" i="1"/>
  <c r="AN275" i="1"/>
  <c r="AH276" i="1"/>
  <c r="AI276" i="1"/>
  <c r="AJ276" i="1"/>
  <c r="AL276" i="1"/>
  <c r="AM276" i="1"/>
  <c r="AN276" i="1"/>
  <c r="AH277" i="1"/>
  <c r="AI277" i="1"/>
  <c r="AJ277" i="1"/>
  <c r="AL277" i="1"/>
  <c r="AM277" i="1"/>
  <c r="AN277" i="1"/>
  <c r="AH278" i="1"/>
  <c r="AI278" i="1"/>
  <c r="AJ278" i="1"/>
  <c r="AL278" i="1"/>
  <c r="AM278" i="1"/>
  <c r="AN278" i="1"/>
  <c r="AH279" i="1"/>
  <c r="AI279" i="1"/>
  <c r="AJ279" i="1"/>
  <c r="AL279" i="1"/>
  <c r="AM279" i="1"/>
  <c r="AN279" i="1"/>
  <c r="AH280" i="1"/>
  <c r="AI280" i="1"/>
  <c r="AJ280" i="1"/>
  <c r="AL280" i="1"/>
  <c r="AM280" i="1"/>
  <c r="AN280" i="1"/>
  <c r="AH281" i="1"/>
  <c r="AI281" i="1"/>
  <c r="AJ281" i="1"/>
  <c r="AL281" i="1"/>
  <c r="AM281" i="1"/>
  <c r="AN281" i="1"/>
  <c r="AH282" i="1"/>
  <c r="AI282" i="1"/>
  <c r="AJ282" i="1"/>
  <c r="AL282" i="1"/>
  <c r="AM282" i="1"/>
  <c r="AN282" i="1"/>
  <c r="AH283" i="1"/>
  <c r="AI283" i="1"/>
  <c r="AJ283" i="1"/>
  <c r="AL283" i="1"/>
  <c r="AM283" i="1"/>
  <c r="AN283" i="1"/>
  <c r="AH284" i="1"/>
  <c r="AI284" i="1"/>
  <c r="AJ284" i="1"/>
  <c r="AL284" i="1"/>
  <c r="AM284" i="1"/>
  <c r="AN284" i="1"/>
  <c r="AH285" i="1"/>
  <c r="AI285" i="1"/>
  <c r="AJ285" i="1"/>
  <c r="AL285" i="1"/>
  <c r="AM285" i="1"/>
  <c r="AN285" i="1"/>
  <c r="H18" i="53"/>
  <c r="M172" i="56"/>
  <c r="I103" i="55"/>
  <c r="O13" i="57"/>
  <c r="O4" i="57"/>
  <c r="K16" i="55"/>
  <c r="K14" i="55"/>
  <c r="K15" i="55"/>
  <c r="K13" i="55"/>
  <c r="P137" i="56"/>
  <c r="U172" i="56"/>
  <c r="AD172" i="56"/>
  <c r="AC172" i="56"/>
  <c r="AB172" i="56"/>
  <c r="AA172" i="56"/>
  <c r="Z172" i="56"/>
  <c r="Y172" i="56"/>
  <c r="X172" i="56"/>
  <c r="W172" i="56"/>
  <c r="V172" i="56"/>
  <c r="T172" i="56"/>
  <c r="S172" i="56"/>
  <c r="R172" i="56"/>
  <c r="N172" i="56"/>
  <c r="O172" i="56"/>
  <c r="J61" i="53"/>
  <c r="J52" i="53"/>
  <c r="J55" i="53"/>
  <c r="AL36" i="1"/>
  <c r="AH191" i="1"/>
  <c r="AI191" i="1"/>
  <c r="AJ191" i="1"/>
  <c r="AL191" i="1"/>
  <c r="AM191" i="1"/>
  <c r="AN191" i="1"/>
  <c r="AH192" i="1"/>
  <c r="AI192" i="1"/>
  <c r="AJ192" i="1"/>
  <c r="AL192" i="1"/>
  <c r="AH193" i="1"/>
  <c r="AI193" i="1"/>
  <c r="AJ193" i="1"/>
  <c r="AL193" i="1"/>
  <c r="AH194" i="1"/>
  <c r="AI194" i="1"/>
  <c r="AJ194" i="1"/>
  <c r="AL194" i="1"/>
  <c r="AH195" i="1"/>
  <c r="AI195" i="1"/>
  <c r="AJ195" i="1"/>
  <c r="AL195" i="1"/>
  <c r="AH196" i="1"/>
  <c r="AI196" i="1"/>
  <c r="AJ196" i="1"/>
  <c r="AL196" i="1"/>
  <c r="AM196" i="1"/>
  <c r="AN196" i="1"/>
  <c r="AH197" i="1"/>
  <c r="AI197" i="1"/>
  <c r="AJ197" i="1"/>
  <c r="AL197" i="1"/>
  <c r="AM197" i="1"/>
  <c r="AN197" i="1"/>
  <c r="AH198" i="1"/>
  <c r="AI198" i="1"/>
  <c r="AJ198" i="1"/>
  <c r="AL198" i="1"/>
  <c r="AM198" i="1"/>
  <c r="AN198" i="1"/>
  <c r="AH199" i="1"/>
  <c r="AI199" i="1"/>
  <c r="AJ199" i="1"/>
  <c r="AL199" i="1"/>
  <c r="AM199" i="1"/>
  <c r="AN199" i="1"/>
  <c r="AH200" i="1"/>
  <c r="AI200" i="1"/>
  <c r="AJ200" i="1"/>
  <c r="AL200" i="1"/>
  <c r="AM200" i="1"/>
  <c r="AN200" i="1"/>
  <c r="AH201" i="1"/>
  <c r="AI201" i="1"/>
  <c r="AJ201" i="1"/>
  <c r="AL201" i="1"/>
  <c r="AM201" i="1"/>
  <c r="AN201" i="1"/>
  <c r="AH202" i="1"/>
  <c r="AI202" i="1"/>
  <c r="AJ202" i="1"/>
  <c r="AL202" i="1"/>
  <c r="AM202" i="1"/>
  <c r="AN202" i="1"/>
  <c r="AH203" i="1"/>
  <c r="AI203" i="1"/>
  <c r="AJ203" i="1"/>
  <c r="AL203" i="1"/>
  <c r="AM203" i="1"/>
  <c r="AN203" i="1"/>
  <c r="AH204" i="1"/>
  <c r="AI204" i="1"/>
  <c r="AJ204" i="1"/>
  <c r="AL204" i="1"/>
  <c r="AM204" i="1"/>
  <c r="AN204" i="1"/>
  <c r="AH205" i="1"/>
  <c r="AI205" i="1"/>
  <c r="AJ205" i="1"/>
  <c r="AL205" i="1"/>
  <c r="AM205" i="1"/>
  <c r="AN205" i="1"/>
  <c r="AH206" i="1"/>
  <c r="AI206" i="1"/>
  <c r="AJ206" i="1"/>
  <c r="AL206" i="1"/>
  <c r="AM206" i="1"/>
  <c r="AN206" i="1"/>
  <c r="AH207" i="1"/>
  <c r="AI207" i="1"/>
  <c r="AJ207" i="1"/>
  <c r="AL207" i="1"/>
  <c r="AM207" i="1"/>
  <c r="AN207" i="1"/>
  <c r="AH208" i="1"/>
  <c r="AI208" i="1"/>
  <c r="AJ208" i="1"/>
  <c r="AL208" i="1"/>
  <c r="AM208" i="1"/>
  <c r="AN208" i="1"/>
  <c r="AH209" i="1"/>
  <c r="AI209" i="1"/>
  <c r="AJ209" i="1"/>
  <c r="AL209" i="1"/>
  <c r="AM209" i="1"/>
  <c r="AN209" i="1"/>
  <c r="AH210" i="1"/>
  <c r="AI210" i="1"/>
  <c r="AJ210" i="1"/>
  <c r="AL210" i="1"/>
  <c r="AM210" i="1"/>
  <c r="AN210" i="1"/>
  <c r="AH211" i="1"/>
  <c r="AI211" i="1"/>
  <c r="AJ211" i="1"/>
  <c r="AL211" i="1"/>
  <c r="AM211" i="1"/>
  <c r="AN211" i="1"/>
  <c r="AH212" i="1"/>
  <c r="AI212" i="1"/>
  <c r="AJ212" i="1"/>
  <c r="AL212" i="1"/>
  <c r="AM212" i="1"/>
  <c r="AN212" i="1"/>
  <c r="AH213" i="1"/>
  <c r="AI213" i="1"/>
  <c r="AJ213" i="1"/>
  <c r="AL213" i="1"/>
  <c r="AM213" i="1"/>
  <c r="AN213" i="1"/>
  <c r="AH214" i="1"/>
  <c r="AI214" i="1"/>
  <c r="AJ214" i="1"/>
  <c r="AL214" i="1"/>
  <c r="AM214" i="1"/>
  <c r="AN214" i="1"/>
  <c r="AH215" i="1"/>
  <c r="AI215" i="1"/>
  <c r="AJ215" i="1"/>
  <c r="AL215" i="1"/>
  <c r="AM215" i="1"/>
  <c r="AN215" i="1"/>
  <c r="AH216" i="1"/>
  <c r="AI216" i="1"/>
  <c r="AJ216" i="1"/>
  <c r="AL216" i="1"/>
  <c r="AM216" i="1"/>
  <c r="AN216" i="1"/>
  <c r="AH217" i="1"/>
  <c r="AI217" i="1"/>
  <c r="AJ217" i="1"/>
  <c r="AL217" i="1"/>
  <c r="AM217" i="1"/>
  <c r="AN217" i="1"/>
  <c r="AH218" i="1"/>
  <c r="AI218" i="1"/>
  <c r="AJ218" i="1"/>
  <c r="AL218" i="1"/>
  <c r="AM218" i="1"/>
  <c r="AN218" i="1"/>
  <c r="AH219" i="1"/>
  <c r="AI219" i="1"/>
  <c r="AJ219" i="1"/>
  <c r="AL219" i="1"/>
  <c r="AM219" i="1"/>
  <c r="AN219" i="1"/>
  <c r="AH220" i="1"/>
  <c r="AI220" i="1"/>
  <c r="AJ220" i="1"/>
  <c r="AL220" i="1"/>
  <c r="AM220" i="1"/>
  <c r="AN220" i="1"/>
  <c r="AH221" i="1"/>
  <c r="AI221" i="1"/>
  <c r="AJ221" i="1"/>
  <c r="AL221" i="1"/>
  <c r="AM221" i="1"/>
  <c r="AN221" i="1"/>
  <c r="AH222" i="1"/>
  <c r="AI222" i="1"/>
  <c r="AJ222" i="1"/>
  <c r="AL222" i="1"/>
  <c r="AM222" i="1"/>
  <c r="AN222" i="1"/>
  <c r="AH223" i="1"/>
  <c r="AI223" i="1"/>
  <c r="AJ223" i="1"/>
  <c r="AL223" i="1"/>
  <c r="AM223" i="1"/>
  <c r="AN223" i="1"/>
  <c r="AH224" i="1"/>
  <c r="AI224" i="1"/>
  <c r="AJ224" i="1"/>
  <c r="AL224" i="1"/>
  <c r="AM224" i="1"/>
  <c r="AN224" i="1"/>
  <c r="AH225" i="1"/>
  <c r="AI225" i="1"/>
  <c r="AJ225" i="1"/>
  <c r="AL225" i="1"/>
  <c r="AM225" i="1"/>
  <c r="AN225" i="1"/>
  <c r="AH226" i="1"/>
  <c r="AI226" i="1"/>
  <c r="AJ226" i="1"/>
  <c r="AL226" i="1"/>
  <c r="AM226" i="1"/>
  <c r="AN226" i="1"/>
  <c r="AH227" i="1"/>
  <c r="AI227" i="1"/>
  <c r="AJ227" i="1"/>
  <c r="AL227" i="1"/>
  <c r="AM227" i="1"/>
  <c r="AN227" i="1"/>
  <c r="AH228" i="1"/>
  <c r="AI228" i="1"/>
  <c r="AJ228" i="1"/>
  <c r="AL228" i="1"/>
  <c r="AM228" i="1"/>
  <c r="AN228" i="1"/>
  <c r="AH229" i="1"/>
  <c r="AI229" i="1"/>
  <c r="AJ229" i="1"/>
  <c r="AL229" i="1"/>
  <c r="AM229" i="1"/>
  <c r="AN229" i="1"/>
  <c r="AH230" i="1"/>
  <c r="AI230" i="1"/>
  <c r="AJ230" i="1"/>
  <c r="AL230" i="1"/>
  <c r="AM230" i="1"/>
  <c r="AN230" i="1"/>
  <c r="AH231" i="1"/>
  <c r="AI231" i="1"/>
  <c r="AJ231" i="1"/>
  <c r="AL231" i="1"/>
  <c r="AM231" i="1"/>
  <c r="AN231" i="1"/>
  <c r="AH232" i="1"/>
  <c r="AI232" i="1"/>
  <c r="AJ232" i="1"/>
  <c r="AL232" i="1"/>
  <c r="AM232" i="1"/>
  <c r="AN232" i="1"/>
  <c r="AH233" i="1"/>
  <c r="AI233" i="1"/>
  <c r="AJ233" i="1"/>
  <c r="AL233" i="1"/>
  <c r="AM233" i="1"/>
  <c r="AN233" i="1"/>
  <c r="AH234" i="1"/>
  <c r="AI234" i="1"/>
  <c r="AJ234" i="1"/>
  <c r="AL234" i="1"/>
  <c r="AM234" i="1"/>
  <c r="AN234" i="1"/>
  <c r="AH235" i="1"/>
  <c r="AI235" i="1"/>
  <c r="AJ235" i="1"/>
  <c r="AL235" i="1"/>
  <c r="AM235" i="1"/>
  <c r="AN235" i="1"/>
  <c r="AH174" i="1"/>
  <c r="AI174" i="1"/>
  <c r="AJ174" i="1"/>
  <c r="AL174" i="1"/>
  <c r="AM174" i="1"/>
  <c r="AN174" i="1"/>
  <c r="AH175" i="1"/>
  <c r="AI175" i="1"/>
  <c r="AJ175" i="1"/>
  <c r="AL175" i="1"/>
  <c r="AM175" i="1"/>
  <c r="AN175" i="1"/>
  <c r="AH176" i="1"/>
  <c r="AI176" i="1"/>
  <c r="AJ176" i="1"/>
  <c r="AL176" i="1"/>
  <c r="AM176" i="1"/>
  <c r="AN176" i="1"/>
  <c r="AH177" i="1"/>
  <c r="AI177" i="1"/>
  <c r="AJ177" i="1"/>
  <c r="AL177" i="1"/>
  <c r="AM177" i="1"/>
  <c r="AN177" i="1"/>
  <c r="AH178" i="1"/>
  <c r="AI178" i="1"/>
  <c r="AJ178" i="1"/>
  <c r="AL178" i="1"/>
  <c r="AM178" i="1"/>
  <c r="AN178" i="1"/>
  <c r="AH179" i="1"/>
  <c r="AI179" i="1"/>
  <c r="AJ179" i="1"/>
  <c r="AL179" i="1"/>
  <c r="AM179" i="1"/>
  <c r="AN179" i="1"/>
  <c r="AH180" i="1"/>
  <c r="AI180" i="1"/>
  <c r="AJ180" i="1"/>
  <c r="AL180" i="1"/>
  <c r="AM180" i="1"/>
  <c r="AN180" i="1"/>
  <c r="AH181" i="1"/>
  <c r="AI181" i="1"/>
  <c r="AJ181" i="1"/>
  <c r="AL181" i="1"/>
  <c r="AM181" i="1"/>
  <c r="AN181" i="1"/>
  <c r="AH182" i="1"/>
  <c r="AI182" i="1"/>
  <c r="AJ182" i="1"/>
  <c r="AL182" i="1"/>
  <c r="AM182" i="1"/>
  <c r="AN182" i="1"/>
  <c r="AH183" i="1"/>
  <c r="AI183" i="1"/>
  <c r="AJ183" i="1"/>
  <c r="AL183" i="1"/>
  <c r="AM183" i="1"/>
  <c r="AN183" i="1"/>
  <c r="AH184" i="1"/>
  <c r="AI184" i="1"/>
  <c r="AJ184" i="1"/>
  <c r="AL184" i="1"/>
  <c r="AM184" i="1"/>
  <c r="AN184" i="1"/>
  <c r="AH185" i="1"/>
  <c r="AI185" i="1"/>
  <c r="AJ185" i="1"/>
  <c r="AL185" i="1"/>
  <c r="AM185" i="1"/>
  <c r="AN185" i="1"/>
  <c r="AH186" i="1"/>
  <c r="AI186" i="1"/>
  <c r="AJ186" i="1"/>
  <c r="AL186" i="1"/>
  <c r="AM186" i="1"/>
  <c r="AN186" i="1"/>
  <c r="AH187" i="1"/>
  <c r="AI187" i="1"/>
  <c r="AJ187" i="1"/>
  <c r="AL187" i="1"/>
  <c r="AM187" i="1"/>
  <c r="AN187" i="1"/>
  <c r="AH188" i="1"/>
  <c r="AI188" i="1"/>
  <c r="AJ188" i="1"/>
  <c r="AL188" i="1"/>
  <c r="AM188" i="1"/>
  <c r="AN188" i="1"/>
  <c r="AH189" i="1"/>
  <c r="AI189" i="1"/>
  <c r="AJ189" i="1"/>
  <c r="AL189" i="1"/>
  <c r="AM189" i="1"/>
  <c r="AN189" i="1"/>
  <c r="AH190" i="1"/>
  <c r="AI190" i="1"/>
  <c r="AJ190" i="1"/>
  <c r="AL190" i="1"/>
  <c r="AM190" i="1"/>
  <c r="AN190" i="1"/>
  <c r="E90" i="53"/>
  <c r="Z7" i="57"/>
  <c r="AA7" i="57" s="1"/>
  <c r="AE107" i="56"/>
  <c r="AL76" i="1"/>
  <c r="P53" i="56"/>
  <c r="AE65" i="56"/>
  <c r="AF65" i="56" s="1"/>
  <c r="P65" i="56"/>
  <c r="Z10" i="57"/>
  <c r="AA10" i="57" s="1"/>
  <c r="K6" i="53" l="1"/>
  <c r="K5" i="53"/>
  <c r="AM873" i="1"/>
  <c r="AN873" i="1"/>
  <c r="AM874" i="1"/>
  <c r="AN874" i="1"/>
  <c r="AM875" i="1"/>
  <c r="AN901" i="1"/>
  <c r="AM902" i="1"/>
  <c r="AN902" i="1"/>
  <c r="AM903" i="1"/>
  <c r="AN903" i="1"/>
  <c r="AM743" i="1"/>
  <c r="AN743" i="1"/>
  <c r="AM744" i="1"/>
  <c r="AN744" i="1"/>
  <c r="AM745" i="1"/>
  <c r="AN745" i="1"/>
  <c r="AM746" i="1"/>
  <c r="AN746" i="1"/>
  <c r="AM747" i="1"/>
  <c r="AN747" i="1"/>
  <c r="AM748" i="1"/>
  <c r="AN748" i="1"/>
  <c r="AM749" i="1"/>
  <c r="AN749" i="1"/>
  <c r="AM750" i="1"/>
  <c r="AN750" i="1"/>
  <c r="AM751" i="1"/>
  <c r="AN751" i="1"/>
  <c r="AM752" i="1"/>
  <c r="AN752" i="1"/>
  <c r="AM753" i="1"/>
  <c r="AN753" i="1"/>
  <c r="AM754" i="1"/>
  <c r="AN754" i="1"/>
  <c r="AM755" i="1"/>
  <c r="AN755" i="1"/>
  <c r="AM756" i="1"/>
  <c r="AN756" i="1"/>
  <c r="AM757" i="1"/>
  <c r="AN757" i="1"/>
  <c r="AM758" i="1"/>
  <c r="AN758" i="1"/>
  <c r="AM759" i="1"/>
  <c r="AN759" i="1"/>
  <c r="AM760" i="1"/>
  <c r="AN760" i="1"/>
  <c r="AM761" i="1"/>
  <c r="AN761" i="1"/>
  <c r="AM762" i="1"/>
  <c r="AN762" i="1"/>
  <c r="AM763" i="1"/>
  <c r="AN763" i="1"/>
  <c r="AM764" i="1"/>
  <c r="AN764" i="1"/>
  <c r="AM765" i="1"/>
  <c r="AN765" i="1"/>
  <c r="AM766" i="1"/>
  <c r="AN766" i="1"/>
  <c r="AM767" i="1"/>
  <c r="AN767" i="1"/>
  <c r="AM768" i="1"/>
  <c r="AN768" i="1"/>
  <c r="AM769" i="1"/>
  <c r="AN769" i="1"/>
  <c r="AM770" i="1"/>
  <c r="AN770" i="1"/>
  <c r="AM771" i="1"/>
  <c r="AN771" i="1"/>
  <c r="AM772" i="1"/>
  <c r="AN772" i="1"/>
  <c r="AM773" i="1"/>
  <c r="AN773" i="1"/>
  <c r="AM774" i="1"/>
  <c r="AN774" i="1"/>
  <c r="AM775" i="1"/>
  <c r="AN775" i="1"/>
  <c r="AM776" i="1"/>
  <c r="AN776" i="1"/>
  <c r="AM777" i="1"/>
  <c r="AN777" i="1"/>
  <c r="AM778" i="1"/>
  <c r="AN778" i="1"/>
  <c r="AM779" i="1"/>
  <c r="AN779" i="1"/>
  <c r="AM780" i="1"/>
  <c r="AN780" i="1"/>
  <c r="AM781" i="1"/>
  <c r="AN781" i="1"/>
  <c r="AM782" i="1"/>
  <c r="AN782" i="1"/>
  <c r="AM783" i="1"/>
  <c r="AN783" i="1"/>
  <c r="AM784" i="1"/>
  <c r="AN784" i="1"/>
  <c r="AN804" i="1"/>
  <c r="AM805" i="1"/>
  <c r="AN805" i="1"/>
  <c r="AM806" i="1"/>
  <c r="AN806" i="1"/>
  <c r="AM807" i="1"/>
  <c r="AN807" i="1"/>
  <c r="AM808" i="1"/>
  <c r="AN867" i="1"/>
  <c r="AM868" i="1"/>
  <c r="AN868" i="1"/>
  <c r="AM869" i="1"/>
  <c r="AN869" i="1"/>
  <c r="AM870" i="1"/>
  <c r="AN870" i="1"/>
  <c r="AM694" i="1"/>
  <c r="AN694" i="1"/>
  <c r="AM695" i="1"/>
  <c r="AN695" i="1"/>
  <c r="AM696" i="1"/>
  <c r="AN696" i="1"/>
  <c r="AM697" i="1"/>
  <c r="AN697" i="1"/>
  <c r="AM698" i="1"/>
  <c r="AN698" i="1"/>
  <c r="AM699" i="1"/>
  <c r="AN699" i="1"/>
  <c r="AM700" i="1"/>
  <c r="AN700" i="1"/>
  <c r="AM701" i="1"/>
  <c r="AN701" i="1"/>
  <c r="AM702" i="1"/>
  <c r="AN702" i="1"/>
  <c r="AM625" i="1"/>
  <c r="AN625" i="1"/>
  <c r="AM626" i="1"/>
  <c r="AN626" i="1"/>
  <c r="AM627" i="1"/>
  <c r="AN627" i="1"/>
  <c r="AM628" i="1"/>
  <c r="AN628" i="1"/>
  <c r="AM629" i="1"/>
  <c r="AN629" i="1"/>
  <c r="AM630" i="1"/>
  <c r="AN630" i="1"/>
  <c r="AM631" i="1"/>
  <c r="AN631" i="1"/>
  <c r="AM632" i="1"/>
  <c r="AN632" i="1"/>
  <c r="AM633" i="1"/>
  <c r="AN633" i="1"/>
  <c r="AM634" i="1"/>
  <c r="AN634" i="1"/>
  <c r="AM635" i="1"/>
  <c r="AN635" i="1"/>
  <c r="AM636" i="1"/>
  <c r="AN636" i="1"/>
  <c r="AM637" i="1"/>
  <c r="AN637" i="1"/>
  <c r="AM638" i="1"/>
  <c r="AN638" i="1"/>
  <c r="AM639" i="1"/>
  <c r="AN639" i="1"/>
  <c r="AM640" i="1"/>
  <c r="AN640" i="1"/>
  <c r="AM641" i="1"/>
  <c r="AN641" i="1"/>
  <c r="AM642" i="1"/>
  <c r="AN642" i="1"/>
  <c r="AM643" i="1"/>
  <c r="AN643" i="1"/>
  <c r="AM644" i="1"/>
  <c r="AN644" i="1"/>
  <c r="AM645" i="1"/>
  <c r="AN645" i="1"/>
  <c r="AM646" i="1"/>
  <c r="AN646" i="1"/>
  <c r="AM647" i="1"/>
  <c r="AN647" i="1"/>
  <c r="AM648" i="1"/>
  <c r="AN648" i="1"/>
  <c r="AM649" i="1"/>
  <c r="AN649" i="1"/>
  <c r="AM650" i="1"/>
  <c r="AN650" i="1"/>
  <c r="AM651" i="1"/>
  <c r="AN651" i="1"/>
  <c r="AM652" i="1"/>
  <c r="AN652" i="1"/>
  <c r="AM653" i="1"/>
  <c r="AN653" i="1"/>
  <c r="AM654" i="1"/>
  <c r="AN654" i="1"/>
  <c r="AM655" i="1"/>
  <c r="AN655" i="1"/>
  <c r="AM656" i="1"/>
  <c r="AN656" i="1"/>
  <c r="AM657" i="1"/>
  <c r="AN657" i="1"/>
  <c r="AM658" i="1"/>
  <c r="AN658" i="1"/>
  <c r="AM659" i="1"/>
  <c r="AN659" i="1"/>
  <c r="AM660" i="1"/>
  <c r="AN660" i="1"/>
  <c r="AM661" i="1"/>
  <c r="AN661" i="1"/>
  <c r="AM623" i="1"/>
  <c r="AN623" i="1"/>
  <c r="AM624" i="1"/>
  <c r="AN624" i="1"/>
  <c r="AM573" i="1"/>
  <c r="AN573" i="1"/>
  <c r="AM574" i="1"/>
  <c r="AN574" i="1"/>
  <c r="AM575" i="1"/>
  <c r="AN575" i="1"/>
  <c r="AM576" i="1"/>
  <c r="AN576" i="1"/>
  <c r="AM577" i="1"/>
  <c r="AN577" i="1"/>
  <c r="AM578" i="1"/>
  <c r="AN578" i="1"/>
  <c r="AM579" i="1"/>
  <c r="AN579" i="1"/>
  <c r="AM580" i="1"/>
  <c r="AN580" i="1"/>
  <c r="AM581" i="1"/>
  <c r="AN581" i="1"/>
  <c r="AM582" i="1"/>
  <c r="AN582" i="1"/>
  <c r="AM583" i="1"/>
  <c r="AN583" i="1"/>
  <c r="AM584" i="1"/>
  <c r="AN584" i="1"/>
  <c r="AM585" i="1"/>
  <c r="AN585" i="1"/>
  <c r="AM586" i="1"/>
  <c r="AN586" i="1"/>
  <c r="AM587" i="1"/>
  <c r="AN587" i="1"/>
  <c r="AM588" i="1"/>
  <c r="AN588" i="1"/>
  <c r="AM589" i="1"/>
  <c r="AN589" i="1"/>
  <c r="AM590" i="1"/>
  <c r="AN590" i="1"/>
  <c r="AM591" i="1"/>
  <c r="AN591" i="1"/>
  <c r="AM592" i="1"/>
  <c r="AN592" i="1"/>
  <c r="AM593" i="1"/>
  <c r="AN593" i="1"/>
  <c r="AM594" i="1"/>
  <c r="AN594" i="1"/>
  <c r="AM595" i="1"/>
  <c r="AN595" i="1"/>
  <c r="AM596" i="1"/>
  <c r="AN596" i="1"/>
  <c r="AM597" i="1"/>
  <c r="AN597" i="1"/>
  <c r="AM598" i="1"/>
  <c r="AN598" i="1"/>
  <c r="AM599" i="1"/>
  <c r="AN599" i="1"/>
  <c r="AM600" i="1"/>
  <c r="AN600" i="1"/>
  <c r="AM601" i="1"/>
  <c r="AN601" i="1"/>
  <c r="AM602" i="1"/>
  <c r="AN602" i="1"/>
  <c r="AM603" i="1"/>
  <c r="AN603" i="1"/>
  <c r="AM604" i="1"/>
  <c r="AN604" i="1"/>
  <c r="AM605" i="1"/>
  <c r="AN605" i="1"/>
  <c r="AM606" i="1"/>
  <c r="AN606" i="1"/>
  <c r="AM607" i="1"/>
  <c r="AN607" i="1"/>
  <c r="AM608" i="1"/>
  <c r="AN608" i="1"/>
  <c r="AM609" i="1"/>
  <c r="AN609" i="1"/>
  <c r="AM610" i="1"/>
  <c r="AN610" i="1"/>
  <c r="AM611" i="1"/>
  <c r="AN611" i="1"/>
  <c r="AM612" i="1"/>
  <c r="AN612" i="1"/>
  <c r="AM613" i="1"/>
  <c r="AM236" i="1"/>
  <c r="AN236" i="1"/>
  <c r="AM237" i="1"/>
  <c r="AN237" i="1"/>
  <c r="AM238" i="1"/>
  <c r="AN238" i="1"/>
  <c r="AM239" i="1"/>
  <c r="AN239" i="1"/>
  <c r="AM240" i="1"/>
  <c r="AN240" i="1"/>
  <c r="AM241" i="1"/>
  <c r="AN241" i="1"/>
  <c r="AM242" i="1"/>
  <c r="AN242" i="1"/>
  <c r="AM243" i="1"/>
  <c r="AN243" i="1"/>
  <c r="AM244" i="1"/>
  <c r="AN244" i="1"/>
  <c r="AM245" i="1"/>
  <c r="AM192" i="1"/>
  <c r="AN192" i="1"/>
  <c r="AM193" i="1"/>
  <c r="AN193" i="1"/>
  <c r="AM194" i="1"/>
  <c r="AN194" i="1"/>
  <c r="AM195" i="1"/>
  <c r="AN195" i="1"/>
  <c r="AM901" i="1"/>
  <c r="AM742" i="1"/>
  <c r="AN742" i="1"/>
  <c r="AM871" i="1"/>
  <c r="AN871" i="1"/>
  <c r="AM872" i="1"/>
  <c r="AN872" i="1"/>
  <c r="AM899" i="1"/>
  <c r="AN899" i="1"/>
  <c r="AM900" i="1"/>
  <c r="AN900" i="1"/>
  <c r="AM740" i="1"/>
  <c r="AN740" i="1"/>
  <c r="AM741" i="1"/>
  <c r="AN741" i="1"/>
  <c r="AM803" i="1"/>
  <c r="AN803" i="1"/>
  <c r="AN865" i="1"/>
  <c r="AM866" i="1"/>
  <c r="AN866" i="1"/>
  <c r="AM671" i="1"/>
  <c r="AM620" i="1"/>
  <c r="AN620" i="1"/>
  <c r="AM621" i="1"/>
  <c r="AN621" i="1"/>
  <c r="AM622" i="1"/>
  <c r="AN622" i="1"/>
  <c r="M80" i="53"/>
  <c r="Q155" i="56"/>
  <c r="N81" i="53"/>
  <c r="O81" i="53" s="1"/>
  <c r="G180" i="56"/>
  <c r="N123" i="55"/>
  <c r="N119" i="55"/>
  <c r="J158" i="56"/>
  <c r="H122" i="55"/>
  <c r="H121" i="55"/>
  <c r="H120" i="55"/>
  <c r="Q161" i="56"/>
  <c r="L123" i="55"/>
  <c r="M123" i="55" s="1"/>
  <c r="AL165" i="56"/>
  <c r="AH165" i="56"/>
  <c r="AO164" i="56"/>
  <c r="AH164" i="56"/>
  <c r="J164" i="56"/>
  <c r="AH163" i="56"/>
  <c r="AH162" i="56"/>
  <c r="AH161" i="56"/>
  <c r="AF161" i="56"/>
  <c r="H161" i="56"/>
  <c r="G208" i="56"/>
  <c r="K40" i="53"/>
  <c r="K39" i="53"/>
  <c r="K60" i="53"/>
  <c r="K57" i="53"/>
  <c r="K54" i="53"/>
  <c r="K51" i="53"/>
  <c r="K43" i="53"/>
  <c r="K35" i="53"/>
  <c r="K70" i="53"/>
  <c r="K69" i="53"/>
  <c r="K66" i="53"/>
  <c r="K63" i="53"/>
  <c r="K44" i="53"/>
  <c r="K36" i="53"/>
  <c r="K14" i="53"/>
  <c r="K13" i="53"/>
  <c r="H155" i="56"/>
  <c r="AL159" i="56"/>
  <c r="AH159" i="56"/>
  <c r="AO158" i="56"/>
  <c r="AH158" i="56"/>
  <c r="AH157" i="56"/>
  <c r="AH156" i="56"/>
  <c r="AH155" i="56"/>
  <c r="AF155" i="56"/>
  <c r="H118" i="55"/>
  <c r="H117" i="55"/>
  <c r="H116" i="55"/>
  <c r="L119" i="55"/>
  <c r="M119" i="55" s="1"/>
  <c r="M78" i="53"/>
  <c r="Q143" i="56"/>
  <c r="N78" i="53"/>
  <c r="O78" i="53" s="1"/>
  <c r="N74" i="53"/>
  <c r="O74" i="53" s="1"/>
  <c r="M73" i="53"/>
  <c r="M74" i="53" s="1"/>
  <c r="AK207" i="56"/>
  <c r="AH123" i="56"/>
  <c r="AJ143" i="56"/>
  <c r="Q149" i="56"/>
  <c r="Q137" i="56"/>
  <c r="F181" i="56"/>
  <c r="J134" i="56"/>
  <c r="J122" i="56"/>
  <c r="H119" i="56"/>
  <c r="AH129" i="56"/>
  <c r="H94" i="55"/>
  <c r="H93" i="55"/>
  <c r="H92" i="55"/>
  <c r="E24" i="33"/>
  <c r="F24" i="33"/>
  <c r="E25" i="33"/>
  <c r="F25" i="33"/>
  <c r="E26" i="33"/>
  <c r="F26" i="33"/>
  <c r="J146" i="56"/>
  <c r="N115" i="55"/>
  <c r="N111" i="55"/>
  <c r="N107" i="55"/>
  <c r="N103" i="55"/>
  <c r="N99" i="55"/>
  <c r="N95" i="55"/>
  <c r="AO146" i="56"/>
  <c r="AL153" i="56"/>
  <c r="AH153" i="56"/>
  <c r="AH152" i="56"/>
  <c r="AH151" i="56"/>
  <c r="AH150" i="56"/>
  <c r="AH149" i="56"/>
  <c r="AL141" i="56"/>
  <c r="AH141" i="56"/>
  <c r="AH140" i="56"/>
  <c r="AH139" i="56"/>
  <c r="AH138" i="56"/>
  <c r="AH137" i="56"/>
  <c r="J140" i="56"/>
  <c r="H137" i="56"/>
  <c r="AO152" i="56"/>
  <c r="J152" i="56"/>
  <c r="AF149" i="56"/>
  <c r="H149" i="56"/>
  <c r="AL147" i="56"/>
  <c r="AH146" i="56"/>
  <c r="AH145" i="56"/>
  <c r="AH144" i="56"/>
  <c r="AF143" i="56"/>
  <c r="AH143" i="56"/>
  <c r="AH147" i="56"/>
  <c r="H143" i="56"/>
  <c r="L91" i="55"/>
  <c r="L99" i="55"/>
  <c r="L115" i="55"/>
  <c r="H113" i="55"/>
  <c r="H114" i="55"/>
  <c r="H112" i="55"/>
  <c r="L111" i="55"/>
  <c r="M111" i="55" s="1"/>
  <c r="H110" i="55"/>
  <c r="H109" i="55"/>
  <c r="H108" i="55"/>
  <c r="L107" i="55"/>
  <c r="H102" i="55"/>
  <c r="H101" i="55"/>
  <c r="H100" i="55"/>
  <c r="H105" i="55"/>
  <c r="H106" i="55"/>
  <c r="H104" i="55"/>
  <c r="L103" i="55"/>
  <c r="I99" i="55"/>
  <c r="H98" i="55"/>
  <c r="H97" i="55"/>
  <c r="H96" i="55"/>
  <c r="L95" i="55"/>
  <c r="M95" i="55" s="1"/>
  <c r="AI208" i="56"/>
  <c r="AI209" i="56"/>
  <c r="AE20" i="57"/>
  <c r="AH17" i="57"/>
  <c r="AH20" i="57"/>
  <c r="J110" i="56"/>
  <c r="AI210" i="56"/>
  <c r="M63" i="53"/>
  <c r="AI211" i="56"/>
  <c r="M70" i="53"/>
  <c r="M69" i="53"/>
  <c r="H70" i="55"/>
  <c r="AH114" i="56"/>
  <c r="AH113" i="56"/>
  <c r="G153" i="55"/>
  <c r="G146" i="55"/>
  <c r="K149" i="55"/>
  <c r="I149" i="55"/>
  <c r="K155" i="55"/>
  <c r="K154" i="55"/>
  <c r="K153" i="55"/>
  <c r="I155" i="55"/>
  <c r="I154" i="55"/>
  <c r="I153" i="55"/>
  <c r="H155" i="55"/>
  <c r="H154" i="55"/>
  <c r="H153" i="55"/>
  <c r="L162" i="55"/>
  <c r="K161" i="55"/>
  <c r="K160" i="55"/>
  <c r="K159" i="55"/>
  <c r="I161" i="55"/>
  <c r="I160" i="55"/>
  <c r="I159" i="55"/>
  <c r="H161" i="55"/>
  <c r="H160" i="55"/>
  <c r="H159" i="55"/>
  <c r="F162" i="55"/>
  <c r="E162" i="55"/>
  <c r="AH207" i="56"/>
  <c r="F212" i="56"/>
  <c r="E212" i="56"/>
  <c r="AH210" i="56"/>
  <c r="AH209" i="56"/>
  <c r="AH211" i="56"/>
  <c r="AI207" i="56"/>
  <c r="AJ137" i="56"/>
  <c r="AJ125" i="56"/>
  <c r="N91" i="55"/>
  <c r="N87" i="55"/>
  <c r="N83" i="55"/>
  <c r="N78" i="55"/>
  <c r="AJ107" i="56"/>
  <c r="AJ65" i="56"/>
  <c r="AJ119" i="56"/>
  <c r="AH5" i="57"/>
  <c r="AH105" i="56"/>
  <c r="AH99" i="56"/>
  <c r="AE17" i="57"/>
  <c r="AH14" i="57"/>
  <c r="AE14" i="57"/>
  <c r="J116" i="56"/>
  <c r="AJ53" i="56"/>
  <c r="AH117" i="56"/>
  <c r="AH111" i="56"/>
  <c r="J104" i="56"/>
  <c r="J98" i="56"/>
  <c r="I91" i="55"/>
  <c r="H90" i="55"/>
  <c r="H89" i="55"/>
  <c r="H88" i="55"/>
  <c r="L87" i="55"/>
  <c r="I87" i="55"/>
  <c r="H86" i="55"/>
  <c r="H85" i="55"/>
  <c r="H84" i="55"/>
  <c r="L83" i="55"/>
  <c r="I83" i="55"/>
  <c r="H82" i="55"/>
  <c r="H81" i="55"/>
  <c r="H80" i="55"/>
  <c r="H79" i="55"/>
  <c r="AE8" i="57"/>
  <c r="AE5" i="57"/>
  <c r="H71" i="55"/>
  <c r="H72" i="55"/>
  <c r="AH11" i="57"/>
  <c r="AE11" i="57"/>
  <c r="M66" i="53"/>
  <c r="L78" i="55"/>
  <c r="I78" i="55"/>
  <c r="H77" i="55"/>
  <c r="H76" i="55"/>
  <c r="H75" i="55"/>
  <c r="H74" i="55"/>
  <c r="N73" i="55"/>
  <c r="N69" i="55"/>
  <c r="AL93" i="56"/>
  <c r="AH93" i="56"/>
  <c r="AH92" i="56"/>
  <c r="AH91" i="56"/>
  <c r="AH90" i="56"/>
  <c r="AH89" i="56"/>
  <c r="AH87" i="56"/>
  <c r="AH86" i="56"/>
  <c r="AH85" i="56"/>
  <c r="AH84" i="56"/>
  <c r="AH83" i="56"/>
  <c r="L73" i="55"/>
  <c r="I73" i="55"/>
  <c r="L69" i="55"/>
  <c r="M69" i="55" s="1"/>
  <c r="I69" i="55"/>
  <c r="H66" i="55"/>
  <c r="H67" i="55"/>
  <c r="H68" i="55"/>
  <c r="H65" i="55"/>
  <c r="J92" i="56"/>
  <c r="J86" i="56"/>
  <c r="AJ113" i="56"/>
  <c r="M57" i="53"/>
  <c r="AI196" i="56"/>
  <c r="AI195" i="56"/>
  <c r="AK192" i="56"/>
  <c r="I137" i="55"/>
  <c r="G187" i="56"/>
  <c r="AH187" i="56" s="1"/>
  <c r="G185" i="56"/>
  <c r="AH185" i="56" s="1"/>
  <c r="AI185" i="56"/>
  <c r="E189" i="56"/>
  <c r="G188" i="56"/>
  <c r="AH188" i="56" s="1"/>
  <c r="AK184" i="56"/>
  <c r="AI188" i="56"/>
  <c r="AI187" i="56"/>
  <c r="AI186" i="56"/>
  <c r="AI184" i="56"/>
  <c r="G137" i="55"/>
  <c r="F205" i="56"/>
  <c r="AJ101" i="56"/>
  <c r="J13" i="56"/>
  <c r="AJ131" i="56"/>
  <c r="AJ89" i="56"/>
  <c r="N48" i="55"/>
  <c r="N34" i="55"/>
  <c r="N20" i="55"/>
  <c r="N12" i="55"/>
  <c r="N64" i="55"/>
  <c r="AJ77" i="56"/>
  <c r="AJ47" i="56"/>
  <c r="N39" i="55"/>
  <c r="N29" i="55"/>
  <c r="N16" i="55"/>
  <c r="N59" i="55"/>
  <c r="AL81" i="56"/>
  <c r="N44" i="55"/>
  <c r="N25" i="55"/>
  <c r="N8" i="55"/>
  <c r="N54" i="55"/>
  <c r="AJ71" i="56"/>
  <c r="AJ35" i="56"/>
  <c r="J25" i="56"/>
  <c r="AJ83" i="56"/>
  <c r="AH134" i="56"/>
  <c r="AH133" i="56"/>
  <c r="AH132" i="56"/>
  <c r="AH131" i="56"/>
  <c r="AH128" i="56"/>
  <c r="AH127" i="56"/>
  <c r="AH126" i="56"/>
  <c r="AH125" i="56"/>
  <c r="AH122" i="56"/>
  <c r="AH121" i="56"/>
  <c r="AH120" i="56"/>
  <c r="AH119" i="56"/>
  <c r="AH116" i="56"/>
  <c r="AH115" i="56"/>
  <c r="AH110" i="56"/>
  <c r="AH109" i="56"/>
  <c r="AH108" i="56"/>
  <c r="AH107" i="56"/>
  <c r="AH104" i="56"/>
  <c r="AH103" i="56"/>
  <c r="AH102" i="56"/>
  <c r="AH101" i="56"/>
  <c r="AH98" i="56"/>
  <c r="AH97" i="56"/>
  <c r="AH96" i="56"/>
  <c r="AH95" i="56"/>
  <c r="AH81" i="56"/>
  <c r="AH80" i="56"/>
  <c r="AH79" i="56"/>
  <c r="AH78" i="56"/>
  <c r="AH77" i="56"/>
  <c r="AL75" i="56"/>
  <c r="AH75" i="56"/>
  <c r="AH74" i="56"/>
  <c r="AH73" i="56"/>
  <c r="AH72" i="56"/>
  <c r="AH71" i="56"/>
  <c r="AH69" i="56"/>
  <c r="AH68" i="56"/>
  <c r="AH67" i="56"/>
  <c r="AH66" i="56"/>
  <c r="AH65" i="56"/>
  <c r="AH63" i="56"/>
  <c r="AH62" i="56"/>
  <c r="AH61" i="56"/>
  <c r="AH60" i="56"/>
  <c r="AH59" i="56"/>
  <c r="AH57" i="56"/>
  <c r="AH56" i="56"/>
  <c r="AH55" i="56"/>
  <c r="AH54" i="56"/>
  <c r="AH53" i="56"/>
  <c r="AL51" i="56"/>
  <c r="AH51" i="56"/>
  <c r="AH50" i="56"/>
  <c r="AH49" i="56"/>
  <c r="AH48" i="56"/>
  <c r="AH47" i="56"/>
  <c r="AL45" i="56"/>
  <c r="AH45" i="56"/>
  <c r="AH44" i="56"/>
  <c r="AH43" i="56"/>
  <c r="AH42" i="56"/>
  <c r="AH41" i="56"/>
  <c r="AH39" i="56"/>
  <c r="AH38" i="56"/>
  <c r="AH37" i="56"/>
  <c r="AH36" i="56"/>
  <c r="AH35" i="56"/>
  <c r="AL33" i="56"/>
  <c r="AH33" i="56"/>
  <c r="AH32" i="56"/>
  <c r="AH31" i="56"/>
  <c r="AH30" i="56"/>
  <c r="AH29" i="56"/>
  <c r="AL26" i="56"/>
  <c r="AH27" i="56"/>
  <c r="AH26" i="56"/>
  <c r="AH25" i="56"/>
  <c r="AH24" i="56"/>
  <c r="AH23" i="56"/>
  <c r="AH22" i="56"/>
  <c r="AH20" i="56"/>
  <c r="AH19" i="56"/>
  <c r="AH18" i="56"/>
  <c r="AH17" i="56"/>
  <c r="AH16" i="56"/>
  <c r="AL7" i="56"/>
  <c r="AH8" i="56"/>
  <c r="AH7" i="56"/>
  <c r="AH6" i="56"/>
  <c r="AH5" i="56"/>
  <c r="AH4" i="56"/>
  <c r="AH14" i="56"/>
  <c r="AH13" i="56"/>
  <c r="AH12" i="56"/>
  <c r="AH11" i="56"/>
  <c r="AH10" i="56"/>
  <c r="Q4" i="56"/>
  <c r="AL135" i="56"/>
  <c r="AL129" i="56"/>
  <c r="AL123" i="56"/>
  <c r="AL117" i="56"/>
  <c r="AL111" i="56"/>
  <c r="AL105" i="56"/>
  <c r="AJ95" i="56"/>
  <c r="AL99" i="56"/>
  <c r="AL87" i="56"/>
  <c r="AJ59" i="56"/>
  <c r="AJ41" i="56"/>
  <c r="AJ22" i="56"/>
  <c r="AJ16" i="56"/>
  <c r="H50" i="55"/>
  <c r="H49" i="55"/>
  <c r="H51" i="55"/>
  <c r="J80" i="56"/>
  <c r="J74" i="56"/>
  <c r="J7" i="56"/>
  <c r="AI192" i="56"/>
  <c r="G196" i="56"/>
  <c r="G195" i="56"/>
  <c r="G192" i="56"/>
  <c r="H60" i="55"/>
  <c r="H55" i="55"/>
  <c r="I59" i="55"/>
  <c r="H58" i="55"/>
  <c r="H56" i="55"/>
  <c r="L64" i="55"/>
  <c r="I64" i="55"/>
  <c r="H63" i="55"/>
  <c r="H62" i="55"/>
  <c r="H61" i="55"/>
  <c r="L59" i="55"/>
  <c r="H57" i="55"/>
  <c r="AI193" i="56"/>
  <c r="G194" i="56"/>
  <c r="G193" i="56"/>
  <c r="AK199" i="56"/>
  <c r="AI204" i="56"/>
  <c r="AI203" i="56"/>
  <c r="AI202" i="56"/>
  <c r="AI201" i="56"/>
  <c r="AI200" i="56"/>
  <c r="AI199" i="56"/>
  <c r="G204" i="56"/>
  <c r="G203" i="56"/>
  <c r="G202" i="56"/>
  <c r="G201" i="56"/>
  <c r="G200" i="56"/>
  <c r="G199" i="56"/>
  <c r="J68" i="56"/>
  <c r="H65" i="56"/>
  <c r="J62" i="56"/>
  <c r="J56" i="56"/>
  <c r="H53" i="56"/>
  <c r="J50" i="56"/>
  <c r="J44" i="56"/>
  <c r="J38" i="56"/>
  <c r="J32" i="56"/>
  <c r="J19" i="56"/>
  <c r="AO7" i="56"/>
  <c r="AF4" i="56"/>
  <c r="H4" i="56"/>
  <c r="AI194" i="56"/>
  <c r="H52" i="55"/>
  <c r="H53" i="55"/>
  <c r="I54" i="55"/>
  <c r="L54" i="55"/>
  <c r="M54" i="55" s="1"/>
  <c r="M48" i="53"/>
  <c r="M47" i="53"/>
  <c r="K148" i="55"/>
  <c r="I148" i="55"/>
  <c r="K147" i="55"/>
  <c r="K146" i="55"/>
  <c r="I146" i="55"/>
  <c r="M54" i="53"/>
  <c r="M51" i="53"/>
  <c r="M60" i="53"/>
  <c r="F156" i="55"/>
  <c r="E156" i="55"/>
  <c r="F150" i="55"/>
  <c r="E150" i="55"/>
  <c r="F197" i="56"/>
  <c r="E197" i="56"/>
  <c r="E205" i="56"/>
  <c r="E134" i="55"/>
  <c r="L29" i="53"/>
  <c r="AJ10" i="56"/>
  <c r="L28" i="53"/>
  <c r="M44" i="53"/>
  <c r="M43" i="53"/>
  <c r="N45" i="53"/>
  <c r="N41" i="53"/>
  <c r="N37" i="53"/>
  <c r="N33" i="53"/>
  <c r="N30" i="53"/>
  <c r="N26" i="53"/>
  <c r="N22" i="53"/>
  <c r="N18" i="53"/>
  <c r="N15" i="53"/>
  <c r="N11" i="53"/>
  <c r="N7" i="53"/>
  <c r="O7" i="53" s="1"/>
  <c r="AL69" i="56"/>
  <c r="AL63" i="56"/>
  <c r="AL57" i="56"/>
  <c r="I48" i="55"/>
  <c r="H46" i="55"/>
  <c r="H42" i="55"/>
  <c r="H40" i="55"/>
  <c r="H38" i="55"/>
  <c r="H35" i="55"/>
  <c r="L34" i="55"/>
  <c r="I34" i="55"/>
  <c r="H33" i="55"/>
  <c r="H32" i="55"/>
  <c r="H30" i="55"/>
  <c r="H26" i="55"/>
  <c r="M36" i="53"/>
  <c r="M20" i="53"/>
  <c r="AL39" i="56"/>
  <c r="L48" i="55"/>
  <c r="H47" i="55"/>
  <c r="H45" i="55"/>
  <c r="L44" i="55"/>
  <c r="I44" i="55"/>
  <c r="H43" i="55"/>
  <c r="H41" i="55"/>
  <c r="L39" i="55"/>
  <c r="I39" i="55"/>
  <c r="H37" i="55"/>
  <c r="H36" i="55"/>
  <c r="H31" i="55"/>
  <c r="I29" i="55"/>
  <c r="H28" i="55"/>
  <c r="H27" i="55"/>
  <c r="M21" i="53"/>
  <c r="K32" i="53"/>
  <c r="L32" i="53" s="1"/>
  <c r="AL20" i="56"/>
  <c r="AL13" i="56"/>
  <c r="Q53" i="56"/>
  <c r="Q65" i="56"/>
  <c r="K17" i="53"/>
  <c r="L20" i="53"/>
  <c r="L21" i="53"/>
  <c r="L24" i="53"/>
  <c r="K26" i="53"/>
  <c r="L25" i="53"/>
  <c r="K30" i="53"/>
  <c r="K10" i="53"/>
  <c r="K9" i="53"/>
  <c r="K22" i="53"/>
  <c r="M6" i="53"/>
  <c r="M5" i="53"/>
  <c r="G186" i="56"/>
  <c r="AH186" i="56" s="1"/>
  <c r="L29" i="55"/>
  <c r="L25" i="55"/>
  <c r="I25" i="55"/>
  <c r="H24" i="55"/>
  <c r="H23" i="55"/>
  <c r="H22" i="55"/>
  <c r="H21" i="55"/>
  <c r="L20" i="55"/>
  <c r="I20" i="55"/>
  <c r="H19" i="55"/>
  <c r="H18" i="55"/>
  <c r="H17" i="55"/>
  <c r="L16" i="55"/>
  <c r="L12" i="55"/>
  <c r="I12" i="55"/>
  <c r="I16" i="55"/>
  <c r="H15" i="55"/>
  <c r="H14" i="55"/>
  <c r="H13" i="55"/>
  <c r="H11" i="55"/>
  <c r="H10" i="55"/>
  <c r="H9" i="55"/>
  <c r="L8" i="55"/>
  <c r="I8" i="55"/>
  <c r="H7" i="55"/>
  <c r="H6" i="55"/>
  <c r="H5" i="55"/>
  <c r="H4" i="55"/>
  <c r="M25" i="53"/>
  <c r="M24" i="53"/>
  <c r="M17" i="53"/>
  <c r="M10" i="53"/>
  <c r="M9" i="53"/>
  <c r="L6" i="53"/>
  <c r="L5" i="53"/>
  <c r="K7" i="53"/>
  <c r="M29" i="53"/>
  <c r="G129" i="55"/>
  <c r="M14" i="53"/>
  <c r="F12" i="33"/>
  <c r="E12" i="33"/>
  <c r="E11" i="33"/>
  <c r="F10" i="33"/>
  <c r="F9" i="33"/>
  <c r="F134" i="55"/>
  <c r="AO13" i="56"/>
  <c r="M39" i="53"/>
  <c r="M32" i="53"/>
  <c r="M28" i="53"/>
  <c r="M13" i="53"/>
  <c r="M35" i="53"/>
  <c r="M40" i="53"/>
  <c r="E181" i="56"/>
  <c r="E9" i="33"/>
  <c r="G184" i="56"/>
  <c r="AH184" i="56" s="1"/>
  <c r="AH8" i="57"/>
  <c r="K138" i="55"/>
  <c r="K139" i="55"/>
  <c r="K140" i="55"/>
  <c r="K141" i="55"/>
  <c r="K142" i="55"/>
  <c r="I142" i="55"/>
  <c r="I141" i="55"/>
  <c r="I140" i="55"/>
  <c r="I139" i="55"/>
  <c r="I138" i="55"/>
  <c r="E143" i="55"/>
  <c r="F143" i="55"/>
  <c r="H48" i="57"/>
  <c r="AK176" i="56"/>
  <c r="AJ176" i="56" s="1"/>
  <c r="AI180" i="56"/>
  <c r="AL180" i="56" s="1"/>
  <c r="AI179" i="56"/>
  <c r="AI178" i="56"/>
  <c r="AI177" i="56"/>
  <c r="AI176" i="56"/>
  <c r="F189" i="56"/>
  <c r="F13" i="33"/>
  <c r="E13" i="33"/>
  <c r="N49" i="53"/>
  <c r="O49" i="53" s="1"/>
  <c r="F11" i="33"/>
  <c r="E10" i="33"/>
  <c r="AJ29" i="56"/>
  <c r="E8" i="33"/>
  <c r="F4" i="33"/>
  <c r="E4" i="33"/>
  <c r="F3" i="33"/>
  <c r="E2" i="33"/>
  <c r="F5" i="33"/>
  <c r="F8" i="33"/>
  <c r="F7" i="33"/>
  <c r="E7" i="33"/>
  <c r="F6" i="33"/>
  <c r="E6" i="33"/>
  <c r="E5" i="33"/>
  <c r="E3" i="33"/>
  <c r="F2" i="33"/>
  <c r="N64" i="53"/>
  <c r="O64" i="53" s="1"/>
  <c r="AK172" i="56"/>
  <c r="K130" i="55"/>
  <c r="I133" i="55"/>
  <c r="I132" i="55"/>
  <c r="I129" i="55"/>
  <c r="K133" i="55"/>
  <c r="K131" i="55"/>
  <c r="K132" i="55"/>
  <c r="K129" i="55"/>
  <c r="I130" i="55"/>
  <c r="E23" i="33"/>
  <c r="F23" i="33"/>
  <c r="F22" i="33"/>
  <c r="E22" i="33"/>
  <c r="F21" i="33"/>
  <c r="E21" i="33"/>
  <c r="N71" i="53"/>
  <c r="O71" i="53" s="1"/>
  <c r="N67" i="53"/>
  <c r="O67" i="53" s="1"/>
  <c r="N61" i="53"/>
  <c r="O61" i="53" s="1"/>
  <c r="N58" i="53"/>
  <c r="O58" i="53" s="1"/>
  <c r="N55" i="53"/>
  <c r="O55" i="53" s="1"/>
  <c r="N52" i="53"/>
  <c r="O52" i="53" s="1"/>
  <c r="E20" i="33"/>
  <c r="E19" i="33"/>
  <c r="G176" i="56"/>
  <c r="AH176" i="56" s="1"/>
  <c r="F20" i="33"/>
  <c r="F19" i="33"/>
  <c r="F18" i="33"/>
  <c r="E18" i="33"/>
  <c r="E16" i="33"/>
  <c r="F16" i="33"/>
  <c r="E17" i="33"/>
  <c r="F17" i="33"/>
  <c r="E14" i="33"/>
  <c r="F14" i="33"/>
  <c r="E15" i="33"/>
  <c r="F15" i="33"/>
  <c r="G177" i="56"/>
  <c r="AH177" i="56" s="1"/>
  <c r="AH180" i="56" l="1"/>
  <c r="M8" i="55"/>
  <c r="L126" i="55"/>
  <c r="AH208" i="56"/>
  <c r="L39" i="53"/>
  <c r="L40" i="53"/>
  <c r="K41" i="53"/>
  <c r="L70" i="53"/>
  <c r="L69" i="53"/>
  <c r="K71" i="53"/>
  <c r="L63" i="53"/>
  <c r="L60" i="53"/>
  <c r="L57" i="53"/>
  <c r="L54" i="53"/>
  <c r="L51" i="53"/>
  <c r="L44" i="53"/>
  <c r="L36" i="53"/>
  <c r="K37" i="53"/>
  <c r="K45" i="53"/>
  <c r="L43" i="53"/>
  <c r="L35" i="53"/>
  <c r="L13" i="53"/>
  <c r="L14" i="53"/>
  <c r="AJ207" i="56"/>
  <c r="M115" i="55"/>
  <c r="M107" i="55"/>
  <c r="F217" i="56"/>
  <c r="F218" i="56" s="1"/>
  <c r="M91" i="55"/>
  <c r="M99" i="55"/>
  <c r="AL211" i="56"/>
  <c r="L66" i="53"/>
  <c r="M45" i="53"/>
  <c r="M162" i="55"/>
  <c r="M156" i="55"/>
  <c r="H149" i="55"/>
  <c r="E164" i="55"/>
  <c r="E165" i="55" s="1"/>
  <c r="H148" i="55"/>
  <c r="M150" i="55"/>
  <c r="H147" i="55"/>
  <c r="L156" i="55"/>
  <c r="L150" i="55"/>
  <c r="H146" i="55"/>
  <c r="F164" i="55"/>
  <c r="F165" i="55" s="1"/>
  <c r="E217" i="56"/>
  <c r="E218" i="56" s="1"/>
  <c r="M64" i="53"/>
  <c r="AL188" i="56"/>
  <c r="AJ192" i="56"/>
  <c r="M26" i="53"/>
  <c r="M143" i="55"/>
  <c r="AL195" i="56"/>
  <c r="H137" i="55"/>
  <c r="L143" i="55"/>
  <c r="AJ199" i="56"/>
  <c r="AH196" i="56"/>
  <c r="AH195" i="56"/>
  <c r="AH194" i="56"/>
  <c r="AH193" i="56"/>
  <c r="AH192" i="56"/>
  <c r="AL203" i="56"/>
  <c r="AH204" i="56"/>
  <c r="AH203" i="56"/>
  <c r="AH202" i="56"/>
  <c r="AH201" i="56"/>
  <c r="AH200" i="56"/>
  <c r="AH199" i="56"/>
  <c r="M49" i="53"/>
  <c r="I147" i="55"/>
  <c r="M58" i="53"/>
  <c r="M55" i="53"/>
  <c r="L134" i="55"/>
  <c r="L17" i="53"/>
  <c r="L10" i="53"/>
  <c r="L9" i="53"/>
  <c r="M7" i="53"/>
  <c r="M37" i="53"/>
  <c r="O41" i="53"/>
  <c r="O15" i="53"/>
  <c r="O22" i="53"/>
  <c r="O30" i="53"/>
  <c r="O45" i="53"/>
  <c r="O33" i="53"/>
  <c r="O18" i="53"/>
  <c r="O26" i="53"/>
  <c r="O37" i="53"/>
  <c r="O11" i="53"/>
  <c r="M22" i="53"/>
  <c r="K33" i="53"/>
  <c r="M11" i="53"/>
  <c r="K52" i="53"/>
  <c r="M15" i="53"/>
  <c r="M18" i="53"/>
  <c r="M30" i="53"/>
  <c r="M71" i="53"/>
  <c r="M41" i="53"/>
  <c r="M67" i="53"/>
  <c r="K55" i="53"/>
  <c r="M33" i="53"/>
  <c r="K64" i="53"/>
  <c r="M52" i="53"/>
  <c r="M61" i="53"/>
  <c r="M83" i="55"/>
  <c r="M134" i="55"/>
  <c r="H142" i="55"/>
  <c r="H141" i="55"/>
  <c r="H140" i="55"/>
  <c r="H138" i="55"/>
  <c r="H139" i="55"/>
  <c r="AJ184" i="56"/>
  <c r="K11" i="53"/>
  <c r="M48" i="55"/>
  <c r="M44" i="55"/>
  <c r="I131" i="55"/>
  <c r="H133" i="55"/>
  <c r="H131" i="55"/>
  <c r="H132" i="55"/>
  <c r="H130" i="55"/>
  <c r="H129" i="55"/>
  <c r="K67" i="53"/>
  <c r="AJ172" i="56"/>
  <c r="M103" i="55"/>
  <c r="N86" i="53"/>
  <c r="K61" i="53"/>
  <c r="K58" i="53"/>
  <c r="O86" i="53" l="1"/>
  <c r="M20" i="55"/>
  <c r="AH126" i="1" l="1"/>
  <c r="AI126" i="1"/>
  <c r="AJ126" i="1"/>
  <c r="AL126" i="1"/>
  <c r="AM126" i="1"/>
  <c r="AN126" i="1"/>
  <c r="AH127" i="1"/>
  <c r="AI127" i="1"/>
  <c r="AJ127" i="1"/>
  <c r="AL127" i="1"/>
  <c r="AM127" i="1"/>
  <c r="AN127" i="1"/>
  <c r="AH128" i="1"/>
  <c r="AI128" i="1"/>
  <c r="AJ128" i="1"/>
  <c r="AL128" i="1"/>
  <c r="AM128" i="1"/>
  <c r="AN128" i="1"/>
  <c r="AH129" i="1"/>
  <c r="AI129" i="1"/>
  <c r="AJ129" i="1"/>
  <c r="AL129" i="1"/>
  <c r="AM129" i="1"/>
  <c r="AN129" i="1"/>
  <c r="AH130" i="1"/>
  <c r="AI130" i="1"/>
  <c r="AJ130" i="1"/>
  <c r="AL130" i="1"/>
  <c r="AM130" i="1"/>
  <c r="AN130" i="1"/>
  <c r="AH131" i="1"/>
  <c r="AI131" i="1"/>
  <c r="AJ131" i="1"/>
  <c r="AL131" i="1"/>
  <c r="AM131" i="1"/>
  <c r="AN131" i="1"/>
  <c r="AH132" i="1"/>
  <c r="AI132" i="1"/>
  <c r="AJ132" i="1"/>
  <c r="AL132" i="1"/>
  <c r="AM132" i="1"/>
  <c r="AN132" i="1"/>
  <c r="AH133" i="1"/>
  <c r="AI133" i="1"/>
  <c r="AJ133" i="1"/>
  <c r="AL133" i="1"/>
  <c r="AM133" i="1"/>
  <c r="AN133" i="1"/>
  <c r="AH134" i="1"/>
  <c r="AI134" i="1"/>
  <c r="AJ134" i="1"/>
  <c r="AL134" i="1"/>
  <c r="AM134" i="1"/>
  <c r="AN134" i="1"/>
  <c r="AH135" i="1"/>
  <c r="AI135" i="1"/>
  <c r="AJ135" i="1"/>
  <c r="AL135" i="1"/>
  <c r="AM135" i="1"/>
  <c r="AN135" i="1"/>
  <c r="AH136" i="1"/>
  <c r="AI136" i="1"/>
  <c r="AJ136" i="1"/>
  <c r="AL136" i="1"/>
  <c r="AM136" i="1"/>
  <c r="AN136" i="1"/>
  <c r="AH137" i="1"/>
  <c r="AI137" i="1"/>
  <c r="AJ137" i="1"/>
  <c r="AL137" i="1"/>
  <c r="AM137" i="1"/>
  <c r="AN137" i="1"/>
  <c r="AH138" i="1"/>
  <c r="AI138" i="1"/>
  <c r="AJ138" i="1"/>
  <c r="AL138" i="1"/>
  <c r="AM138" i="1"/>
  <c r="AN138" i="1"/>
  <c r="AH139" i="1"/>
  <c r="AI139" i="1"/>
  <c r="AJ139" i="1"/>
  <c r="AL139" i="1"/>
  <c r="AM139" i="1"/>
  <c r="AN139" i="1"/>
  <c r="AH140" i="1"/>
  <c r="AI140" i="1"/>
  <c r="AJ140" i="1"/>
  <c r="AL140" i="1"/>
  <c r="AM140" i="1"/>
  <c r="AN140" i="1"/>
  <c r="AH141" i="1"/>
  <c r="AI141" i="1"/>
  <c r="AJ141" i="1"/>
  <c r="AL141" i="1"/>
  <c r="AM141" i="1"/>
  <c r="AN141" i="1"/>
  <c r="AH142" i="1"/>
  <c r="AI142" i="1"/>
  <c r="AJ142" i="1"/>
  <c r="AL142" i="1"/>
  <c r="AM142" i="1"/>
  <c r="AN142" i="1"/>
  <c r="AH143" i="1"/>
  <c r="AI143" i="1"/>
  <c r="AJ143" i="1"/>
  <c r="AL143" i="1"/>
  <c r="AM143" i="1"/>
  <c r="AN143" i="1"/>
  <c r="AH144" i="1"/>
  <c r="AI144" i="1"/>
  <c r="AJ144" i="1"/>
  <c r="AL144" i="1"/>
  <c r="AM144" i="1"/>
  <c r="AN144" i="1"/>
  <c r="AH145" i="1"/>
  <c r="AI145" i="1"/>
  <c r="AJ145" i="1"/>
  <c r="AL145" i="1"/>
  <c r="AM145" i="1"/>
  <c r="AN145" i="1"/>
  <c r="AH146" i="1"/>
  <c r="AI146" i="1"/>
  <c r="AJ146" i="1"/>
  <c r="AL146" i="1"/>
  <c r="AM146" i="1"/>
  <c r="AN146" i="1"/>
  <c r="AH147" i="1"/>
  <c r="AI147" i="1"/>
  <c r="AJ147" i="1"/>
  <c r="AL147" i="1"/>
  <c r="AM147" i="1"/>
  <c r="AN147" i="1"/>
  <c r="AH148" i="1"/>
  <c r="AI148" i="1"/>
  <c r="AJ148" i="1"/>
  <c r="AL148" i="1"/>
  <c r="AM148" i="1"/>
  <c r="AN148" i="1"/>
  <c r="AH149" i="1"/>
  <c r="AI149" i="1"/>
  <c r="AJ149" i="1"/>
  <c r="AL149" i="1"/>
  <c r="AM149" i="1"/>
  <c r="AN149" i="1"/>
  <c r="AH150" i="1"/>
  <c r="AI150" i="1"/>
  <c r="AJ150" i="1"/>
  <c r="AL150" i="1"/>
  <c r="AM150" i="1"/>
  <c r="AN150" i="1"/>
  <c r="AH151" i="1"/>
  <c r="AI151" i="1"/>
  <c r="AJ151" i="1"/>
  <c r="AL151" i="1"/>
  <c r="AM151" i="1"/>
  <c r="AN151" i="1"/>
  <c r="AH152" i="1"/>
  <c r="AI152" i="1"/>
  <c r="AJ152" i="1"/>
  <c r="AL152" i="1"/>
  <c r="AM152" i="1"/>
  <c r="AN152" i="1"/>
  <c r="AH153" i="1"/>
  <c r="AI153" i="1"/>
  <c r="AJ153" i="1"/>
  <c r="AL153" i="1"/>
  <c r="AM153" i="1"/>
  <c r="AN153" i="1"/>
  <c r="AH154" i="1"/>
  <c r="AI154" i="1"/>
  <c r="AJ154" i="1"/>
  <c r="AL154" i="1"/>
  <c r="AM154" i="1"/>
  <c r="AN154" i="1"/>
  <c r="AH155" i="1"/>
  <c r="AI155" i="1"/>
  <c r="AJ155" i="1"/>
  <c r="AL155" i="1"/>
  <c r="AM155" i="1"/>
  <c r="AN155" i="1"/>
  <c r="AH156" i="1"/>
  <c r="AI156" i="1"/>
  <c r="AJ156" i="1"/>
  <c r="AL156" i="1"/>
  <c r="AM156" i="1"/>
  <c r="AN156" i="1"/>
  <c r="AH157" i="1"/>
  <c r="AI157" i="1"/>
  <c r="AJ157" i="1"/>
  <c r="AL157" i="1"/>
  <c r="AM157" i="1"/>
  <c r="AN157" i="1"/>
  <c r="AH158" i="1"/>
  <c r="AI158" i="1"/>
  <c r="AJ158" i="1"/>
  <c r="AL158" i="1"/>
  <c r="AM158" i="1"/>
  <c r="AN158" i="1"/>
  <c r="AH159" i="1"/>
  <c r="AI159" i="1"/>
  <c r="AJ159" i="1"/>
  <c r="AL159" i="1"/>
  <c r="AM159" i="1"/>
  <c r="AN159" i="1"/>
  <c r="AH160" i="1"/>
  <c r="AI160" i="1"/>
  <c r="AJ160" i="1"/>
  <c r="AL160" i="1"/>
  <c r="AM160" i="1"/>
  <c r="AN160" i="1"/>
  <c r="AH161" i="1"/>
  <c r="AI161" i="1"/>
  <c r="AJ161" i="1"/>
  <c r="AL161" i="1"/>
  <c r="AM161" i="1"/>
  <c r="AN161" i="1"/>
  <c r="AH162" i="1"/>
  <c r="AI162" i="1"/>
  <c r="AJ162" i="1"/>
  <c r="AL162" i="1"/>
  <c r="AM162" i="1"/>
  <c r="AN162" i="1"/>
  <c r="AH163" i="1"/>
  <c r="AI163" i="1"/>
  <c r="AJ163" i="1"/>
  <c r="AL163" i="1"/>
  <c r="AM163" i="1"/>
  <c r="AN163" i="1"/>
  <c r="AH164" i="1"/>
  <c r="AI164" i="1"/>
  <c r="AJ164" i="1"/>
  <c r="AL164" i="1"/>
  <c r="AM164" i="1"/>
  <c r="AN164" i="1"/>
  <c r="AH165" i="1"/>
  <c r="AI165" i="1"/>
  <c r="AJ165" i="1"/>
  <c r="AL165" i="1"/>
  <c r="AM165" i="1"/>
  <c r="AN165" i="1"/>
  <c r="AH166" i="1"/>
  <c r="AI166" i="1"/>
  <c r="AJ166" i="1"/>
  <c r="AL166" i="1"/>
  <c r="AM166" i="1"/>
  <c r="AN166" i="1"/>
  <c r="AH167" i="1"/>
  <c r="AI167" i="1"/>
  <c r="AJ167" i="1"/>
  <c r="AL167" i="1"/>
  <c r="AM167" i="1"/>
  <c r="AN167" i="1"/>
  <c r="AH168" i="1"/>
  <c r="AI168" i="1"/>
  <c r="AJ168" i="1"/>
  <c r="AL168" i="1"/>
  <c r="AM168" i="1"/>
  <c r="AN168" i="1"/>
  <c r="AH169" i="1"/>
  <c r="AI169" i="1"/>
  <c r="AJ169" i="1"/>
  <c r="AL169" i="1"/>
  <c r="AM169" i="1"/>
  <c r="AN169" i="1"/>
  <c r="AH170" i="1"/>
  <c r="AI170" i="1"/>
  <c r="AJ170" i="1"/>
  <c r="AL170" i="1"/>
  <c r="AM170" i="1"/>
  <c r="AN170" i="1"/>
  <c r="AH171" i="1"/>
  <c r="AI171" i="1"/>
  <c r="AJ171" i="1"/>
  <c r="AL171" i="1"/>
  <c r="AM171" i="1"/>
  <c r="AN171" i="1"/>
  <c r="AH172" i="1"/>
  <c r="AI172" i="1"/>
  <c r="AJ172" i="1"/>
  <c r="AL172" i="1"/>
  <c r="AM172" i="1"/>
  <c r="AN172" i="1"/>
  <c r="AH173" i="1"/>
  <c r="AI173" i="1"/>
  <c r="AJ173" i="1"/>
  <c r="AL173" i="1"/>
  <c r="AM173" i="1"/>
  <c r="AN173" i="1"/>
  <c r="E53" i="57" l="1"/>
  <c r="M37" i="57"/>
  <c r="N37" i="57"/>
  <c r="L37" i="57"/>
  <c r="Z19" i="57"/>
  <c r="O19" i="57"/>
  <c r="Z16" i="57"/>
  <c r="O16" i="57"/>
  <c r="H42" i="57" l="1"/>
  <c r="H41" i="57"/>
  <c r="F45" i="57"/>
  <c r="H49" i="57"/>
  <c r="H43" i="57"/>
  <c r="H40" i="57"/>
  <c r="H44" i="57"/>
  <c r="H52" i="57"/>
  <c r="H51" i="57"/>
  <c r="H50" i="57"/>
  <c r="G53" i="57"/>
  <c r="G45" i="57"/>
  <c r="G56" i="57" s="1"/>
  <c r="G57" i="57" s="1"/>
  <c r="F53" i="57"/>
  <c r="F56" i="57" l="1"/>
  <c r="F57" i="57" s="1"/>
  <c r="AO140" i="56"/>
  <c r="AO134" i="56"/>
  <c r="AO128" i="56"/>
  <c r="AO122" i="56"/>
  <c r="AO116" i="56"/>
  <c r="AO110" i="56"/>
  <c r="AO104" i="56"/>
  <c r="AO98" i="56"/>
  <c r="AO92" i="56"/>
  <c r="AO86" i="56"/>
  <c r="AO80" i="56"/>
  <c r="AO74" i="56"/>
  <c r="AO68" i="56"/>
  <c r="AO62" i="56"/>
  <c r="AO56" i="56"/>
  <c r="AO50" i="56"/>
  <c r="AO44" i="56"/>
  <c r="AO38" i="56"/>
  <c r="AO32" i="56"/>
  <c r="AO25" i="56"/>
  <c r="AO19" i="56"/>
  <c r="P89" i="56" l="1"/>
  <c r="H89" i="56" l="1"/>
  <c r="Q89" i="56"/>
  <c r="O7" i="57"/>
  <c r="AE22" i="56"/>
  <c r="AE16" i="56"/>
  <c r="AF16" i="56" s="1"/>
  <c r="AE10" i="56"/>
  <c r="AF10" i="56" s="1"/>
  <c r="AE89" i="56"/>
  <c r="AF89" i="56" s="1"/>
  <c r="AE83" i="56"/>
  <c r="AE77" i="56"/>
  <c r="AF77" i="56" s="1"/>
  <c r="AE71" i="56"/>
  <c r="AE59" i="56"/>
  <c r="AE53" i="56"/>
  <c r="AE47" i="56"/>
  <c r="AE41" i="56"/>
  <c r="AE35" i="56"/>
  <c r="AE29" i="56"/>
  <c r="AE95" i="56"/>
  <c r="AE101" i="56"/>
  <c r="AE113" i="56"/>
  <c r="AF113" i="56" s="1"/>
  <c r="AE119" i="56"/>
  <c r="AE125" i="56"/>
  <c r="AE131" i="56"/>
  <c r="AE137" i="56"/>
  <c r="AF137" i="56" s="1"/>
  <c r="P125" i="56"/>
  <c r="Q125" i="56" s="1"/>
  <c r="P83" i="56"/>
  <c r="E91" i="53"/>
  <c r="F90" i="53"/>
  <c r="K91" i="53" s="1"/>
  <c r="H90" i="53"/>
  <c r="H83" i="56" l="1"/>
  <c r="Q83" i="56"/>
  <c r="AE172" i="56"/>
  <c r="H91" i="53"/>
  <c r="L91" i="53"/>
  <c r="M91" i="53" l="1"/>
  <c r="AF83" i="56"/>
  <c r="G178" i="56" l="1"/>
  <c r="AH178" i="56" s="1"/>
  <c r="G179" i="56"/>
  <c r="AH179" i="56" s="1"/>
  <c r="D7" i="61"/>
  <c r="E7" i="61" s="1"/>
  <c r="F7" i="61" s="1"/>
  <c r="G7" i="61" s="1"/>
  <c r="E4" i="61"/>
  <c r="F4" i="61" s="1"/>
  <c r="E4" i="34" l="1"/>
  <c r="E3" i="34"/>
  <c r="E2" i="34"/>
  <c r="E98" i="53" l="1"/>
  <c r="E92" i="53"/>
  <c r="H92" i="53" s="1"/>
  <c r="N92" i="53" s="1"/>
  <c r="O92" i="53" l="1"/>
  <c r="M92" i="53"/>
  <c r="M93" i="53" s="1"/>
  <c r="E93" i="53"/>
  <c r="H93" i="53"/>
  <c r="M87" i="55"/>
  <c r="Z13" i="57" l="1"/>
  <c r="O10" i="57"/>
  <c r="P37" i="57" s="1"/>
  <c r="AA13" i="57" l="1"/>
  <c r="E95" i="53"/>
  <c r="H95" i="53" l="1"/>
  <c r="H98" i="53"/>
  <c r="M98" i="53" s="1"/>
  <c r="K18" i="53"/>
  <c r="Z4" i="57" l="1"/>
  <c r="AA4" i="57" s="1"/>
  <c r="O37" i="57"/>
  <c r="AF131" i="56"/>
  <c r="P131" i="56"/>
  <c r="Q131" i="56" s="1"/>
  <c r="AF125" i="56"/>
  <c r="AF119" i="56"/>
  <c r="P119" i="56"/>
  <c r="Q119" i="56" s="1"/>
  <c r="P113" i="56"/>
  <c r="H113" i="56" s="1"/>
  <c r="AF107" i="56"/>
  <c r="P107" i="56"/>
  <c r="AF101" i="56"/>
  <c r="P101" i="56"/>
  <c r="AF95" i="56"/>
  <c r="P95" i="56"/>
  <c r="P77" i="56"/>
  <c r="AF71" i="56"/>
  <c r="P71" i="56"/>
  <c r="AF59" i="56"/>
  <c r="P59" i="56"/>
  <c r="AF53" i="56"/>
  <c r="AF47" i="56"/>
  <c r="P47" i="56"/>
  <c r="AF41" i="56"/>
  <c r="P41" i="56"/>
  <c r="AF35" i="56"/>
  <c r="P35" i="56"/>
  <c r="AF29" i="56"/>
  <c r="P29" i="56"/>
  <c r="H29" i="56" s="1"/>
  <c r="AF22" i="56"/>
  <c r="P22" i="56"/>
  <c r="H22" i="56" s="1"/>
  <c r="P16" i="56"/>
  <c r="H16" i="56" s="1"/>
  <c r="P10" i="56"/>
  <c r="V11" i="53"/>
  <c r="V9" i="53"/>
  <c r="V7" i="53"/>
  <c r="F98" i="53"/>
  <c r="F95" i="53"/>
  <c r="F92" i="53"/>
  <c r="K92" i="53"/>
  <c r="J49" i="53"/>
  <c r="K48" i="53" l="1"/>
  <c r="L48" i="53" s="1"/>
  <c r="K47" i="53"/>
  <c r="H107" i="56"/>
  <c r="Q107" i="56"/>
  <c r="H101" i="56"/>
  <c r="Q101" i="56"/>
  <c r="H95" i="56"/>
  <c r="Q95" i="56"/>
  <c r="H77" i="56"/>
  <c r="Q77" i="56"/>
  <c r="H71" i="56"/>
  <c r="Q71" i="56"/>
  <c r="Q59" i="56"/>
  <c r="H59" i="56"/>
  <c r="Q47" i="56"/>
  <c r="H47" i="56"/>
  <c r="Q41" i="56"/>
  <c r="H41" i="56"/>
  <c r="Q35" i="56"/>
  <c r="H35" i="56"/>
  <c r="Q22" i="56"/>
  <c r="Q16" i="56"/>
  <c r="Q10" i="56"/>
  <c r="H10" i="56"/>
  <c r="H131" i="56"/>
  <c r="Q113" i="56"/>
  <c r="AF172" i="56"/>
  <c r="P172" i="56"/>
  <c r="Q29" i="56"/>
  <c r="K98" i="53"/>
  <c r="L98" i="53" s="1"/>
  <c r="L92" i="53"/>
  <c r="I92" i="53"/>
  <c r="M29" i="55"/>
  <c r="M39" i="55"/>
  <c r="M12" i="55"/>
  <c r="M25" i="55"/>
  <c r="M73" i="55"/>
  <c r="I90" i="53"/>
  <c r="I98" i="53"/>
  <c r="I95" i="53"/>
  <c r="M78" i="55"/>
  <c r="K96" i="53"/>
  <c r="K97" i="53"/>
  <c r="M16" i="55"/>
  <c r="M59" i="55"/>
  <c r="M34" i="55"/>
  <c r="M64" i="55"/>
  <c r="M126" i="55" l="1"/>
  <c r="K49" i="53"/>
  <c r="L47" i="53"/>
  <c r="Q172" i="56"/>
  <c r="K15" i="53"/>
  <c r="AL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I2" i="1"/>
  <c r="AH2" i="1"/>
  <c r="AM2" i="1" l="1"/>
  <c r="AM93" i="1"/>
  <c r="AM80" i="1"/>
  <c r="AM94" i="1"/>
  <c r="AN79" i="1"/>
  <c r="AM79" i="1"/>
  <c r="AM97" i="1"/>
  <c r="AN86" i="1"/>
  <c r="AN80" i="1"/>
  <c r="AN92" i="1"/>
  <c r="AM81" i="1"/>
  <c r="AN93" i="1"/>
  <c r="AN84" i="1"/>
  <c r="AN85" i="1"/>
  <c r="AN94" i="1"/>
  <c r="AN77" i="1"/>
  <c r="AN115" i="1"/>
  <c r="AN76" i="1"/>
  <c r="AN114" i="1"/>
  <c r="AN75" i="1"/>
  <c r="AN113" i="1"/>
  <c r="AN59" i="1"/>
  <c r="AM101" i="1"/>
  <c r="AN112" i="1"/>
  <c r="AN56" i="1"/>
  <c r="AM99" i="1"/>
  <c r="AN97" i="1"/>
  <c r="AN55" i="1"/>
  <c r="AM17" i="1"/>
  <c r="AM96" i="1"/>
  <c r="AM58" i="1"/>
  <c r="AN110" i="1"/>
  <c r="AN7" i="1"/>
  <c r="AN28" i="1"/>
  <c r="AN47" i="1"/>
  <c r="AN66" i="1"/>
  <c r="AN105" i="1"/>
  <c r="AN123" i="1"/>
  <c r="AN96" i="1"/>
  <c r="AN54" i="1"/>
  <c r="AN35" i="1"/>
  <c r="AN2" i="1"/>
  <c r="AN34" i="1"/>
  <c r="AM67" i="1"/>
  <c r="AN18" i="1"/>
  <c r="AM65" i="1"/>
  <c r="AM118" i="1"/>
  <c r="AM119" i="1"/>
  <c r="AM120" i="1"/>
  <c r="AN95" i="1"/>
  <c r="AN36" i="1"/>
  <c r="AN17" i="1"/>
  <c r="AM64" i="1"/>
  <c r="AN118" i="1"/>
  <c r="AN119" i="1"/>
  <c r="AN120" i="1"/>
  <c r="AN16" i="1"/>
  <c r="AM25" i="1"/>
  <c r="AN38" i="1"/>
  <c r="AM10" i="1"/>
  <c r="AN15" i="1"/>
  <c r="AM21" i="1"/>
  <c r="AN78" i="1"/>
  <c r="AM19" i="1"/>
  <c r="AM83" i="1"/>
  <c r="AM42" i="1"/>
  <c r="AN122" i="1"/>
  <c r="AN104" i="1"/>
  <c r="AN65" i="1"/>
  <c r="AN46" i="1"/>
  <c r="AN27" i="1"/>
  <c r="AM41" i="1"/>
  <c r="AN103" i="1"/>
  <c r="AN83" i="1"/>
  <c r="AN64" i="1"/>
  <c r="AN45" i="1"/>
  <c r="AN24" i="1"/>
  <c r="AN5" i="1"/>
  <c r="AM115" i="1"/>
  <c r="AM37" i="1"/>
  <c r="AN102" i="1"/>
  <c r="AN82" i="1"/>
  <c r="AN63" i="1"/>
  <c r="AN44" i="1"/>
  <c r="AN23" i="1"/>
  <c r="AN4" i="1"/>
  <c r="AM113" i="1"/>
  <c r="AM35" i="1"/>
  <c r="AN100" i="1"/>
  <c r="AN81" i="1"/>
  <c r="AN62" i="1"/>
  <c r="AN43" i="1"/>
  <c r="AN22" i="1"/>
  <c r="AN3" i="1"/>
  <c r="AM112" i="1"/>
  <c r="AM74" i="1"/>
  <c r="AM33" i="1"/>
  <c r="AN117" i="1"/>
  <c r="AN99" i="1"/>
  <c r="AN61" i="1"/>
  <c r="AN40" i="1"/>
  <c r="AN20" i="1"/>
  <c r="AM106" i="1"/>
  <c r="AM73" i="1"/>
  <c r="AM32" i="1"/>
  <c r="AN116" i="1"/>
  <c r="AN98" i="1"/>
  <c r="AN60" i="1"/>
  <c r="AN39" i="1"/>
  <c r="AN19" i="1"/>
  <c r="AM105" i="1"/>
  <c r="AM69" i="1"/>
  <c r="AM26" i="1"/>
  <c r="AN111" i="1"/>
  <c r="AN72" i="1"/>
  <c r="AN52" i="1"/>
  <c r="AN33" i="1"/>
  <c r="AN14" i="1"/>
  <c r="AM57" i="1"/>
  <c r="AM16" i="1"/>
  <c r="AM82" i="1"/>
  <c r="AM84" i="1"/>
  <c r="AM86" i="1"/>
  <c r="AN71" i="1"/>
  <c r="AN51" i="1"/>
  <c r="AN32" i="1"/>
  <c r="AN13" i="1"/>
  <c r="AM53" i="1"/>
  <c r="AM3" i="1"/>
  <c r="AM18" i="1"/>
  <c r="AM34" i="1"/>
  <c r="AM50" i="1"/>
  <c r="AM66" i="1"/>
  <c r="AM98" i="1"/>
  <c r="AM114" i="1"/>
  <c r="AN6" i="1"/>
  <c r="AN21" i="1"/>
  <c r="AN37" i="1"/>
  <c r="AN53" i="1"/>
  <c r="AN69" i="1"/>
  <c r="AN101" i="1"/>
  <c r="AM5" i="1"/>
  <c r="AM20" i="1"/>
  <c r="AM36" i="1"/>
  <c r="AM52" i="1"/>
  <c r="AM68" i="1"/>
  <c r="AM100" i="1"/>
  <c r="AM116" i="1"/>
  <c r="AM22" i="1"/>
  <c r="AM38" i="1"/>
  <c r="AM54" i="1"/>
  <c r="AM70" i="1"/>
  <c r="AM102" i="1"/>
  <c r="AM117" i="1"/>
  <c r="AN9" i="1"/>
  <c r="AN25" i="1"/>
  <c r="AN41" i="1"/>
  <c r="AN57" i="1"/>
  <c r="AN73" i="1"/>
  <c r="AN89" i="1"/>
  <c r="AM7" i="1"/>
  <c r="AM23" i="1"/>
  <c r="AM39" i="1"/>
  <c r="AM55" i="1"/>
  <c r="AM71" i="1"/>
  <c r="AM87" i="1"/>
  <c r="AM103" i="1"/>
  <c r="AN10" i="1"/>
  <c r="AN26" i="1"/>
  <c r="AN42" i="1"/>
  <c r="AN58" i="1"/>
  <c r="AN74" i="1"/>
  <c r="AN90" i="1"/>
  <c r="AN106" i="1"/>
  <c r="AN121" i="1"/>
  <c r="AM8" i="1"/>
  <c r="AM24" i="1"/>
  <c r="AM40" i="1"/>
  <c r="AM56" i="1"/>
  <c r="AM72" i="1"/>
  <c r="AM88" i="1"/>
  <c r="AM104" i="1"/>
  <c r="AM11" i="1"/>
  <c r="AM27" i="1"/>
  <c r="AM43" i="1"/>
  <c r="AM59" i="1"/>
  <c r="AM75" i="1"/>
  <c r="AM91" i="1"/>
  <c r="AM107" i="1"/>
  <c r="AM122" i="1"/>
  <c r="AM12" i="1"/>
  <c r="AM28" i="1"/>
  <c r="AM44" i="1"/>
  <c r="AM60" i="1"/>
  <c r="AM76" i="1"/>
  <c r="AM92" i="1"/>
  <c r="AM108" i="1"/>
  <c r="AM123" i="1"/>
  <c r="AM13" i="1"/>
  <c r="AM29" i="1"/>
  <c r="AM45" i="1"/>
  <c r="AM61" i="1"/>
  <c r="AM77" i="1"/>
  <c r="AM109" i="1"/>
  <c r="AM124" i="1"/>
  <c r="AM14" i="1"/>
  <c r="AM30" i="1"/>
  <c r="AM46" i="1"/>
  <c r="AM62" i="1"/>
  <c r="AM78" i="1"/>
  <c r="AM110" i="1"/>
  <c r="AM125" i="1"/>
  <c r="AM15" i="1"/>
  <c r="AM31" i="1"/>
  <c r="AM47" i="1"/>
  <c r="AM63" i="1"/>
  <c r="AM95" i="1"/>
  <c r="AM111" i="1"/>
  <c r="AN109" i="1"/>
  <c r="AN91" i="1"/>
  <c r="AN70" i="1"/>
  <c r="AN50" i="1"/>
  <c r="AN31" i="1"/>
  <c r="AN12" i="1"/>
  <c r="AM90" i="1"/>
  <c r="AM51" i="1"/>
  <c r="AM9" i="1"/>
  <c r="AN125" i="1"/>
  <c r="AN108" i="1"/>
  <c r="AN88" i="1"/>
  <c r="AN68" i="1"/>
  <c r="AN49" i="1"/>
  <c r="AN30" i="1"/>
  <c r="AN11" i="1"/>
  <c r="AM89" i="1"/>
  <c r="AM49" i="1"/>
  <c r="AM6" i="1"/>
  <c r="AN124" i="1"/>
  <c r="AN107" i="1"/>
  <c r="AN87" i="1"/>
  <c r="AN67" i="1"/>
  <c r="AN48" i="1"/>
  <c r="AN29" i="1"/>
  <c r="AN8" i="1"/>
  <c r="AM121" i="1"/>
  <c r="AM85" i="1"/>
  <c r="AM48" i="1"/>
  <c r="AM4" i="1"/>
  <c r="F16" i="44" l="1"/>
  <c r="F15" i="44"/>
  <c r="F14" i="44"/>
  <c r="F13" i="44"/>
  <c r="F6" i="44"/>
  <c r="F5" i="44"/>
  <c r="E5" i="44"/>
  <c r="E6" i="44"/>
  <c r="E20" i="44" s="1"/>
  <c r="E16" i="44"/>
  <c r="E15" i="44"/>
  <c r="D19" i="44"/>
  <c r="D20" i="44"/>
  <c r="C20" i="44"/>
  <c r="D22" i="44"/>
  <c r="C19" i="44"/>
  <c r="C22" i="44" s="1"/>
  <c r="E19" i="44" l="1"/>
  <c r="AI3" i="1" l="1"/>
  <c r="AJ3" i="1"/>
  <c r="AL3" i="1"/>
  <c r="AI4" i="1"/>
  <c r="AJ4" i="1"/>
  <c r="AL4" i="1"/>
  <c r="AI5" i="1"/>
  <c r="AJ5" i="1"/>
  <c r="AL5" i="1"/>
  <c r="AI6" i="1"/>
  <c r="AJ6" i="1"/>
  <c r="AL6" i="1"/>
  <c r="AI7" i="1"/>
  <c r="AJ7" i="1"/>
  <c r="AL7" i="1"/>
  <c r="AI8" i="1"/>
  <c r="AJ8" i="1"/>
  <c r="AL8" i="1"/>
  <c r="AI9" i="1"/>
  <c r="AJ9" i="1"/>
  <c r="AL9" i="1"/>
  <c r="AI10" i="1"/>
  <c r="AJ10" i="1"/>
  <c r="AL10" i="1"/>
  <c r="AI11" i="1"/>
  <c r="AJ11" i="1"/>
  <c r="AL11" i="1"/>
  <c r="AI12" i="1"/>
  <c r="AJ12" i="1"/>
  <c r="AL12" i="1"/>
  <c r="AI13" i="1"/>
  <c r="AJ13" i="1"/>
  <c r="AL13" i="1"/>
  <c r="AI14" i="1"/>
  <c r="AJ14" i="1"/>
  <c r="AL14" i="1"/>
  <c r="AI15" i="1"/>
  <c r="AJ15" i="1"/>
  <c r="AL15" i="1"/>
  <c r="AI16" i="1"/>
  <c r="AJ16" i="1"/>
  <c r="AL16" i="1"/>
  <c r="AI17" i="1"/>
  <c r="AJ17" i="1"/>
  <c r="AL17" i="1"/>
  <c r="AI18" i="1"/>
  <c r="AJ18" i="1"/>
  <c r="AL18" i="1"/>
  <c r="AI19" i="1"/>
  <c r="AJ19" i="1"/>
  <c r="AL19" i="1"/>
  <c r="AI20" i="1"/>
  <c r="AJ20" i="1"/>
  <c r="AL20" i="1"/>
  <c r="AI21" i="1"/>
  <c r="AJ21" i="1"/>
  <c r="AL21" i="1"/>
  <c r="AI22" i="1"/>
  <c r="AJ22" i="1"/>
  <c r="AL22" i="1"/>
  <c r="AI23" i="1"/>
  <c r="AJ23" i="1"/>
  <c r="AL23" i="1"/>
  <c r="AI24" i="1"/>
  <c r="AJ24" i="1"/>
  <c r="AL24" i="1"/>
  <c r="AI25" i="1"/>
  <c r="AJ25" i="1"/>
  <c r="AL25" i="1"/>
  <c r="AI26" i="1"/>
  <c r="AJ26" i="1"/>
  <c r="AL26" i="1"/>
  <c r="AI27" i="1"/>
  <c r="AJ27" i="1"/>
  <c r="AL27" i="1"/>
  <c r="AI28" i="1"/>
  <c r="AJ28" i="1"/>
  <c r="AL28" i="1"/>
  <c r="AI29" i="1"/>
  <c r="AJ29" i="1"/>
  <c r="AL29" i="1"/>
  <c r="AI30" i="1"/>
  <c r="AJ30" i="1"/>
  <c r="AL30" i="1"/>
  <c r="AI31" i="1"/>
  <c r="AJ31" i="1"/>
  <c r="AL31" i="1"/>
  <c r="AI32" i="1"/>
  <c r="AJ32" i="1"/>
  <c r="AL32" i="1"/>
  <c r="AI33" i="1"/>
  <c r="AJ33" i="1"/>
  <c r="AL33" i="1"/>
  <c r="AI34" i="1"/>
  <c r="AJ34" i="1"/>
  <c r="AL34" i="1"/>
  <c r="AI35" i="1"/>
  <c r="AJ35" i="1"/>
  <c r="AL35" i="1"/>
  <c r="AI36" i="1"/>
  <c r="AJ36" i="1"/>
  <c r="AI37" i="1"/>
  <c r="AJ37" i="1"/>
  <c r="AL37" i="1"/>
  <c r="AI38" i="1"/>
  <c r="AJ38" i="1"/>
  <c r="AL38" i="1"/>
  <c r="AI39" i="1"/>
  <c r="AJ39" i="1"/>
  <c r="AL39" i="1"/>
  <c r="AI40" i="1"/>
  <c r="AJ40" i="1"/>
  <c r="AL40" i="1"/>
  <c r="AI41" i="1"/>
  <c r="AJ41" i="1"/>
  <c r="AL41" i="1"/>
  <c r="AI42" i="1"/>
  <c r="AJ42" i="1"/>
  <c r="AL42" i="1"/>
  <c r="AI43" i="1"/>
  <c r="AJ43" i="1"/>
  <c r="AL43" i="1"/>
  <c r="AI44" i="1"/>
  <c r="AJ44" i="1"/>
  <c r="AL44" i="1"/>
  <c r="AI45" i="1"/>
  <c r="AJ45" i="1"/>
  <c r="AL45" i="1"/>
  <c r="AI46" i="1"/>
  <c r="AJ46" i="1"/>
  <c r="AL46" i="1"/>
  <c r="AI47" i="1"/>
  <c r="AJ47" i="1"/>
  <c r="AL47" i="1"/>
  <c r="AI48" i="1"/>
  <c r="AJ48" i="1"/>
  <c r="AL48" i="1"/>
  <c r="AI49" i="1"/>
  <c r="AJ49" i="1"/>
  <c r="AL49" i="1"/>
  <c r="AI50" i="1"/>
  <c r="AJ50" i="1"/>
  <c r="AL50" i="1"/>
  <c r="AI51" i="1"/>
  <c r="AJ51" i="1"/>
  <c r="AL51" i="1"/>
  <c r="AI52" i="1"/>
  <c r="AJ52" i="1"/>
  <c r="AL52" i="1"/>
  <c r="AI53" i="1"/>
  <c r="AJ53" i="1"/>
  <c r="AL53" i="1"/>
  <c r="AI54" i="1"/>
  <c r="AJ54" i="1"/>
  <c r="AL54" i="1"/>
  <c r="AI55" i="1"/>
  <c r="AJ55" i="1"/>
  <c r="AL55" i="1"/>
  <c r="AI56" i="1"/>
  <c r="AJ56" i="1"/>
  <c r="AL56" i="1"/>
  <c r="AI57" i="1"/>
  <c r="AJ57" i="1"/>
  <c r="AL57" i="1"/>
  <c r="AI58" i="1"/>
  <c r="AJ58" i="1"/>
  <c r="AL58" i="1"/>
  <c r="AI59" i="1"/>
  <c r="AJ59" i="1"/>
  <c r="AL59" i="1"/>
  <c r="AI60" i="1"/>
  <c r="AJ60" i="1"/>
  <c r="AL60" i="1"/>
  <c r="AI61" i="1"/>
  <c r="AJ61" i="1"/>
  <c r="AL61" i="1"/>
  <c r="AI62" i="1"/>
  <c r="AJ62" i="1"/>
  <c r="AL62" i="1"/>
  <c r="AI63" i="1"/>
  <c r="AJ63" i="1"/>
  <c r="AL63" i="1"/>
  <c r="AI64" i="1"/>
  <c r="AJ64" i="1"/>
  <c r="AL64" i="1"/>
  <c r="AI65" i="1"/>
  <c r="AJ65" i="1"/>
  <c r="AL65" i="1"/>
  <c r="AI66" i="1"/>
  <c r="AJ66" i="1"/>
  <c r="AL66" i="1"/>
  <c r="AI67" i="1"/>
  <c r="AJ67" i="1"/>
  <c r="AL67" i="1"/>
  <c r="AI68" i="1"/>
  <c r="AJ68" i="1"/>
  <c r="AL68" i="1"/>
  <c r="AI69" i="1"/>
  <c r="AJ69" i="1"/>
  <c r="AL69" i="1"/>
  <c r="AI70" i="1"/>
  <c r="AJ70" i="1"/>
  <c r="AL70" i="1"/>
  <c r="AI71" i="1"/>
  <c r="AJ71" i="1"/>
  <c r="AL71" i="1"/>
  <c r="AI72" i="1"/>
  <c r="AJ72" i="1"/>
  <c r="AL72" i="1"/>
  <c r="AI73" i="1"/>
  <c r="AJ73" i="1"/>
  <c r="AL73" i="1"/>
  <c r="AI74" i="1"/>
  <c r="AJ74" i="1"/>
  <c r="AL74" i="1"/>
  <c r="AI75" i="1"/>
  <c r="AJ75" i="1"/>
  <c r="AL75" i="1"/>
  <c r="AI76" i="1"/>
  <c r="AJ76" i="1"/>
  <c r="AI77" i="1"/>
  <c r="AJ77" i="1"/>
  <c r="AL77" i="1"/>
  <c r="AI78" i="1"/>
  <c r="AJ78" i="1"/>
  <c r="AL78" i="1"/>
  <c r="AI79" i="1"/>
  <c r="AJ79" i="1"/>
  <c r="AL79" i="1"/>
  <c r="AI80" i="1"/>
  <c r="AJ80" i="1"/>
  <c r="AL80" i="1"/>
  <c r="AI81" i="1"/>
  <c r="AJ81" i="1"/>
  <c r="AL81" i="1"/>
  <c r="AI82" i="1"/>
  <c r="AJ82" i="1"/>
  <c r="AL82" i="1"/>
  <c r="AI83" i="1"/>
  <c r="AJ83" i="1"/>
  <c r="AL83" i="1"/>
  <c r="AI84" i="1"/>
  <c r="AJ84" i="1"/>
  <c r="AL84" i="1"/>
  <c r="AI85" i="1"/>
  <c r="AJ85" i="1"/>
  <c r="AL85" i="1"/>
  <c r="AI86" i="1"/>
  <c r="AJ86" i="1"/>
  <c r="AL86" i="1"/>
  <c r="AI87" i="1"/>
  <c r="AJ87" i="1"/>
  <c r="AL87" i="1"/>
  <c r="AI88" i="1"/>
  <c r="AJ88" i="1"/>
  <c r="AL88" i="1"/>
  <c r="AI89" i="1"/>
  <c r="AJ89" i="1"/>
  <c r="AL89" i="1"/>
  <c r="AI90" i="1"/>
  <c r="AJ90" i="1"/>
  <c r="AL90" i="1"/>
  <c r="AI91" i="1"/>
  <c r="AJ91" i="1"/>
  <c r="AL91" i="1"/>
  <c r="AI92" i="1"/>
  <c r="AJ92" i="1"/>
  <c r="AL92" i="1"/>
  <c r="AI93" i="1"/>
  <c r="AJ93" i="1"/>
  <c r="AL93" i="1"/>
  <c r="AI94" i="1"/>
  <c r="AJ94" i="1"/>
  <c r="AL94" i="1"/>
  <c r="AI95" i="1"/>
  <c r="AJ95" i="1"/>
  <c r="AL95" i="1"/>
  <c r="AI96" i="1"/>
  <c r="AJ96" i="1"/>
  <c r="AL96" i="1"/>
  <c r="AI97" i="1"/>
  <c r="AJ97" i="1"/>
  <c r="AL97" i="1"/>
  <c r="AI98" i="1"/>
  <c r="AJ98" i="1"/>
  <c r="AL98" i="1"/>
  <c r="AI99" i="1"/>
  <c r="AJ99" i="1"/>
  <c r="AL99" i="1"/>
  <c r="AI100" i="1"/>
  <c r="AJ100" i="1"/>
  <c r="AL100" i="1"/>
  <c r="AI101" i="1"/>
  <c r="AJ101" i="1"/>
  <c r="AL101" i="1"/>
  <c r="AI102" i="1"/>
  <c r="AJ102" i="1"/>
  <c r="AL102" i="1"/>
  <c r="AI103" i="1"/>
  <c r="AJ103" i="1"/>
  <c r="AL103" i="1"/>
  <c r="AI104" i="1"/>
  <c r="AJ104" i="1"/>
  <c r="AL104" i="1"/>
  <c r="AI105" i="1"/>
  <c r="AJ105" i="1"/>
  <c r="AL105" i="1"/>
  <c r="AI106" i="1"/>
  <c r="AJ106" i="1"/>
  <c r="AL106" i="1"/>
  <c r="AI107" i="1"/>
  <c r="AJ107" i="1"/>
  <c r="AL107" i="1"/>
  <c r="AI108" i="1"/>
  <c r="AJ108" i="1"/>
  <c r="AL108" i="1"/>
  <c r="AI109" i="1"/>
  <c r="AJ109" i="1"/>
  <c r="AL109" i="1"/>
  <c r="AI110" i="1"/>
  <c r="AJ110" i="1"/>
  <c r="AL110" i="1"/>
  <c r="AI111" i="1"/>
  <c r="AJ111" i="1"/>
  <c r="AL111" i="1"/>
  <c r="AI112" i="1"/>
  <c r="AJ112" i="1"/>
  <c r="AL112" i="1"/>
  <c r="AI113" i="1"/>
  <c r="AJ113" i="1"/>
  <c r="AL113" i="1"/>
  <c r="AI114" i="1"/>
  <c r="AJ114" i="1"/>
  <c r="AL114" i="1"/>
  <c r="AI115" i="1"/>
  <c r="AJ115" i="1"/>
  <c r="AL115" i="1"/>
  <c r="AI116" i="1"/>
  <c r="AJ116" i="1"/>
  <c r="AL116" i="1"/>
  <c r="AI117" i="1"/>
  <c r="AJ117" i="1"/>
  <c r="AL117" i="1"/>
  <c r="AI118" i="1"/>
  <c r="AJ118" i="1"/>
  <c r="AL118" i="1"/>
  <c r="AI119" i="1"/>
  <c r="AJ119" i="1"/>
  <c r="AL119" i="1"/>
  <c r="AI120" i="1"/>
  <c r="AJ120" i="1"/>
  <c r="AL120" i="1"/>
  <c r="AI121" i="1"/>
  <c r="AJ121" i="1"/>
  <c r="AL121" i="1"/>
  <c r="AI122" i="1"/>
  <c r="AJ122" i="1"/>
  <c r="AL122" i="1"/>
  <c r="AI123" i="1"/>
  <c r="AJ123" i="1"/>
  <c r="AL123" i="1"/>
  <c r="AI124" i="1"/>
  <c r="AJ124" i="1"/>
  <c r="AL124" i="1"/>
  <c r="AI125" i="1"/>
  <c r="AJ125" i="1"/>
  <c r="AL125" i="1"/>
  <c r="AJ2" i="1" l="1"/>
  <c r="J12" i="11" l="1"/>
  <c r="J10" i="11"/>
  <c r="I12" i="11"/>
  <c r="J9" i="11"/>
  <c r="J6" i="11"/>
  <c r="J5" i="11"/>
  <c r="J4" i="11"/>
  <c r="G11" i="11"/>
  <c r="G7" i="11"/>
  <c r="C10" i="11"/>
  <c r="C9" i="11"/>
  <c r="C6" i="11"/>
  <c r="C5" i="11"/>
  <c r="C4" i="11"/>
  <c r="F12" i="11" l="1"/>
  <c r="E9" i="11" l="1"/>
  <c r="E4" i="11"/>
  <c r="E5" i="11" l="1"/>
  <c r="E12" i="11"/>
  <c r="G12" i="11" s="1"/>
  <c r="D6" i="11" l="1"/>
  <c r="G6" i="11" s="1"/>
  <c r="K6" i="11" s="1"/>
  <c r="D4" i="11"/>
  <c r="G4" i="11" s="1"/>
  <c r="K4" i="11" s="1"/>
  <c r="D5" i="11"/>
  <c r="G5" i="11" s="1"/>
  <c r="K5" i="11" s="1"/>
  <c r="D3" i="11" l="1"/>
  <c r="G3" i="11" s="1"/>
  <c r="D10" i="11" l="1"/>
  <c r="G10" i="11" s="1"/>
  <c r="K10" i="11" s="1"/>
  <c r="D9" i="11"/>
  <c r="G9" i="11" s="1"/>
  <c r="K9" i="11" s="1"/>
  <c r="D8" i="11"/>
  <c r="G8" i="11" s="1"/>
  <c r="F97" i="53" l="1"/>
  <c r="F96" i="53"/>
  <c r="V5" i="53"/>
  <c r="V10" i="53"/>
  <c r="W11" i="53" s="1"/>
  <c r="F91" i="53"/>
  <c r="E97" i="53"/>
  <c r="H97" i="53" s="1"/>
  <c r="M97" i="53" s="1"/>
  <c r="E96" i="53"/>
  <c r="V6" i="53"/>
  <c r="H96" i="53" l="1"/>
  <c r="E99" i="53"/>
  <c r="E100" i="53" s="1"/>
  <c r="E101" i="53" s="1"/>
  <c r="F99" i="53"/>
  <c r="L96" i="53"/>
  <c r="I91" i="53"/>
  <c r="F93" i="53"/>
  <c r="W7" i="53"/>
  <c r="I96" i="53"/>
  <c r="I97" i="53"/>
  <c r="L97" i="53"/>
  <c r="N98" i="53" l="1"/>
  <c r="O98" i="53" s="1"/>
  <c r="M96" i="53"/>
  <c r="M99" i="53" s="1"/>
  <c r="H99" i="53"/>
  <c r="F100" i="53"/>
  <c r="F101" i="53" s="1"/>
  <c r="K74" i="53" l="1"/>
  <c r="S21" i="57" l="1"/>
  <c r="T21" i="57"/>
  <c r="S37" i="57"/>
  <c r="J81" i="53"/>
  <c r="R21" i="57"/>
  <c r="K81" i="53"/>
  <c r="V21" i="57"/>
  <c r="T37" i="57"/>
  <c r="M81" i="53"/>
  <c r="W21" i="57"/>
  <c r="W37" i="57"/>
  <c r="X21" i="57"/>
  <c r="Q21" i="57"/>
  <c r="Y21" i="57"/>
  <c r="Z21" i="57"/>
  <c r="J78" i="53"/>
  <c r="X37" i="57"/>
  <c r="Q37" i="57"/>
  <c r="R37" i="57"/>
  <c r="V37" i="57"/>
  <c r="Y37" i="57"/>
  <c r="Z37" i="5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Chamaiporn Intawong</author>
  </authors>
  <commentList>
    <comment ref="L3" authorId="0" shapeId="0" xr:uid="{2155CA20-F494-4456-BA82-F0C09488AF0B}">
      <text>
        <r>
          <rPr>
            <b/>
            <sz val="9"/>
            <color indexed="81"/>
            <rFont val="Tahoma"/>
            <family val="2"/>
          </rPr>
          <t>Chamaiporn Intawong:</t>
        </r>
        <r>
          <rPr>
            <sz val="9"/>
            <color indexed="81"/>
            <rFont val="Tahoma"/>
            <family val="2"/>
          </rPr>
          <t xml:space="preserve">
สูญเสีย
</t>
        </r>
      </text>
    </comment>
    <comment ref="M3" authorId="0" shapeId="0" xr:uid="{320ECDDF-F355-4B7D-BCE6-3FFEC088E113}">
      <text>
        <r>
          <rPr>
            <b/>
            <sz val="9"/>
            <color indexed="81"/>
            <rFont val="Tahoma"/>
            <family val="2"/>
          </rPr>
          <t>Chamaiporn Intawong:</t>
        </r>
        <r>
          <rPr>
            <sz val="9"/>
            <color indexed="81"/>
            <rFont val="Tahoma"/>
            <family val="2"/>
          </rPr>
          <t xml:space="preserve">
ผลิตได้จริง
</t>
        </r>
      </text>
    </comment>
    <comment ref="L128" authorId="0" shapeId="0" xr:uid="{F86E27C1-3402-4EE9-BEEE-1F78E26893F3}">
      <text>
        <r>
          <rPr>
            <b/>
            <sz val="9"/>
            <color indexed="81"/>
            <rFont val="Tahoma"/>
            <family val="2"/>
          </rPr>
          <t>Chamaiporn Intawong:</t>
        </r>
        <r>
          <rPr>
            <sz val="9"/>
            <color indexed="81"/>
            <rFont val="Tahoma"/>
            <family val="2"/>
          </rPr>
          <t xml:space="preserve">
สูญเสีย
</t>
        </r>
      </text>
    </comment>
    <comment ref="M128" authorId="0" shapeId="0" xr:uid="{8E4F2629-CB1C-468F-BA22-82E1FE97764C}">
      <text>
        <r>
          <rPr>
            <b/>
            <sz val="9"/>
            <color indexed="81"/>
            <rFont val="Tahoma"/>
            <family val="2"/>
          </rPr>
          <t>Chamaiporn Intawong:</t>
        </r>
        <r>
          <rPr>
            <sz val="9"/>
            <color indexed="81"/>
            <rFont val="Tahoma"/>
            <family val="2"/>
          </rPr>
          <t xml:space="preserve">
ผลิตได้จริง
</t>
        </r>
      </text>
    </comment>
  </commentList>
</comments>
</file>

<file path=xl/sharedStrings.xml><?xml version="1.0" encoding="utf-8"?>
<sst xmlns="http://schemas.openxmlformats.org/spreadsheetml/2006/main" count="26926" uniqueCount="2076">
  <si>
    <t>Code</t>
  </si>
  <si>
    <t>Code Name</t>
  </si>
  <si>
    <t>ยกยอดมา</t>
  </si>
  <si>
    <t>Preclean</t>
  </si>
  <si>
    <t>Roast</t>
  </si>
  <si>
    <t>Pack</t>
  </si>
  <si>
    <t>คงเหลือ</t>
  </si>
  <si>
    <t>J3 : G</t>
  </si>
  <si>
    <t>J3 : KG</t>
  </si>
  <si>
    <t>54002340</t>
  </si>
  <si>
    <t>สารกาแฟอาราบิก้า</t>
  </si>
  <si>
    <t>57000000</t>
  </si>
  <si>
    <t>เมล็ดกาแฟ Clean Arabica Size S&amp;M</t>
  </si>
  <si>
    <t>57000001</t>
  </si>
  <si>
    <t>เมล็ดกาแฟ Clean Arabica Size L</t>
  </si>
  <si>
    <t>57000002</t>
  </si>
  <si>
    <t>เมล็ดกาแฟ Clean Arabica Size ต่ำกว่า S&amp;M</t>
  </si>
  <si>
    <t>54002341</t>
  </si>
  <si>
    <t>สารกาแฟโรบัสต้า</t>
  </si>
  <si>
    <t>57000003</t>
  </si>
  <si>
    <t>เมล็ดกาแฟ Clean Robusta Size mix</t>
  </si>
  <si>
    <t>57000004</t>
  </si>
  <si>
    <t>เมล็ดกาแฟ Clean Robusta Size ต่ำกว่า S&amp;M</t>
  </si>
  <si>
    <t>57000100</t>
  </si>
  <si>
    <t>เมล็ดกาแฟคั่ว A80 + R20</t>
  </si>
  <si>
    <t>Material</t>
  </si>
  <si>
    <t>Material description</t>
  </si>
  <si>
    <t>Plnt</t>
  </si>
  <si>
    <t>MvT</t>
  </si>
  <si>
    <t>Movement Type Text</t>
  </si>
  <si>
    <t>Mat. Doc.</t>
  </si>
  <si>
    <t>SLoc</t>
  </si>
  <si>
    <t>Batch</t>
  </si>
  <si>
    <t>Order</t>
  </si>
  <si>
    <t>Time</t>
  </si>
  <si>
    <t>User Name</t>
  </si>
  <si>
    <t>Item</t>
  </si>
  <si>
    <t>Suppl.Inv</t>
  </si>
  <si>
    <t>Reas.</t>
  </si>
  <si>
    <t>S</t>
  </si>
  <si>
    <t>Reserv.no.</t>
  </si>
  <si>
    <t>Document Header Text</t>
  </si>
  <si>
    <t>Text</t>
  </si>
  <si>
    <t>Cost Ctr</t>
  </si>
  <si>
    <t>G/L acct</t>
  </si>
  <si>
    <t>PO</t>
  </si>
  <si>
    <t>Vendor</t>
  </si>
  <si>
    <t>Asset</t>
  </si>
  <si>
    <t>Reference</t>
  </si>
  <si>
    <t>Manuf. Dte</t>
  </si>
  <si>
    <t>EUn</t>
  </si>
  <si>
    <t>Quantity in UnE</t>
  </si>
  <si>
    <t>Amt.in Loc.Cur.</t>
  </si>
  <si>
    <t>Doc. Date</t>
  </si>
  <si>
    <t>Pstng Date</t>
  </si>
  <si>
    <t>SLED/BBD</t>
  </si>
  <si>
    <t>Entry Date</t>
  </si>
  <si>
    <t>Quantity</t>
  </si>
  <si>
    <t>Group order</t>
  </si>
  <si>
    <t>GL Name</t>
  </si>
  <si>
    <t>หมายเหตุ</t>
  </si>
  <si>
    <t>ราคา</t>
  </si>
  <si>
    <t>59000001</t>
  </si>
  <si>
    <t>เมล็ดกาแฟ CPR Coffee Bean  MF. 500 G.</t>
  </si>
  <si>
    <t>0328</t>
  </si>
  <si>
    <t>601</t>
  </si>
  <si>
    <t>GD goods issue:delvy</t>
  </si>
  <si>
    <t>P004</t>
  </si>
  <si>
    <t/>
  </si>
  <si>
    <t>THANAWIS</t>
  </si>
  <si>
    <t>0001</t>
  </si>
  <si>
    <t>0000</t>
  </si>
  <si>
    <t>0000000000</t>
  </si>
  <si>
    <t>51003100</t>
  </si>
  <si>
    <t>BAG</t>
  </si>
  <si>
    <t>59000004</t>
  </si>
  <si>
    <t>Super  Blend  500 G.</t>
  </si>
  <si>
    <t>261</t>
  </si>
  <si>
    <t>GI for order</t>
  </si>
  <si>
    <t>53002000</t>
  </si>
  <si>
    <t>KG</t>
  </si>
  <si>
    <t>59000002</t>
  </si>
  <si>
    <t>GOLD BLEND ALL CAFE'  ขนาด 500 G.</t>
  </si>
  <si>
    <t>M001</t>
  </si>
  <si>
    <t>JURASDOK</t>
  </si>
  <si>
    <t>BOX</t>
  </si>
  <si>
    <t>0002</t>
  </si>
  <si>
    <t>927</t>
  </si>
  <si>
    <t>GI ค่าวิจัยและพัฒนา</t>
  </si>
  <si>
    <t>0004</t>
  </si>
  <si>
    <t>405053</t>
  </si>
  <si>
    <t>67501001</t>
  </si>
  <si>
    <t>0003</t>
  </si>
  <si>
    <t>311</t>
  </si>
  <si>
    <t>TF trfr within plant</t>
  </si>
  <si>
    <t>0005</t>
  </si>
  <si>
    <t>SONGPCHI</t>
  </si>
  <si>
    <t>929</t>
  </si>
  <si>
    <t>GIส่งเสริมการขายอื่น</t>
  </si>
  <si>
    <t>65109000</t>
  </si>
  <si>
    <t>66001000</t>
  </si>
  <si>
    <t>M003</t>
  </si>
  <si>
    <t>PC</t>
  </si>
  <si>
    <t>P003</t>
  </si>
  <si>
    <t>58000005</t>
  </si>
  <si>
    <t>ลังกระดาษ 3กก. 287*240*177 mm. (No Logo)</t>
  </si>
  <si>
    <t>58000002</t>
  </si>
  <si>
    <t>WIPF WICOVALVE W009</t>
  </si>
  <si>
    <t>53003000</t>
  </si>
  <si>
    <t>0008</t>
  </si>
  <si>
    <t>53001000</t>
  </si>
  <si>
    <t>0006</t>
  </si>
  <si>
    <t>0007</t>
  </si>
  <si>
    <t>59100000</t>
  </si>
  <si>
    <t>เมล็ดกาแฟ CPR Calibrate MF. 500 G.</t>
  </si>
  <si>
    <t>101</t>
  </si>
  <si>
    <t>GR for order</t>
  </si>
  <si>
    <t>53001001</t>
  </si>
  <si>
    <t>RAPEESAN01</t>
  </si>
  <si>
    <t>58000004</t>
  </si>
  <si>
    <t>Film roll All cafe500g.420mm*900m</t>
  </si>
  <si>
    <t>58000006</t>
  </si>
  <si>
    <t>All Cafe ลังกระดาษ (287*240*177 mm.)</t>
  </si>
  <si>
    <t>53001003</t>
  </si>
  <si>
    <t>53001004</t>
  </si>
  <si>
    <t>301</t>
  </si>
  <si>
    <t>58000010</t>
  </si>
  <si>
    <t>(4seal) กล่องกระดาษ5ชั้น 450*330*300 mm</t>
  </si>
  <si>
    <t>54000541</t>
  </si>
  <si>
    <t>แอตลาส_เติมแก๊ส LPG ขนาด48Kg.2หัว</t>
  </si>
  <si>
    <t>GR goods receipt</t>
  </si>
  <si>
    <t>M004</t>
  </si>
  <si>
    <t>WANTILER</t>
  </si>
  <si>
    <t>2048975</t>
  </si>
  <si>
    <t>ห้อง Preclean</t>
  </si>
  <si>
    <t>Row Labels</t>
  </si>
  <si>
    <t>Semi</t>
  </si>
  <si>
    <t>สัดส่วน</t>
  </si>
  <si>
    <t>ราคา/Kg.</t>
  </si>
  <si>
    <t>%</t>
  </si>
  <si>
    <t>ปันใหม่ตาม STD</t>
  </si>
  <si>
    <t>Q : KG</t>
  </si>
  <si>
    <t>คำถาม</t>
  </si>
  <si>
    <t>1. แต่ละ Batch การ Preclean จะใส่สารประมาณเท่าไหร่</t>
  </si>
  <si>
    <t>2. แต่ละไซด์ที่รับคือตามจริงทั้งหมดหรือไม่</t>
  </si>
  <si>
    <t>Grand Total</t>
  </si>
  <si>
    <t>ห้อง Roasting</t>
  </si>
  <si>
    <t>ในห้องคั่วไม่มีเครื่องชั่งจะมาคำนวณกลับในห้องแพ็คเลย</t>
  </si>
  <si>
    <t>ใส่สาร</t>
  </si>
  <si>
    <t>สัดส่วนผสม</t>
  </si>
  <si>
    <t>ราคาต่อหน่วย</t>
  </si>
  <si>
    <t>Yeild</t>
  </si>
  <si>
    <t>ห้อง Packaging  </t>
  </si>
  <si>
    <t>ปกติซองกับวาล์วจะเสียปริมาณเท่ากันแต่ใส่หมายเหตุและจำนวนแค่เฉพาะที่ซอง</t>
  </si>
  <si>
    <t>ใส่ 507 kg. --&gt; ยังตัดไม่ครบไหม</t>
  </si>
  <si>
    <t>check</t>
  </si>
  <si>
    <t>Diff</t>
  </si>
  <si>
    <t xml:space="preserve">วันที่ </t>
  </si>
  <si>
    <t>QA เบิก
(ถุง)</t>
  </si>
  <si>
    <t>ห้องคั่ว(g)</t>
  </si>
  <si>
    <t>ห้องแพ็ค(g)</t>
  </si>
  <si>
    <t>รวม(kg)</t>
  </si>
  <si>
    <t>เครื่องจักร</t>
  </si>
  <si>
    <t>โรบอทตีแตก</t>
  </si>
  <si>
    <t>วาล์วเสีย</t>
  </si>
  <si>
    <t>เปลี่ยนตั้งฟิล์ม</t>
  </si>
  <si>
    <t>นน.ขาด</t>
  </si>
  <si>
    <t>ดับเบิ้ล</t>
  </si>
  <si>
    <t>ซองวาล์วแตก</t>
  </si>
  <si>
    <t>Repack</t>
  </si>
  <si>
    <t>รวมซองเสีย</t>
  </si>
  <si>
    <t>ต่อหน่วย</t>
  </si>
  <si>
    <t>Order Preclance</t>
  </si>
  <si>
    <t>Order Packing</t>
  </si>
  <si>
    <t>Order repack</t>
  </si>
  <si>
    <t>53001006</t>
  </si>
  <si>
    <t>ต้นทุนขาย</t>
  </si>
  <si>
    <t>ต้นทุนผลิตโอน F/G</t>
  </si>
  <si>
    <t>ต้นทุนผลิตกึ่งสำเร็จ</t>
  </si>
  <si>
    <t>ต้นทุนผลิตโอน Semi</t>
  </si>
  <si>
    <t>ต้นทุนผลิต-วัตถุดิบ</t>
  </si>
  <si>
    <t>ต้นทุนผลิตหีบห่อ</t>
  </si>
  <si>
    <t>ค่าวิจัยคุณภาพสินค้า</t>
  </si>
  <si>
    <t>ต้นทุนผลิต-สินค้าสำเร็จรูป</t>
  </si>
  <si>
    <t>67601000</t>
  </si>
  <si>
    <t>ค่าเชื้อเพลิง</t>
  </si>
  <si>
    <t>ส่งเสริมฯ อื่น</t>
  </si>
  <si>
    <t>ต้นทุนผลิต-สินค้าสำเร็จรูป (V2)</t>
  </si>
  <si>
    <t>วัสดุสิ้นเปลือง</t>
  </si>
  <si>
    <t>67501100</t>
  </si>
  <si>
    <t>ค่าวิจัยและพัฒนาอื่น</t>
  </si>
  <si>
    <t xml:space="preserve"> kg</t>
  </si>
  <si>
    <t>บรรจุ</t>
  </si>
  <si>
    <t xml:space="preserve">Order </t>
  </si>
  <si>
    <t xml:space="preserve"> </t>
  </si>
  <si>
    <t>Semi เมล็ดกาแฟ</t>
  </si>
  <si>
    <t>58000003</t>
  </si>
  <si>
    <t>Film roll Gold blend 420mm*900m</t>
  </si>
  <si>
    <t>Size   ต่ำกว่า S&amp;M  เกรด  B  จะเป็นปริมาณ สารกาแฟที่ดี</t>
  </si>
  <si>
    <t>QA เบิก</t>
  </si>
  <si>
    <t>Average</t>
  </si>
  <si>
    <t>ราคาหลังปัน</t>
  </si>
  <si>
    <t>Settlement Rule</t>
  </si>
  <si>
    <t>Summary เพิ่มแต่ละสูตรเข้าไป</t>
  </si>
  <si>
    <t>สูตร FG</t>
  </si>
  <si>
    <t>57000102</t>
  </si>
  <si>
    <t>เมล็ดกาแฟคั่ว A40+R60</t>
  </si>
  <si>
    <t>57000103</t>
  </si>
  <si>
    <t>เมล็ดกาแฟคั่ว calibrate A80+R20</t>
  </si>
  <si>
    <t>57</t>
  </si>
  <si>
    <t>54</t>
  </si>
  <si>
    <t>Sum of Quantity in UnE</t>
  </si>
  <si>
    <t>(Multiple Items)</t>
  </si>
  <si>
    <t>Sum of Amt.in Loc.Cur.</t>
  </si>
  <si>
    <t xml:space="preserve">Arabica </t>
  </si>
  <si>
    <t xml:space="preserve">Robusta </t>
  </si>
  <si>
    <t>สูตรผลิต</t>
  </si>
  <si>
    <t>ห้อง</t>
  </si>
  <si>
    <t>303</t>
  </si>
  <si>
    <t>Code สูตรผลิต</t>
  </si>
  <si>
    <t>25092025</t>
  </si>
  <si>
    <t>Loss</t>
  </si>
  <si>
    <t>Adj  Settlement Rule Done</t>
  </si>
  <si>
    <t>PRONDTAN</t>
  </si>
  <si>
    <t>สูตร Calibrate</t>
  </si>
  <si>
    <t>20 ถุง 500G./ ลัง 10 Kg</t>
  </si>
  <si>
    <t>40 ถุง 250G./ ลัง 10 Kg</t>
  </si>
  <si>
    <t>จะใส่แค่ 10 kg ทั้ง2 ขนาด</t>
  </si>
  <si>
    <t>Remake</t>
  </si>
  <si>
    <t xml:space="preserve">  6 ถุง 500G./ ลัง  3 kg</t>
  </si>
  <si>
    <t>20251225</t>
  </si>
  <si>
    <t>CHONMPRA</t>
  </si>
  <si>
    <t>M002</t>
  </si>
  <si>
    <t>เมล็ดกาแฟ Clean Arabica B</t>
  </si>
  <si>
    <t>เมล็ดกาแฟ Clean Robusta B</t>
  </si>
  <si>
    <t>ซองกาแฟมวลชน EXTREME 250 g.</t>
  </si>
  <si>
    <t xml:space="preserve">สถานะ </t>
  </si>
  <si>
    <t>58000025</t>
  </si>
  <si>
    <t>Film roll Nologo 500g.420mm*900m</t>
  </si>
  <si>
    <t>59000014</t>
  </si>
  <si>
    <t>เมล็ดกาแฟ True Tower ขนาด 500 G.</t>
  </si>
  <si>
    <t>EA</t>
  </si>
  <si>
    <t>59000008</t>
  </si>
  <si>
    <t>กาแฟมวลชน Extreme ขนาด 250 G.</t>
  </si>
  <si>
    <t xml:space="preserve">576*8 = *4,608*   4.6 ตัน  </t>
  </si>
  <si>
    <t xml:space="preserve">576*16 = *9,216*   9.2 ตัน </t>
  </si>
  <si>
    <t xml:space="preserve">ทั้งเดือน  8*26 = *208* </t>
  </si>
  <si>
    <t xml:space="preserve">1 ชม  = 3 Batch   192*3 = *576* kg   </t>
  </si>
  <si>
    <t>กำลังผลิต/ปี</t>
  </si>
  <si>
    <t>ต่อเดือน</t>
  </si>
  <si>
    <t xml:space="preserve">BG 200 ตัน </t>
  </si>
  <si>
    <t>2 เครื่อง</t>
  </si>
  <si>
    <t>1 เครื่อง</t>
  </si>
  <si>
    <t>กำลังผลิต/วัน Kg.</t>
  </si>
  <si>
    <t>กำลังผลิต/วัน TON.</t>
  </si>
  <si>
    <t>กำลังผลิต/Year</t>
  </si>
  <si>
    <t>กำลังผลิต/Months</t>
  </si>
  <si>
    <t>ตามบัตรส่งเสริมBOI  (ไม่ได้หัก เวลาพัก 16 ชม)</t>
  </si>
  <si>
    <t>16 ชม หัก พัก2ชม   เหลือ  14 ชม</t>
  </si>
  <si>
    <t>เมล็ดกาแฟคั่ว A100</t>
  </si>
  <si>
    <t>59000011</t>
  </si>
  <si>
    <t>กาแฟมวลชน CLASSIC ขนาด 500 G.</t>
  </si>
  <si>
    <t>59000013</t>
  </si>
  <si>
    <t>กาแฟมวลชน Gold Blend ขนาด 500 G.</t>
  </si>
  <si>
    <t>280226-RE</t>
  </si>
  <si>
    <t>G</t>
  </si>
  <si>
    <t>สตก เสีย</t>
  </si>
  <si>
    <t>% STD</t>
  </si>
  <si>
    <t>Robusta</t>
  </si>
  <si>
    <t>Arabica</t>
  </si>
  <si>
    <t xml:space="preserve">ฟิล์มยับ </t>
  </si>
  <si>
    <t>NON BOI</t>
  </si>
  <si>
    <t>58-10 = 20 ถุง</t>
  </si>
  <si>
    <t>58-6 = 6 ถุง</t>
  </si>
  <si>
    <t xml:space="preserve"> ถุง +ลังเสีย</t>
  </si>
  <si>
    <t xml:space="preserve">Yeild </t>
  </si>
  <si>
    <t>ระบุวันที่ผิด (ซอง)</t>
  </si>
  <si>
    <t>20260124</t>
  </si>
  <si>
    <t>P001</t>
  </si>
  <si>
    <t>P002</t>
  </si>
  <si>
    <t>2024222</t>
  </si>
  <si>
    <t>090426-T/B</t>
  </si>
  <si>
    <t>ซองยับ</t>
  </si>
  <si>
    <t>สูตร CPR Coffee Bean  MF. 500 G.</t>
  </si>
  <si>
    <t>100326-BBB</t>
  </si>
  <si>
    <t xml:space="preserve">สูตร All Café' </t>
  </si>
  <si>
    <t>20260511</t>
  </si>
  <si>
    <t>260505-T/B</t>
  </si>
  <si>
    <t>302</t>
  </si>
  <si>
    <t>TF trfr plnt to plnt</t>
  </si>
  <si>
    <t>SUTEESEA</t>
  </si>
  <si>
    <t>305</t>
  </si>
  <si>
    <t>305056667</t>
  </si>
  <si>
    <t>250913-TTW</t>
  </si>
  <si>
    <t>SUTTISIT02</t>
  </si>
  <si>
    <t>20250915</t>
  </si>
  <si>
    <t>260522-BBB</t>
  </si>
  <si>
    <t>58000008</t>
  </si>
  <si>
    <t>สติ๊กเกอร์ Super Blend (หน้า) 500g.</t>
  </si>
  <si>
    <t>Roasting</t>
  </si>
  <si>
    <t>Packaging  </t>
  </si>
  <si>
    <t>260602</t>
  </si>
  <si>
    <t>20260609</t>
  </si>
  <si>
    <t>20260611</t>
  </si>
  <si>
    <t>260616-BBB</t>
  </si>
  <si>
    <t>260612-RPT</t>
  </si>
  <si>
    <t>090604-C/B</t>
  </si>
  <si>
    <t>20260618</t>
  </si>
  <si>
    <t>เพื่อส่งให้ RD'QA 7-11 ตรวจสอบ</t>
  </si>
  <si>
    <t>0009</t>
  </si>
  <si>
    <t>0010</t>
  </si>
  <si>
    <t>260514-BBB</t>
  </si>
  <si>
    <t>190601-R/B</t>
  </si>
  <si>
    <t>190602RF/B</t>
  </si>
  <si>
    <t>20260619</t>
  </si>
  <si>
    <t>305055037</t>
  </si>
  <si>
    <t>20260622</t>
  </si>
  <si>
    <t>% Yeild</t>
  </si>
  <si>
    <t>% Loss</t>
  </si>
  <si>
    <t>260226-BF</t>
  </si>
  <si>
    <t>190603-F/B</t>
  </si>
  <si>
    <t>190604-F/B</t>
  </si>
  <si>
    <t>240601-F/B</t>
  </si>
  <si>
    <t>20260114</t>
  </si>
  <si>
    <t>260505-FG</t>
  </si>
  <si>
    <t>Kg</t>
  </si>
  <si>
    <t>16:54:39</t>
  </si>
  <si>
    <t>260320-RPT</t>
  </si>
  <si>
    <t>A.RPT L.20/03/2026</t>
  </si>
  <si>
    <t>4915104153</t>
  </si>
  <si>
    <t>09:08:37</t>
  </si>
  <si>
    <t>4915104685</t>
  </si>
  <si>
    <t>09:20:23</t>
  </si>
  <si>
    <t>58000009</t>
  </si>
  <si>
    <t>สติ๊กเกอร์ Classic Beans (หน้า)</t>
  </si>
  <si>
    <t>250607</t>
  </si>
  <si>
    <t>4915121463</t>
  </si>
  <si>
    <t>13:58:43</t>
  </si>
  <si>
    <t>0150823831</t>
  </si>
  <si>
    <t>4915131741</t>
  </si>
  <si>
    <t>14:52:54</t>
  </si>
  <si>
    <t>2000124686</t>
  </si>
  <si>
    <t>4915141309</t>
  </si>
  <si>
    <t>16:08:20</t>
  </si>
  <si>
    <t>2000124688</t>
  </si>
  <si>
    <t>4915143133</t>
  </si>
  <si>
    <t>4915148334</t>
  </si>
  <si>
    <t>18:34:46</t>
  </si>
  <si>
    <t>2000124696</t>
  </si>
  <si>
    <t>4915148461</t>
  </si>
  <si>
    <t>18:36:44</t>
  </si>
  <si>
    <t>2000124697</t>
  </si>
  <si>
    <t>4915148620</t>
  </si>
  <si>
    <t>18:41:37</t>
  </si>
  <si>
    <t>0150838045</t>
  </si>
  <si>
    <t>Routine 01.07.26.1 A010R002</t>
  </si>
  <si>
    <t>Retain 01.07.26.1 A010R002</t>
  </si>
  <si>
    <t>4915148882</t>
  </si>
  <si>
    <t>18:47:28</t>
  </si>
  <si>
    <t>0150837958</t>
  </si>
  <si>
    <t>RD ทดสอบ Grade B</t>
  </si>
  <si>
    <t>4915200389</t>
  </si>
  <si>
    <t>07:51:15</t>
  </si>
  <si>
    <t>2000124709</t>
  </si>
  <si>
    <t>4915200524</t>
  </si>
  <si>
    <t>07:52:00</t>
  </si>
  <si>
    <t>2000124710</t>
  </si>
  <si>
    <t>4915200528</t>
  </si>
  <si>
    <t>07:52:46</t>
  </si>
  <si>
    <t>2000124711</t>
  </si>
  <si>
    <t>4915200553</t>
  </si>
  <si>
    <t>07:54:00</t>
  </si>
  <si>
    <t>2000124712</t>
  </si>
  <si>
    <t>4915203368</t>
  </si>
  <si>
    <t>09:24:07</t>
  </si>
  <si>
    <t>2000124725</t>
  </si>
  <si>
    <t>4915205378</t>
  </si>
  <si>
    <t>305000000043</t>
  </si>
  <si>
    <t>10:16:45</t>
  </si>
  <si>
    <t>4915205380</t>
  </si>
  <si>
    <t>10:17:27</t>
  </si>
  <si>
    <t>0150733255</t>
  </si>
  <si>
    <t>4915205759</t>
  </si>
  <si>
    <t>260701</t>
  </si>
  <si>
    <t>303000000309</t>
  </si>
  <si>
    <t>10:26:29</t>
  </si>
  <si>
    <t>4915207160</t>
  </si>
  <si>
    <t>11:03:17</t>
  </si>
  <si>
    <t>2000124731</t>
  </si>
  <si>
    <t>4915214155</t>
  </si>
  <si>
    <t>12:59:36</t>
  </si>
  <si>
    <t>2000124768</t>
  </si>
  <si>
    <t>4915223591</t>
  </si>
  <si>
    <t>14:13:16</t>
  </si>
  <si>
    <t>2000124780</t>
  </si>
  <si>
    <t>4915223597</t>
  </si>
  <si>
    <t>14:16:31</t>
  </si>
  <si>
    <t>2000124781</t>
  </si>
  <si>
    <t>4915224194</t>
  </si>
  <si>
    <t>14:17:50</t>
  </si>
  <si>
    <t>2000124782</t>
  </si>
  <si>
    <t>4915224564</t>
  </si>
  <si>
    <t>14:19:31</t>
  </si>
  <si>
    <t>2000124783</t>
  </si>
  <si>
    <t>4915226238</t>
  </si>
  <si>
    <t>14:28:56</t>
  </si>
  <si>
    <t>4915227084</t>
  </si>
  <si>
    <t>14:32:39</t>
  </si>
  <si>
    <t>4915230539</t>
  </si>
  <si>
    <t>14:50:54</t>
  </si>
  <si>
    <t>2000124792</t>
  </si>
  <si>
    <t>4915231482</t>
  </si>
  <si>
    <t>14:54:13</t>
  </si>
  <si>
    <t>0150870453</t>
  </si>
  <si>
    <t>4915236445</t>
  </si>
  <si>
    <t>15:33:36</t>
  </si>
  <si>
    <t>4915238600</t>
  </si>
  <si>
    <t>16:24:32</t>
  </si>
  <si>
    <t>2000124802</t>
  </si>
  <si>
    <t>4915238696</t>
  </si>
  <si>
    <t>16:25:38</t>
  </si>
  <si>
    <t>2000124803</t>
  </si>
  <si>
    <t>4915238797</t>
  </si>
  <si>
    <t>16:26:45</t>
  </si>
  <si>
    <t>2000124804</t>
  </si>
  <si>
    <t>4915238873</t>
  </si>
  <si>
    <t>16:27:45</t>
  </si>
  <si>
    <t>2000124805</t>
  </si>
  <si>
    <t>4915239033</t>
  </si>
  <si>
    <t>16:29:35</t>
  </si>
  <si>
    <t>2000124806</t>
  </si>
  <si>
    <t>4915239067</t>
  </si>
  <si>
    <t>16:30:14</t>
  </si>
  <si>
    <t>2000124807</t>
  </si>
  <si>
    <t>4915239184</t>
  </si>
  <si>
    <t>16:31:40</t>
  </si>
  <si>
    <t>2000124809</t>
  </si>
  <si>
    <t>4915239336</t>
  </si>
  <si>
    <t>16:33:38</t>
  </si>
  <si>
    <t>0150862008</t>
  </si>
  <si>
    <t>เบิกเพื่อจับฉลากงานกอล์ฟ CP</t>
  </si>
  <si>
    <t>405045</t>
  </si>
  <si>
    <t>4915241246</t>
  </si>
  <si>
    <t>17:10:39</t>
  </si>
  <si>
    <t>2000124811</t>
  </si>
  <si>
    <t>4915250068</t>
  </si>
  <si>
    <t>19:56:01</t>
  </si>
  <si>
    <t>0150878067</t>
  </si>
  <si>
    <t>Routine 01.07.26.2 A010R002</t>
  </si>
  <si>
    <t>Retain 01.07.26.1  A010R002</t>
  </si>
  <si>
    <t>4915298227</t>
  </si>
  <si>
    <t>301000000204</t>
  </si>
  <si>
    <t>11:00:35</t>
  </si>
  <si>
    <t>0150907230</t>
  </si>
  <si>
    <t>4915314991</t>
  </si>
  <si>
    <t>14:10:52</t>
  </si>
  <si>
    <t>4915326263</t>
  </si>
  <si>
    <t>14:57:46</t>
  </si>
  <si>
    <t>0150878225</t>
  </si>
  <si>
    <t>A.RPT 20.03.26 CL14:15 Silo 1</t>
  </si>
  <si>
    <t>R.BBB 16.06.26 CL09:00 Silo 5</t>
  </si>
  <si>
    <t>4915334729</t>
  </si>
  <si>
    <t>301000000205</t>
  </si>
  <si>
    <t>16:46:47</t>
  </si>
  <si>
    <t>0150920570</t>
  </si>
  <si>
    <t>4915336719</t>
  </si>
  <si>
    <t>17:38:45</t>
  </si>
  <si>
    <t>2000124913</t>
  </si>
  <si>
    <t>4915337130</t>
  </si>
  <si>
    <t>17:45:00</t>
  </si>
  <si>
    <t>2000124921</t>
  </si>
  <si>
    <t>4915347153</t>
  </si>
  <si>
    <t>22:34:12</t>
  </si>
  <si>
    <t>0150926461</t>
  </si>
  <si>
    <t>Retain 01.07.26.3 A010R002</t>
  </si>
  <si>
    <t>Routine 01.07.26.3 A010R002</t>
  </si>
  <si>
    <t>4915391372</t>
  </si>
  <si>
    <t>301000000206</t>
  </si>
  <si>
    <t>10:52:55</t>
  </si>
  <si>
    <t>0150954942</t>
  </si>
  <si>
    <t>4915536471</t>
  </si>
  <si>
    <t>06:22:48</t>
  </si>
  <si>
    <t>4915539506</t>
  </si>
  <si>
    <t>06:43:02</t>
  </si>
  <si>
    <t>0150985051</t>
  </si>
  <si>
    <t>Top-up 1.7.26.1 P.16(Retain)</t>
  </si>
  <si>
    <t>Top-up 1.7.26.1 P.1,11,22</t>
  </si>
  <si>
    <t>4915539507</t>
  </si>
  <si>
    <t>06:45:42</t>
  </si>
  <si>
    <t>0150985001</t>
  </si>
  <si>
    <t>Top-up 30.6.26.1 P.1 (Retain)</t>
  </si>
  <si>
    <t>Top-up 30.6.26.1 P.1</t>
  </si>
  <si>
    <t>4915544932</t>
  </si>
  <si>
    <t>09:27:31</t>
  </si>
  <si>
    <t>0150916719</t>
  </si>
  <si>
    <t>4915545415</t>
  </si>
  <si>
    <t>09:38:02</t>
  </si>
  <si>
    <t>0150926736</t>
  </si>
  <si>
    <t>A.CPBF 25.03.26 CL 16:00 Silo 1</t>
  </si>
  <si>
    <t>A.RPT 20.03.26 CL 13:30 Silo 3</t>
  </si>
  <si>
    <t>4915545494</t>
  </si>
  <si>
    <t>09:40:08</t>
  </si>
  <si>
    <t>0150984885</t>
  </si>
  <si>
    <t>A.CPBF 25.3.26 CL13:45 Silo1</t>
  </si>
  <si>
    <t>4915546208</t>
  </si>
  <si>
    <t>09:51:30</t>
  </si>
  <si>
    <t>0150838057</t>
  </si>
  <si>
    <t>A.RPT 20.03.2026 CL 13:30 Silo 3</t>
  </si>
  <si>
    <t>R.BBB 16.05.26 CL 16:40 Silo 6</t>
  </si>
  <si>
    <t>4915549544</t>
  </si>
  <si>
    <t>11:03:18</t>
  </si>
  <si>
    <t>2000124974</t>
  </si>
  <si>
    <t>4915549894</t>
  </si>
  <si>
    <t>305000000044</t>
  </si>
  <si>
    <t>11:10:24</t>
  </si>
  <si>
    <t>4915560642</t>
  </si>
  <si>
    <t>13:48:33</t>
  </si>
  <si>
    <t>2000125012</t>
  </si>
  <si>
    <t>4915560644</t>
  </si>
  <si>
    <t>13:49:48</t>
  </si>
  <si>
    <t>2000125013</t>
  </si>
  <si>
    <t>4915560646</t>
  </si>
  <si>
    <t>13:51:01</t>
  </si>
  <si>
    <t>2000125014</t>
  </si>
  <si>
    <t>4915570499</t>
  </si>
  <si>
    <t>14:36:52</t>
  </si>
  <si>
    <t>4915570622</t>
  </si>
  <si>
    <t>14:36:36</t>
  </si>
  <si>
    <t>2000125034</t>
  </si>
  <si>
    <t>4915570625</t>
  </si>
  <si>
    <t>14:37:07</t>
  </si>
  <si>
    <t>2000125035</t>
  </si>
  <si>
    <t>4915573982</t>
  </si>
  <si>
    <t>14:47:55</t>
  </si>
  <si>
    <t>2000125044</t>
  </si>
  <si>
    <t>4915576111</t>
  </si>
  <si>
    <t>14:55:55</t>
  </si>
  <si>
    <t>0151039375</t>
  </si>
  <si>
    <t>4915581159</t>
  </si>
  <si>
    <t>16:08:00</t>
  </si>
  <si>
    <t>0150837994</t>
  </si>
  <si>
    <t>ตรวจปล่อย 01.07.26.1</t>
  </si>
  <si>
    <t>4915591171</t>
  </si>
  <si>
    <t>19:47:19</t>
  </si>
  <si>
    <t>0151057837</t>
  </si>
  <si>
    <t>Top Up 01.07.26.3 A012R002</t>
  </si>
  <si>
    <t>Top Up 01.07.26.2 A012R002</t>
  </si>
  <si>
    <t>4915591175</t>
  </si>
  <si>
    <t>19:48:45</t>
  </si>
  <si>
    <t>0151059866</t>
  </si>
  <si>
    <t>01.07.26.3 P.16 ชิมรสชาติ</t>
  </si>
  <si>
    <t>4915591268</t>
  </si>
  <si>
    <t>19:57:27</t>
  </si>
  <si>
    <t>2000125050</t>
  </si>
  <si>
    <t>4915591331</t>
  </si>
  <si>
    <t>19:58:25</t>
  </si>
  <si>
    <t>2000125051</t>
  </si>
  <si>
    <t>4915592071</t>
  </si>
  <si>
    <t>20:40:16</t>
  </si>
  <si>
    <t>0151055123</t>
  </si>
  <si>
    <t>4915641006</t>
  </si>
  <si>
    <t>260325-BF</t>
  </si>
  <si>
    <t>11:07:37</t>
  </si>
  <si>
    <t>701</t>
  </si>
  <si>
    <t>GR phys.inv.: whse</t>
  </si>
  <si>
    <t>4915648802</t>
  </si>
  <si>
    <t>13:39:20</t>
  </si>
  <si>
    <t>WANNENUA</t>
  </si>
  <si>
    <t>51004001</t>
  </si>
  <si>
    <t>58000015</t>
  </si>
  <si>
    <t>สตก.Gold blend(หน้า-หลัง)250g./1Set=2PC</t>
  </si>
  <si>
    <t>20260227</t>
  </si>
  <si>
    <t>58000027</t>
  </si>
  <si>
    <t>4915649042</t>
  </si>
  <si>
    <t>13:46:39</t>
  </si>
  <si>
    <t>4915649048</t>
  </si>
  <si>
    <t>3093010BBB</t>
  </si>
  <si>
    <t>13:49:52</t>
  </si>
  <si>
    <t>702</t>
  </si>
  <si>
    <t>GI phys.inv.: whse</t>
  </si>
  <si>
    <t>4915649250</t>
  </si>
  <si>
    <t>13:55:27</t>
  </si>
  <si>
    <t>4915649345</t>
  </si>
  <si>
    <t>13:56:18</t>
  </si>
  <si>
    <t>0151058431</t>
  </si>
  <si>
    <t>A.RPT 20.03.26 CL13.30 Silo 1</t>
  </si>
  <si>
    <t>4915649377</t>
  </si>
  <si>
    <t>13:57:59</t>
  </si>
  <si>
    <t>4915654773</t>
  </si>
  <si>
    <t>301000000207</t>
  </si>
  <si>
    <t>14:20:15</t>
  </si>
  <si>
    <t>0151099741</t>
  </si>
  <si>
    <t>4915655103</t>
  </si>
  <si>
    <t>14:21:16</t>
  </si>
  <si>
    <t>2000125159</t>
  </si>
  <si>
    <t>020326-BBB</t>
  </si>
  <si>
    <t>4915658914</t>
  </si>
  <si>
    <t>14:34:04</t>
  </si>
  <si>
    <t>4915663078</t>
  </si>
  <si>
    <t>302000000311</t>
  </si>
  <si>
    <t>15:06:06</t>
  </si>
  <si>
    <t>0151100727</t>
  </si>
  <si>
    <t>260701R1/B</t>
  </si>
  <si>
    <t>4915663494</t>
  </si>
  <si>
    <t>303000000310</t>
  </si>
  <si>
    <t>15:12:28</t>
  </si>
  <si>
    <t>0151100967</t>
  </si>
  <si>
    <t>4915663944</t>
  </si>
  <si>
    <t>305000000045</t>
  </si>
  <si>
    <t>15:22:10</t>
  </si>
  <si>
    <t>4915663973</t>
  </si>
  <si>
    <t>15:23:30</t>
  </si>
  <si>
    <t>0151052720</t>
  </si>
  <si>
    <t>4915664966</t>
  </si>
  <si>
    <t>302000000310</t>
  </si>
  <si>
    <t>15:43:34</t>
  </si>
  <si>
    <t>0151060695</t>
  </si>
  <si>
    <t>260701-R/B</t>
  </si>
  <si>
    <t>4915665791</t>
  </si>
  <si>
    <t>16:00:17</t>
  </si>
  <si>
    <t>2000125167</t>
  </si>
  <si>
    <t>4915666248</t>
  </si>
  <si>
    <t>16:13:35</t>
  </si>
  <si>
    <t>0151091983</t>
  </si>
  <si>
    <t>4915666409</t>
  </si>
  <si>
    <t>303000000311</t>
  </si>
  <si>
    <t>16:15:28</t>
  </si>
  <si>
    <t>0151104396</t>
  </si>
  <si>
    <t>4915666726</t>
  </si>
  <si>
    <t>301000000208</t>
  </si>
  <si>
    <t>16:21:58</t>
  </si>
  <si>
    <t>0151105551</t>
  </si>
  <si>
    <t>4915666870</t>
  </si>
  <si>
    <t>302000000312</t>
  </si>
  <si>
    <t>16:24:17</t>
  </si>
  <si>
    <t>0151105525</t>
  </si>
  <si>
    <t>250917-TTW</t>
  </si>
  <si>
    <t>57000101</t>
  </si>
  <si>
    <t>260701-R1</t>
  </si>
  <si>
    <t>4915667156</t>
  </si>
  <si>
    <t>303000000312</t>
  </si>
  <si>
    <t>16:29:26</t>
  </si>
  <si>
    <t>0151106030</t>
  </si>
  <si>
    <t>27022025</t>
  </si>
  <si>
    <t>59000003</t>
  </si>
  <si>
    <t>เมล็ดกาแฟคั่ว Classic 1 bag ขนาด 500 G.</t>
  </si>
  <si>
    <t>4915669177</t>
  </si>
  <si>
    <t>302000000313</t>
  </si>
  <si>
    <t>17:12:21</t>
  </si>
  <si>
    <t>0151106531</t>
  </si>
  <si>
    <t>260702-R/B</t>
  </si>
  <si>
    <t>4915669410</t>
  </si>
  <si>
    <t>303000000313</t>
  </si>
  <si>
    <t>17:16:55</t>
  </si>
  <si>
    <t>0151108874</t>
  </si>
  <si>
    <t>010702-R/B</t>
  </si>
  <si>
    <t>4915669880</t>
  </si>
  <si>
    <t>302000000314</t>
  </si>
  <si>
    <t>17:27:42</t>
  </si>
  <si>
    <t>0151110180</t>
  </si>
  <si>
    <t>260703R1/B</t>
  </si>
  <si>
    <t>4915670146</t>
  </si>
  <si>
    <t>260323-BF</t>
  </si>
  <si>
    <t>302000000315</t>
  </si>
  <si>
    <t>17:33:38</t>
  </si>
  <si>
    <t>0151110243</t>
  </si>
  <si>
    <t>260703F1/B</t>
  </si>
  <si>
    <t>4915678686</t>
  </si>
  <si>
    <t>20:54:43</t>
  </si>
  <si>
    <t>0151110153</t>
  </si>
  <si>
    <t>RD เบิก 30/6/26 ส่ง CP All</t>
  </si>
  <si>
    <t>4915678852</t>
  </si>
  <si>
    <t>20:56:38</t>
  </si>
  <si>
    <t>0151111340</t>
  </si>
  <si>
    <t>ตรวจเพิ่ม 06.07.26.1 A010R002</t>
  </si>
  <si>
    <t>Top Up 01.07.26.3 P.34,35</t>
  </si>
  <si>
    <t>4915678857</t>
  </si>
  <si>
    <t>20:58:15</t>
  </si>
  <si>
    <t>0151110191</t>
  </si>
  <si>
    <t>Retain 01.07.26.2 A010R002</t>
  </si>
  <si>
    <t>4915679110</t>
  </si>
  <si>
    <t>21:07:39</t>
  </si>
  <si>
    <t>0150878207</t>
  </si>
  <si>
    <t>ตรวจปล่อย 01.07.26</t>
  </si>
  <si>
    <t>ตรวจเพิ่ม 01.07.26.1</t>
  </si>
  <si>
    <t>4915720549</t>
  </si>
  <si>
    <t>09:54:59</t>
  </si>
  <si>
    <t>0151110455</t>
  </si>
  <si>
    <t>R.BBB 16.06.26 CL 09:15 Silo 6</t>
  </si>
  <si>
    <t>5006449838</t>
  </si>
  <si>
    <t>07-26</t>
  </si>
  <si>
    <t>16:21:07</t>
  </si>
  <si>
    <t>IVV0082606302835</t>
  </si>
  <si>
    <t>5006487961</t>
  </si>
  <si>
    <t>16:28:33</t>
  </si>
  <si>
    <t>IVV0082607010061</t>
  </si>
  <si>
    <t>5006519400</t>
  </si>
  <si>
    <t>11:17:21</t>
  </si>
  <si>
    <t>A.RPT 01/07/2026</t>
  </si>
  <si>
    <t>5006525762</t>
  </si>
  <si>
    <t>17:03:02</t>
  </si>
  <si>
    <t>R.BBB L.16/06/2026</t>
  </si>
  <si>
    <t>R.BBB 02-07-26</t>
  </si>
  <si>
    <t>5006555043</t>
  </si>
  <si>
    <t>20260704</t>
  </si>
  <si>
    <t>09:57:24</t>
  </si>
  <si>
    <t>6901266</t>
  </si>
  <si>
    <t>305057905</t>
  </si>
  <si>
    <t>5006555516</t>
  </si>
  <si>
    <t>10:17:55</t>
  </si>
  <si>
    <t>6901267</t>
  </si>
  <si>
    <t>5006556455</t>
  </si>
  <si>
    <t>10:57:22</t>
  </si>
  <si>
    <t>A.RPT 20/03/2026</t>
  </si>
  <si>
    <t>A.RPT 03-07-26</t>
  </si>
  <si>
    <t>5006630743</t>
  </si>
  <si>
    <t>14:02:15</t>
  </si>
  <si>
    <t>IVV0082607020184</t>
  </si>
  <si>
    <t>5006630744</t>
  </si>
  <si>
    <t>14:03:33</t>
  </si>
  <si>
    <t>IVV0082607030234</t>
  </si>
  <si>
    <t>305058103</t>
  </si>
  <si>
    <t>5006634715</t>
  </si>
  <si>
    <t>16:58:56</t>
  </si>
  <si>
    <t>IVV0082607050450</t>
  </si>
  <si>
    <t>5006666984</t>
  </si>
  <si>
    <t>14:28:00</t>
  </si>
  <si>
    <t>A.BF L.25/03/2026</t>
  </si>
  <si>
    <t>A.BF 06-07-26</t>
  </si>
  <si>
    <t>5006667376</t>
  </si>
  <si>
    <t>20260707</t>
  </si>
  <si>
    <t>14:43:53</t>
  </si>
  <si>
    <t>260702</t>
  </si>
  <si>
    <t>305057904</t>
  </si>
  <si>
    <t>2026395</t>
  </si>
  <si>
    <t>5006670037</t>
  </si>
  <si>
    <t>16:25:25</t>
  </si>
  <si>
    <t>A.RPT 06-07-26</t>
  </si>
  <si>
    <t>5006673536</t>
  </si>
  <si>
    <t>19:48:18</t>
  </si>
  <si>
    <t>IVV0082607060590</t>
  </si>
  <si>
    <t>305000000043 Sum</t>
  </si>
  <si>
    <t>303000000309 Sum</t>
  </si>
  <si>
    <t>301000000204 Sum</t>
  </si>
  <si>
    <t>301000000205 Sum</t>
  </si>
  <si>
    <t>301000000206 Sum</t>
  </si>
  <si>
    <t>305000000044 Sum</t>
  </si>
  <si>
    <t>301000000207 Sum</t>
  </si>
  <si>
    <t>302000000311 Sum</t>
  </si>
  <si>
    <t>303000000310 Sum</t>
  </si>
  <si>
    <t>305000000045 Sum</t>
  </si>
  <si>
    <t>302000000310 Sum</t>
  </si>
  <si>
    <t>303000000311 Sum</t>
  </si>
  <si>
    <t>301000000208 Sum</t>
  </si>
  <si>
    <t>302000000312 Sum</t>
  </si>
  <si>
    <t>303000000312 Sum</t>
  </si>
  <si>
    <t>302000000313 Sum</t>
  </si>
  <si>
    <t>303000000313 Sum</t>
  </si>
  <si>
    <t>302000000314 Sum</t>
  </si>
  <si>
    <t>302000000315 Sum</t>
  </si>
  <si>
    <t>4915723424</t>
  </si>
  <si>
    <t>10:59:21</t>
  </si>
  <si>
    <t>2000125196</t>
  </si>
  <si>
    <t>4915725213</t>
  </si>
  <si>
    <t>11:45:46</t>
  </si>
  <si>
    <t>2000125199</t>
  </si>
  <si>
    <t>4915725985</t>
  </si>
  <si>
    <t>12:00:34</t>
  </si>
  <si>
    <t>2000125200</t>
  </si>
  <si>
    <t>240602-F/B</t>
  </si>
  <si>
    <t>4915728346</t>
  </si>
  <si>
    <t>12:23:22</t>
  </si>
  <si>
    <t>20260629</t>
  </si>
  <si>
    <t>4915732678</t>
  </si>
  <si>
    <t>14:04:39</t>
  </si>
  <si>
    <t>0151140079</t>
  </si>
  <si>
    <t>4915735777</t>
  </si>
  <si>
    <t>301000000212</t>
  </si>
  <si>
    <t>14:15:34</t>
  </si>
  <si>
    <t>0151145795</t>
  </si>
  <si>
    <t>4915742312</t>
  </si>
  <si>
    <t>14:38:31</t>
  </si>
  <si>
    <t>2000125255</t>
  </si>
  <si>
    <t>4915746757</t>
  </si>
  <si>
    <t>14:59:32</t>
  </si>
  <si>
    <t>2000125262</t>
  </si>
  <si>
    <t>4915765378</t>
  </si>
  <si>
    <t>21:42:25</t>
  </si>
  <si>
    <t>0151155325</t>
  </si>
  <si>
    <t>Routine 06.07.2026.3 A010R002</t>
  </si>
  <si>
    <t>Retain 06.07.2026.3 A010R002</t>
  </si>
  <si>
    <t>4915765802</t>
  </si>
  <si>
    <t>21:46:42</t>
  </si>
  <si>
    <t>0151155717</t>
  </si>
  <si>
    <t>RD เบิกตัวอย่างเพื่อส่งให้ PUR CPALL</t>
  </si>
  <si>
    <t>4915765891</t>
  </si>
  <si>
    <t>21:48:59</t>
  </si>
  <si>
    <t>0151157551</t>
  </si>
  <si>
    <t>RD เบิกบรรจุตัวอย่างส่งจัดซื้อ CP All</t>
  </si>
  <si>
    <t>4915814955</t>
  </si>
  <si>
    <t>11:55:56</t>
  </si>
  <si>
    <t>2000125363</t>
  </si>
  <si>
    <t>4915815763</t>
  </si>
  <si>
    <t>12:03:44</t>
  </si>
  <si>
    <t>0151181208</t>
  </si>
  <si>
    <t>4915824735</t>
  </si>
  <si>
    <t>14:09:10</t>
  </si>
  <si>
    <t>4915827986</t>
  </si>
  <si>
    <t>14:24:05</t>
  </si>
  <si>
    <t>2000125374</t>
  </si>
  <si>
    <t>4915828793</t>
  </si>
  <si>
    <t>14:25:52</t>
  </si>
  <si>
    <t>2000125378</t>
  </si>
  <si>
    <t>4915829256</t>
  </si>
  <si>
    <t>301000000213</t>
  </si>
  <si>
    <t>14:27:44</t>
  </si>
  <si>
    <t>0151189386</t>
  </si>
  <si>
    <t>4915830213</t>
  </si>
  <si>
    <t>14:30:38</t>
  </si>
  <si>
    <t>2000125385</t>
  </si>
  <si>
    <t>4915840366</t>
  </si>
  <si>
    <t>16:03:58</t>
  </si>
  <si>
    <t>4915844962</t>
  </si>
  <si>
    <t>17:25:15</t>
  </si>
  <si>
    <t>2000125415</t>
  </si>
  <si>
    <t>4915898556</t>
  </si>
  <si>
    <t>09:18:39</t>
  </si>
  <si>
    <t>0151155423</t>
  </si>
  <si>
    <t>A.CPBF 25.03.2026 CL 15:35 Silo 2</t>
  </si>
  <si>
    <t>A.RPT 20.03.2026 CL 09:40 Silo 1</t>
  </si>
  <si>
    <t>4915898636</t>
  </si>
  <si>
    <t>09:21:32</t>
  </si>
  <si>
    <t>0151194073</t>
  </si>
  <si>
    <t>A.CPBF 25.03.2026 CL 09:20 Silo 2</t>
  </si>
  <si>
    <t>4915903907</t>
  </si>
  <si>
    <t>11:13:42</t>
  </si>
  <si>
    <t>2000125494</t>
  </si>
  <si>
    <t>4915905061</t>
  </si>
  <si>
    <t>11:37:52</t>
  </si>
  <si>
    <t>2000125497</t>
  </si>
  <si>
    <t>5006705744</t>
  </si>
  <si>
    <t>14:24:56</t>
  </si>
  <si>
    <t>R.BBB 07-07-26</t>
  </si>
  <si>
    <t>5006709264</t>
  </si>
  <si>
    <t>16:46:22</t>
  </si>
  <si>
    <t>IVV0082607070702</t>
  </si>
  <si>
    <t>5006743440</t>
  </si>
  <si>
    <t>14:30:09</t>
  </si>
  <si>
    <t>A.RPT 08-07-26</t>
  </si>
  <si>
    <t>5006745209</t>
  </si>
  <si>
    <t>15:46:30</t>
  </si>
  <si>
    <t>IVV0082607080823</t>
  </si>
  <si>
    <t>5006748191</t>
  </si>
  <si>
    <t>20260703</t>
  </si>
  <si>
    <t>17:23:09</t>
  </si>
  <si>
    <t>IV6907037</t>
  </si>
  <si>
    <t>305054599-5712</t>
  </si>
  <si>
    <t>305055712</t>
  </si>
  <si>
    <t>2043579</t>
  </si>
  <si>
    <t>ROL</t>
  </si>
  <si>
    <t>305054599</t>
  </si>
  <si>
    <t>301000000212 Sum</t>
  </si>
  <si>
    <t>301000000213 Sum</t>
  </si>
  <si>
    <t>59000012</t>
  </si>
  <si>
    <t>กาแฟมวลชน Gold Blend ขนาด 250 G.</t>
  </si>
  <si>
    <t>4915917827</t>
  </si>
  <si>
    <t>14:07:15</t>
  </si>
  <si>
    <t>2000125507</t>
  </si>
  <si>
    <t>4915918356</t>
  </si>
  <si>
    <t>14:09:00</t>
  </si>
  <si>
    <t>2000125511</t>
  </si>
  <si>
    <t>4915918842</t>
  </si>
  <si>
    <t>14:10:01</t>
  </si>
  <si>
    <t>4915927635</t>
  </si>
  <si>
    <t>14:42:10</t>
  </si>
  <si>
    <t>2000125514</t>
  </si>
  <si>
    <t>4915928561</t>
  </si>
  <si>
    <t>14:43:43</t>
  </si>
  <si>
    <t>2000125515</t>
  </si>
  <si>
    <t>4915929024</t>
  </si>
  <si>
    <t>14:46:01</t>
  </si>
  <si>
    <t>0151222567</t>
  </si>
  <si>
    <t>542</t>
  </si>
  <si>
    <t>RE subctrStck toWhse</t>
  </si>
  <si>
    <t>4915936935</t>
  </si>
  <si>
    <t>SH01</t>
  </si>
  <si>
    <t>15:30:01</t>
  </si>
  <si>
    <t>O</t>
  </si>
  <si>
    <t>0151234231</t>
  </si>
  <si>
    <t>E7515723</t>
  </si>
  <si>
    <t>4915937293</t>
  </si>
  <si>
    <t>15:39:05</t>
  </si>
  <si>
    <t>2000125524</t>
  </si>
  <si>
    <t>4915940056</t>
  </si>
  <si>
    <t>16:46:17</t>
  </si>
  <si>
    <t>2000125531</t>
  </si>
  <si>
    <t>4915943493</t>
  </si>
  <si>
    <t>17:58:35</t>
  </si>
  <si>
    <t>0151194130</t>
  </si>
  <si>
    <t>Retain 06.07.2026.1 A012R002</t>
  </si>
  <si>
    <t>Top Up 01.07.26.1 A012R002</t>
  </si>
  <si>
    <t>4915943642</t>
  </si>
  <si>
    <t>18:00:35</t>
  </si>
  <si>
    <t>0151245138</t>
  </si>
  <si>
    <t>ฐาน 10.07.26.1 A010R002</t>
  </si>
  <si>
    <t>Retain 10.07.26.1 A010R002</t>
  </si>
  <si>
    <t>4915943648</t>
  </si>
  <si>
    <t>18:01:57</t>
  </si>
  <si>
    <t>0151243891</t>
  </si>
  <si>
    <t>Top Up 06.07.26.1 A012R002</t>
  </si>
  <si>
    <t>Top Up 06.07.26.2 A012R002</t>
  </si>
  <si>
    <t>Retain 06.07.26.2 A012R002</t>
  </si>
  <si>
    <t>4915943754</t>
  </si>
  <si>
    <t>18:03:07</t>
  </si>
  <si>
    <t>0151245100</t>
  </si>
  <si>
    <t>Top up 06.07.26.3 A012R002</t>
  </si>
  <si>
    <t>Retain 06.07.26.3 A012R002</t>
  </si>
  <si>
    <t>4915947961</t>
  </si>
  <si>
    <t>260619-CF</t>
  </si>
  <si>
    <t>18:57:31</t>
  </si>
  <si>
    <t>0151243657</t>
  </si>
  <si>
    <t>รับเข้า A.CF แก้ไข 26/06</t>
  </si>
  <si>
    <t>4915947968</t>
  </si>
  <si>
    <t>260519-TTW</t>
  </si>
  <si>
    <t>19:03:42</t>
  </si>
  <si>
    <t>0151243124</t>
  </si>
  <si>
    <t>Grade B ก่อนหลัง 10.07.26</t>
  </si>
  <si>
    <t>4915948099</t>
  </si>
  <si>
    <t>260403-TTW</t>
  </si>
  <si>
    <t>19:12:53</t>
  </si>
  <si>
    <t>0151242809</t>
  </si>
  <si>
    <t>Grade B ก่อนหลัง 09.07.26</t>
  </si>
  <si>
    <t>4915948898</t>
  </si>
  <si>
    <t>19:55:27</t>
  </si>
  <si>
    <t>0150838107</t>
  </si>
  <si>
    <t>เบิกซองพร้อมวาล์วเพื่อทดสอบRibbon</t>
  </si>
  <si>
    <t>4915948954</t>
  </si>
  <si>
    <t>251202-BBB</t>
  </si>
  <si>
    <t>19:58:57</t>
  </si>
  <si>
    <t>0150837990</t>
  </si>
  <si>
    <t>สารกาแฟเกรดB ก่อน-หลังโหลด BB25,35,37</t>
  </si>
  <si>
    <t>4916005162</t>
  </si>
  <si>
    <t>12:57:23</t>
  </si>
  <si>
    <t>4916005514</t>
  </si>
  <si>
    <t>260323-RPT</t>
  </si>
  <si>
    <t>13:09:37</t>
  </si>
  <si>
    <t>4916007187</t>
  </si>
  <si>
    <t>301000000214</t>
  </si>
  <si>
    <t>13:49:22</t>
  </si>
  <si>
    <t>0151281872</t>
  </si>
  <si>
    <t>4916007467</t>
  </si>
  <si>
    <t>301000000215</t>
  </si>
  <si>
    <t>13:55:11</t>
  </si>
  <si>
    <t>0151281912</t>
  </si>
  <si>
    <t>4916008039</t>
  </si>
  <si>
    <t>301000000216</t>
  </si>
  <si>
    <t>14:04:29</t>
  </si>
  <si>
    <t>0151281934</t>
  </si>
  <si>
    <t>4916023451</t>
  </si>
  <si>
    <t>15:03:12</t>
  </si>
  <si>
    <t>4916133639</t>
  </si>
  <si>
    <t>06:16:17</t>
  </si>
  <si>
    <t>0151296454</t>
  </si>
  <si>
    <t>Routine 10.07.26.2 A010R002</t>
  </si>
  <si>
    <t>4916141566</t>
  </si>
  <si>
    <t>09:34:54</t>
  </si>
  <si>
    <t>2000125533</t>
  </si>
  <si>
    <t>262</t>
  </si>
  <si>
    <t>RE for order</t>
  </si>
  <si>
    <t>4916144730</t>
  </si>
  <si>
    <t>10:37:32</t>
  </si>
  <si>
    <t>4916144963</t>
  </si>
  <si>
    <t>10:40:21</t>
  </si>
  <si>
    <t>4916145938</t>
  </si>
  <si>
    <t>11:03:03</t>
  </si>
  <si>
    <t>4916145957</t>
  </si>
  <si>
    <t>11:05:18</t>
  </si>
  <si>
    <t>4916147861</t>
  </si>
  <si>
    <t>11:47:04</t>
  </si>
  <si>
    <t>4916152919</t>
  </si>
  <si>
    <t>12:57:38</t>
  </si>
  <si>
    <t>2000125625</t>
  </si>
  <si>
    <t>4916153692</t>
  </si>
  <si>
    <t>13:17:42</t>
  </si>
  <si>
    <t>0151358317</t>
  </si>
  <si>
    <t>4916154421</t>
  </si>
  <si>
    <t>303000000314</t>
  </si>
  <si>
    <t>13:33:41</t>
  </si>
  <si>
    <t>0151363732</t>
  </si>
  <si>
    <t>010703R1/B</t>
  </si>
  <si>
    <t>4916154604</t>
  </si>
  <si>
    <t>303000000315</t>
  </si>
  <si>
    <t>13:38:20</t>
  </si>
  <si>
    <t>0151363843</t>
  </si>
  <si>
    <t>010704R1/B</t>
  </si>
  <si>
    <t>4916155246</t>
  </si>
  <si>
    <t>302000000316</t>
  </si>
  <si>
    <t>13:50:49</t>
  </si>
  <si>
    <t>0151110324</t>
  </si>
  <si>
    <t>250918-TTW</t>
  </si>
  <si>
    <t>260706-F/B</t>
  </si>
  <si>
    <t>4916155474</t>
  </si>
  <si>
    <t>303000000316</t>
  </si>
  <si>
    <t>13:55:16</t>
  </si>
  <si>
    <t>0151364117</t>
  </si>
  <si>
    <t>060701-F/B</t>
  </si>
  <si>
    <t>4916156324</t>
  </si>
  <si>
    <t>302000000317</t>
  </si>
  <si>
    <t>14:03:35</t>
  </si>
  <si>
    <t>0151364245</t>
  </si>
  <si>
    <t>250924-TTW</t>
  </si>
  <si>
    <t>260707R1/B</t>
  </si>
  <si>
    <t>4916157155</t>
  </si>
  <si>
    <t>302000000318</t>
  </si>
  <si>
    <t>14:07:02</t>
  </si>
  <si>
    <t>0151364471</t>
  </si>
  <si>
    <t>260708R1/B</t>
  </si>
  <si>
    <t>4916158548</t>
  </si>
  <si>
    <t>302000000319</t>
  </si>
  <si>
    <t>14:11:19</t>
  </si>
  <si>
    <t>0151365057</t>
  </si>
  <si>
    <t>260709-F/B</t>
  </si>
  <si>
    <t>4916159237</t>
  </si>
  <si>
    <t>303000000317</t>
  </si>
  <si>
    <t>14:14:53</t>
  </si>
  <si>
    <t>0151366208</t>
  </si>
  <si>
    <t>060702R1/B</t>
  </si>
  <si>
    <t>4916160543</t>
  </si>
  <si>
    <t>303000000318</t>
  </si>
  <si>
    <t>14:18:00</t>
  </si>
  <si>
    <t>0151366623</t>
  </si>
  <si>
    <t>060703R1/B</t>
  </si>
  <si>
    <t>4916161909</t>
  </si>
  <si>
    <t>303000000319</t>
  </si>
  <si>
    <t>14:24:58</t>
  </si>
  <si>
    <t>0151366796</t>
  </si>
  <si>
    <t>060704-F/B</t>
  </si>
  <si>
    <t>4916164495</t>
  </si>
  <si>
    <t>14:33:17</t>
  </si>
  <si>
    <t>2000125655</t>
  </si>
  <si>
    <t>4916171982</t>
  </si>
  <si>
    <t>14:59:10</t>
  </si>
  <si>
    <t>4916172695</t>
  </si>
  <si>
    <t>15:02:11</t>
  </si>
  <si>
    <t>2000125680</t>
  </si>
  <si>
    <t>4916172696</t>
  </si>
  <si>
    <t>15:02:33</t>
  </si>
  <si>
    <t>2000125681</t>
  </si>
  <si>
    <t>4916174350</t>
  </si>
  <si>
    <t>15:16:11</t>
  </si>
  <si>
    <t>2000125683</t>
  </si>
  <si>
    <t>4916174512</t>
  </si>
  <si>
    <t>15:17:12</t>
  </si>
  <si>
    <t>2000125684</t>
  </si>
  <si>
    <t>4916175380</t>
  </si>
  <si>
    <t>301000000217</t>
  </si>
  <si>
    <t>15:36:54</t>
  </si>
  <si>
    <t>0151370104</t>
  </si>
  <si>
    <t>5006781251</t>
  </si>
  <si>
    <t>20260710</t>
  </si>
  <si>
    <t>14:18:15</t>
  </si>
  <si>
    <t>IV6907109</t>
  </si>
  <si>
    <t>305057371</t>
  </si>
  <si>
    <t>5006785574</t>
  </si>
  <si>
    <t>17:26:28</t>
  </si>
  <si>
    <t>IVV0082607090906</t>
  </si>
  <si>
    <t>5006786746</t>
  </si>
  <si>
    <t>260710-CF</t>
  </si>
  <si>
    <t>18:27:55</t>
  </si>
  <si>
    <t>RT-20260700005</t>
  </si>
  <si>
    <t>305057000</t>
  </si>
  <si>
    <t>2053774</t>
  </si>
  <si>
    <t>5006786909</t>
  </si>
  <si>
    <t>18:36:18</t>
  </si>
  <si>
    <t>305056999</t>
  </si>
  <si>
    <t>5006817242</t>
  </si>
  <si>
    <t>20260711</t>
  </si>
  <si>
    <t>11:44:16</t>
  </si>
  <si>
    <t>6901319</t>
  </si>
  <si>
    <t>5006819220</t>
  </si>
  <si>
    <t>13:51:41</t>
  </si>
  <si>
    <t>A.BF 09-07-26</t>
  </si>
  <si>
    <t>5006819344</t>
  </si>
  <si>
    <t>13:58:00</t>
  </si>
  <si>
    <t>A.RPT 10-07-26</t>
  </si>
  <si>
    <t>5006819348</t>
  </si>
  <si>
    <t>14:08:39</t>
  </si>
  <si>
    <t>A.RPT 23/03/2026</t>
  </si>
  <si>
    <t>5006820756</t>
  </si>
  <si>
    <t>15:08:29</t>
  </si>
  <si>
    <t>102</t>
  </si>
  <si>
    <t>GR for order    rev.</t>
  </si>
  <si>
    <t>5006885277</t>
  </si>
  <si>
    <t>10:35:30</t>
  </si>
  <si>
    <t>5006885702</t>
  </si>
  <si>
    <t>10:43:03</t>
  </si>
  <si>
    <t>A.RPT L23-03-2026</t>
  </si>
  <si>
    <t>5006885966</t>
  </si>
  <si>
    <t>11:00:58</t>
  </si>
  <si>
    <t>5006886166</t>
  </si>
  <si>
    <t>11:08:50</t>
  </si>
  <si>
    <t>5006891052</t>
  </si>
  <si>
    <t>15:46:39</t>
  </si>
  <si>
    <t>R.BBB 11-07-26</t>
  </si>
  <si>
    <t>5006892734</t>
  </si>
  <si>
    <t>16:45:06</t>
  </si>
  <si>
    <t>IVV0082607101004</t>
  </si>
  <si>
    <t>5006892740</t>
  </si>
  <si>
    <t>16:46:24</t>
  </si>
  <si>
    <t>IVV0082607121142</t>
  </si>
  <si>
    <t>301000000214 Sum</t>
  </si>
  <si>
    <t>301000000215 Sum</t>
  </si>
  <si>
    <t>301000000216 Sum</t>
  </si>
  <si>
    <t>303000000314 Sum</t>
  </si>
  <si>
    <t>303000000315 Sum</t>
  </si>
  <si>
    <t>302000000316 Sum</t>
  </si>
  <si>
    <t>303000000316 Sum</t>
  </si>
  <si>
    <t>302000000317 Sum</t>
  </si>
  <si>
    <t>302000000318 Sum</t>
  </si>
  <si>
    <t>302000000319 Sum</t>
  </si>
  <si>
    <t>303000000317 Sum</t>
  </si>
  <si>
    <t>303000000318 Sum</t>
  </si>
  <si>
    <t>303000000319 Sum</t>
  </si>
  <si>
    <t>301000000217 Sum</t>
  </si>
  <si>
    <t>01.07.2026</t>
  </si>
  <si>
    <t>02.06.2026</t>
  </si>
  <si>
    <t>03.07.2026</t>
  </si>
  <si>
    <t>04.07.206</t>
  </si>
  <si>
    <t>06.07.2026</t>
  </si>
  <si>
    <t>07.07.2026</t>
  </si>
  <si>
    <t>08.07.2026</t>
  </si>
  <si>
    <t>09.07.2026</t>
  </si>
  <si>
    <t>เริ่มผลิต 1.7.2026 - 31.7.2026</t>
  </si>
  <si>
    <t>4916227583</t>
  </si>
  <si>
    <t>08:46:41</t>
  </si>
  <si>
    <t>0151372947</t>
  </si>
  <si>
    <t>Retain 10.07.2026.3 A010R002</t>
  </si>
  <si>
    <t>Routine 10.07.26.3 A010R002</t>
  </si>
  <si>
    <t>4916239812</t>
  </si>
  <si>
    <t>13:19:01</t>
  </si>
  <si>
    <t>2000125797</t>
  </si>
  <si>
    <t>4916240680</t>
  </si>
  <si>
    <t>13:43:33</t>
  </si>
  <si>
    <t>4916254028</t>
  </si>
  <si>
    <t>240603-F/B</t>
  </si>
  <si>
    <t>14:51:34</t>
  </si>
  <si>
    <t>2000125806</t>
  </si>
  <si>
    <t>4916254085</t>
  </si>
  <si>
    <t>240604FR/B</t>
  </si>
  <si>
    <t>14:52:50</t>
  </si>
  <si>
    <t>2000125807</t>
  </si>
  <si>
    <t>4916254208</t>
  </si>
  <si>
    <t>14:56:27</t>
  </si>
  <si>
    <t>0151359685</t>
  </si>
  <si>
    <t>4916255803</t>
  </si>
  <si>
    <t>15:25:04</t>
  </si>
  <si>
    <t>2000125809</t>
  </si>
  <si>
    <t>4916257617</t>
  </si>
  <si>
    <t>16:10:34</t>
  </si>
  <si>
    <t>5006927801</t>
  </si>
  <si>
    <t>16:05:49</t>
  </si>
  <si>
    <t>IVV0082607141373</t>
  </si>
  <si>
    <t>Por Ver</t>
  </si>
  <si>
    <t>4916263874</t>
  </si>
  <si>
    <t>18:23:25</t>
  </si>
  <si>
    <t>0151407476</t>
  </si>
  <si>
    <t>Retain 10.07.26.1 A012R002</t>
  </si>
  <si>
    <t>Top Up 10.07.26.1 A012R002</t>
  </si>
  <si>
    <t>สินค้าขาด(เกิน)บัญชี</t>
  </si>
  <si>
    <t>4916323107</t>
  </si>
  <si>
    <t>14:28:46</t>
  </si>
  <si>
    <t>2000125855</t>
  </si>
  <si>
    <t>201</t>
  </si>
  <si>
    <t>GI for cost center</t>
  </si>
  <si>
    <t>4916323793</t>
  </si>
  <si>
    <t>14:30:33</t>
  </si>
  <si>
    <t>0151364134</t>
  </si>
  <si>
    <t>สำหรับกรมสรรพกรอารีย์</t>
  </si>
  <si>
    <t>204001</t>
  </si>
  <si>
    <t>4916324111</t>
  </si>
  <si>
    <t>14:31:19</t>
  </si>
  <si>
    <t>602</t>
  </si>
  <si>
    <t>GD Goods deliv. rev.</t>
  </si>
  <si>
    <t>4916332049</t>
  </si>
  <si>
    <t>15:11:25</t>
  </si>
  <si>
    <t>4916332424</t>
  </si>
  <si>
    <t>15:12:09</t>
  </si>
  <si>
    <t>2000125859</t>
  </si>
  <si>
    <t>4916337350</t>
  </si>
  <si>
    <t>15:57:08</t>
  </si>
  <si>
    <t>2000125863</t>
  </si>
  <si>
    <t>4916337596</t>
  </si>
  <si>
    <t>15:59:38</t>
  </si>
  <si>
    <t>0151389539</t>
  </si>
  <si>
    <t>5006965700</t>
  </si>
  <si>
    <t>16:35:50</t>
  </si>
  <si>
    <t>IVV0082607141408</t>
  </si>
  <si>
    <t>4916346438</t>
  </si>
  <si>
    <t>19:14:40</t>
  </si>
  <si>
    <t>0151488648</t>
  </si>
  <si>
    <t>Top up 10.07.26.3 A012R002</t>
  </si>
  <si>
    <t>Top up 10.07.26.2 A012R002</t>
  </si>
  <si>
    <t>4916346833</t>
  </si>
  <si>
    <t>19:30:52</t>
  </si>
  <si>
    <t>0151488756</t>
  </si>
  <si>
    <t>ฐาน 15.07.26.1 A010R002</t>
  </si>
  <si>
    <t>302000000309</t>
  </si>
  <si>
    <t>4916401028</t>
  </si>
  <si>
    <t>13:45:37</t>
  </si>
  <si>
    <t>2000125891</t>
  </si>
  <si>
    <t>4916401273</t>
  </si>
  <si>
    <t>13:52:46</t>
  </si>
  <si>
    <t>2000125892</t>
  </si>
  <si>
    <t>4916401368</t>
  </si>
  <si>
    <t>13:55:43</t>
  </si>
  <si>
    <t>0151480741</t>
  </si>
  <si>
    <t>4916402188</t>
  </si>
  <si>
    <t>14:03:23</t>
  </si>
  <si>
    <t>2000125894</t>
  </si>
  <si>
    <t>4916402474</t>
  </si>
  <si>
    <t>14:04:05</t>
  </si>
  <si>
    <t>4916403816</t>
  </si>
  <si>
    <t>14:10:16</t>
  </si>
  <si>
    <t>0151509467</t>
  </si>
  <si>
    <t>4916409185</t>
  </si>
  <si>
    <t>14:30:24</t>
  </si>
  <si>
    <t>0151515109</t>
  </si>
  <si>
    <t>เดโม่เครื่องชงกาแฟ ร้าน Acorn Café</t>
  </si>
  <si>
    <t>403002</t>
  </si>
  <si>
    <t>67001000</t>
  </si>
  <si>
    <t>260428TB</t>
  </si>
  <si>
    <t>4916417603</t>
  </si>
  <si>
    <t>16:07:15</t>
  </si>
  <si>
    <t>4916418390</t>
  </si>
  <si>
    <t>16:23:55</t>
  </si>
  <si>
    <t>0151050644</t>
  </si>
  <si>
    <t>250925-BBB</t>
  </si>
  <si>
    <t>250910PNK</t>
  </si>
  <si>
    <t>110925-TTW</t>
  </si>
  <si>
    <t>4916418651</t>
  </si>
  <si>
    <t>16:27:50</t>
  </si>
  <si>
    <t>0150860049</t>
  </si>
  <si>
    <t>4916420253</t>
  </si>
  <si>
    <t>302000000320</t>
  </si>
  <si>
    <t>16:58:44</t>
  </si>
  <si>
    <t>0151520553</t>
  </si>
  <si>
    <t>250926-TTW</t>
  </si>
  <si>
    <t>260710F1/B</t>
  </si>
  <si>
    <t>4916420793</t>
  </si>
  <si>
    <t>302000000321</t>
  </si>
  <si>
    <t>17:09:11</t>
  </si>
  <si>
    <t>0151520627</t>
  </si>
  <si>
    <t>250929-TTW</t>
  </si>
  <si>
    <t>260711R1/B</t>
  </si>
  <si>
    <t>4916420982</t>
  </si>
  <si>
    <t>301000000218</t>
  </si>
  <si>
    <t>17:12:26</t>
  </si>
  <si>
    <t>0151520662</t>
  </si>
  <si>
    <t>4916421434</t>
  </si>
  <si>
    <t>303000000320</t>
  </si>
  <si>
    <t>17:22:11</t>
  </si>
  <si>
    <t>0151520809</t>
  </si>
  <si>
    <t>100701F1/B</t>
  </si>
  <si>
    <t>4916421562</t>
  </si>
  <si>
    <t>301000000219</t>
  </si>
  <si>
    <t>17:22:26</t>
  </si>
  <si>
    <t>0151520810</t>
  </si>
  <si>
    <t>4916421661</t>
  </si>
  <si>
    <t>303000000321</t>
  </si>
  <si>
    <t>17:24:27</t>
  </si>
  <si>
    <t>0151520835</t>
  </si>
  <si>
    <t>100702R1/B</t>
  </si>
  <si>
    <t>4916421900</t>
  </si>
  <si>
    <t>301000000220</t>
  </si>
  <si>
    <t>17:32:25</t>
  </si>
  <si>
    <t>0151520869</t>
  </si>
  <si>
    <t>4916431764</t>
  </si>
  <si>
    <t>21:43:14</t>
  </si>
  <si>
    <t>0151521805</t>
  </si>
  <si>
    <t>Retain 15.07.26.1 A010R002</t>
  </si>
  <si>
    <t>Routine 15.07.26.1 A010R002</t>
  </si>
  <si>
    <t>Retain 15.07.26.2 A010R002</t>
  </si>
  <si>
    <t>Routine 15.07.26.2 A010R002</t>
  </si>
  <si>
    <t>5007002312</t>
  </si>
  <si>
    <t>15:57:24</t>
  </si>
  <si>
    <t>IVV0082607151529</t>
  </si>
  <si>
    <t>5007004008</t>
  </si>
  <si>
    <t>17:16:12</t>
  </si>
  <si>
    <t>A.RPT 13-07-26</t>
  </si>
  <si>
    <t>5007004267</t>
  </si>
  <si>
    <t>17:26:02</t>
  </si>
  <si>
    <t>A.BF.25/03/2026</t>
  </si>
  <si>
    <t>A.BF 25-03-26</t>
  </si>
  <si>
    <t>5007004558</t>
  </si>
  <si>
    <t>17:35:36</t>
  </si>
  <si>
    <t>A.RPT L.23/03/2026</t>
  </si>
  <si>
    <t>A.RPT 15-07-26</t>
  </si>
  <si>
    <t>302000000309 Sum</t>
  </si>
  <si>
    <t>302000000320 Sum</t>
  </si>
  <si>
    <t>302000000321 Sum</t>
  </si>
  <si>
    <t>301000000218 Sum</t>
  </si>
  <si>
    <t>303000000320 Sum</t>
  </si>
  <si>
    <t>301000000219 Sum</t>
  </si>
  <si>
    <t>303000000321 Sum</t>
  </si>
  <si>
    <t>301000000220 Sum</t>
  </si>
  <si>
    <t>10.07.2026</t>
  </si>
  <si>
    <t>11.07.2026</t>
  </si>
  <si>
    <t>653</t>
  </si>
  <si>
    <t>GD returns unrestr.</t>
  </si>
  <si>
    <t>4916482728</t>
  </si>
  <si>
    <t>13:52:45</t>
  </si>
  <si>
    <t>2100000972</t>
  </si>
  <si>
    <t>4916482772</t>
  </si>
  <si>
    <t>13:52:26</t>
  </si>
  <si>
    <t>4916482892</t>
  </si>
  <si>
    <t>13:55:26</t>
  </si>
  <si>
    <t>2000125974</t>
  </si>
  <si>
    <t>4916484908</t>
  </si>
  <si>
    <t>14:12:04</t>
  </si>
  <si>
    <t>2000125975</t>
  </si>
  <si>
    <t>4916486010</t>
  </si>
  <si>
    <t>14:16:14</t>
  </si>
  <si>
    <t>2000125978</t>
  </si>
  <si>
    <t>4916486836</t>
  </si>
  <si>
    <t>14:18:56</t>
  </si>
  <si>
    <t>2000125981</t>
  </si>
  <si>
    <t>4916488440</t>
  </si>
  <si>
    <t>14:26:31</t>
  </si>
  <si>
    <t>0151540122</t>
  </si>
  <si>
    <t>4916489094</t>
  </si>
  <si>
    <t>14:28:57</t>
  </si>
  <si>
    <t>4916502190</t>
  </si>
  <si>
    <t>15:29:28</t>
  </si>
  <si>
    <t>0151548132</t>
  </si>
  <si>
    <t>ตัดขายอะไหล่pic</t>
  </si>
  <si>
    <t>4916502471</t>
  </si>
  <si>
    <t>15:34:11</t>
  </si>
  <si>
    <t>2000126016</t>
  </si>
  <si>
    <t>654</t>
  </si>
  <si>
    <t>GD returns unr. rev.</t>
  </si>
  <si>
    <t>4916502478</t>
  </si>
  <si>
    <t>15:35:58</t>
  </si>
  <si>
    <t>4916502886</t>
  </si>
  <si>
    <t>15:45:03</t>
  </si>
  <si>
    <t>2100000973</t>
  </si>
  <si>
    <t>5007034576</t>
  </si>
  <si>
    <t>260715-TTW</t>
  </si>
  <si>
    <t>10:12:54</t>
  </si>
  <si>
    <t>I12607010</t>
  </si>
  <si>
    <t>305058458</t>
  </si>
  <si>
    <t>2020836</t>
  </si>
  <si>
    <t>4916508771</t>
  </si>
  <si>
    <t>RJMC090603</t>
  </si>
  <si>
    <t>18:05:10</t>
  </si>
  <si>
    <t>2100000975</t>
  </si>
  <si>
    <t>4916516462</t>
  </si>
  <si>
    <t>21:38:26</t>
  </si>
  <si>
    <t>0151557027</t>
  </si>
  <si>
    <t>Retain 15.07.26.2 A012R002</t>
  </si>
  <si>
    <t>Routine 15.07.26.2 A012R002</t>
  </si>
  <si>
    <t>Retain 15.07.26.1 A012R002</t>
  </si>
  <si>
    <t>Routine 15.07.26.1 A012R002</t>
  </si>
  <si>
    <t>4916587369</t>
  </si>
  <si>
    <t>15:57:00</t>
  </si>
  <si>
    <t>4916598958</t>
  </si>
  <si>
    <t>21:14:24</t>
  </si>
  <si>
    <t>0151592060</t>
  </si>
  <si>
    <t>Retain 18.07.26.1 A012R002</t>
  </si>
  <si>
    <t>Routine 18.07.26.1 A012R002</t>
  </si>
  <si>
    <t>4916700862</t>
  </si>
  <si>
    <t>08:32:48</t>
  </si>
  <si>
    <t>0151551141</t>
  </si>
  <si>
    <t>DC สุวรรณภูมิ(ห้องประชุมชั้น 2  ฝั่ง DC และ CDC)</t>
  </si>
  <si>
    <t>402006</t>
  </si>
  <si>
    <t>5007045625</t>
  </si>
  <si>
    <t>19:11:24</t>
  </si>
  <si>
    <t>IVV0082607161602</t>
  </si>
  <si>
    <t>5007075437</t>
  </si>
  <si>
    <t>20260718</t>
  </si>
  <si>
    <t>6901370</t>
  </si>
  <si>
    <t>5007143552</t>
  </si>
  <si>
    <t>10:56:06</t>
  </si>
  <si>
    <t>IVV0082607171670</t>
  </si>
  <si>
    <t>สูตร  Super  Blend</t>
  </si>
  <si>
    <t>สูตร CPR Coffee Bean  MF</t>
  </si>
  <si>
    <t>สูตร Classic 1 bag</t>
  </si>
  <si>
    <t>4916712188</t>
  </si>
  <si>
    <t>302000000322</t>
  </si>
  <si>
    <t>13:31:23</t>
  </si>
  <si>
    <t>0151520730</t>
  </si>
  <si>
    <t>300925-BBB</t>
  </si>
  <si>
    <t>260713R1/B</t>
  </si>
  <si>
    <t>4916712371</t>
  </si>
  <si>
    <t>303000000322</t>
  </si>
  <si>
    <t>13:34:16</t>
  </si>
  <si>
    <t>0151642115</t>
  </si>
  <si>
    <t>100703R1/B</t>
  </si>
  <si>
    <t>4916712380</t>
  </si>
  <si>
    <t>302000000323</t>
  </si>
  <si>
    <t>13:37:28</t>
  </si>
  <si>
    <t>0151642148</t>
  </si>
  <si>
    <t>260714-F/B</t>
  </si>
  <si>
    <t>4916713016</t>
  </si>
  <si>
    <t>303000000323</t>
  </si>
  <si>
    <t>13:47:56</t>
  </si>
  <si>
    <t>0151642236</t>
  </si>
  <si>
    <t>100704-F/B</t>
  </si>
  <si>
    <t>4916717381</t>
  </si>
  <si>
    <t>14:13:22</t>
  </si>
  <si>
    <t>4916718155</t>
  </si>
  <si>
    <t>14:17:33</t>
  </si>
  <si>
    <t>2000126044</t>
  </si>
  <si>
    <t>4916719023</t>
  </si>
  <si>
    <t>14:19:22</t>
  </si>
  <si>
    <t>2000126045</t>
  </si>
  <si>
    <t>4916719469</t>
  </si>
  <si>
    <t>2000126046</t>
  </si>
  <si>
    <t>4916720903</t>
  </si>
  <si>
    <t>14:26:26</t>
  </si>
  <si>
    <t>0151637621</t>
  </si>
  <si>
    <t>4916721290</t>
  </si>
  <si>
    <t>14:28:47</t>
  </si>
  <si>
    <t>0151637170</t>
  </si>
  <si>
    <t>4916724280</t>
  </si>
  <si>
    <t>14:41:30</t>
  </si>
  <si>
    <t>4916729026</t>
  </si>
  <si>
    <t>301000000221</t>
  </si>
  <si>
    <t>14:56:54</t>
  </si>
  <si>
    <t>0151646407</t>
  </si>
  <si>
    <t>4916729670</t>
  </si>
  <si>
    <t>14:59:52</t>
  </si>
  <si>
    <t>2000126070</t>
  </si>
  <si>
    <t>4916729986</t>
  </si>
  <si>
    <t>15:00:38</t>
  </si>
  <si>
    <t>2000126071</t>
  </si>
  <si>
    <t>4916730376</t>
  </si>
  <si>
    <t>15:01:30</t>
  </si>
  <si>
    <t>2000126072</t>
  </si>
  <si>
    <t>4916730599</t>
  </si>
  <si>
    <t>15:07:02</t>
  </si>
  <si>
    <t>0151593638</t>
  </si>
  <si>
    <t>Retain 15.07.26.3 A012R002</t>
  </si>
  <si>
    <t>Routine 15.07.26.3 A012R002</t>
  </si>
  <si>
    <t>4916734118</t>
  </si>
  <si>
    <t>16:15:54</t>
  </si>
  <si>
    <t>2000126084</t>
  </si>
  <si>
    <t>5007144147</t>
  </si>
  <si>
    <t>11:48:21</t>
  </si>
  <si>
    <t>305058630</t>
  </si>
  <si>
    <t>I12607013</t>
  </si>
  <si>
    <t>5007147252</t>
  </si>
  <si>
    <t>15:00:32</t>
  </si>
  <si>
    <t>R.BBB 16-07-26</t>
  </si>
  <si>
    <t>302000000322 Sum</t>
  </si>
  <si>
    <t>303000000322 Sum</t>
  </si>
  <si>
    <t>302000000323 Sum</t>
  </si>
  <si>
    <t>303000000323 Sum</t>
  </si>
  <si>
    <t>301000000221 Sum</t>
  </si>
  <si>
    <t>4916735972</t>
  </si>
  <si>
    <t>301000000222</t>
  </si>
  <si>
    <t>17:00:03</t>
  </si>
  <si>
    <t>0151648228</t>
  </si>
  <si>
    <t>4916737375</t>
  </si>
  <si>
    <t>302000000324</t>
  </si>
  <si>
    <t>17:23:16</t>
  </si>
  <si>
    <t>0151651037</t>
  </si>
  <si>
    <t>260715F1/B</t>
  </si>
  <si>
    <t>5007150100</t>
  </si>
  <si>
    <t>17:02:18</t>
  </si>
  <si>
    <t>A.BF 16-07-26</t>
  </si>
  <si>
    <t>5007150168</t>
  </si>
  <si>
    <t>17:07:04</t>
  </si>
  <si>
    <t>IVV0082607191853</t>
  </si>
  <si>
    <t>301000000222 Sum</t>
  </si>
  <si>
    <t>302000000324 Sum</t>
  </si>
  <si>
    <t>4916737529</t>
  </si>
  <si>
    <t>303000000324</t>
  </si>
  <si>
    <t>17:27:24</t>
  </si>
  <si>
    <t>0151651067</t>
  </si>
  <si>
    <t>150701F1/B</t>
  </si>
  <si>
    <t>4916737796</t>
  </si>
  <si>
    <t>302000000325</t>
  </si>
  <si>
    <t>17:31:31</t>
  </si>
  <si>
    <t>0151651087</t>
  </si>
  <si>
    <t>260716F1/B</t>
  </si>
  <si>
    <t>4916738052</t>
  </si>
  <si>
    <t>302000000326</t>
  </si>
  <si>
    <t>17:39:38</t>
  </si>
  <si>
    <t>0151651102</t>
  </si>
  <si>
    <t>260717-F/B</t>
  </si>
  <si>
    <t>4916738159</t>
  </si>
  <si>
    <t>302000000327</t>
  </si>
  <si>
    <t>17:44:42</t>
  </si>
  <si>
    <t>260717-B</t>
  </si>
  <si>
    <t>4916742033</t>
  </si>
  <si>
    <t>303000000325</t>
  </si>
  <si>
    <t>18:39:13</t>
  </si>
  <si>
    <t>0151653497</t>
  </si>
  <si>
    <t>150702F1/B</t>
  </si>
  <si>
    <t>4916742347</t>
  </si>
  <si>
    <t>303000000326</t>
  </si>
  <si>
    <t>18:52:23</t>
  </si>
  <si>
    <t>0151653504</t>
  </si>
  <si>
    <t>150703-F/B</t>
  </si>
  <si>
    <t>4916742442</t>
  </si>
  <si>
    <t>303000000327</t>
  </si>
  <si>
    <t>18:56:25</t>
  </si>
  <si>
    <t>0151653561</t>
  </si>
  <si>
    <t>170726-B</t>
  </si>
  <si>
    <t>4916742573</t>
  </si>
  <si>
    <t>19:02:41</t>
  </si>
  <si>
    <t>4916742671</t>
  </si>
  <si>
    <t>305000000046</t>
  </si>
  <si>
    <t>19:07:40</t>
  </si>
  <si>
    <t>4916742673</t>
  </si>
  <si>
    <t>19:08:27</t>
  </si>
  <si>
    <t>0151648964</t>
  </si>
  <si>
    <t>303000000324 Sum</t>
  </si>
  <si>
    <t>302000000325 Sum</t>
  </si>
  <si>
    <t>302000000326 Sum</t>
  </si>
  <si>
    <t>302000000327 Sum</t>
  </si>
  <si>
    <t>303000000325 Sum</t>
  </si>
  <si>
    <t>303000000326 Sum</t>
  </si>
  <si>
    <t>303000000327 Sum</t>
  </si>
  <si>
    <t>305000000046 Sum</t>
  </si>
  <si>
    <t>4916789588</t>
  </si>
  <si>
    <t>09:52:12</t>
  </si>
  <si>
    <t>2000126175</t>
  </si>
  <si>
    <t>260525-B</t>
  </si>
  <si>
    <t>4916789662</t>
  </si>
  <si>
    <t>09:52:44</t>
  </si>
  <si>
    <t>2000126176</t>
  </si>
  <si>
    <t>4916789665</t>
  </si>
  <si>
    <t>09:53:29</t>
  </si>
  <si>
    <t>2000126177</t>
  </si>
  <si>
    <t>4916790728</t>
  </si>
  <si>
    <t>10:19:13</t>
  </si>
  <si>
    <t>2000126178</t>
  </si>
  <si>
    <t>4916797107</t>
  </si>
  <si>
    <t>13:08:43</t>
  </si>
  <si>
    <t>4916797801</t>
  </si>
  <si>
    <t>13:27:34</t>
  </si>
  <si>
    <t>2000126188</t>
  </si>
  <si>
    <t>5007182742</t>
  </si>
  <si>
    <t>20260721</t>
  </si>
  <si>
    <t>14:08:28</t>
  </si>
  <si>
    <t>6901384</t>
  </si>
  <si>
    <t>305057907</t>
  </si>
  <si>
    <t>13.07.2026</t>
  </si>
  <si>
    <t>14.07.2026</t>
  </si>
  <si>
    <t>15.07.2026</t>
  </si>
  <si>
    <t>16.07.2026</t>
  </si>
  <si>
    <t>4916815629</t>
  </si>
  <si>
    <t>15:47:17</t>
  </si>
  <si>
    <t>2000126221</t>
  </si>
  <si>
    <t>4916819114</t>
  </si>
  <si>
    <t>16:48:26</t>
  </si>
  <si>
    <t>0151665239</t>
  </si>
  <si>
    <t>เบิกเทสให้ลูกค้า บริษัท Exion</t>
  </si>
  <si>
    <t>4916821449</t>
  </si>
  <si>
    <t>17:28:50</t>
  </si>
  <si>
    <t>2000126227</t>
  </si>
  <si>
    <t>4916821586</t>
  </si>
  <si>
    <t>17:30:59</t>
  </si>
  <si>
    <t>0151670917</t>
  </si>
  <si>
    <t>4916829503</t>
  </si>
  <si>
    <t>19:59:04</t>
  </si>
  <si>
    <t>0151691506</t>
  </si>
  <si>
    <t>ตรวจปล่อย 17.07.26</t>
  </si>
  <si>
    <t>4916829541</t>
  </si>
  <si>
    <t>20:02:04</t>
  </si>
  <si>
    <t>0151653302</t>
  </si>
  <si>
    <t>Retain 18.07.26.2 A012R002</t>
  </si>
  <si>
    <t>Routine 18.07.26.2 A012R002</t>
  </si>
  <si>
    <t>4916870906</t>
  </si>
  <si>
    <t>08:45:24</t>
  </si>
  <si>
    <t>0151686420</t>
  </si>
  <si>
    <t>ให้ลค.ไฮไลฟ์ มัลติวิลล่าทดลอง</t>
  </si>
  <si>
    <t>4916871019</t>
  </si>
  <si>
    <t>08:50:47</t>
  </si>
  <si>
    <t>คืนยอด ตัด So ผิดSloc</t>
  </si>
  <si>
    <t>4915918356 / DO 2000125511</t>
  </si>
  <si>
    <t>202</t>
  </si>
  <si>
    <t>RE for cost center</t>
  </si>
  <si>
    <t>4916874886</t>
  </si>
  <si>
    <t>10:12:31</t>
  </si>
  <si>
    <t>SARANSUP03</t>
  </si>
  <si>
    <t>ยกเลิก</t>
  </si>
  <si>
    <t>CC.4916409185เนื่องจากลงGLผิด ยิ้ม/Akewatee</t>
  </si>
  <si>
    <t>4916876311</t>
  </si>
  <si>
    <t>10:41:38</t>
  </si>
  <si>
    <t>0151407634</t>
  </si>
  <si>
    <t>A.CPBF 25.03.26 CL 09:25 Silo 3</t>
  </si>
  <si>
    <t>5007188059</t>
  </si>
  <si>
    <t>17:48:32</t>
  </si>
  <si>
    <t>IVV0082607201972</t>
  </si>
  <si>
    <t>17.07.2026</t>
  </si>
  <si>
    <t>สูตร True Towe</t>
  </si>
  <si>
    <t>4916876772</t>
  </si>
  <si>
    <t>10:52:04</t>
  </si>
  <si>
    <t>0151675756</t>
  </si>
  <si>
    <t>A.CPBF 27.03.2026 CL 9:00 Silo1</t>
  </si>
  <si>
    <t>R.BBB 16.06.26 CL13:30 Silo6</t>
  </si>
  <si>
    <t>4916876921</t>
  </si>
  <si>
    <t>10:55:52</t>
  </si>
  <si>
    <t>0151521877</t>
  </si>
  <si>
    <t>A.CPBF 25.03.26 CL 9.35 Silo 2</t>
  </si>
  <si>
    <t>4916877492</t>
  </si>
  <si>
    <t>11:12:38</t>
  </si>
  <si>
    <t>0151710076</t>
  </si>
  <si>
    <t>4916877588</t>
  </si>
  <si>
    <t>11:17:25</t>
  </si>
  <si>
    <t>0151557043</t>
  </si>
  <si>
    <t>A.CPBF 27.03.26 CL 9.40 Silo 3</t>
  </si>
  <si>
    <t>4916881372</t>
  </si>
  <si>
    <t>12:41:57</t>
  </si>
  <si>
    <t>2000126249</t>
  </si>
  <si>
    <t>4916881405</t>
  </si>
  <si>
    <t>12:43:32</t>
  </si>
  <si>
    <t>2000126250</t>
  </si>
  <si>
    <t>4916881457</t>
  </si>
  <si>
    <t>12:45:53</t>
  </si>
  <si>
    <t>0151718539</t>
  </si>
  <si>
    <t>4916892472</t>
  </si>
  <si>
    <t>14:31:39</t>
  </si>
  <si>
    <t>2000126253</t>
  </si>
  <si>
    <t>309</t>
  </si>
  <si>
    <t>TF tfr ps.mat.to mat</t>
  </si>
  <si>
    <t>4916897839</t>
  </si>
  <si>
    <t>14:54:02</t>
  </si>
  <si>
    <t>คั่วกาแฟคุณศุภกิจ</t>
  </si>
  <si>
    <t>4916903045</t>
  </si>
  <si>
    <t>15:40:28</t>
  </si>
  <si>
    <t>4916907341</t>
  </si>
  <si>
    <t>26112024</t>
  </si>
  <si>
    <t>17:28:21</t>
  </si>
  <si>
    <t>ย้ายมาโรงคั่วสุวรรณ</t>
  </si>
  <si>
    <t>โอนย้ายมาโรงคั่วสุวรรณ</t>
  </si>
  <si>
    <t>CN</t>
  </si>
  <si>
    <t>4916972123</t>
  </si>
  <si>
    <t>13:13:22</t>
  </si>
  <si>
    <t>4916972477</t>
  </si>
  <si>
    <t>13:23:26</t>
  </si>
  <si>
    <t>2000126327</t>
  </si>
  <si>
    <t>4916973643</t>
  </si>
  <si>
    <t>13:55:32</t>
  </si>
  <si>
    <t>4916979364</t>
  </si>
  <si>
    <t>2000126342</t>
  </si>
  <si>
    <t>4916990328</t>
  </si>
  <si>
    <t>16:14:06</t>
  </si>
  <si>
    <t>2000126393</t>
  </si>
  <si>
    <t>4916990463</t>
  </si>
  <si>
    <t>16:15:44</t>
  </si>
  <si>
    <t>0151763328</t>
  </si>
  <si>
    <t>4916999906</t>
  </si>
  <si>
    <t>19:55:08</t>
  </si>
  <si>
    <t>0151784679</t>
  </si>
  <si>
    <t>ตรวจเพิ่ม 23.07.26.1 A012R002 P.19</t>
  </si>
  <si>
    <t>4916999962</t>
  </si>
  <si>
    <t>19:57:30</t>
  </si>
  <si>
    <t>0151784582</t>
  </si>
  <si>
    <t>ตรวจเพิ่ม 18.07.26.4 A012R002 P 36,35</t>
  </si>
  <si>
    <t>4916999968</t>
  </si>
  <si>
    <t>19:59:50</t>
  </si>
  <si>
    <t>0151784591</t>
  </si>
  <si>
    <t>Routine 18.07.26.4 A012R002</t>
  </si>
  <si>
    <t>Retain 18.07.26.4 A012R002</t>
  </si>
  <si>
    <t>4917000129</t>
  </si>
  <si>
    <t>20:04:44</t>
  </si>
  <si>
    <t>0151690947</t>
  </si>
  <si>
    <t>Routine 18.07.26.3 A012R002</t>
  </si>
  <si>
    <t>Retain 18.07.26.3 A012R002</t>
  </si>
  <si>
    <t>4917000321</t>
  </si>
  <si>
    <t>20:11:11</t>
  </si>
  <si>
    <t>0151784554</t>
  </si>
  <si>
    <t>Routine 23.07.26.1 A012R002</t>
  </si>
  <si>
    <t>Retain 23.07.26.1 A012R002</t>
  </si>
  <si>
    <t>4917057306</t>
  </si>
  <si>
    <t>13:24:58</t>
  </si>
  <si>
    <t>4917058403</t>
  </si>
  <si>
    <t>13:48:10</t>
  </si>
  <si>
    <t>2000126475</t>
  </si>
  <si>
    <t>4917058495</t>
  </si>
  <si>
    <t>2000126476</t>
  </si>
  <si>
    <t>4917058619</t>
  </si>
  <si>
    <t>13:52:14</t>
  </si>
  <si>
    <t>2000126477</t>
  </si>
  <si>
    <t>4917058799</t>
  </si>
  <si>
    <t>13:59:55</t>
  </si>
  <si>
    <t>0151802995</t>
  </si>
  <si>
    <t>4917080357</t>
  </si>
  <si>
    <t>16:11:32</t>
  </si>
  <si>
    <t>2000126533</t>
  </si>
  <si>
    <t>4917088357</t>
  </si>
  <si>
    <t>18:42:35</t>
  </si>
  <si>
    <t>0151823278</t>
  </si>
  <si>
    <t>Retain 23.07.26.2 A012R002</t>
  </si>
  <si>
    <t>Routine 23.07.26.2 A012R002</t>
  </si>
  <si>
    <t>4917088576</t>
  </si>
  <si>
    <t>18:50:47</t>
  </si>
  <si>
    <t>0151823306</t>
  </si>
  <si>
    <t>ตรวจเพิ่ม 23.07.26.2 A012R002 P.9</t>
  </si>
  <si>
    <t>4917088643</t>
  </si>
  <si>
    <t>18:53:37</t>
  </si>
  <si>
    <t>0151823301</t>
  </si>
  <si>
    <t>ตรวจเพิ่ม 23.07.26.1 A012R002 P.20,21,22</t>
  </si>
  <si>
    <t>4917149959</t>
  </si>
  <si>
    <t>13:44:26</t>
  </si>
  <si>
    <t>4917158592</t>
  </si>
  <si>
    <t>260327-BF</t>
  </si>
  <si>
    <t>14:22:14</t>
  </si>
  <si>
    <t>260422-BF</t>
  </si>
  <si>
    <t>4917164048</t>
  </si>
  <si>
    <t>14:39:36</t>
  </si>
  <si>
    <t>0151675717</t>
  </si>
  <si>
    <t>A.CPBF 27.03.2026 CL 10:30 Silo 2</t>
  </si>
  <si>
    <t>4917164576</t>
  </si>
  <si>
    <t>14:42:34</t>
  </si>
  <si>
    <t>0151243473</t>
  </si>
  <si>
    <t>A.RPT 20.3.26 CL10.15</t>
  </si>
  <si>
    <t>R.BBB 16.6.26 CL 16.40</t>
  </si>
  <si>
    <t>4917164803</t>
  </si>
  <si>
    <t>14:45:11</t>
  </si>
  <si>
    <t>0151372589</t>
  </si>
  <si>
    <t>A.RPT 23.3.26 CL9:25 S2</t>
  </si>
  <si>
    <t>A.CPBF 25.3.26 CL13:25 S3</t>
  </si>
  <si>
    <t>4917164978</t>
  </si>
  <si>
    <t>14:47:12</t>
  </si>
  <si>
    <t>0151491857</t>
  </si>
  <si>
    <t>A.RPT 23.3.26 CL10.00</t>
  </si>
  <si>
    <t>R.BBB 16.6.26 CL 16.00</t>
  </si>
  <si>
    <t>4917168121</t>
  </si>
  <si>
    <t>301000000223</t>
  </si>
  <si>
    <t>15:38:32</t>
  </si>
  <si>
    <t>0151860263</t>
  </si>
  <si>
    <t>4917169026</t>
  </si>
  <si>
    <t>301000000224</t>
  </si>
  <si>
    <t>15:55:32</t>
  </si>
  <si>
    <t>0151860578</t>
  </si>
  <si>
    <t>4917174603</t>
  </si>
  <si>
    <t>18:26:32</t>
  </si>
  <si>
    <t>0151862499</t>
  </si>
  <si>
    <t>ตรวจเพิ่ม 23.7.26.3 A012R002 P.3</t>
  </si>
  <si>
    <t>ตรวจเพิ่ม 23.7.26.2 A012R002 P.29,12,14,30,8,10</t>
  </si>
  <si>
    <t>ตรวจเพิ่ม 23.7.26.1 A012R002 P.24,26,33,35,18,23</t>
  </si>
  <si>
    <t>4917175364</t>
  </si>
  <si>
    <t>18:30:45</t>
  </si>
  <si>
    <t>0151862521</t>
  </si>
  <si>
    <t>Retain 23.7.26.3A012R002</t>
  </si>
  <si>
    <t>Routine 23.7.26.3A012R002</t>
  </si>
  <si>
    <t>4917293209</t>
  </si>
  <si>
    <t>09:54:43</t>
  </si>
  <si>
    <t>2000126551</t>
  </si>
  <si>
    <t>4917293490</t>
  </si>
  <si>
    <t>09:58:49</t>
  </si>
  <si>
    <t>2000126552</t>
  </si>
  <si>
    <t>4917293533</t>
  </si>
  <si>
    <t>09:59:51</t>
  </si>
  <si>
    <t>2000126554</t>
  </si>
  <si>
    <t>4917295228</t>
  </si>
  <si>
    <t>301000000225</t>
  </si>
  <si>
    <t>10:30:46</t>
  </si>
  <si>
    <t>0151907367</t>
  </si>
  <si>
    <t>4917302352</t>
  </si>
  <si>
    <t>305000000047</t>
  </si>
  <si>
    <t>13:25:31</t>
  </si>
  <si>
    <t>4917302358</t>
  </si>
  <si>
    <t>305000000048</t>
  </si>
  <si>
    <t>13:28:18</t>
  </si>
  <si>
    <t>4917307218</t>
  </si>
  <si>
    <t>14:15:16</t>
  </si>
  <si>
    <t>0151817882</t>
  </si>
  <si>
    <t>4917307896</t>
  </si>
  <si>
    <t>14:16:23</t>
  </si>
  <si>
    <t>0151817858</t>
  </si>
  <si>
    <t>4917308805</t>
  </si>
  <si>
    <t>14:19:02</t>
  </si>
  <si>
    <t>2000126565</t>
  </si>
  <si>
    <t>4917309452</t>
  </si>
  <si>
    <t>14:20:06</t>
  </si>
  <si>
    <t>0151803741</t>
  </si>
  <si>
    <t>4917310172</t>
  </si>
  <si>
    <t>14:22:26</t>
  </si>
  <si>
    <t>2000126568</t>
  </si>
  <si>
    <t>4917311082</t>
  </si>
  <si>
    <t>14:26:15</t>
  </si>
  <si>
    <t>2000126573</t>
  </si>
  <si>
    <t>4917312568</t>
  </si>
  <si>
    <t>14:31:15</t>
  </si>
  <si>
    <t>2000126576</t>
  </si>
  <si>
    <t>4917321058</t>
  </si>
  <si>
    <t>15:03:02</t>
  </si>
  <si>
    <t>2000126582</t>
  </si>
  <si>
    <t>4917322271</t>
  </si>
  <si>
    <t>302000000328</t>
  </si>
  <si>
    <t>15:23:34</t>
  </si>
  <si>
    <t>0151653111</t>
  </si>
  <si>
    <t>260718-F/B</t>
  </si>
  <si>
    <t>4917322414</t>
  </si>
  <si>
    <t>302000000329</t>
  </si>
  <si>
    <t>15:26:42</t>
  </si>
  <si>
    <t>0151922367</t>
  </si>
  <si>
    <t>260720-F/B</t>
  </si>
  <si>
    <t>4917322698</t>
  </si>
  <si>
    <t>302000000330</t>
  </si>
  <si>
    <t>15:31:27</t>
  </si>
  <si>
    <t>0151922520</t>
  </si>
  <si>
    <t>260721-F/B</t>
  </si>
  <si>
    <t>4917323256</t>
  </si>
  <si>
    <t>302000000331</t>
  </si>
  <si>
    <t>15:40:45</t>
  </si>
  <si>
    <t>0151922541</t>
  </si>
  <si>
    <t>260722-F/B</t>
  </si>
  <si>
    <t>4917323382</t>
  </si>
  <si>
    <t>302000000332</t>
  </si>
  <si>
    <t>15:43:05</t>
  </si>
  <si>
    <t>0151922723</t>
  </si>
  <si>
    <t>260723-F/B</t>
  </si>
  <si>
    <t>4917323431</t>
  </si>
  <si>
    <t>15:43:40</t>
  </si>
  <si>
    <t>2000126589</t>
  </si>
  <si>
    <t>4917324058</t>
  </si>
  <si>
    <t>15:56:50</t>
  </si>
  <si>
    <t>4917324261</t>
  </si>
  <si>
    <t>302000000333</t>
  </si>
  <si>
    <t>15:59:40</t>
  </si>
  <si>
    <t>0151922841</t>
  </si>
  <si>
    <t>260724-F/B</t>
  </si>
  <si>
    <t>4917324406</t>
  </si>
  <si>
    <t>303000000328</t>
  </si>
  <si>
    <t>16:03:11</t>
  </si>
  <si>
    <t>0151924083</t>
  </si>
  <si>
    <t>180701-F/B</t>
  </si>
  <si>
    <t>4917324701</t>
  </si>
  <si>
    <t>303000000329</t>
  </si>
  <si>
    <t>16:06:51</t>
  </si>
  <si>
    <t>0151924802</t>
  </si>
  <si>
    <t>180702-F/B</t>
  </si>
  <si>
    <t>4917325147</t>
  </si>
  <si>
    <t>16:16:02</t>
  </si>
  <si>
    <t>2000126592</t>
  </si>
  <si>
    <t>4917325620</t>
  </si>
  <si>
    <t>303000000330</t>
  </si>
  <si>
    <t>16:27:18</t>
  </si>
  <si>
    <t>0151928566</t>
  </si>
  <si>
    <t>180703-F/B</t>
  </si>
  <si>
    <t>4917325770</t>
  </si>
  <si>
    <t>303000000331</t>
  </si>
  <si>
    <t>16:29:28</t>
  </si>
  <si>
    <t>0151928887</t>
  </si>
  <si>
    <t>180704-F/B</t>
  </si>
  <si>
    <t>4917326050</t>
  </si>
  <si>
    <t>303000000332</t>
  </si>
  <si>
    <t>16:36:07</t>
  </si>
  <si>
    <t>0151928915</t>
  </si>
  <si>
    <t>230701-F/B</t>
  </si>
  <si>
    <t>4917326417</t>
  </si>
  <si>
    <t>303000000333</t>
  </si>
  <si>
    <t>16:41:17</t>
  </si>
  <si>
    <t>0151928965</t>
  </si>
  <si>
    <t>230702-F/B</t>
  </si>
  <si>
    <t>4917328281</t>
  </si>
  <si>
    <t>17:11:32</t>
  </si>
  <si>
    <t>0151862333</t>
  </si>
  <si>
    <t>R.BBB 22.07.26 CL9:30 Silo6</t>
  </si>
  <si>
    <t>4917328435</t>
  </si>
  <si>
    <t>17:16:23</t>
  </si>
  <si>
    <t>0151862426</t>
  </si>
  <si>
    <t>A.CPBF 22.04.26 CL9:20 Silo3</t>
  </si>
  <si>
    <t>4917328439</t>
  </si>
  <si>
    <t>17:18:52</t>
  </si>
  <si>
    <t>0151784620</t>
  </si>
  <si>
    <t>A.CPBF 22.04.26 CL09.00 silo1</t>
  </si>
  <si>
    <t>4917335396</t>
  </si>
  <si>
    <t>20:58:57</t>
  </si>
  <si>
    <t>0151929550</t>
  </si>
  <si>
    <t>Routine 23.7.26.4 A012R002</t>
  </si>
  <si>
    <t>Retain 23.7.26.4 A012R002</t>
  </si>
  <si>
    <t>4917335397</t>
  </si>
  <si>
    <t>21:01:57</t>
  </si>
  <si>
    <t>0151929495</t>
  </si>
  <si>
    <t>ตรวจเพิ่ม 23.7.26.1A012R002 P.16,17</t>
  </si>
  <si>
    <t>ตรวจเพิ่ม 23.7.26.2A012R002 P.11,15,31,34,35</t>
  </si>
  <si>
    <t>ตรวจเพิ่ม 23.7.26.3A012R002 P.5,7,30</t>
  </si>
  <si>
    <t>5007257389</t>
  </si>
  <si>
    <t>260722-BBB</t>
  </si>
  <si>
    <t>12:53:52</t>
  </si>
  <si>
    <t>TIB690722001</t>
  </si>
  <si>
    <t>305058457</t>
  </si>
  <si>
    <t>2039123</t>
  </si>
  <si>
    <t>5007262736</t>
  </si>
  <si>
    <t>17:19:24</t>
  </si>
  <si>
    <t>IVV0082607212108</t>
  </si>
  <si>
    <t>5007262737</t>
  </si>
  <si>
    <t>17:20:26</t>
  </si>
  <si>
    <t>IVV0082607222167</t>
  </si>
  <si>
    <t>5007301415</t>
  </si>
  <si>
    <t>18:39:18</t>
  </si>
  <si>
    <t>IVV0082607232255</t>
  </si>
  <si>
    <t>5007336463</t>
  </si>
  <si>
    <t>15:44:23</t>
  </si>
  <si>
    <t>A.BF L.27/03/2026</t>
  </si>
  <si>
    <t>A.BF 21-07-26</t>
  </si>
  <si>
    <t>5007337025</t>
  </si>
  <si>
    <t>16:02:22</t>
  </si>
  <si>
    <t>R.BBB 22-07-26</t>
  </si>
  <si>
    <t>5007401901</t>
  </si>
  <si>
    <t>10:40:42</t>
  </si>
  <si>
    <t>A.BF L.22/04/2026</t>
  </si>
  <si>
    <t>A.BF 24-07-26</t>
  </si>
  <si>
    <t>5007409560</t>
  </si>
  <si>
    <t>17:18:07</t>
  </si>
  <si>
    <t>V0082607262532</t>
  </si>
  <si>
    <t>GR for PO   reversal</t>
  </si>
  <si>
    <t>5007410131</t>
  </si>
  <si>
    <t>17:39:42</t>
  </si>
  <si>
    <t>I12607013 (ยกเลิก)</t>
  </si>
  <si>
    <t>5007410192</t>
  </si>
  <si>
    <t>17:43:18</t>
  </si>
  <si>
    <t>301000000223 Sum</t>
  </si>
  <si>
    <t>301000000224 Sum</t>
  </si>
  <si>
    <t>301000000225 Sum</t>
  </si>
  <si>
    <t>305000000047 Sum</t>
  </si>
  <si>
    <t>305000000048 Sum</t>
  </si>
  <si>
    <t>302000000328 Sum</t>
  </si>
  <si>
    <t>302000000329 Sum</t>
  </si>
  <si>
    <t>302000000330 Sum</t>
  </si>
  <si>
    <t>302000000331 Sum</t>
  </si>
  <si>
    <t>302000000332 Sum</t>
  </si>
  <si>
    <t>302000000333 Sum</t>
  </si>
  <si>
    <t>303000000328 Sum</t>
  </si>
  <si>
    <t>303000000329 Sum</t>
  </si>
  <si>
    <t>303000000330 Sum</t>
  </si>
  <si>
    <t>303000000331 Sum</t>
  </si>
  <si>
    <t>303000000332 Sum</t>
  </si>
  <si>
    <t>303000000333 Sum</t>
  </si>
  <si>
    <t>18.07.2026</t>
  </si>
  <si>
    <t>20.07.2026</t>
  </si>
  <si>
    <t>21.07.2026</t>
  </si>
  <si>
    <t>22.07.2026</t>
  </si>
  <si>
    <t>23.07.2026</t>
  </si>
  <si>
    <t>24.07.2026</t>
  </si>
  <si>
    <t>928</t>
  </si>
  <si>
    <t>REGIค่าวิจัยและพัฒนา</t>
  </si>
  <si>
    <t>4917561210</t>
  </si>
  <si>
    <t>09:22:06</t>
  </si>
  <si>
    <t>WASSAYUT</t>
  </si>
  <si>
    <t>CC.4915545494 เนื่องจาก วันที่ผิด สุธีร์ / อร</t>
  </si>
  <si>
    <t>4917565313</t>
  </si>
  <si>
    <t>10:31:41</t>
  </si>
  <si>
    <t>4917567358</t>
  </si>
  <si>
    <t>301000000226</t>
  </si>
  <si>
    <t>11:11:13</t>
  </si>
  <si>
    <t>0152014816</t>
  </si>
  <si>
    <t>4917569032</t>
  </si>
  <si>
    <t>301000000227</t>
  </si>
  <si>
    <t>11:58:27</t>
  </si>
  <si>
    <t>0152015385</t>
  </si>
  <si>
    <t>4917575992</t>
  </si>
  <si>
    <t>14:00:44</t>
  </si>
  <si>
    <t>2100000980</t>
  </si>
  <si>
    <t>4917576426</t>
  </si>
  <si>
    <t>14:03:00</t>
  </si>
  <si>
    <t>CC.4916821586 เนื่องจาก GL ผิด ต๋อง/ อร</t>
  </si>
  <si>
    <t>4917579199</t>
  </si>
  <si>
    <t>14:17:20</t>
  </si>
  <si>
    <t>0152015374</t>
  </si>
  <si>
    <t>4917580827</t>
  </si>
  <si>
    <t>14:23:49</t>
  </si>
  <si>
    <t>2000126657</t>
  </si>
  <si>
    <t>4917590898</t>
  </si>
  <si>
    <t>15:09:27</t>
  </si>
  <si>
    <t>2000126658</t>
  </si>
  <si>
    <t>4917593171</t>
  </si>
  <si>
    <t>302000000334</t>
  </si>
  <si>
    <t>15:43:02</t>
  </si>
  <si>
    <t>0152027565</t>
  </si>
  <si>
    <t>260725-F/B</t>
  </si>
  <si>
    <t>4917596112</t>
  </si>
  <si>
    <t>16:43:24</t>
  </si>
  <si>
    <t>4917596345</t>
  </si>
  <si>
    <t>303000000334</t>
  </si>
  <si>
    <t>16:47:12</t>
  </si>
  <si>
    <t>0152033093</t>
  </si>
  <si>
    <t>230703-F/B</t>
  </si>
  <si>
    <t>5007507274</t>
  </si>
  <si>
    <t>10:00:37</t>
  </si>
  <si>
    <t>IVV0082607242395</t>
  </si>
  <si>
    <t>5007507345</t>
  </si>
  <si>
    <t>20260730</t>
  </si>
  <si>
    <t>10:05:41</t>
  </si>
  <si>
    <t>6901440</t>
  </si>
  <si>
    <t>5007507351</t>
  </si>
  <si>
    <t>10:03:29</t>
  </si>
  <si>
    <t>ยกเลิก แก้ไขวันที่ผิด</t>
  </si>
  <si>
    <t>5007507502</t>
  </si>
  <si>
    <t>10:08:22</t>
  </si>
  <si>
    <t>5007508821</t>
  </si>
  <si>
    <t>11:12:15</t>
  </si>
  <si>
    <t>305057904(ยกเลิก)</t>
  </si>
  <si>
    <t>5007508822</t>
  </si>
  <si>
    <t>11:17:55</t>
  </si>
  <si>
    <t>R.BBB L.22/07/2026</t>
  </si>
  <si>
    <t>R.BBB 27-07-26</t>
  </si>
  <si>
    <t>5007508823</t>
  </si>
  <si>
    <t>20260706</t>
  </si>
  <si>
    <t>11:19:40</t>
  </si>
  <si>
    <t>5007509465</t>
  </si>
  <si>
    <t>12:04:24</t>
  </si>
  <si>
    <t>A.BF 27-07-26</t>
  </si>
  <si>
    <t>5007515690</t>
  </si>
  <si>
    <t>16:50:28</t>
  </si>
  <si>
    <t>6901423</t>
  </si>
  <si>
    <t>305058904</t>
  </si>
  <si>
    <t>301000000226 Sum</t>
  </si>
  <si>
    <t>301000000227 Sum</t>
  </si>
  <si>
    <t>302000000334 Sum</t>
  </si>
  <si>
    <t>303000000334 Sum</t>
  </si>
  <si>
    <t>4917636428</t>
  </si>
  <si>
    <t>06:22:30</t>
  </si>
  <si>
    <t>0152034962</t>
  </si>
  <si>
    <t>ตรวจเพิ่ม 23.7.26.3A012R002 P.27,28,29</t>
  </si>
  <si>
    <t>ตรวจเพิ่ม 23.7.26.2A012R002 P.32,33</t>
  </si>
  <si>
    <t>4917651321</t>
  </si>
  <si>
    <t>302000000335</t>
  </si>
  <si>
    <t>09:18:54</t>
  </si>
  <si>
    <t>0152054828</t>
  </si>
  <si>
    <t>260727-F/B</t>
  </si>
  <si>
    <t>4917651576</t>
  </si>
  <si>
    <t>09:25:29</t>
  </si>
  <si>
    <t>4917651682</t>
  </si>
  <si>
    <t>303000000335</t>
  </si>
  <si>
    <t>09:26:28</t>
  </si>
  <si>
    <t>0152054872</t>
  </si>
  <si>
    <t>230704-F/B</t>
  </si>
  <si>
    <t>4917651691</t>
  </si>
  <si>
    <t>09:26:32</t>
  </si>
  <si>
    <t>เพื่อรีแพคสินค้า</t>
  </si>
  <si>
    <t>921</t>
  </si>
  <si>
    <t>GI other expenses</t>
  </si>
  <si>
    <t>4917652121</t>
  </si>
  <si>
    <t>06-26</t>
  </si>
  <si>
    <t>09:35:19</t>
  </si>
  <si>
    <t>9904</t>
  </si>
  <si>
    <t>ตัดแก๊สเดือน 7/26</t>
  </si>
  <si>
    <t>ตัดแก๊สเดือน 07 -26</t>
  </si>
  <si>
    <t>405051</t>
  </si>
  <si>
    <t>4917653075</t>
  </si>
  <si>
    <t>09:50:56</t>
  </si>
  <si>
    <t>4917653377</t>
  </si>
  <si>
    <t>09:58:10</t>
  </si>
  <si>
    <t>0152055047</t>
  </si>
  <si>
    <t>A.CPBF 22.04.26 CL09:30 Silo 1</t>
  </si>
  <si>
    <t>4917653588</t>
  </si>
  <si>
    <t>10:03:52</t>
  </si>
  <si>
    <t>0152055067</t>
  </si>
  <si>
    <t>A.CF 23.06.26 CL09:30 Silo 3</t>
  </si>
  <si>
    <t>4917654746</t>
  </si>
  <si>
    <t>10:28:09</t>
  </si>
  <si>
    <t>260623-CF</t>
  </si>
  <si>
    <t>302000000335 Sum</t>
  </si>
  <si>
    <t>303000000335 Sum</t>
  </si>
  <si>
    <t>25.07.2026</t>
  </si>
  <si>
    <t>27.07.2026</t>
  </si>
  <si>
    <t>4917655741</t>
  </si>
  <si>
    <t>301000000228</t>
  </si>
  <si>
    <t>10:49:41</t>
  </si>
  <si>
    <t>0152059193</t>
  </si>
  <si>
    <t>4917656085</t>
  </si>
  <si>
    <t>10:59:09</t>
  </si>
  <si>
    <t>4917656272</t>
  </si>
  <si>
    <t>5007548622</t>
  </si>
  <si>
    <t>11:06:07</t>
  </si>
  <si>
    <t>A.CF L.23/06/2026</t>
  </si>
  <si>
    <t>A.CF 31-07-26</t>
  </si>
  <si>
    <t>301000000228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</si>
</sst>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#,##0.000"/>
    <numFmt numFmtId="188" formatCode="_-* #,##0_-;\-* #,##0_-;_-* &quot;-&quot;??_-;_-@_-"/>
  </numFmts>
  <fonts count="5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b/>
      <u/>
      <sz val="11"/>
      <color theme="1"/>
      <name val="Tahoma"/>
      <family val="2"/>
      <scheme val="minor"/>
    </font>
    <font>
      <sz val="1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0"/>
      <color theme="1"/>
      <name val="Tahoma"/>
      <family val="2"/>
      <scheme val="major"/>
    </font>
    <font>
      <sz val="10"/>
      <color theme="1"/>
      <name val="Tahoma"/>
      <family val="2"/>
      <scheme val="major"/>
    </font>
    <font>
      <b/>
      <sz val="11"/>
      <color rgb="FFFF0000"/>
      <name val="Tahoma"/>
      <family val="2"/>
      <scheme val="minor"/>
    </font>
    <font>
      <b/>
      <sz val="12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sz val="11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u/>
      <sz val="10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0"/>
      <color rgb="FFFF0000"/>
      <name val="Tahoma"/>
      <family val="2"/>
      <scheme val="minor"/>
    </font>
    <font>
      <b/>
      <sz val="12"/>
      <color rgb="FFFF0000"/>
      <name val="Tahoma"/>
      <family val="2"/>
      <scheme val="minor"/>
    </font>
    <font>
      <b/>
      <sz val="11"/>
      <name val="Tahoma"/>
      <family val="2"/>
      <scheme val="minor"/>
    </font>
    <font>
      <b/>
      <sz val="14"/>
      <color theme="1"/>
      <name val="Tahoma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Tahoma"/>
      <family val="2"/>
      <charset val="222"/>
      <scheme val="minor"/>
    </font>
    <font>
      <sz val="14"/>
      <color theme="1"/>
      <name val="Tahoma"/>
      <family val="2"/>
      <charset val="222"/>
      <scheme val="minor"/>
    </font>
    <font>
      <sz val="14"/>
      <color rgb="FFFF0000"/>
      <name val="Tahoma"/>
      <family val="2"/>
      <charset val="222"/>
      <scheme val="minor"/>
    </font>
    <font>
      <b/>
      <u/>
      <sz val="11"/>
      <color theme="1"/>
      <name val="Tahoma"/>
      <family val="2"/>
      <charset val="222"/>
      <scheme val="minor"/>
    </font>
    <font>
      <b/>
      <sz val="11"/>
      <color rgb="FFFF0000"/>
      <name val="Tahoma"/>
      <family val="2"/>
      <charset val="222"/>
      <scheme val="minor"/>
    </font>
    <font>
      <sz val="11"/>
      <color theme="1"/>
      <name val="Century Gothic"/>
      <family val="2"/>
    </font>
    <font>
      <sz val="11"/>
      <name val="Century Gothic"/>
      <family val="2"/>
    </font>
    <font>
      <sz val="11"/>
      <color theme="0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sz val="11"/>
      <color rgb="FFFFFFFF"/>
      <name val="Tahoma"/>
      <family val="2"/>
      <scheme val="minor"/>
    </font>
    <font>
      <b/>
      <sz val="12"/>
      <color theme="1"/>
      <name val="Tahoma"/>
      <family val="2"/>
      <charset val="222"/>
      <scheme val="minor"/>
    </font>
    <font>
      <b/>
      <u/>
      <sz val="11"/>
      <color rgb="FFFF0000"/>
      <name val="Tahoma"/>
      <family val="2"/>
      <scheme val="minor"/>
    </font>
    <font>
      <sz val="11"/>
      <color theme="1"/>
      <name val="Tahoma"/>
      <family val="2"/>
      <scheme val="major"/>
    </font>
    <font>
      <b/>
      <sz val="11"/>
      <color theme="1"/>
      <name val="Tahoma"/>
      <family val="2"/>
      <scheme val="major"/>
    </font>
    <font>
      <b/>
      <u/>
      <sz val="11"/>
      <color theme="1"/>
      <name val="Tahoma"/>
      <family val="2"/>
      <scheme val="major"/>
    </font>
    <font>
      <sz val="12"/>
      <color theme="1"/>
      <name val="Tahoma"/>
      <family val="2"/>
      <scheme val="major"/>
    </font>
    <font>
      <b/>
      <sz val="11"/>
      <color rgb="FFFF0000"/>
      <name val="Tahoma"/>
      <family val="2"/>
      <scheme val="major"/>
    </font>
    <font>
      <b/>
      <sz val="11"/>
      <name val="Tahoma"/>
      <family val="2"/>
      <scheme val="major"/>
    </font>
    <font>
      <sz val="11"/>
      <name val="Tahoma"/>
      <family val="2"/>
      <scheme val="major"/>
    </font>
    <font>
      <b/>
      <sz val="11"/>
      <color theme="0"/>
      <name val="Tahoma"/>
      <family val="2"/>
      <scheme val="major"/>
    </font>
    <font>
      <b/>
      <u/>
      <sz val="11"/>
      <color theme="0"/>
      <name val="Tahoma"/>
      <family val="2"/>
      <scheme val="major"/>
    </font>
    <font>
      <sz val="11"/>
      <color rgb="FFFF0000"/>
      <name val="Tahoma"/>
      <family val="2"/>
      <scheme val="major"/>
    </font>
    <font>
      <sz val="12"/>
      <color rgb="FFFF0000"/>
      <name val="Tahoma"/>
      <family val="2"/>
      <scheme val="minor"/>
    </font>
    <font>
      <sz val="12"/>
      <name val="Tahoma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u/>
      <sz val="11"/>
      <color theme="0"/>
      <name val="Tahoma"/>
      <family val="2"/>
      <scheme val="minor"/>
    </font>
    <font>
      <b/>
      <u/>
      <sz val="12"/>
      <color theme="1"/>
      <name val="Tahoma"/>
      <family val="2"/>
      <scheme val="major"/>
    </font>
    <font>
      <b/>
      <sz val="12"/>
      <name val="Tahoma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</cellStyleXfs>
  <cellXfs count="401">
    <xf numFmtId="0" fontId="0" fillId="0" borderId="0" xfId="0"/>
    <xf numFmtId="49" fontId="0" fillId="3" borderId="0" xfId="0" applyNumberFormat="1" applyFill="1"/>
    <xf numFmtId="49" fontId="0" fillId="0" borderId="0" xfId="0" applyNumberFormat="1"/>
    <xf numFmtId="187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  <xf numFmtId="0" fontId="8" fillId="0" borderId="0" xfId="0" applyFont="1" applyAlignment="1">
      <alignment horizontal="center"/>
    </xf>
    <xf numFmtId="43" fontId="0" fillId="0" borderId="0" xfId="0" applyNumberFormat="1"/>
    <xf numFmtId="9" fontId="0" fillId="0" borderId="0" xfId="2" applyFont="1" applyFill="1"/>
    <xf numFmtId="43" fontId="8" fillId="0" borderId="0" xfId="1" applyFont="1" applyAlignment="1">
      <alignment horizontal="center"/>
    </xf>
    <xf numFmtId="43" fontId="10" fillId="0" borderId="0" xfId="1" applyFont="1"/>
    <xf numFmtId="43" fontId="0" fillId="0" borderId="0" xfId="1" applyFont="1" applyFill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0" fillId="0" borderId="0" xfId="0" applyFont="1"/>
    <xf numFmtId="43" fontId="10" fillId="5" borderId="0" xfId="1" applyFont="1" applyFill="1" applyAlignment="1">
      <alignment horizontal="center" vertical="center"/>
    </xf>
    <xf numFmtId="43" fontId="10" fillId="6" borderId="0" xfId="1" applyFont="1" applyFill="1" applyAlignment="1">
      <alignment horizontal="center" vertical="center"/>
    </xf>
    <xf numFmtId="43" fontId="10" fillId="7" borderId="0" xfId="1" applyFont="1" applyFill="1" applyAlignment="1">
      <alignment horizontal="center" vertical="center"/>
    </xf>
    <xf numFmtId="43" fontId="10" fillId="5" borderId="0" xfId="1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/>
    </xf>
    <xf numFmtId="0" fontId="13" fillId="0" borderId="0" xfId="0" applyFont="1"/>
    <xf numFmtId="49" fontId="13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43" fontId="13" fillId="0" borderId="0" xfId="0" applyNumberFormat="1" applyFont="1"/>
    <xf numFmtId="43" fontId="13" fillId="0" borderId="0" xfId="1" applyFont="1"/>
    <xf numFmtId="43" fontId="13" fillId="0" borderId="0" xfId="1" applyFont="1" applyAlignment="1"/>
    <xf numFmtId="43" fontId="7" fillId="0" borderId="0" xfId="1" applyFont="1"/>
    <xf numFmtId="3" fontId="13" fillId="0" borderId="0" xfId="0" applyNumberFormat="1" applyFont="1"/>
    <xf numFmtId="43" fontId="0" fillId="0" borderId="0" xfId="1" applyFont="1" applyAlignment="1">
      <alignment vertical="center"/>
    </xf>
    <xf numFmtId="0" fontId="0" fillId="10" borderId="0" xfId="0" applyFill="1"/>
    <xf numFmtId="43" fontId="11" fillId="0" borderId="0" xfId="1" applyFont="1"/>
    <xf numFmtId="43" fontId="0" fillId="12" borderId="0" xfId="1" applyFont="1" applyFill="1"/>
    <xf numFmtId="9" fontId="0" fillId="13" borderId="0" xfId="2" applyFont="1" applyFill="1"/>
    <xf numFmtId="0" fontId="10" fillId="4" borderId="0" xfId="0" applyFont="1" applyFill="1" applyAlignment="1">
      <alignment horizontal="center"/>
    </xf>
    <xf numFmtId="43" fontId="0" fillId="14" borderId="0" xfId="1" applyFont="1" applyFill="1"/>
    <xf numFmtId="43" fontId="0" fillId="13" borderId="0" xfId="1" applyFont="1" applyFill="1"/>
    <xf numFmtId="0" fontId="0" fillId="13" borderId="0" xfId="0" applyFill="1"/>
    <xf numFmtId="43" fontId="14" fillId="13" borderId="0" xfId="1" applyFont="1" applyFill="1"/>
    <xf numFmtId="0" fontId="10" fillId="0" borderId="0" xfId="0" applyFont="1" applyAlignment="1">
      <alignment horizontal="center"/>
    </xf>
    <xf numFmtId="0" fontId="15" fillId="0" borderId="0" xfId="0" applyFont="1"/>
    <xf numFmtId="9" fontId="0" fillId="4" borderId="0" xfId="2" applyFont="1" applyFill="1"/>
    <xf numFmtId="43" fontId="8" fillId="0" borderId="0" xfId="1" applyFont="1" applyAlignment="1">
      <alignment horizontal="center" vertical="center"/>
    </xf>
    <xf numFmtId="43" fontId="9" fillId="0" borderId="0" xfId="1" applyFont="1"/>
    <xf numFmtId="43" fontId="11" fillId="0" borderId="0" xfId="1" applyFont="1" applyFill="1"/>
    <xf numFmtId="43" fontId="10" fillId="12" borderId="0" xfId="1" applyFont="1" applyFill="1"/>
    <xf numFmtId="43" fontId="10" fillId="0" borderId="0" xfId="0" applyNumberFormat="1" applyFont="1"/>
    <xf numFmtId="43" fontId="14" fillId="0" borderId="0" xfId="1" applyFont="1" applyFill="1"/>
    <xf numFmtId="43" fontId="18" fillId="5" borderId="0" xfId="1" applyFont="1" applyFill="1" applyAlignment="1">
      <alignment horizontal="center" vertical="center"/>
    </xf>
    <xf numFmtId="43" fontId="18" fillId="5" borderId="0" xfId="1" applyFont="1" applyFill="1" applyAlignment="1">
      <alignment horizontal="center" vertical="center" wrapText="1"/>
    </xf>
    <xf numFmtId="43" fontId="18" fillId="6" borderId="0" xfId="1" applyFont="1" applyFill="1" applyAlignment="1">
      <alignment horizontal="center" vertical="center"/>
    </xf>
    <xf numFmtId="43" fontId="18" fillId="7" borderId="0" xfId="1" applyFont="1" applyFill="1" applyAlignment="1">
      <alignment horizontal="center" vertical="center"/>
    </xf>
    <xf numFmtId="43" fontId="19" fillId="0" borderId="0" xfId="1" applyFont="1" applyAlignment="1">
      <alignment horizontal="center" vertical="center"/>
    </xf>
    <xf numFmtId="9" fontId="19" fillId="0" borderId="0" xfId="2" applyFont="1" applyAlignment="1">
      <alignment horizontal="center" vertical="center"/>
    </xf>
    <xf numFmtId="43" fontId="20" fillId="0" borderId="0" xfId="1" applyFont="1" applyFill="1"/>
    <xf numFmtId="43" fontId="20" fillId="13" borderId="0" xfId="1" applyFont="1" applyFill="1"/>
    <xf numFmtId="43" fontId="21" fillId="0" borderId="0" xfId="1" applyFont="1" applyFill="1" applyAlignment="1">
      <alignment horizontal="center" vertical="center"/>
    </xf>
    <xf numFmtId="0" fontId="14" fillId="0" borderId="0" xfId="0" applyFont="1"/>
    <xf numFmtId="43" fontId="15" fillId="0" borderId="0" xfId="1" applyFont="1"/>
    <xf numFmtId="43" fontId="22" fillId="0" borderId="0" xfId="1" applyFont="1" applyFill="1"/>
    <xf numFmtId="9" fontId="15" fillId="0" borderId="0" xfId="2" applyFont="1"/>
    <xf numFmtId="43" fontId="15" fillId="0" borderId="0" xfId="1" applyFont="1" applyFill="1"/>
    <xf numFmtId="43" fontId="14" fillId="4" borderId="0" xfId="1" applyFont="1" applyFill="1" applyAlignment="1">
      <alignment horizontal="center" vertical="center"/>
    </xf>
    <xf numFmtId="187" fontId="0" fillId="0" borderId="0" xfId="0" applyNumberFormat="1" applyAlignment="1">
      <alignment horizontal="left"/>
    </xf>
    <xf numFmtId="43" fontId="15" fillId="0" borderId="0" xfId="1" applyFont="1" applyAlignment="1">
      <alignment horizontal="center" vertical="center"/>
    </xf>
    <xf numFmtId="0" fontId="20" fillId="0" borderId="0" xfId="0" applyFont="1"/>
    <xf numFmtId="43" fontId="20" fillId="14" borderId="0" xfId="1" applyFont="1" applyFill="1"/>
    <xf numFmtId="43" fontId="14" fillId="0" borderId="0" xfId="1" applyFont="1"/>
    <xf numFmtId="43" fontId="20" fillId="0" borderId="0" xfId="1" applyFont="1"/>
    <xf numFmtId="0" fontId="0" fillId="13" borderId="0" xfId="0" applyFill="1" applyAlignment="1">
      <alignment horizontal="center"/>
    </xf>
    <xf numFmtId="0" fontId="10" fillId="4" borderId="0" xfId="0" applyFont="1" applyFill="1"/>
    <xf numFmtId="43" fontId="18" fillId="0" borderId="0" xfId="1" applyFont="1" applyFill="1" applyAlignment="1">
      <alignment horizontal="center" vertical="center"/>
    </xf>
    <xf numFmtId="14" fontId="0" fillId="0" borderId="0" xfId="0" applyNumberFormat="1"/>
    <xf numFmtId="43" fontId="0" fillId="15" borderId="0" xfId="1" applyFont="1" applyFill="1"/>
    <xf numFmtId="0" fontId="9" fillId="0" borderId="0" xfId="0" applyFont="1"/>
    <xf numFmtId="43" fontId="0" fillId="0" borderId="0" xfId="1" applyFont="1" applyAlignment="1">
      <alignment horizontal="center"/>
    </xf>
    <xf numFmtId="43" fontId="11" fillId="0" borderId="0" xfId="1" applyFont="1" applyAlignment="1">
      <alignment horizontal="center"/>
    </xf>
    <xf numFmtId="43" fontId="10" fillId="12" borderId="0" xfId="1" applyFont="1" applyFill="1" applyAlignment="1">
      <alignment horizontal="center"/>
    </xf>
    <xf numFmtId="43" fontId="11" fillId="0" borderId="0" xfId="1" applyFont="1" applyFill="1" applyAlignment="1">
      <alignment horizontal="center"/>
    </xf>
    <xf numFmtId="43" fontId="11" fillId="12" borderId="0" xfId="1" applyFont="1" applyFill="1" applyAlignment="1">
      <alignment horizontal="center"/>
    </xf>
    <xf numFmtId="43" fontId="23" fillId="12" borderId="0" xfId="1" applyFont="1" applyFill="1" applyAlignment="1">
      <alignment horizontal="center"/>
    </xf>
    <xf numFmtId="43" fontId="17" fillId="0" borderId="0" xfId="1" applyFont="1" applyFill="1" applyAlignment="1">
      <alignment horizontal="center"/>
    </xf>
    <xf numFmtId="0" fontId="15" fillId="14" borderId="0" xfId="0" applyFont="1" applyFill="1"/>
    <xf numFmtId="40" fontId="17" fillId="0" borderId="0" xfId="1" applyNumberFormat="1" applyFont="1"/>
    <xf numFmtId="43" fontId="10" fillId="17" borderId="0" xfId="1" applyFont="1" applyFill="1" applyAlignment="1">
      <alignment horizontal="center" vertical="center"/>
    </xf>
    <xf numFmtId="38" fontId="17" fillId="0" borderId="0" xfId="1" applyNumberFormat="1" applyFont="1" applyFill="1"/>
    <xf numFmtId="43" fontId="10" fillId="6" borderId="0" xfId="1" applyFont="1" applyFill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8" fillId="0" borderId="0" xfId="0" applyFont="1"/>
    <xf numFmtId="43" fontId="17" fillId="14" borderId="0" xfId="1" applyFont="1" applyFill="1"/>
    <xf numFmtId="10" fontId="8" fillId="0" borderId="0" xfId="2" applyNumberFormat="1" applyFont="1" applyAlignment="1">
      <alignment horizontal="center"/>
    </xf>
    <xf numFmtId="10" fontId="10" fillId="0" borderId="0" xfId="2" applyNumberFormat="1" applyFont="1"/>
    <xf numFmtId="10" fontId="0" fillId="0" borderId="0" xfId="2" applyNumberFormat="1" applyFont="1"/>
    <xf numFmtId="10" fontId="10" fillId="12" borderId="0" xfId="2" applyNumberFormat="1" applyFont="1" applyFill="1"/>
    <xf numFmtId="10" fontId="0" fillId="0" borderId="0" xfId="2" applyNumberFormat="1" applyFont="1" applyFill="1"/>
    <xf numFmtId="10" fontId="10" fillId="0" borderId="0" xfId="2" applyNumberFormat="1" applyFont="1" applyFill="1"/>
    <xf numFmtId="10" fontId="14" fillId="0" borderId="0" xfId="2" applyNumberFormat="1" applyFont="1" applyFill="1"/>
    <xf numFmtId="0" fontId="10" fillId="15" borderId="0" xfId="0" applyFont="1" applyFill="1"/>
    <xf numFmtId="0" fontId="0" fillId="14" borderId="0" xfId="0" applyFill="1"/>
    <xf numFmtId="43" fontId="8" fillId="4" borderId="0" xfId="1" applyFont="1" applyFill="1" applyAlignment="1">
      <alignment horizontal="center"/>
    </xf>
    <xf numFmtId="0" fontId="10" fillId="14" borderId="0" xfId="0" applyFont="1" applyFill="1"/>
    <xf numFmtId="43" fontId="0" fillId="14" borderId="0" xfId="1" applyFont="1" applyFill="1" applyAlignment="1">
      <alignment horizontal="center"/>
    </xf>
    <xf numFmtId="10" fontId="10" fillId="14" borderId="0" xfId="2" applyNumberFormat="1" applyFont="1" applyFill="1"/>
    <xf numFmtId="43" fontId="0" fillId="0" borderId="0" xfId="1" applyFont="1" applyFill="1" applyAlignment="1">
      <alignment horizontal="center"/>
    </xf>
    <xf numFmtId="10" fontId="17" fillId="0" borderId="0" xfId="2" applyNumberFormat="1" applyFont="1" applyFill="1"/>
    <xf numFmtId="43" fontId="27" fillId="0" borderId="0" xfId="1" applyFont="1" applyFill="1"/>
    <xf numFmtId="0" fontId="0" fillId="9" borderId="0" xfId="0" applyFill="1" applyAlignment="1">
      <alignment horizontal="left"/>
    </xf>
    <xf numFmtId="43" fontId="28" fillId="0" borderId="0" xfId="1" applyFont="1" applyFill="1"/>
    <xf numFmtId="43" fontId="29" fillId="0" borderId="0" xfId="1" applyFont="1" applyFill="1"/>
    <xf numFmtId="0" fontId="27" fillId="0" borderId="0" xfId="0" applyFont="1" applyAlignment="1">
      <alignment horizontal="left"/>
    </xf>
    <xf numFmtId="0" fontId="27" fillId="9" borderId="0" xfId="0" applyFont="1" applyFill="1" applyAlignment="1">
      <alignment horizontal="left"/>
    </xf>
    <xf numFmtId="43" fontId="0" fillId="9" borderId="0" xfId="1" applyFont="1" applyFill="1"/>
    <xf numFmtId="43" fontId="0" fillId="9" borderId="0" xfId="1" applyFont="1" applyFill="1" applyAlignment="1">
      <alignment horizontal="center"/>
    </xf>
    <xf numFmtId="0" fontId="27" fillId="0" borderId="0" xfId="0" applyFont="1"/>
    <xf numFmtId="0" fontId="30" fillId="0" borderId="0" xfId="0" applyFont="1" applyAlignment="1">
      <alignment horizontal="center" vertical="center"/>
    </xf>
    <xf numFmtId="43" fontId="27" fillId="13" borderId="0" xfId="1" applyFont="1" applyFill="1"/>
    <xf numFmtId="43" fontId="27" fillId="0" borderId="0" xfId="1" applyFont="1"/>
    <xf numFmtId="43" fontId="16" fillId="9" borderId="0" xfId="1" applyFont="1" applyFill="1"/>
    <xf numFmtId="43" fontId="0" fillId="16" borderId="0" xfId="1" applyFont="1" applyFill="1"/>
    <xf numFmtId="10" fontId="23" fillId="12" borderId="0" xfId="2" applyNumberFormat="1" applyFont="1" applyFill="1"/>
    <xf numFmtId="0" fontId="17" fillId="0" borderId="0" xfId="0" applyFont="1"/>
    <xf numFmtId="43" fontId="17" fillId="0" borderId="0" xfId="0" applyNumberFormat="1" applyFont="1"/>
    <xf numFmtId="43" fontId="17" fillId="0" borderId="0" xfId="1" applyFont="1" applyFill="1"/>
    <xf numFmtId="43" fontId="0" fillId="14" borderId="0" xfId="0" applyNumberFormat="1" applyFill="1"/>
    <xf numFmtId="43" fontId="0" fillId="0" borderId="0" xfId="1" pivotButton="1" applyFont="1"/>
    <xf numFmtId="0" fontId="14" fillId="0" borderId="0" xfId="0" applyFont="1" applyAlignment="1">
      <alignment horizontal="left"/>
    </xf>
    <xf numFmtId="43" fontId="0" fillId="15" borderId="0" xfId="0" applyNumberFormat="1" applyFill="1"/>
    <xf numFmtId="0" fontId="0" fillId="15" borderId="0" xfId="0" applyFill="1" applyAlignment="1">
      <alignment horizontal="center"/>
    </xf>
    <xf numFmtId="43" fontId="9" fillId="0" borderId="0" xfId="1" applyFont="1" applyFill="1"/>
    <xf numFmtId="10" fontId="0" fillId="14" borderId="0" xfId="2" applyNumberFormat="1" applyFont="1" applyFill="1"/>
    <xf numFmtId="10" fontId="0" fillId="9" borderId="0" xfId="2" applyNumberFormat="1" applyFont="1" applyFill="1"/>
    <xf numFmtId="43" fontId="32" fillId="0" borderId="0" xfId="1" applyFont="1"/>
    <xf numFmtId="43" fontId="10" fillId="14" borderId="0" xfId="1" applyFont="1" applyFill="1"/>
    <xf numFmtId="43" fontId="8" fillId="19" borderId="0" xfId="1" applyFont="1" applyFill="1" applyAlignment="1">
      <alignment horizontal="center" wrapText="1"/>
    </xf>
    <xf numFmtId="10" fontId="10" fillId="15" borderId="0" xfId="2" applyNumberFormat="1" applyFont="1" applyFill="1"/>
    <xf numFmtId="43" fontId="10" fillId="15" borderId="0" xfId="1" applyFont="1" applyFill="1"/>
    <xf numFmtId="10" fontId="0" fillId="15" borderId="0" xfId="2" applyNumberFormat="1" applyFont="1" applyFill="1"/>
    <xf numFmtId="0" fontId="15" fillId="14" borderId="0" xfId="0" applyFont="1" applyFill="1" applyAlignment="1">
      <alignment horizontal="center"/>
    </xf>
    <xf numFmtId="43" fontId="15" fillId="14" borderId="0" xfId="1" applyFont="1" applyFill="1" applyAlignment="1">
      <alignment horizontal="center"/>
    </xf>
    <xf numFmtId="0" fontId="34" fillId="20" borderId="0" xfId="0" applyFont="1" applyFill="1" applyAlignment="1">
      <alignment horizontal="center"/>
    </xf>
    <xf numFmtId="0" fontId="7" fillId="0" borderId="0" xfId="0" applyFont="1"/>
    <xf numFmtId="43" fontId="7" fillId="0" borderId="0" xfId="1" applyFont="1" applyFill="1"/>
    <xf numFmtId="43" fontId="23" fillId="0" borderId="0" xfId="1" applyFont="1" applyFill="1"/>
    <xf numFmtId="43" fontId="23" fillId="0" borderId="0" xfId="1" applyFont="1" applyFill="1" applyAlignment="1">
      <alignment horizontal="center"/>
    </xf>
    <xf numFmtId="43" fontId="10" fillId="4" borderId="0" xfId="1" applyFont="1" applyFill="1"/>
    <xf numFmtId="0" fontId="36" fillId="20" borderId="0" xfId="0" applyFont="1" applyFill="1" applyAlignment="1">
      <alignment horizontal="center" vertical="center"/>
    </xf>
    <xf numFmtId="0" fontId="36" fillId="20" borderId="0" xfId="0" applyFont="1" applyFill="1" applyAlignment="1">
      <alignment horizontal="center"/>
    </xf>
    <xf numFmtId="0" fontId="24" fillId="4" borderId="0" xfId="0" applyFont="1" applyFill="1"/>
    <xf numFmtId="43" fontId="10" fillId="19" borderId="0" xfId="1" applyFont="1" applyFill="1" applyAlignment="1">
      <alignment horizontal="center" vertical="center"/>
    </xf>
    <xf numFmtId="0" fontId="10" fillId="19" borderId="0" xfId="0" applyFont="1" applyFill="1"/>
    <xf numFmtId="43" fontId="10" fillId="19" borderId="0" xfId="1" applyFont="1" applyFill="1"/>
    <xf numFmtId="43" fontId="31" fillId="13" borderId="0" xfId="1" applyFont="1" applyFill="1"/>
    <xf numFmtId="187" fontId="9" fillId="0" borderId="0" xfId="0" applyNumberFormat="1" applyFont="1"/>
    <xf numFmtId="187" fontId="9" fillId="0" borderId="0" xfId="0" applyNumberFormat="1" applyFont="1" applyAlignment="1">
      <alignment horizontal="left"/>
    </xf>
    <xf numFmtId="10" fontId="8" fillId="4" borderId="0" xfId="2" applyNumberFormat="1" applyFont="1" applyFill="1" applyAlignment="1">
      <alignment horizontal="center"/>
    </xf>
    <xf numFmtId="43" fontId="34" fillId="20" borderId="0" xfId="1" applyFont="1" applyFill="1" applyAlignment="1">
      <alignment horizontal="center"/>
    </xf>
    <xf numFmtId="43" fontId="0" fillId="0" borderId="0" xfId="0" applyNumberFormat="1" applyAlignment="1">
      <alignment horizontal="center"/>
    </xf>
    <xf numFmtId="188" fontId="0" fillId="0" borderId="0" xfId="0" applyNumberFormat="1" applyAlignment="1">
      <alignment horizontal="center"/>
    </xf>
    <xf numFmtId="188" fontId="0" fillId="0" borderId="0" xfId="0" applyNumberFormat="1"/>
    <xf numFmtId="43" fontId="34" fillId="20" borderId="0" xfId="1" applyFont="1" applyFill="1" applyAlignment="1">
      <alignment horizontal="center" vertical="center" wrapText="1"/>
    </xf>
    <xf numFmtId="0" fontId="34" fillId="20" borderId="0" xfId="0" applyFont="1" applyFill="1" applyAlignment="1">
      <alignment horizontal="center" vertical="center" wrapText="1"/>
    </xf>
    <xf numFmtId="43" fontId="10" fillId="4" borderId="0" xfId="1" applyFont="1" applyFill="1" applyAlignment="1">
      <alignment horizontal="center" vertical="center"/>
    </xf>
    <xf numFmtId="43" fontId="10" fillId="0" borderId="0" xfId="1" applyFont="1" applyFill="1"/>
    <xf numFmtId="43" fontId="10" fillId="22" borderId="0" xfId="1" applyFont="1" applyFill="1"/>
    <xf numFmtId="43" fontId="10" fillId="11" borderId="0" xfId="1" applyFont="1" applyFill="1"/>
    <xf numFmtId="43" fontId="27" fillId="12" borderId="0" xfId="1" applyFont="1" applyFill="1"/>
    <xf numFmtId="43" fontId="0" fillId="12" borderId="0" xfId="1" applyFont="1" applyFill="1" applyAlignment="1">
      <alignment horizontal="center"/>
    </xf>
    <xf numFmtId="43" fontId="27" fillId="16" borderId="0" xfId="1" applyFont="1" applyFill="1"/>
    <xf numFmtId="43" fontId="27" fillId="14" borderId="0" xfId="1" applyFont="1" applyFill="1"/>
    <xf numFmtId="43" fontId="14" fillId="0" borderId="0" xfId="0" applyNumberFormat="1" applyFont="1"/>
    <xf numFmtId="0" fontId="15" fillId="4" borderId="0" xfId="0" applyFont="1" applyFill="1"/>
    <xf numFmtId="43" fontId="14" fillId="0" borderId="0" xfId="1" applyFont="1" applyFill="1" applyAlignment="1">
      <alignment horizontal="center" vertical="center"/>
    </xf>
    <xf numFmtId="43" fontId="17" fillId="0" borderId="0" xfId="1" applyFont="1"/>
    <xf numFmtId="43" fontId="33" fillId="0" borderId="0" xfId="1" applyFont="1"/>
    <xf numFmtId="43" fontId="23" fillId="4" borderId="0" xfId="1" applyFont="1" applyFill="1" applyAlignment="1">
      <alignment horizontal="center" vertical="center"/>
    </xf>
    <xf numFmtId="43" fontId="14" fillId="0" borderId="0" xfId="1" applyFont="1" applyFill="1" applyAlignment="1">
      <alignment horizontal="center"/>
    </xf>
    <xf numFmtId="43" fontId="14" fillId="0" borderId="0" xfId="1" applyFont="1" applyAlignment="1">
      <alignment horizontal="center"/>
    </xf>
    <xf numFmtId="43" fontId="15" fillId="14" borderId="0" xfId="1" applyFont="1" applyFill="1"/>
    <xf numFmtId="43" fontId="15" fillId="11" borderId="0" xfId="1" applyFont="1" applyFill="1"/>
    <xf numFmtId="43" fontId="10" fillId="9" borderId="0" xfId="1" applyFont="1" applyFill="1"/>
    <xf numFmtId="0" fontId="0" fillId="23" borderId="0" xfId="0" applyFill="1"/>
    <xf numFmtId="43" fontId="10" fillId="23" borderId="0" xfId="1" applyFont="1" applyFill="1" applyAlignment="1">
      <alignment horizontal="center" vertical="center"/>
    </xf>
    <xf numFmtId="43" fontId="10" fillId="7" borderId="0" xfId="1" applyFont="1" applyFill="1" applyAlignment="1">
      <alignment horizontal="center" vertical="center" wrapText="1"/>
    </xf>
    <xf numFmtId="43" fontId="0" fillId="21" borderId="0" xfId="1" applyFont="1" applyFill="1"/>
    <xf numFmtId="10" fontId="38" fillId="4" borderId="0" xfId="2" applyNumberFormat="1" applyFont="1" applyFill="1" applyAlignment="1">
      <alignment horizontal="center"/>
    </xf>
    <xf numFmtId="10" fontId="20" fillId="0" borderId="0" xfId="2" applyNumberFormat="1" applyFont="1"/>
    <xf numFmtId="10" fontId="20" fillId="0" borderId="0" xfId="2" applyNumberFormat="1" applyFont="1" applyFill="1"/>
    <xf numFmtId="10" fontId="14" fillId="14" borderId="0" xfId="2" applyNumberFormat="1" applyFont="1" applyFill="1"/>
    <xf numFmtId="43" fontId="14" fillId="0" borderId="0" xfId="2" applyNumberFormat="1" applyFont="1" applyFill="1"/>
    <xf numFmtId="43" fontId="24" fillId="0" borderId="0" xfId="1" applyFont="1" applyFill="1"/>
    <xf numFmtId="0" fontId="39" fillId="0" borderId="0" xfId="0" pivotButton="1" applyFont="1"/>
    <xf numFmtId="0" fontId="39" fillId="0" borderId="0" xfId="0" applyFont="1"/>
    <xf numFmtId="0" fontId="40" fillId="0" borderId="0" xfId="0" applyFont="1" applyAlignment="1">
      <alignment horizontal="center"/>
    </xf>
    <xf numFmtId="43" fontId="39" fillId="0" borderId="0" xfId="1" applyFont="1"/>
    <xf numFmtId="43" fontId="40" fillId="0" borderId="0" xfId="1" applyFont="1"/>
    <xf numFmtId="9" fontId="40" fillId="0" borderId="0" xfId="2" applyFont="1"/>
    <xf numFmtId="0" fontId="40" fillId="0" borderId="0" xfId="0" applyFont="1"/>
    <xf numFmtId="0" fontId="39" fillId="23" borderId="0" xfId="0" applyFont="1" applyFill="1"/>
    <xf numFmtId="43" fontId="40" fillId="23" borderId="0" xfId="1" applyFont="1" applyFill="1" applyAlignment="1">
      <alignment horizontal="center" vertical="center"/>
    </xf>
    <xf numFmtId="9" fontId="40" fillId="23" borderId="0" xfId="2" applyFont="1" applyFill="1" applyAlignment="1">
      <alignment horizontal="center" wrapText="1"/>
    </xf>
    <xf numFmtId="0" fontId="41" fillId="9" borderId="0" xfId="0" applyFont="1" applyFill="1" applyAlignment="1">
      <alignment horizontal="center"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center" vertical="center"/>
    </xf>
    <xf numFmtId="0" fontId="39" fillId="0" borderId="0" xfId="0" applyFont="1" applyAlignment="1">
      <alignment horizontal="left"/>
    </xf>
    <xf numFmtId="0" fontId="39" fillId="12" borderId="0" xfId="0" applyFont="1" applyFill="1"/>
    <xf numFmtId="43" fontId="40" fillId="11" borderId="0" xfId="1" applyFont="1" applyFill="1"/>
    <xf numFmtId="9" fontId="39" fillId="0" borderId="0" xfId="2" applyFont="1" applyFill="1"/>
    <xf numFmtId="43" fontId="39" fillId="0" borderId="0" xfId="0" applyNumberFormat="1" applyFont="1"/>
    <xf numFmtId="43" fontId="40" fillId="0" borderId="0" xfId="0" applyNumberFormat="1" applyFont="1"/>
    <xf numFmtId="43" fontId="40" fillId="0" borderId="0" xfId="1" applyFont="1" applyFill="1"/>
    <xf numFmtId="43" fontId="40" fillId="0" borderId="0" xfId="1" applyFont="1" applyFill="1" applyAlignment="1">
      <alignment horizontal="right"/>
    </xf>
    <xf numFmtId="43" fontId="39" fillId="12" borderId="0" xfId="1" applyFont="1" applyFill="1" applyAlignment="1">
      <alignment horizontal="right"/>
    </xf>
    <xf numFmtId="9" fontId="39" fillId="12" borderId="0" xfId="2" applyFont="1" applyFill="1" applyAlignment="1">
      <alignment horizontal="right"/>
    </xf>
    <xf numFmtId="9" fontId="43" fillId="12" borderId="0" xfId="0" applyNumberFormat="1" applyFont="1" applyFill="1"/>
    <xf numFmtId="43" fontId="40" fillId="12" borderId="0" xfId="0" applyNumberFormat="1" applyFont="1" applyFill="1"/>
    <xf numFmtId="9" fontId="40" fillId="12" borderId="0" xfId="2" applyFont="1" applyFill="1"/>
    <xf numFmtId="9" fontId="40" fillId="0" borderId="0" xfId="2" applyFont="1" applyFill="1"/>
    <xf numFmtId="43" fontId="40" fillId="12" borderId="0" xfId="1" applyFont="1" applyFill="1"/>
    <xf numFmtId="9" fontId="44" fillId="12" borderId="0" xfId="0" applyNumberFormat="1" applyFont="1" applyFill="1"/>
    <xf numFmtId="9" fontId="43" fillId="12" borderId="0" xfId="2" applyFont="1" applyFill="1"/>
    <xf numFmtId="43" fontId="44" fillId="11" borderId="0" xfId="1" applyFont="1" applyFill="1"/>
    <xf numFmtId="0" fontId="45" fillId="0" borderId="0" xfId="0" applyFont="1"/>
    <xf numFmtId="43" fontId="45" fillId="0" borderId="0" xfId="0" applyNumberFormat="1" applyFont="1"/>
    <xf numFmtId="9" fontId="44" fillId="0" borderId="0" xfId="2" applyFont="1" applyFill="1"/>
    <xf numFmtId="43" fontId="44" fillId="0" borderId="0" xfId="1" applyFont="1" applyFill="1"/>
    <xf numFmtId="0" fontId="40" fillId="12" borderId="0" xfId="0" applyFont="1" applyFill="1"/>
    <xf numFmtId="9" fontId="39" fillId="12" borderId="0" xfId="2" applyFont="1" applyFill="1"/>
    <xf numFmtId="9" fontId="45" fillId="0" borderId="0" xfId="0" applyNumberFormat="1" applyFont="1"/>
    <xf numFmtId="43" fontId="40" fillId="4" borderId="0" xfId="1" applyFont="1" applyFill="1"/>
    <xf numFmtId="9" fontId="39" fillId="0" borderId="0" xfId="2" applyFont="1"/>
    <xf numFmtId="0" fontId="40" fillId="14" borderId="0" xfId="0" applyFont="1" applyFill="1"/>
    <xf numFmtId="0" fontId="39" fillId="14" borderId="0" xfId="0" applyFont="1" applyFill="1"/>
    <xf numFmtId="43" fontId="39" fillId="14" borderId="0" xfId="1" applyFont="1" applyFill="1"/>
    <xf numFmtId="43" fontId="40" fillId="14" borderId="0" xfId="1" applyFont="1" applyFill="1"/>
    <xf numFmtId="9" fontId="39" fillId="14" borderId="0" xfId="2" applyFont="1" applyFill="1"/>
    <xf numFmtId="9" fontId="44" fillId="0" borderId="0" xfId="0" applyNumberFormat="1" applyFont="1"/>
    <xf numFmtId="0" fontId="40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43" fontId="39" fillId="0" borderId="0" xfId="1" applyFont="1" applyAlignment="1">
      <alignment vertical="center"/>
    </xf>
    <xf numFmtId="43" fontId="46" fillId="20" borderId="0" xfId="1" applyFont="1" applyFill="1" applyAlignment="1">
      <alignment vertical="center"/>
    </xf>
    <xf numFmtId="9" fontId="46" fillId="20" borderId="0" xfId="2" applyFont="1" applyFill="1" applyAlignment="1">
      <alignment vertical="center" wrapText="1"/>
    </xf>
    <xf numFmtId="0" fontId="47" fillId="20" borderId="0" xfId="0" applyFont="1" applyFill="1" applyAlignment="1">
      <alignment vertical="center"/>
    </xf>
    <xf numFmtId="0" fontId="47" fillId="20" borderId="0" xfId="0" applyFont="1" applyFill="1" applyAlignment="1">
      <alignment horizontal="center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horizontal="left"/>
    </xf>
    <xf numFmtId="43" fontId="42" fillId="0" borderId="0" xfId="1" applyFont="1" applyFill="1"/>
    <xf numFmtId="9" fontId="40" fillId="14" borderId="0" xfId="2" applyFont="1" applyFill="1" applyAlignment="1">
      <alignment horizontal="center"/>
    </xf>
    <xf numFmtId="43" fontId="48" fillId="0" borderId="0" xfId="1" applyFont="1"/>
    <xf numFmtId="43" fontId="10" fillId="5" borderId="0" xfId="1" applyFont="1" applyFill="1" applyAlignment="1">
      <alignment horizontal="center"/>
    </xf>
    <xf numFmtId="43" fontId="15" fillId="0" borderId="0" xfId="1" applyFont="1" applyAlignment="1">
      <alignment horizontal="center"/>
    </xf>
    <xf numFmtId="43" fontId="0" fillId="13" borderId="0" xfId="1" applyFont="1" applyFill="1" applyAlignment="1">
      <alignment horizontal="center"/>
    </xf>
    <xf numFmtId="43" fontId="20" fillId="14" borderId="0" xfId="1" applyFont="1" applyFill="1" applyAlignment="1">
      <alignment horizontal="center"/>
    </xf>
    <xf numFmtId="0" fontId="37" fillId="14" borderId="0" xfId="0" applyFont="1" applyFill="1" applyAlignment="1">
      <alignment horizontal="center"/>
    </xf>
    <xf numFmtId="43" fontId="10" fillId="14" borderId="0" xfId="0" applyNumberFormat="1" applyFont="1" applyFill="1"/>
    <xf numFmtId="0" fontId="0" fillId="14" borderId="0" xfId="0" applyFill="1" applyAlignment="1">
      <alignment horizontal="left"/>
    </xf>
    <xf numFmtId="43" fontId="10" fillId="4" borderId="0" xfId="1" applyFont="1" applyFill="1" applyAlignment="1">
      <alignment horizontal="center"/>
    </xf>
    <xf numFmtId="43" fontId="20" fillId="0" borderId="0" xfId="1" applyFont="1" applyAlignment="1">
      <alignment horizontal="center"/>
    </xf>
    <xf numFmtId="43" fontId="39" fillId="0" borderId="0" xfId="1" applyFont="1" applyFill="1"/>
    <xf numFmtId="9" fontId="40" fillId="0" borderId="0" xfId="2" applyFont="1" applyFill="1" applyAlignment="1">
      <alignment horizontal="center"/>
    </xf>
    <xf numFmtId="43" fontId="14" fillId="14" borderId="0" xfId="1" applyFont="1" applyFill="1"/>
    <xf numFmtId="43" fontId="18" fillId="12" borderId="0" xfId="1" applyFont="1" applyFill="1" applyAlignment="1">
      <alignment horizontal="center" vertical="center"/>
    </xf>
    <xf numFmtId="43" fontId="10" fillId="11" borderId="0" xfId="0" applyNumberFormat="1" applyFont="1" applyFill="1"/>
    <xf numFmtId="0" fontId="10" fillId="11" borderId="0" xfId="0" applyFont="1" applyFill="1"/>
    <xf numFmtId="0" fontId="27" fillId="14" borderId="0" xfId="0" applyFont="1" applyFill="1" applyAlignment="1">
      <alignment horizontal="left"/>
    </xf>
    <xf numFmtId="43" fontId="10" fillId="13" borderId="0" xfId="1" applyFont="1" applyFill="1"/>
    <xf numFmtId="43" fontId="4" fillId="0" borderId="0" xfId="1" applyFont="1" applyFill="1"/>
    <xf numFmtId="43" fontId="39" fillId="14" borderId="0" xfId="0" applyNumberFormat="1" applyFont="1" applyFill="1"/>
    <xf numFmtId="9" fontId="40" fillId="14" borderId="0" xfId="2" applyFont="1" applyFill="1"/>
    <xf numFmtId="9" fontId="45" fillId="12" borderId="0" xfId="2" applyFont="1" applyFill="1"/>
    <xf numFmtId="0" fontId="16" fillId="0" borderId="0" xfId="0" applyFont="1"/>
    <xf numFmtId="10" fontId="16" fillId="0" borderId="0" xfId="2" applyNumberFormat="1" applyFont="1" applyFill="1"/>
    <xf numFmtId="43" fontId="16" fillId="0" borderId="0" xfId="1" applyFont="1" applyFill="1" applyAlignment="1">
      <alignment horizontal="center"/>
    </xf>
    <xf numFmtId="43" fontId="16" fillId="0" borderId="0" xfId="1" applyFont="1" applyFill="1"/>
    <xf numFmtId="10" fontId="15" fillId="0" borderId="0" xfId="2" applyNumberFormat="1" applyFont="1" applyFill="1"/>
    <xf numFmtId="10" fontId="22" fillId="0" borderId="0" xfId="2" applyNumberFormat="1" applyFont="1" applyFill="1"/>
    <xf numFmtId="43" fontId="16" fillId="0" borderId="0" xfId="1" applyFont="1"/>
    <xf numFmtId="10" fontId="16" fillId="0" borderId="0" xfId="2" applyNumberFormat="1" applyFont="1"/>
    <xf numFmtId="43" fontId="16" fillId="0" borderId="0" xfId="1" applyFont="1" applyAlignment="1">
      <alignment horizontal="center"/>
    </xf>
    <xf numFmtId="10" fontId="49" fillId="0" borderId="0" xfId="2" applyNumberFormat="1" applyFont="1"/>
    <xf numFmtId="0" fontId="22" fillId="0" borderId="0" xfId="0" applyFont="1"/>
    <xf numFmtId="0" fontId="49" fillId="0" borderId="0" xfId="0" applyFont="1"/>
    <xf numFmtId="10" fontId="49" fillId="0" borderId="0" xfId="2" applyNumberFormat="1" applyFont="1" applyFill="1"/>
    <xf numFmtId="43" fontId="49" fillId="0" borderId="0" xfId="1" applyFont="1" applyFill="1" applyAlignment="1">
      <alignment horizontal="center"/>
    </xf>
    <xf numFmtId="43" fontId="49" fillId="0" borderId="0" xfId="1" applyFont="1" applyFill="1"/>
    <xf numFmtId="0" fontId="23" fillId="9" borderId="0" xfId="0" applyFont="1" applyFill="1" applyAlignment="1">
      <alignment horizontal="left"/>
    </xf>
    <xf numFmtId="0" fontId="17" fillId="9" borderId="0" xfId="0" applyFont="1" applyFill="1" applyAlignment="1">
      <alignment horizontal="left"/>
    </xf>
    <xf numFmtId="43" fontId="50" fillId="9" borderId="0" xfId="1" applyFont="1" applyFill="1"/>
    <xf numFmtId="43" fontId="23" fillId="9" borderId="0" xfId="1" applyFont="1" applyFill="1"/>
    <xf numFmtId="10" fontId="17" fillId="9" borderId="0" xfId="2" applyNumberFormat="1" applyFont="1" applyFill="1"/>
    <xf numFmtId="43" fontId="17" fillId="9" borderId="0" xfId="1" applyFont="1" applyFill="1" applyAlignment="1">
      <alignment horizontal="center"/>
    </xf>
    <xf numFmtId="43" fontId="17" fillId="9" borderId="0" xfId="1" applyFont="1" applyFill="1"/>
    <xf numFmtId="10" fontId="27" fillId="12" borderId="0" xfId="2" applyNumberFormat="1" applyFont="1" applyFill="1"/>
    <xf numFmtId="0" fontId="39" fillId="21" borderId="0" xfId="0" applyFont="1" applyFill="1"/>
    <xf numFmtId="0" fontId="51" fillId="0" borderId="0" xfId="0" applyFont="1"/>
    <xf numFmtId="43" fontId="51" fillId="0" borderId="0" xfId="1" applyFont="1"/>
    <xf numFmtId="0" fontId="52" fillId="0" borderId="0" xfId="0" applyFont="1"/>
    <xf numFmtId="43" fontId="52" fillId="0" borderId="0" xfId="1" applyFont="1"/>
    <xf numFmtId="0" fontId="10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43" fontId="10" fillId="3" borderId="0" xfId="1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0" fillId="9" borderId="0" xfId="0" applyFont="1" applyFill="1" applyAlignment="1">
      <alignment horizontal="center"/>
    </xf>
    <xf numFmtId="0" fontId="39" fillId="9" borderId="0" xfId="0" applyFont="1" applyFill="1" applyAlignment="1">
      <alignment horizontal="center"/>
    </xf>
    <xf numFmtId="9" fontId="39" fillId="9" borderId="0" xfId="2" applyFont="1" applyFill="1" applyAlignment="1">
      <alignment horizontal="center"/>
    </xf>
    <xf numFmtId="9" fontId="40" fillId="9" borderId="0" xfId="2" applyFont="1" applyFill="1" applyAlignment="1">
      <alignment horizontal="center"/>
    </xf>
    <xf numFmtId="9" fontId="45" fillId="9" borderId="0" xfId="2" applyFont="1" applyFill="1" applyAlignment="1">
      <alignment horizontal="center"/>
    </xf>
    <xf numFmtId="9" fontId="40" fillId="8" borderId="0" xfId="2" applyFont="1" applyFill="1" applyAlignment="1">
      <alignment horizontal="center"/>
    </xf>
    <xf numFmtId="9" fontId="44" fillId="8" borderId="0" xfId="2" applyFont="1" applyFill="1" applyAlignment="1">
      <alignment horizontal="center"/>
    </xf>
    <xf numFmtId="9" fontId="39" fillId="14" borderId="0" xfId="2" applyFont="1" applyFill="1" applyAlignment="1">
      <alignment horizontal="center"/>
    </xf>
    <xf numFmtId="9" fontId="39" fillId="10" borderId="0" xfId="2" applyFont="1" applyFill="1" applyAlignment="1">
      <alignment horizontal="center"/>
    </xf>
    <xf numFmtId="0" fontId="39" fillId="14" borderId="0" xfId="0" applyFont="1" applyFill="1" applyAlignment="1">
      <alignment horizontal="center"/>
    </xf>
    <xf numFmtId="10" fontId="10" fillId="14" borderId="0" xfId="1" applyNumberFormat="1" applyFont="1" applyFill="1"/>
    <xf numFmtId="0" fontId="23" fillId="12" borderId="0" xfId="0" applyFont="1" applyFill="1" applyAlignment="1">
      <alignment vertical="center"/>
    </xf>
    <xf numFmtId="0" fontId="23" fillId="13" borderId="0" xfId="0" applyFont="1" applyFill="1" applyAlignment="1">
      <alignment vertical="center"/>
    </xf>
    <xf numFmtId="0" fontId="23" fillId="15" borderId="0" xfId="0" applyFont="1" applyFill="1" applyAlignment="1">
      <alignment vertical="center"/>
    </xf>
    <xf numFmtId="0" fontId="23" fillId="14" borderId="0" xfId="0" applyFont="1" applyFill="1" applyAlignment="1">
      <alignment vertical="center"/>
    </xf>
    <xf numFmtId="0" fontId="17" fillId="0" borderId="0" xfId="0" quotePrefix="1" applyFont="1"/>
    <xf numFmtId="43" fontId="40" fillId="15" borderId="0" xfId="0" applyNumberFormat="1" applyFont="1" applyFill="1"/>
    <xf numFmtId="9" fontId="10" fillId="0" borderId="0" xfId="2" applyFont="1"/>
    <xf numFmtId="10" fontId="10" fillId="0" borderId="0" xfId="1" applyNumberFormat="1" applyFont="1" applyFill="1"/>
    <xf numFmtId="10" fontId="10" fillId="4" borderId="0" xfId="2" applyNumberFormat="1" applyFont="1" applyFill="1"/>
    <xf numFmtId="9" fontId="10" fillId="0" borderId="0" xfId="2" applyFont="1" applyFill="1"/>
    <xf numFmtId="9" fontId="10" fillId="13" borderId="0" xfId="2" applyFont="1" applyFill="1"/>
    <xf numFmtId="0" fontId="39" fillId="0" borderId="0" xfId="0" applyFont="1" applyAlignment="1">
      <alignment horizontal="center"/>
    </xf>
    <xf numFmtId="0" fontId="45" fillId="4" borderId="0" xfId="0" applyFont="1" applyFill="1"/>
    <xf numFmtId="0" fontId="44" fillId="4" borderId="0" xfId="0" applyFont="1" applyFill="1"/>
    <xf numFmtId="43" fontId="53" fillId="20" borderId="0" xfId="1" applyFont="1" applyFill="1" applyAlignment="1">
      <alignment horizontal="center" vertical="center"/>
    </xf>
    <xf numFmtId="10" fontId="53" fillId="20" borderId="0" xfId="2" applyNumberFormat="1" applyFont="1" applyFill="1" applyAlignment="1">
      <alignment horizontal="center" vertical="center"/>
    </xf>
    <xf numFmtId="10" fontId="14" fillId="12" borderId="0" xfId="1" applyNumberFormat="1" applyFont="1" applyFill="1"/>
    <xf numFmtId="10" fontId="23" fillId="0" borderId="0" xfId="2" applyNumberFormat="1" applyFont="1"/>
    <xf numFmtId="10" fontId="31" fillId="12" borderId="0" xfId="1" applyNumberFormat="1" applyFont="1" applyFill="1"/>
    <xf numFmtId="9" fontId="14" fillId="12" borderId="0" xfId="2" applyFont="1" applyFill="1"/>
    <xf numFmtId="43" fontId="10" fillId="0" borderId="0" xfId="1" applyFont="1" applyAlignment="1">
      <alignment horizontal="center" vertical="center"/>
    </xf>
    <xf numFmtId="43" fontId="0" fillId="0" borderId="0" xfId="2" applyNumberFormat="1" applyFont="1" applyFill="1"/>
    <xf numFmtId="10" fontId="14" fillId="0" borderId="0" xfId="2" applyNumberFormat="1" applyFont="1"/>
    <xf numFmtId="0" fontId="0" fillId="15" borderId="0" xfId="0" applyFill="1" applyAlignment="1">
      <alignment horizontal="left"/>
    </xf>
    <xf numFmtId="10" fontId="23" fillId="0" borderId="0" xfId="2" applyNumberFormat="1" applyFont="1" applyFill="1"/>
    <xf numFmtId="43" fontId="10" fillId="0" borderId="0" xfId="1" applyFont="1" applyFill="1" applyAlignment="1">
      <alignment horizontal="center"/>
    </xf>
    <xf numFmtId="9" fontId="14" fillId="0" borderId="0" xfId="2" applyFont="1" applyFill="1"/>
    <xf numFmtId="0" fontId="0" fillId="12" borderId="0" xfId="0" applyFill="1"/>
    <xf numFmtId="0" fontId="0" fillId="16" borderId="0" xfId="0" applyFill="1" applyAlignment="1">
      <alignment horizontal="left"/>
    </xf>
    <xf numFmtId="43" fontId="0" fillId="4" borderId="0" xfId="1" applyFont="1" applyFill="1"/>
    <xf numFmtId="43" fontId="11" fillId="15" borderId="0" xfId="1" applyFont="1" applyFill="1"/>
    <xf numFmtId="0" fontId="23" fillId="0" borderId="0" xfId="0" applyFont="1"/>
    <xf numFmtId="10" fontId="17" fillId="18" borderId="0" xfId="2" applyNumberFormat="1" applyFont="1" applyFill="1"/>
    <xf numFmtId="0" fontId="0" fillId="18" borderId="0" xfId="0" applyFill="1" applyAlignment="1">
      <alignment horizontal="left"/>
    </xf>
    <xf numFmtId="0" fontId="0" fillId="21" borderId="0" xfId="0" applyFill="1" applyAlignment="1">
      <alignment horizontal="left"/>
    </xf>
    <xf numFmtId="0" fontId="10" fillId="17" borderId="0" xfId="0" applyFont="1" applyFill="1" applyAlignment="1">
      <alignment horizontal="center" vertical="center" wrapText="1"/>
    </xf>
    <xf numFmtId="187" fontId="7" fillId="0" borderId="0" xfId="0" applyNumberFormat="1" applyFont="1" applyAlignment="1">
      <alignment horizontal="center"/>
    </xf>
    <xf numFmtId="187" fontId="0" fillId="0" borderId="0" xfId="0" applyNumberFormat="1" applyAlignment="1">
      <alignment horizontal="center"/>
    </xf>
    <xf numFmtId="0" fontId="52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43" fontId="40" fillId="4" borderId="0" xfId="0" applyNumberFormat="1" applyFont="1" applyFill="1"/>
    <xf numFmtId="0" fontId="39" fillId="4" borderId="0" xfId="0" applyFont="1" applyFill="1"/>
    <xf numFmtId="0" fontId="27" fillId="4" borderId="0" xfId="0" applyFont="1" applyFill="1" applyAlignment="1">
      <alignment horizontal="left"/>
    </xf>
    <xf numFmtId="0" fontId="40" fillId="4" borderId="0" xfId="0" applyFont="1" applyFill="1"/>
    <xf numFmtId="43" fontId="23" fillId="4" borderId="0" xfId="1" applyFont="1" applyFill="1"/>
    <xf numFmtId="43" fontId="27" fillId="4" borderId="0" xfId="1" applyFont="1" applyFill="1"/>
    <xf numFmtId="0" fontId="23" fillId="4" borderId="0" xfId="0" applyFont="1" applyFill="1"/>
    <xf numFmtId="0" fontId="15" fillId="4" borderId="0" xfId="0" applyFont="1" applyFill="1" applyAlignment="1">
      <alignment wrapText="1"/>
    </xf>
    <xf numFmtId="43" fontId="3" fillId="0" borderId="0" xfId="1" applyFont="1" applyFill="1"/>
    <xf numFmtId="0" fontId="40" fillId="15" borderId="0" xfId="0" applyFont="1" applyFill="1" applyAlignment="1">
      <alignment horizontal="center"/>
    </xf>
    <xf numFmtId="0" fontId="45" fillId="0" borderId="0" xfId="0" applyFont="1" applyAlignment="1">
      <alignment horizontal="center"/>
    </xf>
    <xf numFmtId="0" fontId="22" fillId="0" borderId="0" xfId="1" applyNumberFormat="1" applyFont="1" applyFill="1" applyAlignment="1">
      <alignment horizontal="center"/>
    </xf>
    <xf numFmtId="0" fontId="54" fillId="11" borderId="0" xfId="0" applyFont="1" applyFill="1" applyAlignment="1">
      <alignment horizontal="center" vertical="center"/>
    </xf>
    <xf numFmtId="0" fontId="55" fillId="0" borderId="0" xfId="1" applyNumberFormat="1" applyFont="1" applyFill="1" applyAlignment="1">
      <alignment horizontal="center"/>
    </xf>
    <xf numFmtId="0" fontId="22" fillId="14" borderId="0" xfId="1" applyNumberFormat="1" applyFont="1" applyFill="1" applyAlignment="1">
      <alignment horizontal="center"/>
    </xf>
    <xf numFmtId="2" fontId="39" fillId="12" borderId="0" xfId="0" applyNumberFormat="1" applyFont="1" applyFill="1"/>
    <xf numFmtId="0" fontId="40" fillId="4" borderId="0" xfId="0" applyFont="1" applyFill="1" applyAlignment="1">
      <alignment horizontal="center"/>
    </xf>
    <xf numFmtId="0" fontId="23" fillId="12" borderId="0" xfId="0" applyFont="1" applyFill="1"/>
    <xf numFmtId="0" fontId="10" fillId="12" borderId="0" xfId="0" applyFont="1" applyFill="1" applyAlignment="1">
      <alignment horizontal="center"/>
    </xf>
    <xf numFmtId="0" fontId="0" fillId="4" borderId="0" xfId="0" applyFill="1" applyAlignment="1">
      <alignment horizontal="left"/>
    </xf>
    <xf numFmtId="43" fontId="17" fillId="21" borderId="0" xfId="1" applyFont="1" applyFill="1"/>
    <xf numFmtId="43" fontId="2" fillId="0" borderId="0" xfId="1" applyFont="1" applyFill="1"/>
    <xf numFmtId="187" fontId="0" fillId="10" borderId="0" xfId="0" applyNumberFormat="1" applyFill="1"/>
    <xf numFmtId="187" fontId="0" fillId="10" borderId="0" xfId="0" applyNumberFormat="1" applyFill="1" applyAlignment="1">
      <alignment horizontal="center"/>
    </xf>
    <xf numFmtId="187" fontId="9" fillId="10" borderId="0" xfId="0" applyNumberFormat="1" applyFont="1" applyFill="1"/>
    <xf numFmtId="187" fontId="9" fillId="10" borderId="0" xfId="0" applyNumberFormat="1" applyFont="1" applyFill="1" applyAlignment="1">
      <alignment horizontal="left"/>
    </xf>
    <xf numFmtId="0" fontId="9" fillId="10" borderId="0" xfId="0" applyFont="1" applyFill="1"/>
    <xf numFmtId="43" fontId="9" fillId="10" borderId="0" xfId="1" applyFont="1" applyFill="1"/>
    <xf numFmtId="187" fontId="0" fillId="10" borderId="0" xfId="0" applyNumberFormat="1" applyFill="1" applyAlignment="1">
      <alignment horizontal="left"/>
    </xf>
    <xf numFmtId="43" fontId="0" fillId="10" borderId="0" xfId="1" applyFont="1" applyFill="1"/>
    <xf numFmtId="0" fontId="51" fillId="0" borderId="0" xfId="0" pivotButton="1" applyFont="1"/>
    <xf numFmtId="0" fontId="51" fillId="0" borderId="0" xfId="0" applyFont="1" applyAlignment="1">
      <alignment horizontal="left"/>
    </xf>
    <xf numFmtId="0" fontId="51" fillId="10" borderId="0" xfId="0" applyFont="1" applyFill="1" applyAlignment="1">
      <alignment horizontal="left"/>
    </xf>
    <xf numFmtId="0" fontId="51" fillId="10" borderId="0" xfId="0" applyFont="1" applyFill="1"/>
    <xf numFmtId="0" fontId="51" fillId="0" borderId="0" xfId="0" pivotButton="1" applyFont="1" applyAlignment="1">
      <alignment horizontal="center"/>
    </xf>
    <xf numFmtId="0" fontId="10" fillId="12" borderId="0" xfId="0" applyFont="1" applyFill="1"/>
    <xf numFmtId="10" fontId="1" fillId="0" borderId="0" xfId="2" applyNumberFormat="1" applyFont="1" applyFill="1"/>
    <xf numFmtId="0" fontId="27" fillId="0" borderId="0" xfId="1" applyNumberFormat="1" applyFont="1" applyFill="1" applyAlignment="1">
      <alignment horizontal="center" vertical="center"/>
    </xf>
    <xf numFmtId="0" fontId="7" fillId="14" borderId="0" xfId="0" applyFont="1" applyFill="1"/>
    <xf numFmtId="0" fontId="23" fillId="0" borderId="0" xfId="0" applyFont="1" applyAlignment="1">
      <alignment horizontal="center"/>
    </xf>
    <xf numFmtId="0" fontId="17" fillId="12" borderId="0" xfId="0" applyFont="1" applyFill="1"/>
    <xf numFmtId="0" fontId="17" fillId="14" borderId="0" xfId="0" applyFont="1" applyFill="1"/>
    <xf numFmtId="0" fontId="17" fillId="14" borderId="0" xfId="0" quotePrefix="1" applyFont="1" applyFill="1"/>
    <xf numFmtId="43" fontId="34" fillId="20" borderId="0" xfId="1" applyFont="1" applyFill="1" applyAlignment="1">
      <alignment horizontal="center" vertical="center"/>
    </xf>
    <xf numFmtId="0" fontId="10" fillId="0" borderId="0" xfId="0" pivotButton="1" applyFont="1"/>
  </cellXfs>
  <cellStyles count="4">
    <cellStyle name="Comma" xfId="1" builtinId="3"/>
    <cellStyle name="Normal" xfId="0" builtinId="0"/>
    <cellStyle name="Normal 2" xfId="3" xr:uid="{C0559E38-FECF-4815-B28B-3A45CEBF9427}"/>
    <cellStyle name="Percent" xfId="2" builtinId="5"/>
  </cellStyles>
  <dxfs count="4081">
    <dxf>
      <alignment horizontal="center"/>
    </dxf>
    <dxf>
      <alignment horizontal="center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2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FFFF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35" formatCode="_-* #,##0.00_-;\-* #,##0.00_-;_-* &quot;-&quot;??_-;_-@_-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FF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-* #,##0.00_-;\-* #,##0.00_-;_-* &quot;-&quot;??_-;_-@_-"/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2" formatCode="0.00"/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color rgb="FFFF0000"/>
      </font>
    </dxf>
    <dxf>
      <fill>
        <patternFill patternType="solid">
          <bgColor rgb="FFFFFF99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ont>
        <name val="Tahoma"/>
        <family val="2"/>
        <scheme val="major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solid">
          <bgColor theme="0" tint="-0.14999847407452621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1495877</xdr:colOff>
      <xdr:row>122</xdr:row>
      <xdr:rowOff>1082</xdr:rowOff>
    </xdr:from>
    <xdr:to>
      <xdr:col>10</xdr:col>
      <xdr:colOff>49291</xdr:colOff>
      <xdr:row>133</xdr:row>
      <xdr:rowOff>47858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B7C15A-AD0D-4CF2-92A8-F1001BD62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5877" y="22712915"/>
          <a:ext cx="10992456" cy="2025858"/>
        </a:xfrm>
        <a:prstGeom prst="rect">
          <a:avLst/>
        </a:prstGeom>
      </xdr:spPr>
    </xdr:pic>
    <xdr:clientData/>
  </xdr:twoCellAnchor>
  <xdr:twoCellAnchor editAs="oneCell">
    <xdr:from>
      <xdr:col>1</xdr:col>
      <xdr:colOff>45358</xdr:colOff>
      <xdr:row>106</xdr:row>
      <xdr:rowOff>41002</xdr:rowOff>
    </xdr:from>
    <xdr:to>
      <xdr:col>10</xdr:col>
      <xdr:colOff>173264</xdr:colOff>
      <xdr:row>120</xdr:row>
      <xdr:rowOff>41131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926A7B-F7BD-444E-8542-2CA5B824D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6658" y="19135452"/>
          <a:ext cx="10993668" cy="2489331"/>
        </a:xfrm>
        <a:prstGeom prst="rect">
          <a:avLst/>
        </a:prstGeom>
      </xdr:spPr>
    </xdr:pic>
    <xdr:clientData/>
  </xdr:twoCellAnchor>
  <xdr:twoCellAnchor editAs="oneCell">
    <xdr:from>
      <xdr:col>1</xdr:col>
      <xdr:colOff>45357</xdr:colOff>
      <xdr:row>140</xdr:row>
      <xdr:rowOff>95250</xdr:rowOff>
    </xdr:from>
    <xdr:to>
      <xdr:col>10</xdr:col>
      <xdr:colOff>150810</xdr:colOff>
      <xdr:row>160</xdr:row>
      <xdr:rowOff>70965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6AF8F0D-5AE6-64BA-38A5-E335BE263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8190" y="26045583"/>
          <a:ext cx="10966373" cy="35740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1322916</xdr:colOff>
      <xdr:row>71</xdr:row>
      <xdr:rowOff>84666</xdr:rowOff>
    </xdr:from>
    <xdr:to>
      <xdr:col>11</xdr:col>
      <xdr:colOff>78413</xdr:colOff>
      <xdr:row>94</xdr:row>
      <xdr:rowOff>42544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4EFEDA-8E8E-2000-AA9A-ACFCBFFEE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916" y="16171333"/>
          <a:ext cx="11989392" cy="40959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8</xdr:row>
      <xdr:rowOff>19050</xdr:rowOff>
    </xdr:from>
    <xdr:to>
      <xdr:col>6</xdr:col>
      <xdr:colOff>590874</xdr:colOff>
      <xdr:row>22</xdr:row>
      <xdr:rowOff>6477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4A6DC0-500E-A2AD-0A35-E0F89AB08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263650"/>
          <a:ext cx="6305874" cy="247662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maiporn Intawong" refreshedDate="46020.569595949077" createdVersion="8" refreshedVersion="8" minRefreshableVersion="3" recordCount="803" xr:uid="{6CCD8C97-9487-4BC1-AC78-761DF7A48CC9}">
  <cacheSource type="worksheet">
    <worksheetSource ref="T1:T1048576" sheet="MB51 328"/>
  </cacheSource>
  <cacheFields count="38">
    <cacheField name="Material" numFmtId="0">
      <sharedItems containsBlank="1" count="39">
        <s v="59000004"/>
        <s v="59000001"/>
        <s v="59000002"/>
        <s v="59000005"/>
        <s v="55003443"/>
        <s v="58000002"/>
        <s v="58000004"/>
        <s v="58000006"/>
        <s v="59000010"/>
        <s v="59000003"/>
        <s v="59100000"/>
        <s v="54002340"/>
        <s v="54002341"/>
        <s v="57000000"/>
        <s v="57000001"/>
        <s v="57000003"/>
        <s v="57000100"/>
        <s v="58000003"/>
        <s v="58000005"/>
        <s v="58000010"/>
        <s v="58000013"/>
        <s v="58000014"/>
        <s v="58000025"/>
        <s v="54000360"/>
        <s v="58000008"/>
        <s v="58000022"/>
        <s v="54002165"/>
        <s v="58000009"/>
        <s v="57000002"/>
        <s v="57000106"/>
        <s v="57000102"/>
        <s v="57000004"/>
        <s v="54000055"/>
        <s v="54000694"/>
        <s v="54002095"/>
        <s v="54002108"/>
        <s v="57000103"/>
        <s v="54000541"/>
        <m/>
      </sharedItems>
    </cacheField>
    <cacheField name="Material description" numFmtId="0">
      <sharedItems containsBlank="1" count="38">
        <s v="Super  Blend  500 G."/>
        <s v="เมล็ดกาแฟ CPR Coffee Bean  MF. 500 G."/>
        <s v="GOLD BLEND ALL CAFE'  ขนาด 500 G."/>
        <s v="กาแฟมวลชน Gold Blend ขนาด 500 G.(O)"/>
        <s v="เมล็ดกาแฟ GOLD BLEND CPR 250 G."/>
        <s v="WIPF WICOVALVE W009"/>
        <s v="Film roll All cafe500g.420mm*900m"/>
        <s v="All Cafe ลังกระดาษ (287*240*177 mm.)"/>
        <s v="เมล็ดกาแฟคั่ว A80 : R20 (10 kg.)"/>
        <s v="เมล็ดกาแฟคั่ว Classic 1 bag ขนาด 500 G."/>
        <s v="เมล็ดกาแฟ CPR Calibrate MF. 500 G."/>
        <s v="สารกาแฟอาราบิก้า"/>
        <s v="สารกาแฟโรบัสต้า"/>
        <s v="เมล็ดกาแฟ Clean Arabica Size S&amp;M"/>
        <s v="เมล็ดกาแฟ Clean Arabica Size L"/>
        <s v="เมล็ดกาแฟ Clean Robusta Size mix"/>
        <s v="เมล็ดกาแฟคั่ว A80 + R20"/>
        <s v="Film roll Gold blend 420mm*900m"/>
        <s v="ลังกระดาษ 3กก. 287*240*177 mm. (No Logo)"/>
        <s v="(4seal) กล่องกระดาษ5ชั้น 450*330*300 mm"/>
        <s v="Sticker มวลชน Gold Blend 500 G (หน้า)"/>
        <s v="Sticker มวลชน Gold Blend 500 G (หลัง)"/>
        <s v="Film roll Nologo 500g.420mm*900m"/>
        <s v="ฟิล์มโรลซองบรรจุเมล็ดกาแฟ"/>
        <s v="สติ๊กเกอร์ Super Blend (หน้า) 500g."/>
        <s v="CPRซองกาแฟติดวาลว์250g 4seal(GOLD BLEND)"/>
        <s v="สติ๊กเกอร์ Classic Beans (หน้า)"/>
        <s v="เมล็ดกาแฟ Clean Arabica Size ต่ำกว่า S&amp;M"/>
        <s v="เมล็ดกาแฟคั่ว มวลชน Gold Blend A80 + R20"/>
        <s v="เมล็ดกาแฟคั่ว A40+R60"/>
        <s v="เมล็ดกาแฟ Clean Robusta Size ต่ำกว่า S&amp;M"/>
        <s v="ซองบรรจุเมล็ดกาแฟพร้อมวาล์ว 250g/ขาวด้าน"/>
        <s v="สารกาแฟโรบัสต้า B.B.B."/>
        <s v="CPR ซองกาแฟGOLD BLEND+วาล์ว 500G สกรีน"/>
        <s v="สติ๊กเกอร์ ALL TIME  (หลัง)"/>
        <s v="เมล็ดกาแฟคั่ว calibrate A80+R20"/>
        <s v="แอตลาส_เติมแก๊ส LPG ขนาด48Kg.2หัว"/>
        <m/>
      </sharedItems>
    </cacheField>
    <cacheField name="Plnt" numFmtId="0">
      <sharedItems containsBlank="1"/>
    </cacheField>
    <cacheField name="MvT" numFmtId="0">
      <sharedItems containsBlank="1" count="16">
        <s v="601"/>
        <s v="929"/>
        <s v="311"/>
        <s v="301"/>
        <s v="653"/>
        <s v="927"/>
        <s v="201"/>
        <s v="261"/>
        <s v="101"/>
        <s v="602"/>
        <s v="701"/>
        <s v="262"/>
        <s v="102"/>
        <s v="702"/>
        <s v="312"/>
        <m/>
      </sharedItems>
    </cacheField>
    <cacheField name="Movement Type Text" numFmtId="0">
      <sharedItems containsBlank="1"/>
    </cacheField>
    <cacheField name="Mat. Doc." numFmtId="0">
      <sharedItems containsBlank="1"/>
    </cacheField>
    <cacheField name="SLoc" numFmtId="0">
      <sharedItems containsBlank="1"/>
    </cacheField>
    <cacheField name="Batch" numFmtId="0">
      <sharedItems containsBlank="1"/>
    </cacheField>
    <cacheField name="Order" numFmtId="0">
      <sharedItems containsBlank="1"/>
    </cacheField>
    <cacheField name="Time" numFmtId="0">
      <sharedItems containsBlank="1"/>
    </cacheField>
    <cacheField name="User Name" numFmtId="0">
      <sharedItems containsBlank="1"/>
    </cacheField>
    <cacheField name="Item" numFmtId="0">
      <sharedItems containsBlank="1"/>
    </cacheField>
    <cacheField name="Suppl.Inv" numFmtId="0">
      <sharedItems containsBlank="1"/>
    </cacheField>
    <cacheField name="Reas." numFmtId="0">
      <sharedItems containsBlank="1"/>
    </cacheField>
    <cacheField name="S" numFmtId="0">
      <sharedItems containsBlank="1"/>
    </cacheField>
    <cacheField name="Reserv.no." numFmtId="0">
      <sharedItems containsBlank="1"/>
    </cacheField>
    <cacheField name="Document Header Text" numFmtId="0">
      <sharedItems containsBlank="1"/>
    </cacheField>
    <cacheField name="Text" numFmtId="0">
      <sharedItems containsBlank="1"/>
    </cacheField>
    <cacheField name="Cost Ctr" numFmtId="0">
      <sharedItems containsBlank="1"/>
    </cacheField>
    <cacheField name="G/L acct" numFmtId="0">
      <sharedItems containsBlank="1"/>
    </cacheField>
    <cacheField name="PO" numFmtId="0">
      <sharedItems containsBlank="1"/>
    </cacheField>
    <cacheField name="Vendor" numFmtId="0">
      <sharedItems containsBlank="1"/>
    </cacheField>
    <cacheField name="Asset" numFmtId="0">
      <sharedItems containsBlank="1"/>
    </cacheField>
    <cacheField name="Reference" numFmtId="0">
      <sharedItems containsBlank="1"/>
    </cacheField>
    <cacheField name="Manuf. Dte" numFmtId="0">
      <sharedItems containsNonDate="0" containsString="0" containsBlank="1"/>
    </cacheField>
    <cacheField name="EUn" numFmtId="0">
      <sharedItems containsBlank="1"/>
    </cacheField>
    <cacheField name="Quantity in UnE" numFmtId="0">
      <sharedItems containsString="0" containsBlank="1" containsNumber="1" minValue="-6149360" maxValue="3679880"/>
    </cacheField>
    <cacheField name="Amt.in Loc.Cur." numFmtId="0">
      <sharedItems containsString="0" containsBlank="1" containsNumber="1" minValue="-8159695.0999999996" maxValue="8699196.5"/>
    </cacheField>
    <cacheField name="Doc. Date" numFmtId="0">
      <sharedItems containsNonDate="0" containsDate="1" containsString="0" containsBlank="1" minDate="2025-11-09T00:00:00" maxDate="2025-12-28T00:00:00"/>
    </cacheField>
    <cacheField name="Pstng Date" numFmtId="0">
      <sharedItems containsNonDate="0" containsDate="1" containsString="0" containsBlank="1" minDate="2025-12-01T00:00:00" maxDate="2025-12-28T00:00:00"/>
    </cacheField>
    <cacheField name="SLED/BBD" numFmtId="0">
      <sharedItems containsNonDate="0" containsString="0" containsBlank="1"/>
    </cacheField>
    <cacheField name="Entry Date" numFmtId="0">
      <sharedItems containsNonDate="0" containsDate="1" containsString="0" containsBlank="1" minDate="2025-12-01T00:00:00" maxDate="2025-12-28T00:00:00"/>
    </cacheField>
    <cacheField name="Quantity" numFmtId="0">
      <sharedItems containsString="0" containsBlank="1" containsNumber="1" containsInteger="1" minValue="-63241300" maxValue="63241300"/>
    </cacheField>
    <cacheField name="Group order" numFmtId="0">
      <sharedItems containsBlank="1"/>
    </cacheField>
    <cacheField name="Code" numFmtId="0">
      <sharedItems containsBlank="1" count="6">
        <s v="59"/>
        <s v="55"/>
        <s v="58"/>
        <s v="54"/>
        <s v="57"/>
        <m/>
      </sharedItems>
    </cacheField>
    <cacheField name="GL Name" numFmtId="0">
      <sharedItems containsBlank="1"/>
    </cacheField>
    <cacheField name="หมายเหตุ" numFmtId="0">
      <sharedItems containsNonDate="0" containsString="0" containsBlank="1"/>
    </cacheField>
    <cacheField name="ราคา" numFmtId="43">
      <sharedItems containsString="0" containsBlank="1" containsNumber="1" minValue="0" maxValue="7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maiporn Intawong" refreshedDate="46234.54972210648" createdVersion="8" refreshedVersion="8" minRefreshableVersion="3" recordCount="938" xr:uid="{D3FF4373-2C41-4F7B-8259-DC9ED5637CF2}">
  <cacheSource type="worksheet">
    <worksheetSource ref="A1:AN1048576" sheet="MB51 328"/>
  </cacheSource>
  <cacheFields count="40">
    <cacheField name="Material" numFmtId="0">
      <sharedItems containsBlank="1" count="49">
        <s v="58000010"/>
        <s v="58000003"/>
        <s v="58000005"/>
        <s v="58000009"/>
        <s v="58000025"/>
        <s v="59000002"/>
        <s v="59000001"/>
        <s v="54002341"/>
        <s v="59100000"/>
        <s v="59000004"/>
        <s v="59000013"/>
        <s v="58000002"/>
        <s v="58000004"/>
        <s v="58000006"/>
        <s v="54002340"/>
        <s v="58000015"/>
        <s v="58000027"/>
        <s v="57000002"/>
        <s v="57000001"/>
        <s v="57000003"/>
        <s v="57000004"/>
        <s v="59000008"/>
        <s v="57000103"/>
        <s v="57000100"/>
        <s v="57000101"/>
        <s v="59000003"/>
        <s v="59000012"/>
        <s v="59000011"/>
        <s v="57000102"/>
        <s v="59000014"/>
        <s v="54000541"/>
        <s v="58000008"/>
        <m/>
        <s v="57000000" u="1"/>
        <s v="58000014" u="1"/>
        <s v="58000029" u="1"/>
        <s v="58000030" u="1"/>
        <s v="59000005" u="1"/>
        <s v="59000007" u="1"/>
        <s v="58000032" u="1"/>
        <s v="57000104" u="1"/>
        <s v="58000017" u="1"/>
        <s v="58000019" u="1"/>
        <s v="58000031" u="1"/>
        <s v="58000028" u="1"/>
        <s v="58000026" u="1"/>
        <s v="55003443" u="1"/>
        <s v="59000006" u="1"/>
        <s v="58000013" u="1"/>
      </sharedItems>
    </cacheField>
    <cacheField name="Material description" numFmtId="0">
      <sharedItems containsBlank="1" count="48">
        <s v="(4seal) กล่องกระดาษ5ชั้น 450*330*300 mm"/>
        <s v="Film roll Gold blend 420mm*900m"/>
        <s v="ลังกระดาษ 3กก. 287*240*177 mm. (No Logo)"/>
        <s v="สติ๊กเกอร์ Classic Beans (หน้า)"/>
        <s v="Film roll Nologo 500g.420mm*900m"/>
        <s v="GOLD BLEND ALL CAFE'  ขนาด 500 G."/>
        <s v="เมล็ดกาแฟ CPR Coffee Bean  MF. 500 G."/>
        <s v="สารกาแฟโรบัสต้า"/>
        <s v="เมล็ดกาแฟ CPR Calibrate MF. 500 G."/>
        <s v="Super  Blend  500 G."/>
        <s v="กาแฟมวลชน Gold Blend ขนาด 500 G."/>
        <s v="WIPF WICOVALVE W009"/>
        <s v="Film roll All cafe500g.420mm*900m"/>
        <s v="All Cafe ลังกระดาษ (287*240*177 mm.)"/>
        <s v="สารกาแฟอาราบิก้า"/>
        <s v="สตก.Gold blend(หน้า-หลัง)250g./1Set=2PC"/>
        <s v="ซองกาแฟมวลชน EXTREME 250 g."/>
        <s v="เมล็ดกาแฟ Clean Arabica B"/>
        <s v="เมล็ดกาแฟ Clean Arabica Size L"/>
        <s v="เมล็ดกาแฟ Clean Robusta Size mix"/>
        <s v="เมล็ดกาแฟ Clean Robusta B"/>
        <s v="กาแฟมวลชน Extreme ขนาด 250 G."/>
        <s v="เมล็ดกาแฟคั่ว calibrate A80+R20"/>
        <s v="เมล็ดกาแฟคั่ว A80 + R20"/>
        <s v="เมล็ดกาแฟคั่ว A100"/>
        <s v="เมล็ดกาแฟคั่ว Classic 1 bag ขนาด 500 G."/>
        <s v="กาแฟมวลชน Gold Blend ขนาด 250 G."/>
        <s v="กาแฟมวลชน CLASSIC ขนาด 500 G."/>
        <s v="เมล็ดกาแฟคั่ว A40+R60"/>
        <s v="เมล็ดกาแฟ True Tower ขนาด 500 G."/>
        <s v="แอตลาส_เติมแก๊ส LPG ขนาด48Kg.2หัว"/>
        <s v="สติ๊กเกอร์ Super Blend (หน้า) 500g."/>
        <m/>
        <s v="เมล็ดกาแฟ Clean Arabica Size S&amp;M" u="1"/>
        <s v="Sticker มวลชน Gold Blend 500 G (หลัง)" u="1"/>
        <s v="ซองกาแฟมวลชน CLASSIC 500 g." u="1"/>
        <s v="ซองกาแฟมวลชน EXTREME 500 g." u="1"/>
        <s v="กาแฟมวลชน Gold Blend ขนาด 500 G.(O)" u="1"/>
        <s v="กาแฟมวลชน Extreme ขนาด 500 G." u="1"/>
        <s v="สตก.Classic(หลัง)500g./1Set=2PC" u="1"/>
        <s v="เมล็ดกาแฟคั่ว มวลชน Extreme A50+R50" u="1"/>
        <s v="สตก.Extreme(หลัง)250g./1Set=2PC" u="1"/>
        <s v="สตก.Extreme(หลัง)500g./1Set=2PC" u="1"/>
        <s v="สตก.Gold blend(หลัง)500g./1Set=2PC" u="1"/>
        <s v="ซองกาแฟมวลชน Gold Blend 500 g." u="1"/>
        <s v="ซองกาแฟมวลชน Gold Blend 250 g." u="1"/>
        <s v="เมล็ดกาแฟ GOLD BLEND CPR 250 G." u="1"/>
        <s v="Sticker มวลชน Gold Blend 500 G (หน้า)" u="1"/>
      </sharedItems>
    </cacheField>
    <cacheField name="Plnt" numFmtId="0">
      <sharedItems containsBlank="1"/>
    </cacheField>
    <cacheField name="MvT" numFmtId="0">
      <sharedItems containsBlank="1" count="23">
        <s v="301"/>
        <s v="927"/>
        <s v="601"/>
        <s v="311"/>
        <s v="261"/>
        <s v="101"/>
        <s v="929"/>
        <s v="701"/>
        <s v="702"/>
        <s v="542"/>
        <s v="262"/>
        <s v="201"/>
        <s v="602"/>
        <s v="653"/>
        <s v="654"/>
        <s v="202"/>
        <s v="309"/>
        <s v="928"/>
        <s v="921"/>
        <s v="102"/>
        <m/>
        <s v="122" u="1"/>
        <s v="541" u="1"/>
      </sharedItems>
    </cacheField>
    <cacheField name="Movement Type Text" numFmtId="0">
      <sharedItems containsBlank="1"/>
    </cacheField>
    <cacheField name="Mat. Doc." numFmtId="0">
      <sharedItems containsBlank="1"/>
    </cacheField>
    <cacheField name="SLoc" numFmtId="0">
      <sharedItems containsBlank="1"/>
    </cacheField>
    <cacheField name="Batch" numFmtId="0">
      <sharedItems containsBlank="1" count="261">
        <s v="20251225"/>
        <s v="20260622"/>
        <s v="20260124"/>
        <s v="20260611"/>
        <s v="250607"/>
        <s v="20250915"/>
        <s v="190601-R/B"/>
        <s v="090426-T/B"/>
        <s v="260616-BBB"/>
        <s v="190602RF/B"/>
        <s v="260505-T/B"/>
        <s v="260505-FG"/>
        <s v="260701"/>
        <s v="280226-RE"/>
        <s v="25092025"/>
        <s v="20260609"/>
        <s v="20260619"/>
        <s v="090604-C/B"/>
        <s v="260602"/>
        <s v="260320-RPT"/>
        <s v="20260511"/>
        <s v="260514-BBB"/>
        <s v="190603-F/B"/>
        <s v="260226-BF"/>
        <s v="190604-F/B"/>
        <s v="260325-BF"/>
        <s v="20260227"/>
        <s v="20260114"/>
        <s v="260612-RPT"/>
        <s v="3093010BBB"/>
        <s v="260522-BBB"/>
        <s v="100326-BBB"/>
        <s v="020326-BBB"/>
        <s v="20260618"/>
        <s v="250913-TTW"/>
        <s v="260701R1/B"/>
        <s v="260701-R/B"/>
        <s v="240601-F/B"/>
        <s v="250917-TTW"/>
        <s v="260701-R1"/>
        <s v="27022025"/>
        <s v="260702-R/B"/>
        <s v="010702-R/B"/>
        <s v="260703R1/B"/>
        <s v="260323-BF"/>
        <s v="260703F1/B"/>
        <s v="240602-F/B"/>
        <s v="20260629"/>
        <s v="260619-CF"/>
        <s v="260519-TTW"/>
        <s v="260403-TTW"/>
        <s v="251202-BBB"/>
        <s v="260323-RPT"/>
        <s v="010703R1/B"/>
        <s v="010704R1/B"/>
        <s v="250918-TTW"/>
        <s v="260706-F/B"/>
        <s v="060701-F/B"/>
        <s v="250924-TTW"/>
        <s v="260707R1/B"/>
        <s v="260708R1/B"/>
        <s v="260709-F/B"/>
        <s v="060702R1/B"/>
        <s v="060703R1/B"/>
        <s v="060704-F/B"/>
        <s v="20260704"/>
        <s v="240603-F/B"/>
        <s v="240604FR/B"/>
        <s v="260428TB"/>
        <s v="250925-BBB"/>
        <s v="250910PNK"/>
        <s v="110925-TTW"/>
        <s v="250926-TTW"/>
        <s v="260710F1/B"/>
        <s v="250929-TTW"/>
        <s v="260711R1/B"/>
        <s v="100701F1/B"/>
        <s v="100702R1/B"/>
        <s v="RJMC090603"/>
        <s v="300925-BBB"/>
        <s v="260713R1/B"/>
        <s v="100703R1/B"/>
        <s v="260714-F/B"/>
        <s v="100704-F/B"/>
        <s v="260715F1/B"/>
        <s v="150701F1/B"/>
        <s v="260716F1/B"/>
        <s v="260717-F/B"/>
        <s v="260717-B"/>
        <s v="150702F1/B"/>
        <s v="150703-F/B"/>
        <s v="170726-B"/>
        <s v="260525-B"/>
        <s v="20260711"/>
        <s v="26112024"/>
        <s v="260327-BF"/>
        <s v="260422-BF"/>
        <s v="260718-F/B"/>
        <s v="260720-F/B"/>
        <s v="260721-F/B"/>
        <s v="260722-F/B"/>
        <s v="260723-F/B"/>
        <s v="260724-F/B"/>
        <s v="180701-F/B"/>
        <s v="180702-F/B"/>
        <s v="180703-F/B"/>
        <s v="180704-F/B"/>
        <s v="230701-F/B"/>
        <s v="230702-F/B"/>
        <s v="260722-BBB"/>
        <s v="260725-F/B"/>
        <s v="230703-F/B"/>
        <s v="260727-F/B"/>
        <s v="20260718"/>
        <s v="230704-F/B"/>
        <s v="06-26"/>
        <s v="07-26"/>
        <s v="260623-CF"/>
        <s v="20260707"/>
        <s v="20260703"/>
        <s v="20260710"/>
        <s v="260710-CF"/>
        <s v="260715-TTW"/>
        <s v="20260721"/>
        <s v="20260730"/>
        <s v="20260706"/>
        <m/>
        <s v="270326-TBB" u="1"/>
        <s v="230501TR/T" u="1"/>
        <s v="230502-TTW" u="1"/>
        <s v="230503-TTW" u="1"/>
        <s v="230426-TBB" u="1"/>
        <s v="251225-RE" u="1"/>
        <s v="20260427" u="1"/>
        <s v="20260516" u="1"/>
        <s v="20260518" u="1"/>
        <s v="090326-B" u="1"/>
        <s v="20260521" u="1"/>
        <s v="230504-TTW" u="1"/>
        <s v="260427CF" u="1"/>
        <s v="260216-RPT" u="1"/>
        <s v="260512-TTW" u="1"/>
        <s v="20251224" u="1"/>
        <s v="260502-RE" u="1"/>
        <s v="REMC-1806" u="1"/>
        <s v="20260212" u="1"/>
        <s v="260604-R/T" u="1"/>
        <s v="040601-R/T" u="1"/>
        <s v="260605-R/T" u="1"/>
        <s v="040602-R/T" u="1"/>
        <s v="161025-TTW" u="1"/>
        <s v="280502-R/T" u="1"/>
        <s v="280501TR/T" u="1"/>
        <s v="20260525" u="1"/>
        <s v="260606-C/T" u="1"/>
        <s v="260609-C/T" u="1"/>
        <s v="260610-C/B" u="1"/>
        <s v="040603-C/T" u="1"/>
        <s v="040604-C/T" u="1"/>
        <s v="090601-C/B" u="1"/>
        <s v="090602-C/B" u="1"/>
        <s v="20260523" u="1"/>
        <s v="20260602" u="1"/>
        <s v="260611-C/B" u="1"/>
        <s v="260612-C/B" u="1"/>
        <s v="260613-R/B" u="1"/>
        <s v="260615-R/B" u="1"/>
        <s v="090603-C/B" u="1"/>
        <s v="090601-R/B" u="1"/>
        <s v="090602-R/B" u="1"/>
        <s v="20260613" u="1"/>
        <s v="260122-RPT" u="1"/>
        <s v="260123-RPT" u="1"/>
        <s v="260225-BF" u="1"/>
        <s v="260616-R/B" u="1"/>
        <s v="260617-R/B" u="1"/>
        <s v="090603-R/B" u="1"/>
        <s v="260618-R/B" u="1"/>
        <s v="260619-R/B" u="1"/>
        <s v="260620RF/B" u="1"/>
        <s v="260622-F/B" u="1"/>
        <s v="260623-F/B" u="1"/>
        <s v="260624-F/B" u="1"/>
        <s v="260625-F/B" u="1"/>
        <s v="050502-RE" u="1"/>
        <s v="11072025" u="1"/>
        <s v="260629-F/B" u="1"/>
        <s v="260630FR/B" u="1"/>
        <s v="05-26" u="1"/>
        <s v="260625-CF" u="1"/>
        <s v="260428-TB" u="1"/>
        <s v="280401-T/B" u="1"/>
        <s v="280402-T/B" u="1"/>
        <s v="040326-BBB" u="1"/>
        <s v="201201-RE" u="1"/>
        <s v="161201-RE" u="1"/>
        <s v="280403-T/B" u="1"/>
        <s v="20260420" u="1"/>
        <s v="20260411" u="1"/>
        <s v="20260424" u="1"/>
        <s v="20260418" u="1"/>
        <s v="251126 BBB" u="1"/>
        <s v="050501-T/B" u="1"/>
        <s v="050502-T/B" u="1"/>
        <s v="050503-TBB" u="1"/>
        <s v="20260428" u="1"/>
        <s v="20260423" u="1"/>
        <s v="050504BX/B" u="1"/>
        <s v="090501-BBB" u="1"/>
        <s v="090502-BBB" u="1"/>
        <s v="090503-BBB" u="1"/>
        <s v="260424-BBB" u="1"/>
        <s v="260410-TTW" u="1"/>
        <s v="260526-T/B" u="1"/>
        <s v="20260404" u="1"/>
        <s v="250114-BBB" u="1"/>
        <s v="260507-TBB" u="1"/>
        <s v="280825-BBB" u="1"/>
        <s v="260508BX/B" u="1"/>
        <s v="260508-BBB" u="1"/>
        <s v="260511-BBB" u="1"/>
        <s v="260512-BBB" u="1"/>
        <s v="250909-TTW" u="1"/>
        <s v="260513-BBB" u="1"/>
        <s v="090504-BBB" u="1"/>
        <s v="140501-BBB" u="1"/>
        <s v="140502-RXT" u="1"/>
        <s v="260213-RPT" u="1"/>
        <s v="20260430" u="1"/>
        <s v="260521-FG" u="1"/>
        <s v="251016-TTW" u="1"/>
        <s v="260220-TTW" u="1"/>
        <s v="260306-BBB" u="1"/>
        <s v="250911-TTW" u="1"/>
        <s v="260514BR/T" u="1"/>
        <s v="260515-R/T" u="1"/>
        <s v="260516-R/T" u="1"/>
        <s v="140503-R/T" u="1"/>
        <s v="260518-R/T" u="1"/>
        <s v="140504-R/T" u="1"/>
        <s v="260519-R/T" u="1"/>
        <s v="190501-R/T" u="1"/>
        <s v="260520-R/T" u="1"/>
        <s v="190502-R/T" u="1"/>
        <s v="260521-R/T" u="1"/>
        <s v="190503-R/T" u="1"/>
        <s v="260522TR/T" u="1"/>
        <s v="190504-R/T" u="1"/>
        <s v="260523TR/T" u="1"/>
        <s v="250903PNK" u="1"/>
        <s v="260525T-B" u="1"/>
        <s v="20260515" u="1"/>
        <s v="121225-B" u="1"/>
        <s v="260525-TTW" u="1"/>
        <s v="260526-TTW" u="1"/>
        <s v="260527-TTW" u="1"/>
        <s v="260529TR/T" u="1"/>
        <s v="260530-R/T" u="1"/>
        <s v="04-26" u="1"/>
        <s v="260430-BF" u="1"/>
        <s v="260521-BBB" u="1"/>
      </sharedItems>
    </cacheField>
    <cacheField name="Order" numFmtId="0">
      <sharedItems containsBlank="1" count="491">
        <s v=""/>
        <s v="305000000043"/>
        <s v="303000000309"/>
        <s v="301000000204"/>
        <s v="301000000205"/>
        <s v="301000000206"/>
        <s v="305000000044"/>
        <s v="301000000207"/>
        <s v="302000000311"/>
        <s v="303000000310"/>
        <s v="305000000045"/>
        <s v="302000000310"/>
        <s v="303000000311"/>
        <s v="301000000208"/>
        <s v="302000000312"/>
        <s v="303000000312"/>
        <s v="302000000313"/>
        <s v="303000000313"/>
        <s v="302000000314"/>
        <s v="302000000315"/>
        <s v="301000000212"/>
        <s v="301000000213"/>
        <s v="301000000214"/>
        <s v="301000000215"/>
        <s v="301000000216"/>
        <s v="303000000314"/>
        <s v="303000000315"/>
        <s v="302000000316"/>
        <s v="303000000316"/>
        <s v="302000000317"/>
        <s v="302000000318"/>
        <s v="302000000319"/>
        <s v="303000000317"/>
        <s v="303000000318"/>
        <s v="303000000319"/>
        <s v="301000000217"/>
        <s v="302000000309"/>
        <s v="302000000320"/>
        <s v="302000000321"/>
        <s v="301000000218"/>
        <s v="303000000320"/>
        <s v="301000000219"/>
        <s v="303000000321"/>
        <s v="301000000220"/>
        <s v="302000000322"/>
        <s v="303000000322"/>
        <s v="302000000323"/>
        <s v="303000000323"/>
        <s v="301000000221"/>
        <s v="301000000222"/>
        <s v="302000000324"/>
        <s v="303000000324"/>
        <s v="302000000325"/>
        <s v="302000000326"/>
        <s v="302000000327"/>
        <s v="303000000325"/>
        <s v="303000000326"/>
        <s v="303000000327"/>
        <s v="305000000046"/>
        <s v="301000000223"/>
        <s v="301000000224"/>
        <s v="301000000225"/>
        <s v="305000000047"/>
        <s v="305000000048"/>
        <s v="302000000328"/>
        <s v="302000000329"/>
        <s v="302000000330"/>
        <s v="302000000331"/>
        <s v="302000000332"/>
        <s v="302000000333"/>
        <s v="303000000328"/>
        <s v="303000000329"/>
        <s v="303000000330"/>
        <s v="303000000331"/>
        <s v="303000000332"/>
        <s v="303000000333"/>
        <s v="301000000226"/>
        <s v="301000000227"/>
        <s v="302000000334"/>
        <s v="303000000334"/>
        <s v="302000000335"/>
        <s v="303000000335"/>
        <s v="301000000228"/>
        <m/>
        <s v="301000000184" u="1"/>
        <s v="301000000185" u="1"/>
        <s v="305000000038" u="1"/>
        <s v="302000000287" u="1"/>
        <s v="303000000287" u="1"/>
        <s v="302000000288" u="1"/>
        <s v="303000000288" u="1"/>
        <s v="302000000289" u="1"/>
        <s v="303000000289" u="1"/>
        <s v="305000000039" u="1"/>
        <s v="301000000186" u="1"/>
        <s v="301000000187" u="1"/>
        <s v="301000000188" u="1"/>
        <s v="302000000290" u="1"/>
        <s v="302000000291" u="1"/>
        <s v="302000000292" u="1"/>
        <s v="302000000293" u="1"/>
        <s v="303000000290" u="1"/>
        <s v="303000000291" u="1"/>
        <s v="303000000292" u="1"/>
        <s v="303000000293" u="1"/>
        <s v="301000000189" u="1"/>
        <s v="301000000190" u="1"/>
        <s v="305000000040" u="1"/>
        <s v="302000000294" u="1"/>
        <s v="302000000295" u="1"/>
        <s v="302000000296" u="1"/>
        <s v="302000000297" u="1"/>
        <s v="303000000294" u="1"/>
        <s v="303000000295" u="1"/>
        <s v="303000000296" u="1"/>
        <s v="303000000297" u="1"/>
        <s v="301000000192" u="1"/>
        <s v="301000000193" u="1"/>
        <s v="301000000194" u="1"/>
        <s v="301000000195" u="1"/>
        <s v="302000000298" u="1"/>
        <s v="303000000298" u="1"/>
        <s v="302000000299" u="1"/>
        <s v="303000000299" u="1"/>
        <s v="302000000300" u="1"/>
        <s v="301000000196" u="1"/>
        <s v="303000000300" u="1"/>
        <s v="302000000301" u="1"/>
        <s v="303000000301" u="1"/>
        <s v="302000000302" u="1"/>
        <s v="303000000302" u="1"/>
        <s v="301000000191" u="1"/>
        <s v="301000000197" u="1"/>
        <s v="302000000303" u="1"/>
        <s v="303000000303" u="1"/>
        <s v="302000000304" u="1"/>
        <s v="301000000198" u="1"/>
        <s v="301000000200" u="1"/>
        <s v="303000000304" u="1"/>
        <s v="302000000305" u="1"/>
        <s v="303000000305" u="1"/>
        <s v="302000000306" u="1"/>
        <s v="301000000201" u="1"/>
        <s v="303000000306" u="1"/>
        <s v="305000000041" u="1"/>
        <s v="305000000042" u="1"/>
        <s v="302000000307" u="1"/>
        <s v="303000000307" u="1"/>
        <s v="301000000202" u="1"/>
        <s v="301000000203" u="1"/>
        <s v="302000000308" u="1"/>
        <s v="303000000308" u="1"/>
        <s v="303000000262" u="1"/>
        <s v="303000000263" u="1"/>
        <s v="303000000264" u="1"/>
        <s v="303000000265" u="1"/>
        <s v="301000000165" u="1"/>
        <s v="303000000266" u="1"/>
        <s v="303000000267" u="1"/>
        <s v="303000000268" u="1"/>
        <s v="303000000269" u="1"/>
        <s v="301000000166" u="1"/>
        <s v="301000000167" u="1"/>
        <s v="301000000168" u="1"/>
        <s v="301000000169" u="1"/>
        <s v="302000000264" u="1"/>
        <s v="302000000265" u="1"/>
        <s v="302000000266" u="1"/>
        <s v="302000000267" u="1"/>
        <s v="302000000268" u="1"/>
        <s v="302000000269" u="1"/>
        <s v="302000000263" u="1"/>
        <s v="302000000270" u="1"/>
        <s v="303000000270" u="1"/>
        <s v="305000000035" u="1"/>
        <s v="302000000271" u="1"/>
        <s v="303000000271" u="1"/>
        <s v="303000000272" u="1"/>
        <s v="303000000273" u="1"/>
        <s v="301000000170" u="1"/>
        <s v="301000000171" u="1"/>
        <s v="301000000172" u="1"/>
        <s v="301000000173" u="1"/>
        <s v="305000000036" u="1"/>
        <s v="302000000272" u="1"/>
        <s v="302000000273" u="1"/>
        <s v="302000000274" u="1"/>
        <s v="303000000274" u="1"/>
        <s v="301000000174" u="1"/>
        <s v="301000000175" u="1"/>
        <s v="302000000275" u="1"/>
        <s v="303000000275" u="1"/>
        <s v="301000000176" u="1"/>
        <s v="302000000276" u="1"/>
        <s v="303000000276" u="1"/>
        <s v="302000000277" u="1"/>
        <s v="303000000277" u="1"/>
        <s v="302000000278" u="1"/>
        <s v="303000000278" u="1"/>
        <s v="302000000279" u="1"/>
        <s v="303000000279" u="1"/>
        <s v="302000000280" u="1"/>
        <s v="303000000280" u="1"/>
        <s v="302000000281" u="1"/>
        <s v="303000000281" u="1"/>
        <s v="305000000037" u="1"/>
        <s v="301000000177" u="1"/>
        <s v="301000000178" u="1"/>
        <s v="301000000179" u="1"/>
        <s v="301000000180" u="1"/>
        <s v="301000000181" u="1"/>
        <s v="301000000182" u="1"/>
        <s v="301000000183" u="1"/>
        <s v="302000000282" u="1"/>
        <s v="303000000282" u="1"/>
        <s v="302000000283" u="1"/>
        <s v="302000000284" u="1"/>
        <s v="302000000285" u="1"/>
        <s v="303000000283" u="1"/>
        <s v="303000000284" u="1"/>
        <s v="303000000285" u="1"/>
        <s v="302000000286" u="1"/>
        <s v="303000000286" u="1"/>
        <s v="305000000030" u="1"/>
        <s v="303000000241" u="1"/>
        <s v="303000000242" u="1"/>
        <s v="303000000243" u="1"/>
        <s v="303000000244" u="1"/>
        <s v="305000000031" u="1"/>
        <s v="301000000152" u="1"/>
        <s v="301000000153" u="1"/>
        <s v="301000000154" u="1"/>
        <s v="303000000245" u="1"/>
        <s v="303000000246" u="1"/>
        <s v="302000000241" u="1"/>
        <s v="302000000242" u="1"/>
        <s v="302000000243" u="1"/>
        <s v="302000000244" u="1"/>
        <s v="301000000155" u="1"/>
        <s v="302000000245" u="1"/>
        <s v="302000000246" u="1"/>
        <s v="303000000247" u="1"/>
        <s v="303000000248" u="1"/>
        <s v="303000000249" u="1"/>
        <s v="302000000240" u="1"/>
        <s v="303000000250" u="1"/>
        <s v="305000000032" u="1"/>
        <s v="301000000156" u="1"/>
        <s v="301000000157" u="1"/>
        <s v="301000000158" u="1"/>
        <s v="302000000247" u="1"/>
        <s v="302000000248" u="1"/>
        <s v="302000000249" u="1"/>
        <s v="303000000251" u="1"/>
        <s v="305000000033" u="1"/>
        <s v="301000000159" u="1"/>
        <s v="301000000160" u="1"/>
        <s v="301000000161" u="1"/>
        <s v="302000000250" u="1"/>
        <s v="302000000251" u="1"/>
        <s v="303000000252" u="1"/>
        <s v="302000000252" u="1"/>
        <s v="303000000253" u="1"/>
        <s v="302000000253" u="1"/>
        <s v="303000000254" u="1"/>
        <s v="302000000254" u="1"/>
        <s v="303000000255" u="1"/>
        <s v="302000000255" u="1"/>
        <s v="303000000256" u="1"/>
        <s v="302000000256" u="1"/>
        <s v="303000000257" u="1"/>
        <s v="303000000258" u="1"/>
        <s v="303000000259" u="1"/>
        <s v="301000000162" u="1"/>
        <s v="301000000163" u="1"/>
        <s v="302000000257" u="1"/>
        <s v="302000000258" u="1"/>
        <s v="305000000034" u="1"/>
        <s v="301000000164" u="1"/>
        <s v="302000000259" u="1"/>
        <s v="303000000260" u="1"/>
        <s v="302000000260" u="1"/>
        <s v="302000000261" u="1"/>
        <s v="302000000262" u="1"/>
        <s v="303000000261" u="1"/>
        <s v="303000000208" u="1"/>
        <s v="303000000209" u="1"/>
        <s v="303000000210" u="1"/>
        <s v="303000000211" u="1"/>
        <s v="303000000212" u="1"/>
        <s v="303000000213" u="1"/>
        <s v="301000000135" u="1"/>
        <s v="301000000136" u="1"/>
        <s v="301000000137" u="1"/>
        <s v="301000000138" u="1"/>
        <s v="301000000139" u="1"/>
        <s v="305000000025" u="1"/>
        <s v="301000000140" u="1"/>
        <s v="301000000141" u="1"/>
        <s v="302000000209" u="1"/>
        <s v="302000000210" u="1"/>
        <s v="302000000211" u="1"/>
        <s v="302000000212" u="1"/>
        <s v="303000000216" u="1"/>
        <s v="303000000217" u="1"/>
        <s v="303000000218" u="1"/>
        <s v="302000000213" u="1"/>
        <s v="302000000214" u="1"/>
        <s v="302000000215" u="1"/>
        <s v="302000000216" u="1"/>
        <s v="302000000217" u="1"/>
        <s v="302000000219" u="1"/>
        <s v="303000000219" u="1"/>
        <s v="302000000220" u="1"/>
        <s v="302000000218" u="1"/>
        <s v="303000000220" u="1"/>
        <s v="302000000221" u="1"/>
        <s v="303000000221" u="1"/>
        <s v="303000000222" u="1"/>
        <s v="302000000222" u="1"/>
        <s v="303000000223" u="1"/>
        <s v="302000000223" u="1"/>
        <s v="303000000224" u="1"/>
        <s v="305000000026" u="1"/>
        <s v="305000000027" u="1"/>
        <s v="301000000142" u="1"/>
        <s v="301000000143" u="1"/>
        <s v="302000000224" u="1"/>
        <s v="303000000225" u="1"/>
        <s v="303000000226" u="1"/>
        <s v="303000000227" u="1"/>
        <s v="302000000225" u="1"/>
        <s v="302000000226" u="1"/>
        <s v="302000000227" u="1"/>
        <s v="303000000228" u="1"/>
        <s v="301000000144" u="1"/>
        <s v="301000000145" u="1"/>
        <s v="301000000146" u="1"/>
        <s v="301000000147" u="1"/>
        <s v="301000000148" u="1"/>
        <s v="302000000228" u="1"/>
        <s v="303000000229" u="1"/>
        <s v="302000000229" u="1"/>
        <s v="303000000230" u="1"/>
        <s v="302000000230" u="1"/>
        <s v="303000000231" u="1"/>
        <s v="302000000231" u="1"/>
        <s v="303000000232" u="1"/>
        <s v="302000000232" u="1"/>
        <s v="303000000233" u="1"/>
        <s v="303000000234" u="1"/>
        <s v="305000000028" u="1"/>
        <s v="305000000029" u="1"/>
        <s v="302000000233" u="1"/>
        <s v="301000000149" u="1"/>
        <s v="301000000150" u="1"/>
        <s v="301000000151" u="1"/>
        <s v="303000000235" u="1"/>
        <s v="302000000234" u="1"/>
        <s v="303000000236" u="1"/>
        <s v="302000000235" u="1"/>
        <s v="303000000237" u="1"/>
        <s v="302000000236" u="1"/>
        <s v="303000000238" u="1"/>
        <s v="302000000237" u="1"/>
        <s v="302000000238" u="1"/>
        <s v="303000000239" u="1"/>
        <s v="302000000239" u="1"/>
        <s v="303000000240" u="1"/>
        <s v="305000000024" u="1"/>
        <s v="302000000189" u="1"/>
        <s v="303000000188" u="1"/>
        <s v="302000000190" u="1"/>
        <s v="303000000189" u="1"/>
        <s v="303000000190" u="1"/>
        <s v="301000000119" u="1"/>
        <s v="301000000120" u="1"/>
        <s v="301000000121" u="1"/>
        <s v="301000000122" u="1"/>
        <s v="301000000123" u="1"/>
        <s v="302000000191" u="1"/>
        <s v="302000000192" u="1"/>
        <s v="303000000191" u="1"/>
        <s v="302000000193" u="1"/>
        <s v="303000000192" u="1"/>
        <s v="302000000194" u="1"/>
        <s v="303000000193" u="1"/>
        <s v="301000000124" u="1"/>
        <s v="301000000125" u="1"/>
        <s v="301000000126" u="1"/>
        <s v="301000000127" u="1"/>
        <s v="303000000194" u="1"/>
        <s v="303000000195" u="1"/>
        <s v="302000000195" u="1"/>
        <s v="302000000196" u="1"/>
        <s v="302000000197" u="1"/>
        <s v="303000000196" u="1"/>
        <s v="302000000198" u="1"/>
        <s v="303000000197" u="1"/>
        <s v="305000000020" u="1"/>
        <s v="305000000021" u="1"/>
        <s v="305000000022" u="1"/>
        <s v="305000000023" u="1"/>
        <s v="301000000128" u="1"/>
        <s v="301000000129" u="1"/>
        <s v="302000000199" u="1"/>
        <s v="303000000198" u="1"/>
        <s v="302000000200" u="1"/>
        <s v="303000000199" u="1"/>
        <s v="302000000201" u="1"/>
        <s v="303000000200" u="1"/>
        <s v="302000000202" u="1"/>
        <s v="301000000130" u="1"/>
        <s v="301000000132" u="1"/>
        <s v="301000000131" u="1"/>
        <s v="303000000201" u="1"/>
        <s v="302000000203" u="1"/>
        <s v="303000000202" u="1"/>
        <s v="302000000204" u="1"/>
        <s v="303000000203" u="1"/>
        <s v="302000000205" u="1"/>
        <s v="303000000204" u="1"/>
        <s v="302000000206" u="1"/>
        <s v="301000000133" u="1"/>
        <s v="303000000205" u="1"/>
        <s v="302000000207" u="1"/>
        <s v="303000000206" u="1"/>
        <s v="302000000208" u="1"/>
        <s v="303000000207" u="1"/>
        <s v="301000000134" u="1"/>
        <s v="301000000104" u="1"/>
        <s v="301000000105" u="1"/>
        <s v="301000000106" u="1"/>
        <s v="301000000108" u="1"/>
        <s v="302000000165" u="1"/>
        <s v="303000000166" u="1"/>
        <s v="302000000167" u="1"/>
        <s v="303000000167" u="1"/>
        <s v="302000000168" u="1"/>
        <s v="303000000168" u="1"/>
        <s v="302000000169" u="1"/>
        <s v="303000000169" u="1"/>
        <s v="302000000170" u="1"/>
        <s v="303000000170" u="1"/>
        <s v="305000000018" u="1"/>
        <s v="301000000109" u="1"/>
        <s v="301000000107" u="1"/>
        <s v="301000000110" u="1"/>
        <s v="301000000111" u="1"/>
        <s v="301000000112" u="1"/>
        <s v="302000000171" u="1"/>
        <s v="303000000171" u="1"/>
        <s v="302000000172" u="1"/>
        <s v="303000000172" u="1"/>
        <s v="302000000173" u="1"/>
        <s v="303000000173" u="1"/>
        <s v="302000000174" u="1"/>
        <s v="303000000174" u="1"/>
        <s v="302000000175" u="1"/>
        <s v="303000000175" u="1"/>
        <s v="302000000176" u="1"/>
        <s v="303000000176" u="1"/>
        <s v="301000000113" u="1"/>
        <s v="301000000114" u="1"/>
        <s v="301000000115" u="1"/>
        <s v="302000000177" u="1"/>
        <s v="303000000177" u="1"/>
        <s v="302000000178" u="1"/>
        <s v="303000000178" u="1"/>
        <s v="302000000179" u="1"/>
        <s v="303000000179" u="1"/>
        <s v="301000000116" u="1"/>
        <s v="302000000180" u="1"/>
        <s v="303000000180" u="1"/>
        <s v="302000000182" u="1"/>
        <s v="303000000181" u="1"/>
        <s v="302000000183" u="1"/>
        <s v="303000000182" u="1"/>
        <s v="302000000184" u="1"/>
        <s v="303000000183" u="1"/>
        <s v="301000000117" u="1"/>
        <s v="305000000019" u="1"/>
        <s v="301000000118" u="1"/>
        <s v="302000000185" u="1"/>
        <s v="303000000184" u="1"/>
        <s v="302000000186" u="1"/>
        <s v="303000000185" u="1"/>
        <s v="302000000187" u="1"/>
        <s v="303000000186" u="1"/>
        <s v="302000000188" u="1"/>
        <s v="303000000187" u="1"/>
      </sharedItems>
    </cacheField>
    <cacheField name="Time" numFmtId="0">
      <sharedItems containsBlank="1"/>
    </cacheField>
    <cacheField name="User Name" numFmtId="0">
      <sharedItems containsBlank="1"/>
    </cacheField>
    <cacheField name="Item" numFmtId="0">
      <sharedItems containsBlank="1"/>
    </cacheField>
    <cacheField name="Suppl.Inv" numFmtId="0">
      <sharedItems containsBlank="1"/>
    </cacheField>
    <cacheField name="Reas." numFmtId="0">
      <sharedItems containsBlank="1"/>
    </cacheField>
    <cacheField name="S" numFmtId="0">
      <sharedItems containsBlank="1"/>
    </cacheField>
    <cacheField name="Reserv.no." numFmtId="0">
      <sharedItems containsBlank="1"/>
    </cacheField>
    <cacheField name="Document Header Text" numFmtId="0">
      <sharedItems containsBlank="1"/>
    </cacheField>
    <cacheField name="Text" numFmtId="0">
      <sharedItems containsBlank="1"/>
    </cacheField>
    <cacheField name="Cost Ctr" numFmtId="0">
      <sharedItems containsBlank="1"/>
    </cacheField>
    <cacheField name="G/L acct" numFmtId="0">
      <sharedItems containsBlank="1"/>
    </cacheField>
    <cacheField name="PO" numFmtId="0">
      <sharedItems containsBlank="1"/>
    </cacheField>
    <cacheField name="Vendor" numFmtId="0">
      <sharedItems containsBlank="1"/>
    </cacheField>
    <cacheField name="Asset" numFmtId="0">
      <sharedItems containsBlank="1"/>
    </cacheField>
    <cacheField name="Reference" numFmtId="0">
      <sharedItems containsBlank="1"/>
    </cacheField>
    <cacheField name="Manuf. Dte" numFmtId="0">
      <sharedItems containsNonDate="0" containsString="0" containsBlank="1"/>
    </cacheField>
    <cacheField name="EUn" numFmtId="0">
      <sharedItems containsBlank="1" count="8">
        <s v="PC"/>
        <s v="EA"/>
        <s v="BAG"/>
        <s v="KG"/>
        <s v="BOX"/>
        <s v="G"/>
        <s v="ROL"/>
        <m/>
      </sharedItems>
    </cacheField>
    <cacheField name="Quantity in UnE" numFmtId="0">
      <sharedItems containsString="0" containsBlank="1" containsNumber="1" minValue="-199810" maxValue="286800"/>
    </cacheField>
    <cacheField name="Amt.in Loc.Cur." numFmtId="0">
      <sharedItems containsString="0" containsBlank="1" containsNumber="1" minValue="-10592206.59" maxValue="10710768.640000001"/>
    </cacheField>
    <cacheField name="Doc. Date" numFmtId="0">
      <sharedItems containsNonDate="0" containsDate="1" containsString="0" containsBlank="1" minDate="2026-07-01T00:00:00" maxDate="2202-07-05T00:00:00"/>
    </cacheField>
    <cacheField name="Pstng Date" numFmtId="0">
      <sharedItems containsNonDate="0" containsDate="1" containsString="0" containsBlank="1" minDate="2026-07-01T00:00:00" maxDate="2026-08-01T00:00:00"/>
    </cacheField>
    <cacheField name="SLED/BBD" numFmtId="0">
      <sharedItems containsNonDate="0" containsString="0" containsBlank="1"/>
    </cacheField>
    <cacheField name="Entry Date" numFmtId="0">
      <sharedItems containsNonDate="0" containsDate="1" containsString="0" containsBlank="1" minDate="2026-07-01T00:00:00" maxDate="2026-08-01T00:00:00"/>
    </cacheField>
    <cacheField name="Quantity" numFmtId="0">
      <sharedItems containsString="0" containsBlank="1" containsNumber="1" containsInteger="1" minValue="-40057600" maxValue="47835300"/>
    </cacheField>
    <cacheField name="Group order" numFmtId="0">
      <sharedItems containsBlank="1" count="6">
        <s v=""/>
        <s v="305"/>
        <s v="303"/>
        <s v="301"/>
        <s v="302"/>
        <m/>
      </sharedItems>
    </cacheField>
    <cacheField name="Code" numFmtId="0">
      <sharedItems containsBlank="1"/>
    </cacheField>
    <cacheField name="GL Name" numFmtId="0">
      <sharedItems containsBlank="1"/>
    </cacheField>
    <cacheField name="หมายเหตุ" numFmtId="0">
      <sharedItems containsBlank="1"/>
    </cacheField>
    <cacheField name="ราคา" numFmtId="43">
      <sharedItems containsString="0" containsBlank="1" containsNumber="1" minValue="0" maxValue="6250.0000000000009"/>
    </cacheField>
    <cacheField name="Code สูตรผลิต" numFmtId="43">
      <sharedItems containsBlank="1"/>
    </cacheField>
    <cacheField name="สูตรผลิต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3">
  <r>
    <x v="0"/>
    <x v="0"/>
    <s v="0328"/>
    <x v="0"/>
    <s v="GD goods issue:delvy"/>
    <s v="4923159436"/>
    <s v="P004"/>
    <s v="011125-B"/>
    <s v=""/>
    <s v="10:57:30"/>
    <s v="THANAWIS"/>
    <s v="0001"/>
    <s v=""/>
    <s v="0000"/>
    <s v=""/>
    <s v="0000000000"/>
    <s v=""/>
    <s v=""/>
    <s v=""/>
    <s v="51003100"/>
    <s v=""/>
    <s v=""/>
    <s v=""/>
    <s v="2000108833"/>
    <m/>
    <s v="BAG"/>
    <n v="-30"/>
    <n v="-4791.3"/>
    <d v="2025-12-01T00:00:00"/>
    <d v="2025-12-01T00:00:00"/>
    <m/>
    <d v="2025-12-01T00:00:00"/>
    <n v="-15000"/>
    <s v=""/>
    <x v="0"/>
    <s v="ต้นทุนขาย"/>
    <m/>
    <n v="159.71"/>
  </r>
  <r>
    <x v="1"/>
    <x v="1"/>
    <s v="0328"/>
    <x v="0"/>
    <s v="GD goods issue:delvy"/>
    <s v="4923159440"/>
    <s v="P004"/>
    <s v="081025-RE"/>
    <s v=""/>
    <s v="10:58:01"/>
    <s v="THANAWIS"/>
    <s v="0001"/>
    <s v=""/>
    <s v="0000"/>
    <s v=""/>
    <s v="0000000000"/>
    <s v=""/>
    <s v=""/>
    <s v=""/>
    <s v="51003100"/>
    <s v=""/>
    <s v=""/>
    <s v=""/>
    <s v="2000108834"/>
    <m/>
    <s v="BAG"/>
    <n v="-30"/>
    <n v="-5220.6000000000004"/>
    <d v="2025-12-01T00:00:00"/>
    <d v="2025-12-01T00:00:00"/>
    <m/>
    <d v="2025-12-01T00:00:00"/>
    <n v="-15000"/>
    <s v=""/>
    <x v="0"/>
    <s v="ต้นทุนขาย"/>
    <m/>
    <n v="174.02"/>
  </r>
  <r>
    <x v="1"/>
    <x v="1"/>
    <s v="0328"/>
    <x v="0"/>
    <s v="GD goods issue:delvy"/>
    <s v="4923159524"/>
    <s v="P004"/>
    <s v="081025-RE"/>
    <s v=""/>
    <s v="10:58:26"/>
    <s v="THANAWIS"/>
    <s v="0001"/>
    <s v=""/>
    <s v="0000"/>
    <s v=""/>
    <s v="0000000000"/>
    <s v=""/>
    <s v=""/>
    <s v=""/>
    <s v="51003100"/>
    <s v=""/>
    <s v=""/>
    <s v=""/>
    <s v="2000108835"/>
    <m/>
    <s v="BAG"/>
    <n v="-20"/>
    <n v="-3480.4"/>
    <d v="2025-12-01T00:00:00"/>
    <d v="2025-12-01T00:00:00"/>
    <m/>
    <d v="2025-12-01T00:00:00"/>
    <n v="-10000"/>
    <s v=""/>
    <x v="0"/>
    <s v="ต้นทุนขาย"/>
    <m/>
    <n v="174.02"/>
  </r>
  <r>
    <x v="1"/>
    <x v="1"/>
    <s v="0328"/>
    <x v="0"/>
    <s v="GD goods issue:delvy"/>
    <s v="4923165389"/>
    <s v="P004"/>
    <s v="081025-RE"/>
    <s v=""/>
    <s v="13:31:13"/>
    <s v="THANAWIS"/>
    <s v="0001"/>
    <s v=""/>
    <s v="0000"/>
    <s v=""/>
    <s v="0000000000"/>
    <s v=""/>
    <s v=""/>
    <s v=""/>
    <s v="51003100"/>
    <s v=""/>
    <s v=""/>
    <s v=""/>
    <s v="2000108840"/>
    <m/>
    <s v="BAG"/>
    <n v="-2"/>
    <n v="-348.04"/>
    <d v="2025-12-01T00:00:00"/>
    <d v="2025-12-01T00:00:00"/>
    <m/>
    <d v="2025-12-01T00:00:00"/>
    <n v="-1000"/>
    <s v=""/>
    <x v="0"/>
    <s v="ต้นทุนขาย"/>
    <m/>
    <n v="174.02"/>
  </r>
  <r>
    <x v="1"/>
    <x v="1"/>
    <s v="0328"/>
    <x v="0"/>
    <s v="GD goods issue:delvy"/>
    <s v="4923165771"/>
    <s v="P004"/>
    <s v="081025-RE"/>
    <s v=""/>
    <s v="13:34:01"/>
    <s v="THANAWIS"/>
    <s v="0001"/>
    <s v=""/>
    <s v="0000"/>
    <s v=""/>
    <s v="0000000000"/>
    <s v=""/>
    <s v=""/>
    <s v=""/>
    <s v="51003100"/>
    <s v=""/>
    <s v=""/>
    <s v=""/>
    <s v="2000108846"/>
    <m/>
    <s v="BAG"/>
    <n v="-1"/>
    <n v="-174.02"/>
    <d v="2025-12-01T00:00:00"/>
    <d v="2025-12-01T00:00:00"/>
    <m/>
    <d v="2025-12-01T00:00:00"/>
    <n v="-500"/>
    <s v=""/>
    <x v="0"/>
    <s v="ต้นทุนขาย"/>
    <m/>
    <n v="174.02"/>
  </r>
  <r>
    <x v="1"/>
    <x v="1"/>
    <s v="0328"/>
    <x v="0"/>
    <s v="GD goods issue:delvy"/>
    <s v="4923170421"/>
    <s v="P004"/>
    <s v="081025-RE"/>
    <s v=""/>
    <s v="14:52:37"/>
    <s v="THANAWIS"/>
    <s v="0001"/>
    <s v=""/>
    <s v="0000"/>
    <s v=""/>
    <s v="0000000000"/>
    <s v=""/>
    <s v=""/>
    <s v=""/>
    <s v="51003100"/>
    <s v=""/>
    <s v=""/>
    <s v=""/>
    <s v="2000108870"/>
    <m/>
    <s v="BAG"/>
    <n v="-60"/>
    <n v="-10441.200000000001"/>
    <d v="2025-12-01T00:00:00"/>
    <d v="2025-12-01T00:00:00"/>
    <m/>
    <d v="2025-12-01T00:00:00"/>
    <n v="-30000"/>
    <s v=""/>
    <x v="0"/>
    <s v="ต้นทุนขาย"/>
    <m/>
    <n v="174.02"/>
  </r>
  <r>
    <x v="2"/>
    <x v="2"/>
    <s v="0328"/>
    <x v="0"/>
    <s v="GD goods issue:delvy"/>
    <s v="4923173405"/>
    <s v="M001"/>
    <s v="151102-B/T"/>
    <s v=""/>
    <s v="15:23:56"/>
    <s v="JURASDOK"/>
    <s v="0001"/>
    <s v=""/>
    <s v="0000"/>
    <s v=""/>
    <s v="0000000000"/>
    <s v=""/>
    <s v=""/>
    <s v=""/>
    <s v="51003100"/>
    <s v=""/>
    <s v=""/>
    <s v=""/>
    <s v="2000108872"/>
    <m/>
    <s v="BOX"/>
    <n v="-1224"/>
    <n v="-1275652.8"/>
    <d v="2025-12-01T00:00:00"/>
    <d v="2025-12-01T00:00:00"/>
    <m/>
    <d v="2025-12-01T00:00:00"/>
    <n v="-3672000"/>
    <s v=""/>
    <x v="0"/>
    <s v="ต้นทุนขาย"/>
    <m/>
    <n v="1042.2"/>
  </r>
  <r>
    <x v="2"/>
    <x v="2"/>
    <s v="0328"/>
    <x v="0"/>
    <s v="GD goods issue:delvy"/>
    <s v="4923173405"/>
    <s v="M001"/>
    <s v="151101-B/T"/>
    <s v=""/>
    <s v="15:23:56"/>
    <s v="JURASDOK"/>
    <s v="0002"/>
    <s v=""/>
    <s v="0000"/>
    <s v=""/>
    <s v="0000000000"/>
    <s v=""/>
    <s v=""/>
    <s v=""/>
    <s v="51003100"/>
    <s v=""/>
    <s v=""/>
    <s v=""/>
    <s v="2000108872"/>
    <m/>
    <s v="BOX"/>
    <n v="-696"/>
    <n v="-725371.2"/>
    <d v="2025-12-01T00:00:00"/>
    <d v="2025-12-01T00:00:00"/>
    <m/>
    <d v="2025-12-01T00:00:00"/>
    <n v="-2088000"/>
    <s v=""/>
    <x v="0"/>
    <s v="ต้นทุนขาย"/>
    <m/>
    <n v="1042.2"/>
  </r>
  <r>
    <x v="3"/>
    <x v="3"/>
    <s v="0328"/>
    <x v="0"/>
    <s v="GD goods issue:delvy"/>
    <s v="4923237572"/>
    <s v="P004"/>
    <s v="081025-RE"/>
    <s v=""/>
    <s v="08:52:27"/>
    <s v="THANAWIS"/>
    <s v="0001"/>
    <s v=""/>
    <s v="0000"/>
    <s v=""/>
    <s v="0000000000"/>
    <s v=""/>
    <s v=""/>
    <s v=""/>
    <s v="51003100"/>
    <s v=""/>
    <s v=""/>
    <s v=""/>
    <s v="2000108900"/>
    <m/>
    <s v="BAG"/>
    <n v="-2"/>
    <n v="-362.36"/>
    <d v="2025-12-02T00:00:00"/>
    <d v="2025-12-02T00:00:00"/>
    <m/>
    <d v="2025-12-02T00:00:00"/>
    <n v="-1000"/>
    <s v=""/>
    <x v="0"/>
    <s v="ต้นทุนขาย"/>
    <m/>
    <n v="181.18"/>
  </r>
  <r>
    <x v="1"/>
    <x v="1"/>
    <s v="0328"/>
    <x v="0"/>
    <s v="GD goods issue:delvy"/>
    <s v="4923242341"/>
    <s v="P004"/>
    <s v="081025-RE"/>
    <s v=""/>
    <s v="10:49:40"/>
    <s v="THANAWIS"/>
    <s v="0001"/>
    <s v=""/>
    <s v="0000"/>
    <s v=""/>
    <s v="0000000000"/>
    <s v=""/>
    <s v=""/>
    <s v=""/>
    <s v="51003100"/>
    <s v=""/>
    <s v=""/>
    <s v=""/>
    <s v="2000108970"/>
    <m/>
    <s v="BAG"/>
    <n v="-60"/>
    <n v="-10441.200000000001"/>
    <d v="2025-12-02T00:00:00"/>
    <d v="2025-12-02T00:00:00"/>
    <m/>
    <d v="2025-12-02T00:00:00"/>
    <n v="-30000"/>
    <s v=""/>
    <x v="0"/>
    <s v="ต้นทุนขาย"/>
    <m/>
    <n v="174.02"/>
  </r>
  <r>
    <x v="4"/>
    <x v="4"/>
    <s v="0329"/>
    <x v="0"/>
    <s v="GD goods issue:delvy"/>
    <s v="4923249241"/>
    <s v="P009"/>
    <s v="RE-170625"/>
    <s v=""/>
    <s v="13:26:26"/>
    <s v="THANAWIS"/>
    <s v="0001"/>
    <s v=""/>
    <s v="0000"/>
    <s v=""/>
    <s v="0000000000"/>
    <s v=""/>
    <s v=""/>
    <s v=""/>
    <s v="51003100"/>
    <s v=""/>
    <s v=""/>
    <s v=""/>
    <s v="2000108981"/>
    <m/>
    <s v="BAG"/>
    <n v="-2"/>
    <n v="-148.44"/>
    <d v="2025-12-02T00:00:00"/>
    <d v="2025-12-02T00:00:00"/>
    <m/>
    <d v="2025-12-02T00:00:00"/>
    <n v="-500"/>
    <s v=""/>
    <x v="1"/>
    <s v="ต้นทุนขาย"/>
    <m/>
    <n v="74.22"/>
  </r>
  <r>
    <x v="3"/>
    <x v="3"/>
    <s v="0328"/>
    <x v="1"/>
    <s v="GIส่งเสริมการขายอื่น"/>
    <s v="4923249337"/>
    <s v="P004"/>
    <s v="160701-RE"/>
    <s v=""/>
    <s v="13:32:56"/>
    <s v="THANAWIS"/>
    <s v="0001"/>
    <s v=""/>
    <s v="0000"/>
    <s v=""/>
    <s v="0142076815"/>
    <s v=""/>
    <s v="แถม พ.ต.อ.ณรงค์ โพธิ์น้อย"/>
    <s v="403004"/>
    <s v="65109000"/>
    <s v=""/>
    <s v=""/>
    <s v=""/>
    <s v=""/>
    <m/>
    <s v="BAG"/>
    <n v="-6"/>
    <n v="-1087.08"/>
    <d v="2025-12-02T00:00:00"/>
    <d v="2025-12-02T00:00:00"/>
    <m/>
    <d v="2025-12-02T00:00:00"/>
    <n v="-3000"/>
    <s v=""/>
    <x v="0"/>
    <s v="ส่งเสริมฯ อื่น"/>
    <m/>
    <n v="181.17999999999998"/>
  </r>
  <r>
    <x v="4"/>
    <x v="4"/>
    <s v="0329"/>
    <x v="0"/>
    <s v="GD goods issue:delvy"/>
    <s v="4923249421"/>
    <s v="P009"/>
    <s v="RE-170625"/>
    <s v=""/>
    <s v="13:36:03"/>
    <s v="THANAWIS"/>
    <s v="0001"/>
    <s v=""/>
    <s v="0000"/>
    <s v=""/>
    <s v="0000000000"/>
    <s v=""/>
    <s v=""/>
    <s v=""/>
    <s v="51003100"/>
    <s v=""/>
    <s v=""/>
    <s v=""/>
    <s v="2000108988"/>
    <m/>
    <s v="BAG"/>
    <n v="-8"/>
    <n v="-593.76"/>
    <d v="2025-12-02T00:00:00"/>
    <d v="2025-12-02T00:00:00"/>
    <m/>
    <d v="2025-12-02T00:00:00"/>
    <n v="-2000"/>
    <s v=""/>
    <x v="1"/>
    <s v="ต้นทุนขาย"/>
    <m/>
    <n v="74.22"/>
  </r>
  <r>
    <x v="2"/>
    <x v="2"/>
    <s v="0328"/>
    <x v="0"/>
    <s v="GD goods issue:delvy"/>
    <s v="4923253392"/>
    <s v="M001"/>
    <s v="151103-B/T"/>
    <s v=""/>
    <s v="14:33:05"/>
    <s v="JURASDOK"/>
    <s v="0001"/>
    <s v=""/>
    <s v="0000"/>
    <s v=""/>
    <s v="0000000000"/>
    <s v=""/>
    <s v=""/>
    <s v=""/>
    <s v="51003100"/>
    <s v=""/>
    <s v=""/>
    <s v=""/>
    <s v="2000108990"/>
    <m/>
    <s v="BOX"/>
    <n v="-300"/>
    <n v="-312660"/>
    <d v="2025-12-02T00:00:00"/>
    <d v="2025-12-02T00:00:00"/>
    <m/>
    <d v="2025-12-02T00:00:00"/>
    <n v="-900000"/>
    <s v=""/>
    <x v="0"/>
    <s v="ต้นทุนขาย"/>
    <m/>
    <n v="1042.2"/>
  </r>
  <r>
    <x v="2"/>
    <x v="2"/>
    <s v="0328"/>
    <x v="0"/>
    <s v="GD goods issue:delvy"/>
    <s v="4923253392"/>
    <s v="M001"/>
    <s v="151102-B/T"/>
    <s v=""/>
    <s v="14:33:05"/>
    <s v="JURASDOK"/>
    <s v="0002"/>
    <s v=""/>
    <s v="0000"/>
    <s v=""/>
    <s v="0000000000"/>
    <s v=""/>
    <s v=""/>
    <s v=""/>
    <s v="51003100"/>
    <s v=""/>
    <s v=""/>
    <s v=""/>
    <s v="2000108990"/>
    <m/>
    <s v="BOX"/>
    <n v="-1620"/>
    <n v="-1688364"/>
    <d v="2025-12-02T00:00:00"/>
    <d v="2025-12-02T00:00:00"/>
    <m/>
    <d v="2025-12-02T00:00:00"/>
    <n v="-4860000"/>
    <s v=""/>
    <x v="0"/>
    <s v="ต้นทุนขาย"/>
    <m/>
    <n v="1042.2"/>
  </r>
  <r>
    <x v="2"/>
    <x v="2"/>
    <s v="0328"/>
    <x v="0"/>
    <s v="GD goods issue:delvy"/>
    <s v="4923253396"/>
    <s v="M001"/>
    <s v="151103-B/T"/>
    <s v=""/>
    <s v="14:34:20"/>
    <s v="JURASDOK"/>
    <s v="0001"/>
    <s v=""/>
    <s v="0000"/>
    <s v=""/>
    <s v="0000000000"/>
    <s v=""/>
    <s v=""/>
    <s v=""/>
    <s v="51003100"/>
    <s v=""/>
    <s v=""/>
    <s v=""/>
    <s v="2000108991"/>
    <m/>
    <s v="BOX"/>
    <n v="-1920"/>
    <n v="-2001024"/>
    <d v="2025-12-02T00:00:00"/>
    <d v="2025-12-02T00:00:00"/>
    <m/>
    <d v="2025-12-02T00:00:00"/>
    <n v="-5760000"/>
    <s v=""/>
    <x v="0"/>
    <s v="ต้นทุนขาย"/>
    <m/>
    <n v="1042.2"/>
  </r>
  <r>
    <x v="3"/>
    <x v="3"/>
    <s v="0328"/>
    <x v="1"/>
    <s v="GIส่งเสริมการขายอื่น"/>
    <s v="4923262229"/>
    <s v="P004"/>
    <s v="160701-RE"/>
    <s v=""/>
    <s v="16:06:16"/>
    <s v="THANAWIS"/>
    <s v="0001"/>
    <s v=""/>
    <s v="0000"/>
    <s v=""/>
    <s v="0142117180"/>
    <s v=""/>
    <s v="เบิกกาแฟเพื่อจับฉลากงานกอล์ฟ CP"/>
    <s v="401002"/>
    <s v="65109000"/>
    <s v=""/>
    <s v=""/>
    <s v=""/>
    <s v=""/>
    <m/>
    <s v="BAG"/>
    <n v="-24"/>
    <n v="-4348.32"/>
    <d v="2025-12-02T00:00:00"/>
    <d v="2025-12-02T00:00:00"/>
    <m/>
    <d v="2025-12-02T00:00:00"/>
    <n v="-12000"/>
    <s v=""/>
    <x v="0"/>
    <s v="ส่งเสริมฯ อื่น"/>
    <m/>
    <n v="181.17999999999998"/>
  </r>
  <r>
    <x v="2"/>
    <x v="2"/>
    <s v="0328"/>
    <x v="0"/>
    <s v="GD goods issue:delvy"/>
    <s v="4923262686"/>
    <s v="M001"/>
    <s v="151104-B/T"/>
    <s v=""/>
    <s v="16:15:28"/>
    <s v="JURASDOK"/>
    <s v="0001"/>
    <s v=""/>
    <s v="0000"/>
    <s v=""/>
    <s v="0000000000"/>
    <s v=""/>
    <s v=""/>
    <s v=""/>
    <s v="51003100"/>
    <s v=""/>
    <s v=""/>
    <s v=""/>
    <s v="2000108997"/>
    <m/>
    <s v="BOX"/>
    <n v="-1241"/>
    <n v="-1293370.2"/>
    <d v="2025-12-02T00:00:00"/>
    <d v="2025-12-02T00:00:00"/>
    <m/>
    <d v="2025-12-02T00:00:00"/>
    <n v="-3723000"/>
    <s v=""/>
    <x v="0"/>
    <s v="ต้นทุนขาย"/>
    <m/>
    <n v="1042.2"/>
  </r>
  <r>
    <x v="2"/>
    <x v="2"/>
    <s v="0328"/>
    <x v="0"/>
    <s v="GD goods issue:delvy"/>
    <s v="4923262686"/>
    <s v="M001"/>
    <s v="151103-B/T"/>
    <s v=""/>
    <s v="16:15:28"/>
    <s v="JURASDOK"/>
    <s v="0002"/>
    <s v=""/>
    <s v="0000"/>
    <s v=""/>
    <s v="0000000000"/>
    <s v=""/>
    <s v=""/>
    <s v=""/>
    <s v="51003100"/>
    <s v=""/>
    <s v=""/>
    <s v=""/>
    <s v="2000108997"/>
    <m/>
    <s v="BOX"/>
    <n v="-679"/>
    <n v="-707653.8"/>
    <d v="2025-12-02T00:00:00"/>
    <d v="2025-12-02T00:00:00"/>
    <m/>
    <d v="2025-12-02T00:00:00"/>
    <n v="-2037000"/>
    <s v=""/>
    <x v="0"/>
    <s v="ต้นทุนขาย"/>
    <m/>
    <n v="1042.2"/>
  </r>
  <r>
    <x v="2"/>
    <x v="2"/>
    <s v="0328"/>
    <x v="0"/>
    <s v="GD goods issue:delvy"/>
    <s v="4923262839"/>
    <s v="M001"/>
    <s v="151104-B/T"/>
    <s v=""/>
    <s v="16:17:02"/>
    <s v="JURASDOK"/>
    <s v="0002"/>
    <s v=""/>
    <s v="0000"/>
    <s v=""/>
    <s v="0000000000"/>
    <s v=""/>
    <s v=""/>
    <s v=""/>
    <s v="51003100"/>
    <s v=""/>
    <s v=""/>
    <s v=""/>
    <s v="2000108998"/>
    <m/>
    <s v="BOX"/>
    <n v="-1661"/>
    <n v="-1731094.2"/>
    <d v="2025-12-02T00:00:00"/>
    <d v="2025-12-02T00:00:00"/>
    <m/>
    <d v="2025-12-02T00:00:00"/>
    <n v="-4983000"/>
    <s v=""/>
    <x v="0"/>
    <s v="ต้นทุนขาย"/>
    <m/>
    <n v="1042.2"/>
  </r>
  <r>
    <x v="2"/>
    <x v="2"/>
    <s v="0328"/>
    <x v="0"/>
    <s v="GD goods issue:delvy"/>
    <s v="4923262839"/>
    <s v="M001"/>
    <s v="201101-B/T"/>
    <s v=""/>
    <s v="16:17:02"/>
    <s v="JURASDOK"/>
    <s v="0001"/>
    <s v=""/>
    <s v="0000"/>
    <s v=""/>
    <s v="0000000000"/>
    <s v=""/>
    <s v=""/>
    <s v=""/>
    <s v="51003100"/>
    <s v=""/>
    <s v=""/>
    <s v=""/>
    <s v="2000108998"/>
    <m/>
    <s v="BOX"/>
    <n v="-259"/>
    <n v="-269929.8"/>
    <d v="2025-12-02T00:00:00"/>
    <d v="2025-12-02T00:00:00"/>
    <m/>
    <d v="2025-12-02T00:00:00"/>
    <n v="-777000"/>
    <s v=""/>
    <x v="0"/>
    <s v="ต้นทุนขาย"/>
    <m/>
    <n v="1042.2"/>
  </r>
  <r>
    <x v="3"/>
    <x v="3"/>
    <s v="0328"/>
    <x v="0"/>
    <s v="GD goods issue:delvy"/>
    <s v="4923264708"/>
    <s v="P004"/>
    <s v="081025-RE"/>
    <s v=""/>
    <s v="17:05:29"/>
    <s v="THANAWIS"/>
    <s v="0001"/>
    <s v=""/>
    <s v="0000"/>
    <s v=""/>
    <s v="0000000000"/>
    <s v=""/>
    <s v=""/>
    <s v=""/>
    <s v="51003100"/>
    <s v=""/>
    <s v=""/>
    <s v=""/>
    <s v="2000108999"/>
    <m/>
    <s v="BAG"/>
    <n v="-2"/>
    <n v="-362.36"/>
    <d v="2025-12-02T00:00:00"/>
    <d v="2025-12-02T00:00:00"/>
    <m/>
    <d v="2025-12-02T00:00:00"/>
    <n v="-1000"/>
    <s v=""/>
    <x v="0"/>
    <s v="ต้นทุนขาย"/>
    <m/>
    <n v="181.18"/>
  </r>
  <r>
    <x v="0"/>
    <x v="0"/>
    <s v="0328"/>
    <x v="0"/>
    <s v="GD goods issue:delvy"/>
    <s v="4923314289"/>
    <s v="P004"/>
    <s v="011125-B"/>
    <s v=""/>
    <s v="10:12:21"/>
    <s v="THANAWIS"/>
    <s v="0001"/>
    <s v=""/>
    <s v="0000"/>
    <s v=""/>
    <s v="0000000000"/>
    <s v=""/>
    <s v=""/>
    <s v=""/>
    <s v="51003100"/>
    <s v=""/>
    <s v=""/>
    <s v=""/>
    <s v="2000109175"/>
    <m/>
    <s v="BAG"/>
    <n v="-100"/>
    <n v="-15971"/>
    <d v="2025-12-03T00:00:00"/>
    <d v="2025-12-03T00:00:00"/>
    <m/>
    <d v="2025-12-03T00:00:00"/>
    <n v="-50000"/>
    <s v=""/>
    <x v="0"/>
    <s v="ต้นทุนขาย"/>
    <m/>
    <n v="159.71"/>
  </r>
  <r>
    <x v="0"/>
    <x v="0"/>
    <s v="0328"/>
    <x v="0"/>
    <s v="GD goods issue:delvy"/>
    <s v="4923314353"/>
    <s v="P004"/>
    <s v="011125-B"/>
    <s v=""/>
    <s v="10:12:51"/>
    <s v="THANAWIS"/>
    <s v="0001"/>
    <s v=""/>
    <s v="0000"/>
    <s v=""/>
    <s v="0000000000"/>
    <s v=""/>
    <s v=""/>
    <s v=""/>
    <s v="51003100"/>
    <s v=""/>
    <s v=""/>
    <s v=""/>
    <s v="2000109176"/>
    <m/>
    <s v="BAG"/>
    <n v="-80"/>
    <n v="-12776.8"/>
    <d v="2025-12-03T00:00:00"/>
    <d v="2025-12-03T00:00:00"/>
    <m/>
    <d v="2025-12-03T00:00:00"/>
    <n v="-40000"/>
    <s v=""/>
    <x v="0"/>
    <s v="ต้นทุนขาย"/>
    <m/>
    <n v="159.70999999999998"/>
  </r>
  <r>
    <x v="0"/>
    <x v="0"/>
    <s v="0328"/>
    <x v="0"/>
    <s v="GD goods issue:delvy"/>
    <s v="4923314356"/>
    <s v="P004"/>
    <s v="011125-B"/>
    <s v=""/>
    <s v="10:13:28"/>
    <s v="THANAWIS"/>
    <s v="0001"/>
    <s v=""/>
    <s v="0000"/>
    <s v=""/>
    <s v="0000000000"/>
    <s v=""/>
    <s v=""/>
    <s v=""/>
    <s v="51003100"/>
    <s v=""/>
    <s v=""/>
    <s v=""/>
    <s v="2000109177"/>
    <m/>
    <s v="BAG"/>
    <n v="-100"/>
    <n v="-15971"/>
    <d v="2025-12-03T00:00:00"/>
    <d v="2025-12-03T00:00:00"/>
    <m/>
    <d v="2025-12-03T00:00:00"/>
    <n v="-50000"/>
    <s v=""/>
    <x v="0"/>
    <s v="ต้นทุนขาย"/>
    <m/>
    <n v="159.71"/>
  </r>
  <r>
    <x v="0"/>
    <x v="0"/>
    <s v="0328"/>
    <x v="0"/>
    <s v="GD goods issue:delvy"/>
    <s v="4923314432"/>
    <s v="P004"/>
    <s v="011125-B"/>
    <s v=""/>
    <s v="10:13:56"/>
    <s v="THANAWIS"/>
    <s v="0001"/>
    <s v=""/>
    <s v="0000"/>
    <s v=""/>
    <s v="0000000000"/>
    <s v=""/>
    <s v=""/>
    <s v=""/>
    <s v="51003100"/>
    <s v=""/>
    <s v=""/>
    <s v=""/>
    <s v="2000109178"/>
    <m/>
    <s v="BAG"/>
    <n v="-120"/>
    <n v="-19165.2"/>
    <d v="2025-12-03T00:00:00"/>
    <d v="2025-12-03T00:00:00"/>
    <m/>
    <d v="2025-12-03T00:00:00"/>
    <n v="-60000"/>
    <s v=""/>
    <x v="0"/>
    <s v="ต้นทุนขาย"/>
    <m/>
    <n v="159.71"/>
  </r>
  <r>
    <x v="0"/>
    <x v="0"/>
    <s v="0328"/>
    <x v="0"/>
    <s v="GD goods issue:delvy"/>
    <s v="4923314434"/>
    <s v="P004"/>
    <s v="011125-B"/>
    <s v=""/>
    <s v="10:14:25"/>
    <s v="THANAWIS"/>
    <s v="0001"/>
    <s v=""/>
    <s v="0000"/>
    <s v=""/>
    <s v="0000000000"/>
    <s v=""/>
    <s v=""/>
    <s v=""/>
    <s v="51003100"/>
    <s v=""/>
    <s v=""/>
    <s v=""/>
    <s v="2000109179"/>
    <m/>
    <s v="BAG"/>
    <n v="-100"/>
    <n v="-15971"/>
    <d v="2025-12-03T00:00:00"/>
    <d v="2025-12-03T00:00:00"/>
    <m/>
    <d v="2025-12-03T00:00:00"/>
    <n v="-50000"/>
    <s v=""/>
    <x v="0"/>
    <s v="ต้นทุนขาย"/>
    <m/>
    <n v="159.71"/>
  </r>
  <r>
    <x v="0"/>
    <x v="0"/>
    <s v="0328"/>
    <x v="0"/>
    <s v="GD goods issue:delvy"/>
    <s v="4923314439"/>
    <s v="P004"/>
    <s v="011125-B"/>
    <s v=""/>
    <s v="10:14:54"/>
    <s v="THANAWIS"/>
    <s v="0001"/>
    <s v=""/>
    <s v="0000"/>
    <s v=""/>
    <s v="0000000000"/>
    <s v=""/>
    <s v=""/>
    <s v=""/>
    <s v="51003100"/>
    <s v=""/>
    <s v=""/>
    <s v=""/>
    <s v="2000109180"/>
    <m/>
    <s v="BAG"/>
    <n v="-160"/>
    <n v="-25553.599999999999"/>
    <d v="2025-12-03T00:00:00"/>
    <d v="2025-12-03T00:00:00"/>
    <m/>
    <d v="2025-12-03T00:00:00"/>
    <n v="-80000"/>
    <s v=""/>
    <x v="0"/>
    <s v="ต้นทุนขาย"/>
    <m/>
    <n v="159.70999999999998"/>
  </r>
  <r>
    <x v="0"/>
    <x v="0"/>
    <s v="0328"/>
    <x v="0"/>
    <s v="GD goods issue:delvy"/>
    <s v="4923314482"/>
    <s v="P004"/>
    <s v="011125-B"/>
    <s v=""/>
    <s v="10:15:19"/>
    <s v="THANAWIS"/>
    <s v="0001"/>
    <s v=""/>
    <s v="0000"/>
    <s v=""/>
    <s v="0000000000"/>
    <s v=""/>
    <s v=""/>
    <s v=""/>
    <s v="51003100"/>
    <s v=""/>
    <s v=""/>
    <s v=""/>
    <s v="2000109181"/>
    <m/>
    <s v="BAG"/>
    <n v="-100"/>
    <n v="-15971"/>
    <d v="2025-12-03T00:00:00"/>
    <d v="2025-12-03T00:00:00"/>
    <m/>
    <d v="2025-12-03T00:00:00"/>
    <n v="-50000"/>
    <s v=""/>
    <x v="0"/>
    <s v="ต้นทุนขาย"/>
    <m/>
    <n v="159.71"/>
  </r>
  <r>
    <x v="0"/>
    <x v="0"/>
    <s v="0328"/>
    <x v="0"/>
    <s v="GD goods issue:delvy"/>
    <s v="4923314487"/>
    <s v="P004"/>
    <s v="011125-B"/>
    <s v=""/>
    <s v="10:15:46"/>
    <s v="THANAWIS"/>
    <s v="0001"/>
    <s v=""/>
    <s v="0000"/>
    <s v=""/>
    <s v="0000000000"/>
    <s v=""/>
    <s v=""/>
    <s v=""/>
    <s v="51003100"/>
    <s v=""/>
    <s v=""/>
    <s v=""/>
    <s v="2000109182"/>
    <m/>
    <s v="BAG"/>
    <n v="-140"/>
    <n v="-22359.4"/>
    <d v="2025-12-03T00:00:00"/>
    <d v="2025-12-03T00:00:00"/>
    <m/>
    <d v="2025-12-03T00:00:00"/>
    <n v="-70000"/>
    <s v=""/>
    <x v="0"/>
    <s v="ต้นทุนขาย"/>
    <m/>
    <n v="159.71"/>
  </r>
  <r>
    <x v="5"/>
    <x v="5"/>
    <s v="0328"/>
    <x v="2"/>
    <s v="TF trfr within plant"/>
    <s v="4923322106"/>
    <s v="P003"/>
    <s v="04062025"/>
    <s v=""/>
    <s v="12:39:47"/>
    <s v="PRONDTAN"/>
    <s v="0006"/>
    <s v=""/>
    <s v="0000"/>
    <s v=""/>
    <s v="0000000000"/>
    <s v=""/>
    <s v=""/>
    <s v=""/>
    <s v=""/>
    <s v=""/>
    <s v=""/>
    <s v=""/>
    <s v=""/>
    <m/>
    <s v="PC"/>
    <n v="20000"/>
    <n v="0"/>
    <d v="2025-12-03T00:00:00"/>
    <d v="2025-12-03T00:00:00"/>
    <m/>
    <d v="2025-12-03T00:00:00"/>
    <n v="20000"/>
    <s v=""/>
    <x v="2"/>
    <e v="#N/A"/>
    <m/>
    <n v="0"/>
  </r>
  <r>
    <x v="5"/>
    <x v="5"/>
    <s v="0328"/>
    <x v="2"/>
    <s v="TF trfr within plant"/>
    <s v="4923322106"/>
    <s v="M003"/>
    <s v="04062025"/>
    <s v=""/>
    <s v="12:39:47"/>
    <s v="PRONDTAN"/>
    <s v="0005"/>
    <s v=""/>
    <s v="0000"/>
    <s v=""/>
    <s v="0000000000"/>
    <s v=""/>
    <s v=""/>
    <s v=""/>
    <s v=""/>
    <s v=""/>
    <s v=""/>
    <s v=""/>
    <s v=""/>
    <m/>
    <s v="PC"/>
    <n v="-20000"/>
    <n v="0"/>
    <d v="2025-12-03T00:00:00"/>
    <d v="2025-12-03T00:00:00"/>
    <m/>
    <d v="2025-12-03T00:00:00"/>
    <n v="-20000"/>
    <s v=""/>
    <x v="2"/>
    <e v="#N/A"/>
    <m/>
    <n v="0"/>
  </r>
  <r>
    <x v="6"/>
    <x v="6"/>
    <s v="0328"/>
    <x v="2"/>
    <s v="TF trfr within plant"/>
    <s v="4923322106"/>
    <s v="P003"/>
    <s v="08112025"/>
    <s v=""/>
    <s v="12:39:47"/>
    <s v="PRONDTAN"/>
    <s v="0008"/>
    <s v=""/>
    <s v="0000"/>
    <s v=""/>
    <s v="0000000000"/>
    <s v=""/>
    <s v=""/>
    <s v=""/>
    <s v=""/>
    <s v=""/>
    <s v=""/>
    <s v=""/>
    <s v=""/>
    <m/>
    <s v="PC"/>
    <n v="3000"/>
    <n v="0"/>
    <d v="2025-12-03T00:00:00"/>
    <d v="2025-12-03T00:00:00"/>
    <m/>
    <d v="2025-12-03T00:00:00"/>
    <n v="3000"/>
    <s v=""/>
    <x v="2"/>
    <e v="#N/A"/>
    <m/>
    <n v="0"/>
  </r>
  <r>
    <x v="6"/>
    <x v="6"/>
    <s v="0328"/>
    <x v="2"/>
    <s v="TF trfr within plant"/>
    <s v="4923322106"/>
    <s v="M003"/>
    <s v="20251201"/>
    <s v=""/>
    <s v="12:39:47"/>
    <s v="PRONDTAN"/>
    <s v="0009"/>
    <s v=""/>
    <s v="0000"/>
    <s v=""/>
    <s v="0000000000"/>
    <s v=""/>
    <s v=""/>
    <s v=""/>
    <s v=""/>
    <s v=""/>
    <s v=""/>
    <s v=""/>
    <s v=""/>
    <m/>
    <s v="PC"/>
    <n v="-15000"/>
    <n v="0"/>
    <d v="2025-12-03T00:00:00"/>
    <d v="2025-12-03T00:00:00"/>
    <m/>
    <d v="2025-12-03T00:00:00"/>
    <n v="-15000"/>
    <s v=""/>
    <x v="2"/>
    <e v="#N/A"/>
    <m/>
    <n v="0"/>
  </r>
  <r>
    <x v="6"/>
    <x v="6"/>
    <s v="0328"/>
    <x v="2"/>
    <s v="TF trfr within plant"/>
    <s v="4923322106"/>
    <s v="M003"/>
    <s v="08112025"/>
    <s v=""/>
    <s v="12:39:47"/>
    <s v="PRONDTAN"/>
    <s v="0007"/>
    <s v=""/>
    <s v="0000"/>
    <s v=""/>
    <s v="0000000000"/>
    <s v=""/>
    <s v=""/>
    <s v=""/>
    <s v=""/>
    <s v=""/>
    <s v=""/>
    <s v=""/>
    <s v=""/>
    <m/>
    <s v="PC"/>
    <n v="-3000"/>
    <n v="0"/>
    <d v="2025-12-03T00:00:00"/>
    <d v="2025-12-03T00:00:00"/>
    <m/>
    <d v="2025-12-03T00:00:00"/>
    <n v="-3000"/>
    <s v=""/>
    <x v="2"/>
    <e v="#N/A"/>
    <m/>
    <n v="0"/>
  </r>
  <r>
    <x v="6"/>
    <x v="6"/>
    <s v="0328"/>
    <x v="2"/>
    <s v="TF trfr within plant"/>
    <s v="4923322106"/>
    <s v="P003"/>
    <s v="20251201"/>
    <s v=""/>
    <s v="12:39:47"/>
    <s v="PRONDTAN"/>
    <s v="0010"/>
    <s v=""/>
    <s v="0000"/>
    <s v=""/>
    <s v="0000000000"/>
    <s v=""/>
    <s v=""/>
    <s v=""/>
    <s v=""/>
    <s v=""/>
    <s v=""/>
    <s v=""/>
    <s v=""/>
    <m/>
    <s v="PC"/>
    <n v="15000"/>
    <n v="0"/>
    <d v="2025-12-03T00:00:00"/>
    <d v="2025-12-03T00:00:00"/>
    <m/>
    <d v="2025-12-03T00:00:00"/>
    <n v="15000"/>
    <s v=""/>
    <x v="2"/>
    <e v="#N/A"/>
    <m/>
    <n v="0"/>
  </r>
  <r>
    <x v="7"/>
    <x v="7"/>
    <s v="0328"/>
    <x v="2"/>
    <s v="TF trfr within plant"/>
    <s v="4923322106"/>
    <s v="P003"/>
    <s v="20251114"/>
    <s v=""/>
    <s v="12:39:47"/>
    <s v="PRONDTAN"/>
    <s v="0002"/>
    <s v=""/>
    <s v="0000"/>
    <s v=""/>
    <s v="0000000000"/>
    <s v=""/>
    <s v=""/>
    <s v=""/>
    <s v=""/>
    <s v=""/>
    <s v=""/>
    <s v=""/>
    <s v=""/>
    <m/>
    <s v="PC"/>
    <n v="1612"/>
    <n v="0"/>
    <d v="2025-12-03T00:00:00"/>
    <d v="2025-12-03T00:00:00"/>
    <m/>
    <d v="2025-12-03T00:00:00"/>
    <n v="1612"/>
    <s v=""/>
    <x v="2"/>
    <e v="#N/A"/>
    <m/>
    <n v="0"/>
  </r>
  <r>
    <x v="7"/>
    <x v="7"/>
    <s v="0328"/>
    <x v="2"/>
    <s v="TF trfr within plant"/>
    <s v="4923322106"/>
    <s v="M003"/>
    <s v="20251121"/>
    <s v=""/>
    <s v="12:39:47"/>
    <s v="PRONDTAN"/>
    <s v="0003"/>
    <s v=""/>
    <s v="0000"/>
    <s v=""/>
    <s v="0000000000"/>
    <s v=""/>
    <s v=""/>
    <s v=""/>
    <s v=""/>
    <s v=""/>
    <s v=""/>
    <s v=""/>
    <s v=""/>
    <m/>
    <s v="PC"/>
    <n v="-1388"/>
    <n v="0"/>
    <d v="2025-12-03T00:00:00"/>
    <d v="2025-12-03T00:00:00"/>
    <m/>
    <d v="2025-12-03T00:00:00"/>
    <n v="-1388"/>
    <s v=""/>
    <x v="2"/>
    <e v="#N/A"/>
    <m/>
    <n v="0"/>
  </r>
  <r>
    <x v="7"/>
    <x v="7"/>
    <s v="0328"/>
    <x v="2"/>
    <s v="TF trfr within plant"/>
    <s v="4923322106"/>
    <s v="M003"/>
    <s v="20251114"/>
    <s v=""/>
    <s v="12:39:47"/>
    <s v="PRONDTAN"/>
    <s v="0001"/>
    <s v=""/>
    <s v="0000"/>
    <s v=""/>
    <s v="0000000000"/>
    <s v=""/>
    <s v=""/>
    <s v=""/>
    <s v=""/>
    <s v=""/>
    <s v=""/>
    <s v=""/>
    <s v=""/>
    <m/>
    <s v="PC"/>
    <n v="-1612"/>
    <n v="0"/>
    <d v="2025-12-03T00:00:00"/>
    <d v="2025-12-03T00:00:00"/>
    <m/>
    <d v="2025-12-03T00:00:00"/>
    <n v="-1612"/>
    <s v=""/>
    <x v="2"/>
    <e v="#N/A"/>
    <m/>
    <n v="0"/>
  </r>
  <r>
    <x v="7"/>
    <x v="7"/>
    <s v="0328"/>
    <x v="2"/>
    <s v="TF trfr within plant"/>
    <s v="4923322106"/>
    <s v="P003"/>
    <s v="20251121"/>
    <s v=""/>
    <s v="12:39:47"/>
    <s v="PRONDTAN"/>
    <s v="0004"/>
    <s v=""/>
    <s v="0000"/>
    <s v=""/>
    <s v="0000000000"/>
    <s v=""/>
    <s v=""/>
    <s v=""/>
    <s v=""/>
    <s v=""/>
    <s v=""/>
    <s v=""/>
    <s v=""/>
    <m/>
    <s v="PC"/>
    <n v="1388"/>
    <n v="0"/>
    <d v="2025-12-03T00:00:00"/>
    <d v="2025-12-03T00:00:00"/>
    <m/>
    <d v="2025-12-03T00:00:00"/>
    <n v="1388"/>
    <s v=""/>
    <x v="2"/>
    <e v="#N/A"/>
    <m/>
    <n v="0"/>
  </r>
  <r>
    <x v="8"/>
    <x v="8"/>
    <s v="0328"/>
    <x v="0"/>
    <s v="GD goods issue:delvy"/>
    <s v="4923323815"/>
    <s v="M001"/>
    <s v="12112025"/>
    <s v=""/>
    <s v="13:48:50"/>
    <s v="JURASDOK"/>
    <s v="0001"/>
    <s v=""/>
    <s v="0000"/>
    <s v=""/>
    <s v="0000000000"/>
    <s v=""/>
    <s v=""/>
    <s v=""/>
    <s v="51003100"/>
    <s v=""/>
    <s v=""/>
    <s v=""/>
    <s v="2000109214"/>
    <m/>
    <s v="KG"/>
    <n v="-1000"/>
    <n v="-351194"/>
    <d v="2025-12-03T00:00:00"/>
    <d v="2025-12-03T00:00:00"/>
    <m/>
    <d v="2025-12-03T00:00:00"/>
    <n v="-1000000"/>
    <s v=""/>
    <x v="0"/>
    <s v="ต้นทุนขาย"/>
    <m/>
    <n v="351.19400000000002"/>
  </r>
  <r>
    <x v="8"/>
    <x v="8"/>
    <s v="0328"/>
    <x v="0"/>
    <s v="GD goods issue:delvy"/>
    <s v="4923323815"/>
    <s v="M001"/>
    <s v="12112025"/>
    <s v=""/>
    <s v="13:48:50"/>
    <s v="JURASDOK"/>
    <s v="0002"/>
    <s v=""/>
    <s v="0000"/>
    <s v=""/>
    <s v="0000000000"/>
    <s v=""/>
    <s v=""/>
    <s v=""/>
    <s v="51003100"/>
    <s v=""/>
    <s v=""/>
    <s v=""/>
    <s v="2000109214"/>
    <m/>
    <s v="KG"/>
    <n v="-175"/>
    <n v="-61458.95"/>
    <d v="2025-12-03T00:00:00"/>
    <d v="2025-12-03T00:00:00"/>
    <m/>
    <d v="2025-12-03T00:00:00"/>
    <n v="-175000"/>
    <s v=""/>
    <x v="0"/>
    <s v="ต้นทุนขาย"/>
    <m/>
    <n v="351.19399999999996"/>
  </r>
  <r>
    <x v="3"/>
    <x v="3"/>
    <s v="0328"/>
    <x v="0"/>
    <s v="GD goods issue:delvy"/>
    <s v="4923329007"/>
    <s v="P004"/>
    <s v="081025-RE"/>
    <s v=""/>
    <s v="14:16:47"/>
    <s v="THANAWIS"/>
    <s v="0001"/>
    <s v=""/>
    <s v="0000"/>
    <s v=""/>
    <s v="0000000000"/>
    <s v=""/>
    <s v=""/>
    <s v=""/>
    <s v="51003100"/>
    <s v=""/>
    <s v=""/>
    <s v=""/>
    <s v="2000109224"/>
    <m/>
    <s v="BAG"/>
    <n v="-60"/>
    <n v="-10870.8"/>
    <d v="2025-12-03T00:00:00"/>
    <d v="2025-12-03T00:00:00"/>
    <m/>
    <d v="2025-12-03T00:00:00"/>
    <n v="-30000"/>
    <s v=""/>
    <x v="0"/>
    <s v="ต้นทุนขาย"/>
    <m/>
    <n v="181.17999999999998"/>
  </r>
  <r>
    <x v="9"/>
    <x v="9"/>
    <s v="0328"/>
    <x v="0"/>
    <s v="GD goods issue:delvy"/>
    <s v="4923336275"/>
    <s v="P004"/>
    <s v="010825-B/P"/>
    <s v=""/>
    <s v="14:50:23"/>
    <s v="THANAWIS"/>
    <s v="0001"/>
    <s v=""/>
    <s v="0000"/>
    <s v=""/>
    <s v="0000000000"/>
    <s v=""/>
    <s v=""/>
    <s v=""/>
    <s v="51003100"/>
    <s v=""/>
    <s v=""/>
    <s v=""/>
    <s v="2000109232"/>
    <m/>
    <s v="BAG"/>
    <n v="-60"/>
    <n v="-10999.8"/>
    <d v="2025-12-03T00:00:00"/>
    <d v="2025-12-03T00:00:00"/>
    <m/>
    <d v="2025-12-03T00:00:00"/>
    <n v="-30000"/>
    <s v=""/>
    <x v="0"/>
    <s v="ต้นทุนขาย"/>
    <m/>
    <n v="183.32999999999998"/>
  </r>
  <r>
    <x v="10"/>
    <x v="10"/>
    <s v="0328"/>
    <x v="3"/>
    <s v="TF trfr plnt to plnt"/>
    <s v="4923336556"/>
    <s v="M001"/>
    <s v="30102025"/>
    <s v=""/>
    <s v="14:58:12"/>
    <s v="JURASDOK"/>
    <s v="0003"/>
    <s v=""/>
    <s v="0000"/>
    <s v=""/>
    <s v="0142124789"/>
    <s v=""/>
    <s v=""/>
    <s v=""/>
    <s v=""/>
    <s v=""/>
    <s v=""/>
    <s v=""/>
    <s v=""/>
    <m/>
    <s v="BAG"/>
    <n v="-795"/>
    <n v="-138345.9"/>
    <d v="2025-12-03T00:00:00"/>
    <d v="2025-12-03T00:00:00"/>
    <m/>
    <d v="2025-12-03T00:00:00"/>
    <n v="-397500"/>
    <s v=""/>
    <x v="0"/>
    <e v="#N/A"/>
    <m/>
    <n v="174.01999999999998"/>
  </r>
  <r>
    <x v="10"/>
    <x v="10"/>
    <s v="0328"/>
    <x v="3"/>
    <s v="TF trfr plnt to plnt"/>
    <s v="4923336556"/>
    <s v="M001"/>
    <s v="071125-B"/>
    <s v=""/>
    <s v="14:58:12"/>
    <s v="JURASDOK"/>
    <s v="0001"/>
    <s v=""/>
    <s v="0000"/>
    <s v=""/>
    <s v="0142124789"/>
    <s v=""/>
    <s v=""/>
    <s v=""/>
    <s v=""/>
    <s v=""/>
    <s v=""/>
    <s v=""/>
    <s v=""/>
    <m/>
    <s v="BAG"/>
    <n v="-405"/>
    <n v="-70478.100000000006"/>
    <d v="2025-12-03T00:00:00"/>
    <d v="2025-12-03T00:00:00"/>
    <m/>
    <d v="2025-12-03T00:00:00"/>
    <n v="-202500"/>
    <s v=""/>
    <x v="0"/>
    <e v="#N/A"/>
    <m/>
    <n v="174.02"/>
  </r>
  <r>
    <x v="1"/>
    <x v="1"/>
    <s v="0328"/>
    <x v="2"/>
    <s v="TF trfr within plant"/>
    <s v="4923336586"/>
    <s v="M001"/>
    <s v="301025-B"/>
    <s v=""/>
    <s v="15:00:00"/>
    <s v="JURASDOK"/>
    <s v="0001"/>
    <s v=""/>
    <s v="0000"/>
    <s v=""/>
    <s v="0000000000"/>
    <s v=""/>
    <s v=""/>
    <s v=""/>
    <s v=""/>
    <s v=""/>
    <s v=""/>
    <s v=""/>
    <s v=""/>
    <m/>
    <s v="BAG"/>
    <n v="-1800"/>
    <n v="0"/>
    <d v="2025-12-03T00:00:00"/>
    <d v="2025-12-03T00:00:00"/>
    <m/>
    <d v="2025-12-03T00:00:00"/>
    <n v="-900000"/>
    <s v=""/>
    <x v="0"/>
    <e v="#N/A"/>
    <m/>
    <n v="0"/>
  </r>
  <r>
    <x v="1"/>
    <x v="1"/>
    <s v="0328"/>
    <x v="2"/>
    <s v="TF trfr within plant"/>
    <s v="4923336586"/>
    <s v="P004"/>
    <s v="301025-B"/>
    <s v=""/>
    <s v="15:00:00"/>
    <s v="JURASDOK"/>
    <s v="0002"/>
    <s v=""/>
    <s v="0000"/>
    <s v=""/>
    <s v="0000000000"/>
    <s v=""/>
    <s v=""/>
    <s v=""/>
    <s v=""/>
    <s v=""/>
    <s v=""/>
    <s v=""/>
    <s v=""/>
    <m/>
    <s v="BAG"/>
    <n v="1800"/>
    <n v="0"/>
    <d v="2025-12-03T00:00:00"/>
    <d v="2025-12-03T00:00:00"/>
    <m/>
    <d v="2025-12-03T00:00:00"/>
    <n v="900000"/>
    <s v=""/>
    <x v="0"/>
    <e v="#N/A"/>
    <m/>
    <n v="0"/>
  </r>
  <r>
    <x v="0"/>
    <x v="0"/>
    <s v="0328"/>
    <x v="2"/>
    <s v="TF trfr within plant"/>
    <s v="4923336643"/>
    <s v="P004"/>
    <s v="281125-B/T"/>
    <s v=""/>
    <s v="15:00:53"/>
    <s v="JURASDOK"/>
    <s v="0002"/>
    <s v=""/>
    <s v="0000"/>
    <s v=""/>
    <s v="0000000000"/>
    <s v=""/>
    <s v=""/>
    <s v=""/>
    <s v=""/>
    <s v=""/>
    <s v=""/>
    <s v=""/>
    <s v=""/>
    <m/>
    <s v="BAG"/>
    <n v="1624"/>
    <n v="0"/>
    <d v="2025-12-03T00:00:00"/>
    <d v="2025-12-03T00:00:00"/>
    <m/>
    <d v="2025-12-03T00:00:00"/>
    <n v="812000"/>
    <s v=""/>
    <x v="0"/>
    <e v="#N/A"/>
    <m/>
    <n v="0"/>
  </r>
  <r>
    <x v="0"/>
    <x v="0"/>
    <s v="0328"/>
    <x v="2"/>
    <s v="TF trfr within plant"/>
    <s v="4923336643"/>
    <s v="M001"/>
    <s v="281125-B/T"/>
    <s v=""/>
    <s v="15:00:53"/>
    <s v="JURASDOK"/>
    <s v="0001"/>
    <s v=""/>
    <s v="0000"/>
    <s v=""/>
    <s v="0000000000"/>
    <s v=""/>
    <s v=""/>
    <s v=""/>
    <s v=""/>
    <s v=""/>
    <s v=""/>
    <s v=""/>
    <s v=""/>
    <m/>
    <s v="BAG"/>
    <n v="-1624"/>
    <n v="0"/>
    <d v="2025-12-03T00:00:00"/>
    <d v="2025-12-03T00:00:00"/>
    <m/>
    <d v="2025-12-03T00:00:00"/>
    <n v="-812000"/>
    <s v=""/>
    <x v="0"/>
    <e v="#N/A"/>
    <m/>
    <n v="0"/>
  </r>
  <r>
    <x v="2"/>
    <x v="2"/>
    <s v="0328"/>
    <x v="4"/>
    <s v="GD returns unrestr."/>
    <s v="4923338265"/>
    <s v="M001"/>
    <s v="111102-B/P"/>
    <s v=""/>
    <s v="15:48:55"/>
    <s v="JURASDOK"/>
    <s v="0001"/>
    <s v=""/>
    <s v="0000"/>
    <s v=""/>
    <s v="0000000000"/>
    <s v=""/>
    <s v=""/>
    <s v=""/>
    <s v="51003100"/>
    <s v=""/>
    <s v=""/>
    <s v=""/>
    <s v="2100000861"/>
    <m/>
    <s v="BOX"/>
    <n v="1"/>
    <n v="1042.2"/>
    <d v="2025-12-03T00:00:00"/>
    <d v="2025-12-03T00:00:00"/>
    <m/>
    <d v="2025-12-03T00:00:00"/>
    <n v="3000"/>
    <s v=""/>
    <x v="0"/>
    <s v="ต้นทุนขาย"/>
    <m/>
    <n v="1042.2"/>
  </r>
  <r>
    <x v="3"/>
    <x v="3"/>
    <s v="0328"/>
    <x v="0"/>
    <s v="GD goods issue:delvy"/>
    <s v="4923339282"/>
    <s v="P004"/>
    <s v="081025-RE"/>
    <s v=""/>
    <s v="16:15:55"/>
    <s v="SONGPCHI"/>
    <s v="0001"/>
    <s v=""/>
    <s v="0000"/>
    <s v=""/>
    <s v="0000000000"/>
    <s v=""/>
    <s v=""/>
    <s v=""/>
    <s v="51003100"/>
    <s v=""/>
    <s v=""/>
    <s v=""/>
    <s v="2000109237"/>
    <m/>
    <s v="BAG"/>
    <n v="-2"/>
    <n v="-362.36"/>
    <d v="2025-12-03T00:00:00"/>
    <d v="2025-12-03T00:00:00"/>
    <m/>
    <d v="2025-12-03T00:00:00"/>
    <n v="-1000"/>
    <s v=""/>
    <x v="0"/>
    <s v="ต้นทุนขาย"/>
    <m/>
    <n v="181.18"/>
  </r>
  <r>
    <x v="11"/>
    <x v="11"/>
    <s v="0328"/>
    <x v="2"/>
    <s v="TF trfr within plant"/>
    <s v="4923393089"/>
    <s v="M002"/>
    <s v="250925-BBB"/>
    <s v=""/>
    <s v="09:03:21"/>
    <s v="PANUPWAI"/>
    <s v="0001"/>
    <s v=""/>
    <s v="0000"/>
    <s v=""/>
    <s v="0000000000"/>
    <s v=""/>
    <s v=""/>
    <s v=""/>
    <s v=""/>
    <s v=""/>
    <s v=""/>
    <s v=""/>
    <s v=""/>
    <m/>
    <s v="KG"/>
    <n v="-49061.7"/>
    <n v="0"/>
    <d v="2025-12-02T00:00:00"/>
    <d v="2025-12-02T00:00:00"/>
    <m/>
    <d v="2025-12-04T00:00:00"/>
    <n v="-49061700"/>
    <s v=""/>
    <x v="3"/>
    <e v="#N/A"/>
    <m/>
    <n v="0"/>
  </r>
  <r>
    <x v="11"/>
    <x v="11"/>
    <s v="0328"/>
    <x v="2"/>
    <s v="TF trfr within plant"/>
    <s v="4923393089"/>
    <s v="P001"/>
    <s v="250925-BBB"/>
    <s v=""/>
    <s v="09:03:21"/>
    <s v="PANUPWAI"/>
    <s v="0002"/>
    <s v=""/>
    <s v="0000"/>
    <s v=""/>
    <s v="0000000000"/>
    <s v=""/>
    <s v=""/>
    <s v=""/>
    <s v=""/>
    <s v=""/>
    <s v=""/>
    <s v=""/>
    <s v=""/>
    <m/>
    <s v="KG"/>
    <n v="49061.7"/>
    <n v="0"/>
    <d v="2025-12-02T00:00:00"/>
    <d v="2025-12-02T00:00:00"/>
    <m/>
    <d v="2025-12-04T00:00:00"/>
    <n v="49061700"/>
    <s v=""/>
    <x v="3"/>
    <e v="#N/A"/>
    <m/>
    <n v="0"/>
  </r>
  <r>
    <x v="11"/>
    <x v="11"/>
    <s v="0328"/>
    <x v="5"/>
    <s v="GI ค่าวิจัยและพัฒนา"/>
    <s v="4923393174"/>
    <s v="P001"/>
    <s v="250925-BBB"/>
    <s v=""/>
    <s v="09:04:50"/>
    <s v="PANUPWAI"/>
    <s v="0001"/>
    <s v=""/>
    <s v="0000"/>
    <s v=""/>
    <s v="0142125870"/>
    <s v=""/>
    <s v="A.BBB 25.9.25 BB.35"/>
    <s v="405053"/>
    <s v="67501001"/>
    <s v=""/>
    <s v=""/>
    <s v=""/>
    <s v=""/>
    <m/>
    <s v="G"/>
    <n v="-500"/>
    <n v="-129.44"/>
    <d v="2025-12-04T00:00:00"/>
    <d v="2025-12-04T00:00:00"/>
    <m/>
    <d v="2025-12-04T00:00:00"/>
    <n v="-500"/>
    <s v=""/>
    <x v="3"/>
    <s v="ค่าวิจัยคุณภาพสินค้า"/>
    <m/>
    <n v="0.25888"/>
  </r>
  <r>
    <x v="11"/>
    <x v="11"/>
    <s v="0328"/>
    <x v="5"/>
    <s v="GI ค่าวิจัยและพัฒนา"/>
    <s v="4923393225"/>
    <s v="P001"/>
    <s v="250925-BBB"/>
    <s v=""/>
    <s v="09:07:03"/>
    <s v="PANUPWAI"/>
    <s v="0001"/>
    <s v=""/>
    <s v="0000"/>
    <s v=""/>
    <s v="0142165922"/>
    <s v=""/>
    <s v="A.BBB 25.9.25 BB.31"/>
    <s v="405053"/>
    <s v="67501001"/>
    <s v=""/>
    <s v=""/>
    <s v=""/>
    <s v=""/>
    <m/>
    <s v="G"/>
    <n v="-500"/>
    <n v="-129.44"/>
    <d v="2025-12-04T00:00:00"/>
    <d v="2025-12-04T00:00:00"/>
    <m/>
    <d v="2025-12-04T00:00:00"/>
    <n v="-500"/>
    <s v=""/>
    <x v="3"/>
    <s v="ค่าวิจัยคุณภาพสินค้า"/>
    <m/>
    <n v="0.25888"/>
  </r>
  <r>
    <x v="11"/>
    <x v="11"/>
    <s v="0328"/>
    <x v="5"/>
    <s v="GI ค่าวิจัยและพัฒนา"/>
    <s v="4923393225"/>
    <s v="P001"/>
    <s v="250925-BBB"/>
    <s v=""/>
    <s v="09:07:03"/>
    <s v="PANUPWAI"/>
    <s v="0002"/>
    <s v=""/>
    <s v="0000"/>
    <s v=""/>
    <s v="0142165922"/>
    <s v=""/>
    <s v="A.BBB 25.9.25CL 13:00"/>
    <s v="405053"/>
    <s v="67501001"/>
    <s v=""/>
    <s v=""/>
    <s v=""/>
    <s v=""/>
    <m/>
    <s v="G"/>
    <n v="-500"/>
    <n v="-129.44"/>
    <d v="2025-12-04T00:00:00"/>
    <d v="2025-12-04T00:00:00"/>
    <m/>
    <d v="2025-12-04T00:00:00"/>
    <n v="-500"/>
    <s v=""/>
    <x v="3"/>
    <s v="ค่าวิจัยคุณภาพสินค้า"/>
    <m/>
    <n v="0.25888"/>
  </r>
  <r>
    <x v="11"/>
    <x v="11"/>
    <s v="0328"/>
    <x v="5"/>
    <s v="GI ค่าวิจัยและพัฒนา"/>
    <s v="4923393752"/>
    <s v="P001"/>
    <s v="280825-BBB"/>
    <s v=""/>
    <s v="09:21:06"/>
    <s v="PANUPWAI"/>
    <s v="0002"/>
    <s v=""/>
    <s v="0000"/>
    <s v=""/>
    <s v="0142086320"/>
    <s v=""/>
    <s v="A.BBB 28.8.25 CL 11:00"/>
    <s v="405053"/>
    <s v="67501001"/>
    <s v=""/>
    <s v=""/>
    <s v=""/>
    <s v=""/>
    <m/>
    <s v="G"/>
    <n v="-500"/>
    <n v="-129.44"/>
    <d v="2025-12-04T00:00:00"/>
    <d v="2025-12-04T00:00:00"/>
    <m/>
    <d v="2025-12-04T00:00:00"/>
    <n v="-500"/>
    <s v=""/>
    <x v="3"/>
    <s v="ค่าวิจัยคุณภาพสินค้า"/>
    <m/>
    <n v="0.25888"/>
  </r>
  <r>
    <x v="11"/>
    <x v="11"/>
    <s v="0328"/>
    <x v="5"/>
    <s v="GI ค่าวิจัยและพัฒนา"/>
    <s v="4923393752"/>
    <s v="P001"/>
    <s v="280825-BBB"/>
    <s v=""/>
    <s v="09:21:06"/>
    <s v="PANUPWAI"/>
    <s v="0001"/>
    <s v=""/>
    <s v="0000"/>
    <s v=""/>
    <s v="0142086320"/>
    <s v=""/>
    <s v="A.BBB 28.8.25 BB3"/>
    <s v="405053"/>
    <s v="67501001"/>
    <s v=""/>
    <s v=""/>
    <s v=""/>
    <s v=""/>
    <m/>
    <s v="G"/>
    <n v="-500"/>
    <n v="-129.44"/>
    <d v="2025-12-04T00:00:00"/>
    <d v="2025-12-04T00:00:00"/>
    <m/>
    <d v="2025-12-04T00:00:00"/>
    <n v="-500"/>
    <s v=""/>
    <x v="3"/>
    <s v="ค่าวิจัยคุณภาพสินค้า"/>
    <m/>
    <n v="0.25888"/>
  </r>
  <r>
    <x v="3"/>
    <x v="3"/>
    <s v="0328"/>
    <x v="6"/>
    <s v="GI for cost center"/>
    <s v="4923410585"/>
    <s v="P004"/>
    <s v="160701-RE"/>
    <s v=""/>
    <s v="13:38:16"/>
    <s v="THANAWIS"/>
    <s v="0001"/>
    <s v=""/>
    <s v="0000"/>
    <s v=""/>
    <s v="0142207405"/>
    <s v=""/>
    <s v="เบิกไว้รับรองลูกค้า และผู้มาใช้บริการ  Cam pus"/>
    <s v="403004"/>
    <s v="66001000"/>
    <s v=""/>
    <s v=""/>
    <s v=""/>
    <s v=""/>
    <m/>
    <s v="BAG"/>
    <n v="-12"/>
    <n v="-2174.16"/>
    <d v="2025-12-04T00:00:00"/>
    <d v="2025-12-04T00:00:00"/>
    <m/>
    <d v="2025-12-04T00:00:00"/>
    <n v="-6000"/>
    <s v=""/>
    <x v="0"/>
    <s v="วัสดุสิ้นเปลือง"/>
    <m/>
    <n v="181.17999999999998"/>
  </r>
  <r>
    <x v="2"/>
    <x v="2"/>
    <s v="0328"/>
    <x v="0"/>
    <s v="GD goods issue:delvy"/>
    <s v="4923412899"/>
    <s v="M001"/>
    <s v="201101-B/T"/>
    <s v=""/>
    <s v="15:54:23"/>
    <s v="JURASDOK"/>
    <s v="0001"/>
    <s v=""/>
    <s v="0000"/>
    <s v=""/>
    <s v="0000000000"/>
    <s v=""/>
    <s v=""/>
    <s v=""/>
    <s v="51003100"/>
    <s v=""/>
    <s v=""/>
    <s v=""/>
    <s v="2000109261"/>
    <m/>
    <s v="BOX"/>
    <n v="-960"/>
    <n v="-1000512"/>
    <d v="2025-12-04T00:00:00"/>
    <d v="2025-12-04T00:00:00"/>
    <m/>
    <d v="2025-12-04T00:00:00"/>
    <n v="-2880000"/>
    <s v=""/>
    <x v="0"/>
    <s v="ต้นทุนขาย"/>
    <m/>
    <n v="1042.2"/>
  </r>
  <r>
    <x v="2"/>
    <x v="2"/>
    <s v="0328"/>
    <x v="0"/>
    <s v="GD goods issue:delvy"/>
    <s v="4923413057"/>
    <s v="M001"/>
    <s v="201101-B/T"/>
    <s v=""/>
    <s v="16:08:19"/>
    <s v="JURASDOK"/>
    <s v="0002"/>
    <s v=""/>
    <s v="0000"/>
    <s v=""/>
    <s v="0000000000"/>
    <s v=""/>
    <s v=""/>
    <s v=""/>
    <s v="51003100"/>
    <s v=""/>
    <s v=""/>
    <s v=""/>
    <s v="2000109266"/>
    <m/>
    <s v="BOX"/>
    <n v="-840"/>
    <n v="-875448"/>
    <d v="2025-12-04T00:00:00"/>
    <d v="2025-12-04T00:00:00"/>
    <m/>
    <d v="2025-12-04T00:00:00"/>
    <n v="-2520000"/>
    <s v=""/>
    <x v="0"/>
    <s v="ต้นทุนขาย"/>
    <m/>
    <n v="1042.2"/>
  </r>
  <r>
    <x v="2"/>
    <x v="2"/>
    <s v="0328"/>
    <x v="0"/>
    <s v="GD goods issue:delvy"/>
    <s v="4923413057"/>
    <s v="M001"/>
    <s v="201102-B/T"/>
    <s v=""/>
    <s v="16:08:19"/>
    <s v="JURASDOK"/>
    <s v="0001"/>
    <s v=""/>
    <s v="0000"/>
    <s v=""/>
    <s v="0000000000"/>
    <s v=""/>
    <s v=""/>
    <s v=""/>
    <s v="51003100"/>
    <s v=""/>
    <s v=""/>
    <s v=""/>
    <s v="2000109266"/>
    <m/>
    <s v="BOX"/>
    <n v="-2040"/>
    <n v="-2126088"/>
    <d v="2025-12-04T00:00:00"/>
    <d v="2025-12-04T00:00:00"/>
    <m/>
    <d v="2025-12-04T00:00:00"/>
    <n v="-6120000"/>
    <s v=""/>
    <x v="0"/>
    <s v="ต้นทุนขาย"/>
    <m/>
    <n v="1042.2"/>
  </r>
  <r>
    <x v="2"/>
    <x v="2"/>
    <s v="0328"/>
    <x v="0"/>
    <s v="GD goods issue:delvy"/>
    <s v="4923413138"/>
    <s v="M001"/>
    <s v="201103-B/T"/>
    <s v=""/>
    <s v="16:15:48"/>
    <s v="JURASDOK"/>
    <s v="0001"/>
    <s v=""/>
    <s v="0000"/>
    <s v=""/>
    <s v="0000000000"/>
    <s v=""/>
    <s v=""/>
    <s v=""/>
    <s v="51003100"/>
    <s v=""/>
    <s v=""/>
    <s v=""/>
    <s v="2000109267"/>
    <m/>
    <s v="BOX"/>
    <n v="-2141"/>
    <n v="-2231350.2000000002"/>
    <d v="2025-12-04T00:00:00"/>
    <d v="2025-12-04T00:00:00"/>
    <m/>
    <d v="2025-12-04T00:00:00"/>
    <n v="-6423000"/>
    <s v=""/>
    <x v="0"/>
    <s v="ต้นทุนขาย"/>
    <m/>
    <n v="1042.2"/>
  </r>
  <r>
    <x v="2"/>
    <x v="2"/>
    <s v="0328"/>
    <x v="0"/>
    <s v="GD goods issue:delvy"/>
    <s v="4923413138"/>
    <s v="M001"/>
    <s v="201102-B/T"/>
    <s v=""/>
    <s v="16:15:48"/>
    <s v="JURASDOK"/>
    <s v="0002"/>
    <s v=""/>
    <s v="0000"/>
    <s v=""/>
    <s v="0000000000"/>
    <s v=""/>
    <s v=""/>
    <s v=""/>
    <s v="51003100"/>
    <s v=""/>
    <s v=""/>
    <s v=""/>
    <s v="2000109267"/>
    <m/>
    <s v="BOX"/>
    <n v="-739"/>
    <n v="-770185.8"/>
    <d v="2025-12-04T00:00:00"/>
    <d v="2025-12-04T00:00:00"/>
    <m/>
    <d v="2025-12-04T00:00:00"/>
    <n v="-2217000"/>
    <s v=""/>
    <x v="0"/>
    <s v="ต้นทุนขาย"/>
    <m/>
    <n v="1042.2"/>
  </r>
  <r>
    <x v="1"/>
    <x v="1"/>
    <s v="0328"/>
    <x v="0"/>
    <s v="GD goods issue:delvy"/>
    <s v="4923413918"/>
    <s v="P004"/>
    <s v="081025-RE"/>
    <s v=""/>
    <s v="16:53:12"/>
    <s v="THANAWIS"/>
    <s v="0001"/>
    <s v=""/>
    <s v="0000"/>
    <s v=""/>
    <s v="0000000000"/>
    <s v=""/>
    <s v=""/>
    <s v=""/>
    <s v="51003100"/>
    <s v=""/>
    <s v=""/>
    <s v=""/>
    <s v="2000109269"/>
    <m/>
    <s v="BAG"/>
    <n v="-60"/>
    <n v="-10441.200000000001"/>
    <d v="2025-12-04T00:00:00"/>
    <d v="2025-12-04T00:00:00"/>
    <m/>
    <d v="2025-12-04T00:00:00"/>
    <n v="-30000"/>
    <s v=""/>
    <x v="0"/>
    <s v="ต้นทุนขาย"/>
    <m/>
    <n v="174.02"/>
  </r>
  <r>
    <x v="1"/>
    <x v="1"/>
    <s v="0328"/>
    <x v="0"/>
    <s v="GD goods issue:delvy"/>
    <s v="4923680297"/>
    <s v="P004"/>
    <s v="081025-RE"/>
    <s v=""/>
    <s v="11:17:25"/>
    <s v="THANAWIS"/>
    <s v="0001"/>
    <s v=""/>
    <s v="0000"/>
    <s v=""/>
    <s v="0000000000"/>
    <s v=""/>
    <s v=""/>
    <s v=""/>
    <s v="51003100"/>
    <s v=""/>
    <s v=""/>
    <s v=""/>
    <s v="2000109293"/>
    <m/>
    <s v="BAG"/>
    <n v="-20"/>
    <n v="-3480.4"/>
    <d v="2025-12-08T00:00:00"/>
    <d v="2025-12-08T00:00:00"/>
    <m/>
    <d v="2025-12-08T00:00:00"/>
    <n v="-10000"/>
    <s v=""/>
    <x v="0"/>
    <s v="ต้นทุนขาย"/>
    <m/>
    <n v="174.02"/>
  </r>
  <r>
    <x v="1"/>
    <x v="1"/>
    <s v="0328"/>
    <x v="1"/>
    <s v="GIส่งเสริมการขายอื่น"/>
    <s v="4923680452"/>
    <s v="P004"/>
    <s v="REBB-1906"/>
    <s v=""/>
    <s v="11:19:19"/>
    <s v="THANAWIS"/>
    <s v="0001"/>
    <s v=""/>
    <s v="0000"/>
    <s v=""/>
    <s v="0142331204"/>
    <s v=""/>
    <s v="เบิกกาแฟให้ผู้บริหาร CP ALL ที่ประมูลเครื่องชงกาแฟ"/>
    <s v="405045"/>
    <s v="65109000"/>
    <s v=""/>
    <s v=""/>
    <s v=""/>
    <s v=""/>
    <m/>
    <s v="BAG"/>
    <n v="-2"/>
    <n v="-348.04"/>
    <d v="2025-12-08T00:00:00"/>
    <d v="2025-12-08T00:00:00"/>
    <m/>
    <d v="2025-12-08T00:00:00"/>
    <n v="-1000"/>
    <s v=""/>
    <x v="0"/>
    <s v="ส่งเสริมฯ อื่น"/>
    <m/>
    <n v="174.02"/>
  </r>
  <r>
    <x v="2"/>
    <x v="2"/>
    <s v="0328"/>
    <x v="0"/>
    <s v="GD goods issue:delvy"/>
    <s v="4923686081"/>
    <s v="M001"/>
    <s v="201104-B/T"/>
    <s v=""/>
    <s v="14:10:15"/>
    <s v="JURASDOK"/>
    <s v="0001"/>
    <s v=""/>
    <s v="0000"/>
    <s v=""/>
    <s v="0000000000"/>
    <s v=""/>
    <s v=""/>
    <s v=""/>
    <s v="51003100"/>
    <s v=""/>
    <s v=""/>
    <s v=""/>
    <s v="2000109315"/>
    <m/>
    <s v="BOX"/>
    <n v="-1344"/>
    <n v="-1400716.8"/>
    <d v="2025-12-08T00:00:00"/>
    <d v="2025-12-08T00:00:00"/>
    <m/>
    <d v="2025-12-08T00:00:00"/>
    <n v="-4032000"/>
    <s v=""/>
    <x v="0"/>
    <s v="ต้นทุนขาย"/>
    <m/>
    <n v="1042.2"/>
  </r>
  <r>
    <x v="2"/>
    <x v="2"/>
    <s v="0328"/>
    <x v="0"/>
    <s v="GD goods issue:delvy"/>
    <s v="4923686081"/>
    <s v="M001"/>
    <s v="201103-B/T"/>
    <s v=""/>
    <s v="14:10:15"/>
    <s v="JURASDOK"/>
    <s v="0002"/>
    <s v=""/>
    <s v="0000"/>
    <s v=""/>
    <s v="0000000000"/>
    <s v=""/>
    <s v=""/>
    <s v=""/>
    <s v="51003100"/>
    <s v=""/>
    <s v=""/>
    <s v=""/>
    <s v="2000109315"/>
    <m/>
    <s v="BOX"/>
    <n v="-576"/>
    <n v="-600307.19999999995"/>
    <d v="2025-12-08T00:00:00"/>
    <d v="2025-12-08T00:00:00"/>
    <m/>
    <d v="2025-12-08T00:00:00"/>
    <n v="-1728000"/>
    <s v=""/>
    <x v="0"/>
    <s v="ต้นทุนขาย"/>
    <m/>
    <n v="1042.1999999999998"/>
  </r>
  <r>
    <x v="9"/>
    <x v="9"/>
    <s v="0328"/>
    <x v="0"/>
    <s v="GD goods issue:delvy"/>
    <s v="4923694679"/>
    <s v="P004"/>
    <s v="010825-B/P"/>
    <s v=""/>
    <s v="15:25:18"/>
    <s v="THANAWIS"/>
    <s v="0001"/>
    <s v=""/>
    <s v="0000"/>
    <s v=""/>
    <s v="0000000000"/>
    <s v=""/>
    <s v=""/>
    <s v=""/>
    <s v="51003100"/>
    <s v=""/>
    <s v=""/>
    <s v=""/>
    <s v="2000109342"/>
    <m/>
    <s v="BAG"/>
    <n v="-56"/>
    <n v="-10266.48"/>
    <d v="2025-12-08T00:00:00"/>
    <d v="2025-12-08T00:00:00"/>
    <m/>
    <d v="2025-12-08T00:00:00"/>
    <n v="-28000"/>
    <s v=""/>
    <x v="0"/>
    <s v="ต้นทุนขาย"/>
    <m/>
    <n v="183.32999999999998"/>
  </r>
  <r>
    <x v="9"/>
    <x v="9"/>
    <s v="0328"/>
    <x v="0"/>
    <s v="GD goods issue:delvy"/>
    <s v="4923694679"/>
    <s v="P004"/>
    <s v="110925-T/P"/>
    <s v=""/>
    <s v="15:25:18"/>
    <s v="THANAWIS"/>
    <s v="0002"/>
    <s v=""/>
    <s v="0000"/>
    <s v=""/>
    <s v="0000000000"/>
    <s v=""/>
    <s v=""/>
    <s v=""/>
    <s v="51003100"/>
    <s v=""/>
    <s v=""/>
    <s v=""/>
    <s v="2000109342"/>
    <m/>
    <s v="BAG"/>
    <n v="-64"/>
    <n v="-11733.12"/>
    <d v="2025-12-08T00:00:00"/>
    <d v="2025-12-08T00:00:00"/>
    <m/>
    <d v="2025-12-08T00:00:00"/>
    <n v="-32000"/>
    <s v=""/>
    <x v="0"/>
    <s v="ต้นทุนขาย"/>
    <m/>
    <n v="183.33"/>
  </r>
  <r>
    <x v="2"/>
    <x v="2"/>
    <s v="0328"/>
    <x v="0"/>
    <s v="GD goods issue:delvy"/>
    <s v="4923759041"/>
    <s v="M001"/>
    <s v="201104-B/T"/>
    <s v=""/>
    <s v="11:01:39"/>
    <s v="JURASDOK"/>
    <s v="0002"/>
    <s v=""/>
    <s v="0000"/>
    <s v=""/>
    <s v="0000000000"/>
    <s v=""/>
    <s v=""/>
    <s v=""/>
    <s v="51003100"/>
    <s v=""/>
    <s v=""/>
    <s v=""/>
    <s v="2000109381"/>
    <m/>
    <s v="BOX"/>
    <n v="-1170"/>
    <n v="-1219374"/>
    <d v="2025-12-09T00:00:00"/>
    <d v="2025-12-09T00:00:00"/>
    <m/>
    <d v="2025-12-09T00:00:00"/>
    <n v="-3510000"/>
    <s v=""/>
    <x v="0"/>
    <s v="ต้นทุนขาย"/>
    <m/>
    <n v="1042.2"/>
  </r>
  <r>
    <x v="2"/>
    <x v="2"/>
    <s v="0328"/>
    <x v="0"/>
    <s v="GD goods issue:delvy"/>
    <s v="4923759041"/>
    <s v="M001"/>
    <s v="261101-B/T"/>
    <s v=""/>
    <s v="11:01:39"/>
    <s v="JURASDOK"/>
    <s v="0001"/>
    <s v=""/>
    <s v="0000"/>
    <s v=""/>
    <s v="0000000000"/>
    <s v=""/>
    <s v=""/>
    <s v=""/>
    <s v="51003100"/>
    <s v=""/>
    <s v=""/>
    <s v=""/>
    <s v="2000109381"/>
    <m/>
    <s v="BOX"/>
    <n v="-750"/>
    <n v="-781650"/>
    <d v="2025-12-09T00:00:00"/>
    <d v="2025-12-09T00:00:00"/>
    <m/>
    <d v="2025-12-09T00:00:00"/>
    <n v="-2250000"/>
    <s v=""/>
    <x v="0"/>
    <s v="ต้นทุนขาย"/>
    <m/>
    <n v="1042.2"/>
  </r>
  <r>
    <x v="0"/>
    <x v="0"/>
    <s v="0328"/>
    <x v="0"/>
    <s v="GD goods issue:delvy"/>
    <s v="4923763016"/>
    <s v="P004"/>
    <s v="011125-B"/>
    <s v=""/>
    <s v="13:01:32"/>
    <s v="THANAWIS"/>
    <s v="0001"/>
    <s v=""/>
    <s v="0000"/>
    <s v=""/>
    <s v="0000000000"/>
    <s v=""/>
    <s v=""/>
    <s v=""/>
    <s v="51003100"/>
    <s v=""/>
    <s v=""/>
    <s v=""/>
    <s v="2000109384"/>
    <m/>
    <s v="BAG"/>
    <n v="-9"/>
    <n v="-1437.39"/>
    <d v="2025-12-09T00:00:00"/>
    <d v="2025-12-09T00:00:00"/>
    <m/>
    <d v="2025-12-09T00:00:00"/>
    <n v="-4500"/>
    <s v=""/>
    <x v="0"/>
    <s v="ต้นทุนขาย"/>
    <m/>
    <n v="159.71"/>
  </r>
  <r>
    <x v="3"/>
    <x v="3"/>
    <s v="0328"/>
    <x v="1"/>
    <s v="GIส่งเสริมการขายอื่น"/>
    <s v="4923763605"/>
    <s v="P004"/>
    <s v="160701-RE"/>
    <s v=""/>
    <s v="13:29:16"/>
    <s v="THANAWIS"/>
    <s v="0001"/>
    <s v=""/>
    <s v="0000"/>
    <s v=""/>
    <s v="0142370058"/>
    <s v=""/>
    <s v="แถม ไอพีเจ รอcode"/>
    <s v="403004"/>
    <s v="65109000"/>
    <s v=""/>
    <s v=""/>
    <s v=""/>
    <s v=""/>
    <m/>
    <s v="BAG"/>
    <n v="-2"/>
    <n v="-362.36"/>
    <d v="2025-12-09T00:00:00"/>
    <d v="2025-12-09T00:00:00"/>
    <m/>
    <d v="2025-12-09T00:00:00"/>
    <n v="-1000"/>
    <s v=""/>
    <x v="0"/>
    <s v="ส่งเสริมฯ อื่น"/>
    <m/>
    <n v="181.18"/>
  </r>
  <r>
    <x v="1"/>
    <x v="1"/>
    <s v="0328"/>
    <x v="0"/>
    <s v="GD goods issue:delvy"/>
    <s v="4923766425"/>
    <s v="P004"/>
    <s v="081025-RE"/>
    <s v=""/>
    <s v="14:09:57"/>
    <s v="SONGPCHI"/>
    <s v="0001"/>
    <s v=""/>
    <s v="0000"/>
    <s v=""/>
    <s v="0000000000"/>
    <s v=""/>
    <s v=""/>
    <s v=""/>
    <s v="51003100"/>
    <s v=""/>
    <s v=""/>
    <s v=""/>
    <s v="2000109401"/>
    <m/>
    <s v="BAG"/>
    <n v="-2"/>
    <n v="-348.04"/>
    <d v="2025-12-09T00:00:00"/>
    <d v="2025-12-09T00:00:00"/>
    <m/>
    <d v="2025-12-09T00:00:00"/>
    <n v="-1000"/>
    <s v=""/>
    <x v="0"/>
    <s v="ต้นทุนขาย"/>
    <m/>
    <n v="174.02"/>
  </r>
  <r>
    <x v="1"/>
    <x v="1"/>
    <s v="0328"/>
    <x v="0"/>
    <s v="GD goods issue:delvy"/>
    <s v="4923766428"/>
    <s v="P004"/>
    <s v="081025-RE"/>
    <s v=""/>
    <s v="14:11:24"/>
    <s v="SONGPCHI"/>
    <s v="0001"/>
    <s v=""/>
    <s v="0000"/>
    <s v=""/>
    <s v="0000000000"/>
    <s v=""/>
    <s v=""/>
    <s v=""/>
    <s v="51003100"/>
    <s v=""/>
    <s v=""/>
    <s v=""/>
    <s v="2000109403"/>
    <m/>
    <s v="BAG"/>
    <n v="-6"/>
    <n v="-1044.1199999999999"/>
    <d v="2025-12-09T00:00:00"/>
    <d v="2025-12-09T00:00:00"/>
    <m/>
    <d v="2025-12-09T00:00:00"/>
    <n v="-3000"/>
    <s v=""/>
    <x v="0"/>
    <s v="ต้นทุนขาย"/>
    <m/>
    <n v="174.01999999999998"/>
  </r>
  <r>
    <x v="4"/>
    <x v="4"/>
    <s v="0329"/>
    <x v="0"/>
    <s v="GD goods issue:delvy"/>
    <s v="4923766903"/>
    <s v="P009"/>
    <s v="RE-170625"/>
    <s v=""/>
    <s v="14:13:55"/>
    <s v="SONGPCHI"/>
    <s v="0001"/>
    <s v=""/>
    <s v="0000"/>
    <s v=""/>
    <s v="0000000000"/>
    <s v=""/>
    <s v=""/>
    <s v=""/>
    <s v="51003100"/>
    <s v=""/>
    <s v=""/>
    <s v=""/>
    <s v="2000109406"/>
    <m/>
    <s v="BAG"/>
    <n v="-2"/>
    <n v="-148.44"/>
    <d v="2025-12-09T00:00:00"/>
    <d v="2025-12-09T00:00:00"/>
    <m/>
    <d v="2025-12-09T00:00:00"/>
    <n v="-500"/>
    <s v=""/>
    <x v="1"/>
    <s v="ต้นทุนขาย"/>
    <m/>
    <n v="74.22"/>
  </r>
  <r>
    <x v="3"/>
    <x v="3"/>
    <s v="0328"/>
    <x v="0"/>
    <s v="GD goods issue:delvy"/>
    <s v="4923766903"/>
    <s v="P004"/>
    <s v="081025-RE"/>
    <s v=""/>
    <s v="14:13:55"/>
    <s v="SONGPCHI"/>
    <s v="0002"/>
    <s v=""/>
    <s v="0000"/>
    <s v=""/>
    <s v="0000000000"/>
    <s v=""/>
    <s v=""/>
    <s v=""/>
    <s v="51003100"/>
    <s v=""/>
    <s v=""/>
    <s v=""/>
    <s v="2000109406"/>
    <m/>
    <s v="BAG"/>
    <n v="-2"/>
    <n v="-362.36"/>
    <d v="2025-12-09T00:00:00"/>
    <d v="2025-12-09T00:00:00"/>
    <m/>
    <d v="2025-12-09T00:00:00"/>
    <n v="-1000"/>
    <s v=""/>
    <x v="0"/>
    <s v="ต้นทุนขาย"/>
    <m/>
    <n v="181.18"/>
  </r>
  <r>
    <x v="1"/>
    <x v="1"/>
    <s v="0328"/>
    <x v="0"/>
    <s v="GD goods issue:delvy"/>
    <s v="4923777676"/>
    <s v="P004"/>
    <s v="081025-RE"/>
    <s v=""/>
    <s v="15:20:07"/>
    <s v="THANAWIS"/>
    <s v="0001"/>
    <s v=""/>
    <s v="0000"/>
    <s v=""/>
    <s v="0000000000"/>
    <s v=""/>
    <s v=""/>
    <s v=""/>
    <s v="51003100"/>
    <s v=""/>
    <s v=""/>
    <s v=""/>
    <s v="2000109417"/>
    <m/>
    <s v="BAG"/>
    <n v="-60"/>
    <n v="-10441.200000000001"/>
    <d v="2025-12-09T00:00:00"/>
    <d v="2025-12-09T00:00:00"/>
    <m/>
    <d v="2025-12-09T00:00:00"/>
    <n v="-30000"/>
    <s v=""/>
    <x v="0"/>
    <s v="ต้นทุนขาย"/>
    <m/>
    <n v="174.02"/>
  </r>
  <r>
    <x v="11"/>
    <x v="11"/>
    <s v="0328"/>
    <x v="7"/>
    <s v="GI for order"/>
    <s v="4923782753"/>
    <s v="P001"/>
    <s v="280825-BBB"/>
    <s v="301000000089"/>
    <s v="17:14:43"/>
    <s v="PANUPWAI"/>
    <s v="0001"/>
    <s v=""/>
    <s v="0000"/>
    <s v=""/>
    <s v="0142383381"/>
    <s v=""/>
    <s v=""/>
    <s v=""/>
    <s v="53002000"/>
    <s v=""/>
    <s v=""/>
    <s v=""/>
    <s v=""/>
    <m/>
    <s v="KG"/>
    <n v="-10019.120000000001"/>
    <n v="-2573001.0099999998"/>
    <d v="2025-12-09T00:00:00"/>
    <d v="2025-12-02T00:00:00"/>
    <m/>
    <d v="2025-12-09T00:00:00"/>
    <n v="-10019120"/>
    <s v="301"/>
    <x v="3"/>
    <s v="ต้นทุนผลิต-วัตถุดิบ"/>
    <m/>
    <n v="256.80908203514878"/>
  </r>
  <r>
    <x v="12"/>
    <x v="12"/>
    <s v="0328"/>
    <x v="7"/>
    <s v="GI for order"/>
    <s v="4923783536"/>
    <s v="P001"/>
    <s v="290725-TTW"/>
    <s v="301000000090"/>
    <s v="17:34:45"/>
    <s v="PANUPWAI"/>
    <s v="0001"/>
    <s v=""/>
    <s v="0000"/>
    <s v=""/>
    <s v="0142384859"/>
    <s v=""/>
    <s v=""/>
    <s v=""/>
    <s v="53002000"/>
    <s v=""/>
    <s v=""/>
    <s v=""/>
    <s v=""/>
    <m/>
    <s v="KG"/>
    <n v="-7023.38"/>
    <n v="-1373103.75"/>
    <d v="2025-12-09T00:00:00"/>
    <d v="2025-12-02T00:00:00"/>
    <m/>
    <d v="2025-12-09T00:00:00"/>
    <n v="-7023380"/>
    <s v="301"/>
    <x v="3"/>
    <s v="ต้นทุนผลิต-วัตถุดิบ"/>
    <m/>
    <n v="195.50469289715207"/>
  </r>
  <r>
    <x v="13"/>
    <x v="13"/>
    <s v="0328"/>
    <x v="7"/>
    <s v="GI for order"/>
    <s v="4923783559"/>
    <s v="P002"/>
    <s v="280825-BBB"/>
    <s v="302000000141"/>
    <s v="17:36:33"/>
    <s v="JURASDOK"/>
    <s v="0002"/>
    <s v=""/>
    <s v="0000"/>
    <s v=""/>
    <s v="0142384868"/>
    <s v=""/>
    <s v=""/>
    <s v=""/>
    <s v="53001003"/>
    <s v=""/>
    <s v=""/>
    <s v=""/>
    <s v=""/>
    <m/>
    <s v="KG"/>
    <n v="-1559.72"/>
    <n v="-416164.49"/>
    <d v="2025-12-09T00:00:00"/>
    <d v="2025-12-01T00:00:00"/>
    <m/>
    <d v="2025-12-09T00:00:00"/>
    <n v="-1559720"/>
    <s v="302"/>
    <x v="4"/>
    <s v="ต้นทุนผลิตกึ่งสำเร็จ"/>
    <m/>
    <n v="266.81999974354369"/>
  </r>
  <r>
    <x v="14"/>
    <x v="14"/>
    <s v="0328"/>
    <x v="7"/>
    <s v="GI for order"/>
    <s v="4923783559"/>
    <s v="P002"/>
    <s v="280825-BBB"/>
    <s v="302000000141"/>
    <s v="17:36:33"/>
    <s v="JURASDOK"/>
    <s v="0003"/>
    <s v=""/>
    <s v="0000"/>
    <s v=""/>
    <s v="0142384868"/>
    <s v=""/>
    <s v=""/>
    <s v=""/>
    <s v="53001003"/>
    <s v=""/>
    <s v=""/>
    <s v=""/>
    <s v=""/>
    <m/>
    <s v="KG"/>
    <n v="-4819.96"/>
    <n v="-1286061.73"/>
    <d v="2025-12-09T00:00:00"/>
    <d v="2025-12-01T00:00:00"/>
    <m/>
    <d v="2025-12-09T00:00:00"/>
    <n v="-4819960"/>
    <s v="302"/>
    <x v="4"/>
    <s v="ต้นทุนผลิตกึ่งสำเร็จ"/>
    <m/>
    <n v="266.82000058091768"/>
  </r>
  <r>
    <x v="14"/>
    <x v="14"/>
    <s v="0328"/>
    <x v="7"/>
    <s v="GI for order"/>
    <s v="4923783559"/>
    <s v="P002"/>
    <s v="251202-BBB"/>
    <s v="302000000141"/>
    <s v="17:36:33"/>
    <s v="JURASDOK"/>
    <s v="0006"/>
    <s v=""/>
    <s v="0000"/>
    <s v=""/>
    <s v="0000000000"/>
    <s v=""/>
    <s v="เมล็ดกาแฟ Clean Arabica Size L"/>
    <s v=""/>
    <s v="53001003"/>
    <s v=""/>
    <s v=""/>
    <s v=""/>
    <s v=""/>
    <m/>
    <s v="KG"/>
    <n v="-674.38"/>
    <n v="-179938.07"/>
    <d v="2025-12-09T00:00:00"/>
    <d v="2025-12-01T00:00:00"/>
    <m/>
    <d v="2025-12-09T00:00:00"/>
    <n v="-674380"/>
    <s v="302"/>
    <x v="4"/>
    <s v="ต้นทุนผลิตกึ่งสำเร็จ"/>
    <m/>
    <n v="266.81999762745039"/>
  </r>
  <r>
    <x v="14"/>
    <x v="14"/>
    <s v="0328"/>
    <x v="7"/>
    <s v="GI for order"/>
    <s v="4923783559"/>
    <s v="P002"/>
    <s v="251121-BBB"/>
    <s v="302000000141"/>
    <s v="17:36:33"/>
    <s v="JURASDOK"/>
    <s v="0005"/>
    <s v=""/>
    <s v="0000"/>
    <s v=""/>
    <s v="0000000000"/>
    <s v=""/>
    <s v="เมล็ดกาแฟ Clean Arabica Size L"/>
    <s v=""/>
    <s v="53001003"/>
    <s v=""/>
    <s v=""/>
    <s v=""/>
    <s v=""/>
    <m/>
    <s v="KG"/>
    <n v="-836.26"/>
    <n v="-223130.89"/>
    <d v="2025-12-09T00:00:00"/>
    <d v="2025-12-01T00:00:00"/>
    <m/>
    <d v="2025-12-09T00:00:00"/>
    <n v="-836260"/>
    <s v="302"/>
    <x v="4"/>
    <s v="ต้นทุนผลิตกึ่งสำเร็จ"/>
    <m/>
    <n v="266.81999617343888"/>
  </r>
  <r>
    <x v="15"/>
    <x v="15"/>
    <s v="0328"/>
    <x v="7"/>
    <s v="GI for order"/>
    <s v="4923783559"/>
    <s v="P002"/>
    <s v="251126-TTW"/>
    <s v="302000000141"/>
    <s v="17:36:33"/>
    <s v="JURASDOK"/>
    <s v="0004"/>
    <s v=""/>
    <s v="0000"/>
    <s v=""/>
    <s v="0142384868"/>
    <s v=""/>
    <s v=""/>
    <s v=""/>
    <s v="53001003"/>
    <s v=""/>
    <s v=""/>
    <s v=""/>
    <s v=""/>
    <m/>
    <s v="KG"/>
    <n v="-1969.93"/>
    <n v="-403500.77"/>
    <d v="2025-12-09T00:00:00"/>
    <d v="2025-12-01T00:00:00"/>
    <m/>
    <d v="2025-12-09T00:00:00"/>
    <n v="-1969930"/>
    <s v="302"/>
    <x v="4"/>
    <s v="ต้นทุนผลิตกึ่งสำเร็จ"/>
    <m/>
    <n v="204.83000411182124"/>
  </r>
  <r>
    <x v="16"/>
    <x v="16"/>
    <s v="0328"/>
    <x v="8"/>
    <s v="GR for order"/>
    <s v="4923783559"/>
    <s v="P003"/>
    <s v="251201-B/T"/>
    <s v="302000000141"/>
    <s v="17:36:33"/>
    <s v="JURASDOK"/>
    <s v="0001"/>
    <s v=""/>
    <s v="0000"/>
    <s v=""/>
    <s v="0000000000"/>
    <s v=""/>
    <s v=""/>
    <s v=""/>
    <s v="53001004"/>
    <s v=""/>
    <s v=""/>
    <s v=""/>
    <s v=""/>
    <m/>
    <s v="KG"/>
    <n v="7939.41"/>
    <n v="2647634.4500000002"/>
    <d v="2025-12-09T00:00:00"/>
    <d v="2025-12-01T00:00:00"/>
    <m/>
    <d v="2025-12-09T00:00:00"/>
    <n v="7939410"/>
    <s v="302"/>
    <x v="4"/>
    <s v="ต้นทุนผลิตโอน Semi"/>
    <m/>
    <n v="333.48000040305266"/>
  </r>
  <r>
    <x v="16"/>
    <x v="16"/>
    <s v="0328"/>
    <x v="7"/>
    <s v="GI for order"/>
    <s v="4923783776"/>
    <s v="P003"/>
    <s v="251201-B/T"/>
    <s v="303000000142"/>
    <s v="17:42:46"/>
    <s v="JURASDOK"/>
    <s v="0002"/>
    <s v=""/>
    <s v="0000"/>
    <s v=""/>
    <s v="0142384916"/>
    <s v=""/>
    <s v=""/>
    <s v=""/>
    <s v="53001003"/>
    <s v=""/>
    <s v=""/>
    <s v=""/>
    <s v=""/>
    <m/>
    <s v="KG"/>
    <n v="-7939.41"/>
    <n v="-2647634.4500000002"/>
    <d v="2025-12-09T00:00:00"/>
    <d v="2025-12-01T00:00:00"/>
    <m/>
    <d v="2025-12-09T00:00:00"/>
    <n v="-7939410"/>
    <s v="303"/>
    <x v="4"/>
    <s v="ต้นทุนผลิตกึ่งสำเร็จ"/>
    <m/>
    <n v="333.48000040305266"/>
  </r>
  <r>
    <x v="5"/>
    <x v="5"/>
    <s v="0328"/>
    <x v="7"/>
    <s v="GI for order"/>
    <s v="4923783776"/>
    <s v="P003"/>
    <s v="04062025"/>
    <s v="303000000142"/>
    <s v="17:42:46"/>
    <s v="JURASDOK"/>
    <s v="0003"/>
    <s v=""/>
    <s v="0000"/>
    <s v=""/>
    <s v="0142384916"/>
    <s v=""/>
    <s v=""/>
    <s v=""/>
    <s v="53003000"/>
    <s v=""/>
    <s v=""/>
    <s v=""/>
    <s v=""/>
    <m/>
    <s v="PC"/>
    <n v="-16063"/>
    <n v="-14696.53"/>
    <d v="2025-12-09T00:00:00"/>
    <d v="2025-12-01T00:00:00"/>
    <m/>
    <d v="2025-12-09T00:00:00"/>
    <n v="-16063"/>
    <s v="303"/>
    <x v="2"/>
    <s v="ต้นทุนผลิตหีบห่อ"/>
    <m/>
    <n v="0.9149305858183403"/>
  </r>
  <r>
    <x v="6"/>
    <x v="6"/>
    <s v="0328"/>
    <x v="7"/>
    <s v="GI for order"/>
    <s v="4923783776"/>
    <s v="P003"/>
    <s v="07112025"/>
    <s v="303000000142"/>
    <s v="17:42:46"/>
    <s v="JURASDOK"/>
    <s v="0004"/>
    <s v=""/>
    <s v="0000"/>
    <s v=""/>
    <s v="0142384916"/>
    <s v=""/>
    <s v=""/>
    <s v=""/>
    <s v="53003000"/>
    <s v=""/>
    <s v=""/>
    <s v=""/>
    <s v=""/>
    <m/>
    <s v="PC"/>
    <n v="-215"/>
    <n v="-369.08"/>
    <d v="2025-12-09T00:00:00"/>
    <d v="2025-12-01T00:00:00"/>
    <m/>
    <d v="2025-12-09T00:00:00"/>
    <n v="-215"/>
    <s v="303"/>
    <x v="2"/>
    <s v="ต้นทุนผลิตหีบห่อ"/>
    <m/>
    <n v="1.7166511627906975"/>
  </r>
  <r>
    <x v="6"/>
    <x v="6"/>
    <s v="0328"/>
    <x v="7"/>
    <s v="GI for order"/>
    <s v="4923783776"/>
    <s v="P003"/>
    <s v="08112025"/>
    <s v="303000000142"/>
    <s v="17:42:46"/>
    <s v="JURASDOK"/>
    <s v="0006"/>
    <s v=""/>
    <s v="0000"/>
    <s v=""/>
    <s v="0000000000"/>
    <s v=""/>
    <s v="Film roll All cafe500g.420mm*900m"/>
    <s v=""/>
    <s v="53003000"/>
    <s v=""/>
    <s v=""/>
    <s v=""/>
    <s v=""/>
    <m/>
    <s v="PC"/>
    <n v="-15848"/>
    <n v="-27205.73"/>
    <d v="2025-12-09T00:00:00"/>
    <d v="2025-12-01T00:00:00"/>
    <m/>
    <d v="2025-12-09T00:00:00"/>
    <n v="-15848"/>
    <s v="303"/>
    <x v="2"/>
    <s v="ต้นทุนผลิตหีบห่อ"/>
    <m/>
    <n v="1.7166664563351843"/>
  </r>
  <r>
    <x v="7"/>
    <x v="7"/>
    <s v="0328"/>
    <x v="7"/>
    <s v="GI for order"/>
    <s v="4923783776"/>
    <s v="P003"/>
    <s v="20251114"/>
    <s v="303000000142"/>
    <s v="17:42:46"/>
    <s v="JURASDOK"/>
    <s v="0005"/>
    <s v=""/>
    <s v="0000"/>
    <s v=""/>
    <s v="0142384916"/>
    <s v=""/>
    <s v=""/>
    <s v=""/>
    <s v="53003000"/>
    <s v=""/>
    <s v=""/>
    <s v=""/>
    <s v=""/>
    <m/>
    <s v="PC"/>
    <n v="-2674"/>
    <n v="-13370"/>
    <d v="2025-12-09T00:00:00"/>
    <d v="2025-12-01T00:00:00"/>
    <m/>
    <d v="2025-12-09T00:00:00"/>
    <n v="-2674"/>
    <s v="303"/>
    <x v="2"/>
    <s v="ต้นทุนผลิตหีบห่อ"/>
    <m/>
    <n v="5"/>
  </r>
  <r>
    <x v="2"/>
    <x v="2"/>
    <s v="0328"/>
    <x v="8"/>
    <s v="GR for order"/>
    <s v="4923783776"/>
    <s v="M001"/>
    <s v="251201-B/T"/>
    <s v="303000000142"/>
    <s v="17:42:46"/>
    <s v="JURASDOK"/>
    <s v="0001"/>
    <s v=""/>
    <s v="0000"/>
    <s v=""/>
    <s v="0000000000"/>
    <s v=""/>
    <s v=""/>
    <s v=""/>
    <s v="53001001"/>
    <s v=""/>
    <s v=""/>
    <s v=""/>
    <s v=""/>
    <m/>
    <s v="BAG"/>
    <n v="15874"/>
    <n v="2757313.8"/>
    <d v="2025-12-09T00:00:00"/>
    <d v="2025-12-01T00:00:00"/>
    <m/>
    <d v="2025-12-09T00:00:00"/>
    <n v="7937000"/>
    <s v="303"/>
    <x v="0"/>
    <s v="ต้นทุนผลิตโอน F/G"/>
    <m/>
    <n v="173.7"/>
  </r>
  <r>
    <x v="11"/>
    <x v="11"/>
    <s v="0328"/>
    <x v="7"/>
    <s v="GI for order"/>
    <s v="4923784555"/>
    <s v="P001"/>
    <s v="280825-BBB"/>
    <s v="301000000091"/>
    <s v="17:59:49"/>
    <s v="PANUPWAI"/>
    <s v="0001"/>
    <s v=""/>
    <s v="0000"/>
    <s v=""/>
    <s v="0142385000"/>
    <s v=""/>
    <s v=""/>
    <s v=""/>
    <s v="53002000"/>
    <s v=""/>
    <s v=""/>
    <s v=""/>
    <s v=""/>
    <m/>
    <s v="KG"/>
    <n v="-5119.6400000000003"/>
    <n v="-1314770.05"/>
    <d v="2025-12-09T00:00:00"/>
    <d v="2025-12-09T00:00:00"/>
    <m/>
    <d v="2025-12-09T00:00:00"/>
    <n v="-5119640"/>
    <s v="301"/>
    <x v="3"/>
    <s v="ต้นทุนผลิต-วัตถุดิบ"/>
    <m/>
    <n v="256.80908227922276"/>
  </r>
  <r>
    <x v="11"/>
    <x v="11"/>
    <s v="0328"/>
    <x v="7"/>
    <s v="GI for order"/>
    <s v="4923784555"/>
    <s v="P001"/>
    <s v="250925-BBB"/>
    <s v="301000000091"/>
    <s v="17:59:49"/>
    <s v="PANUPWAI"/>
    <s v="0002"/>
    <s v=""/>
    <s v="0000"/>
    <s v=""/>
    <s v="0000000000"/>
    <s v=""/>
    <s v="สารกาแฟอาราบิก้า"/>
    <s v=""/>
    <s v="53002000"/>
    <s v=""/>
    <s v=""/>
    <s v=""/>
    <s v=""/>
    <m/>
    <s v="KG"/>
    <n v="-31773.39"/>
    <n v="-8159695.0999999996"/>
    <d v="2025-12-09T00:00:00"/>
    <d v="2025-12-09T00:00:00"/>
    <m/>
    <d v="2025-12-09T00:00:00"/>
    <n v="-31773390"/>
    <s v="301"/>
    <x v="3"/>
    <s v="ต้นทุนผลิต-วัตถุดิบ"/>
    <m/>
    <n v="256.80908143575488"/>
  </r>
  <r>
    <x v="3"/>
    <x v="3"/>
    <s v="0328"/>
    <x v="0"/>
    <s v="GD goods issue:delvy"/>
    <s v="4923908007"/>
    <s v="P004"/>
    <s v="081025-RE"/>
    <s v=""/>
    <s v="11:06:45"/>
    <s v="THANAWIS"/>
    <s v="0001"/>
    <s v=""/>
    <s v="0000"/>
    <s v=""/>
    <s v="0000000000"/>
    <s v=""/>
    <s v=""/>
    <s v=""/>
    <s v="51003100"/>
    <s v=""/>
    <s v=""/>
    <s v=""/>
    <s v="2000109506"/>
    <m/>
    <s v="BAG"/>
    <n v="-40"/>
    <n v="-7247.2"/>
    <d v="2025-12-11T00:00:00"/>
    <d v="2025-12-11T00:00:00"/>
    <m/>
    <d v="2025-12-11T00:00:00"/>
    <n v="-20000"/>
    <s v=""/>
    <x v="0"/>
    <s v="ต้นทุนขาย"/>
    <m/>
    <n v="181.18"/>
  </r>
  <r>
    <x v="3"/>
    <x v="3"/>
    <s v="0328"/>
    <x v="0"/>
    <s v="GD goods issue:delvy"/>
    <s v="4923916965"/>
    <s v="P004"/>
    <s v="081025-RE"/>
    <s v=""/>
    <s v="13:17:56"/>
    <s v="THANAWIS"/>
    <s v="0001"/>
    <s v=""/>
    <s v="0000"/>
    <s v=""/>
    <s v="0000000000"/>
    <s v=""/>
    <s v=""/>
    <s v=""/>
    <s v="51003100"/>
    <s v=""/>
    <s v=""/>
    <s v=""/>
    <s v="2000109510"/>
    <m/>
    <s v="BAG"/>
    <n v="-20"/>
    <n v="-3623.6"/>
    <d v="2025-12-11T00:00:00"/>
    <d v="2025-12-11T00:00:00"/>
    <m/>
    <d v="2025-12-11T00:00:00"/>
    <n v="-10000"/>
    <s v=""/>
    <x v="0"/>
    <s v="ต้นทุนขาย"/>
    <m/>
    <n v="181.18"/>
  </r>
  <r>
    <x v="1"/>
    <x v="1"/>
    <s v="0328"/>
    <x v="0"/>
    <s v="GD goods issue:delvy"/>
    <s v="4923917852"/>
    <s v="P004"/>
    <s v="081025-RE"/>
    <s v=""/>
    <s v="13:44:39"/>
    <s v="THANAWIS"/>
    <s v="0001"/>
    <s v=""/>
    <s v="0000"/>
    <s v=""/>
    <s v="0000000000"/>
    <s v=""/>
    <s v=""/>
    <s v=""/>
    <s v="51003100"/>
    <s v=""/>
    <s v=""/>
    <s v=""/>
    <s v="2000109517"/>
    <m/>
    <s v="BAG"/>
    <n v="-6"/>
    <n v="-1044.1199999999999"/>
    <d v="2025-12-11T00:00:00"/>
    <d v="2025-12-11T00:00:00"/>
    <m/>
    <d v="2025-12-11T00:00:00"/>
    <n v="-3000"/>
    <s v=""/>
    <x v="0"/>
    <s v="ต้นทุนขาย"/>
    <m/>
    <n v="174.01999999999998"/>
  </r>
  <r>
    <x v="3"/>
    <x v="3"/>
    <s v="0328"/>
    <x v="0"/>
    <s v="GD goods issue:delvy"/>
    <s v="4923917858"/>
    <s v="P004"/>
    <s v="081025-RE"/>
    <s v=""/>
    <s v="13:45:54"/>
    <s v="THANAWIS"/>
    <s v="0001"/>
    <s v=""/>
    <s v="0000"/>
    <s v=""/>
    <s v="0000000000"/>
    <s v=""/>
    <s v=""/>
    <s v=""/>
    <s v="51003100"/>
    <s v=""/>
    <s v=""/>
    <s v=""/>
    <s v="2000109520"/>
    <m/>
    <s v="BAG"/>
    <n v="-2"/>
    <n v="-362.36"/>
    <d v="2025-12-11T00:00:00"/>
    <d v="2025-12-11T00:00:00"/>
    <m/>
    <d v="2025-12-11T00:00:00"/>
    <n v="-1000"/>
    <s v=""/>
    <x v="0"/>
    <s v="ต้นทุนขาย"/>
    <m/>
    <n v="181.18"/>
  </r>
  <r>
    <x v="1"/>
    <x v="1"/>
    <s v="0328"/>
    <x v="0"/>
    <s v="GD goods issue:delvy"/>
    <s v="4923917931"/>
    <s v="P004"/>
    <s v="081025-RE"/>
    <s v=""/>
    <s v="13:46:13"/>
    <s v="THANAWIS"/>
    <s v="0001"/>
    <s v=""/>
    <s v="0000"/>
    <s v=""/>
    <s v="0000000000"/>
    <s v=""/>
    <s v=""/>
    <s v=""/>
    <s v="51003100"/>
    <s v=""/>
    <s v=""/>
    <s v=""/>
    <s v="2000109521"/>
    <m/>
    <s v="BAG"/>
    <n v="-4"/>
    <n v="-696.08"/>
    <d v="2025-12-11T00:00:00"/>
    <d v="2025-12-11T00:00:00"/>
    <m/>
    <d v="2025-12-11T00:00:00"/>
    <n v="-2000"/>
    <s v=""/>
    <x v="0"/>
    <s v="ต้นทุนขาย"/>
    <m/>
    <n v="174.02"/>
  </r>
  <r>
    <x v="1"/>
    <x v="1"/>
    <s v="0328"/>
    <x v="0"/>
    <s v="GD goods issue:delvy"/>
    <s v="4923917937"/>
    <s v="P004"/>
    <s v="081025-RE"/>
    <s v=""/>
    <s v="13:47:01"/>
    <s v="THANAWIS"/>
    <s v="0001"/>
    <s v=""/>
    <s v="0000"/>
    <s v=""/>
    <s v="0000000000"/>
    <s v=""/>
    <s v=""/>
    <s v=""/>
    <s v="51003100"/>
    <s v=""/>
    <s v=""/>
    <s v=""/>
    <s v="2000109523"/>
    <m/>
    <s v="BAG"/>
    <n v="-2"/>
    <n v="-348.04"/>
    <d v="2025-12-11T00:00:00"/>
    <d v="2025-12-11T00:00:00"/>
    <m/>
    <d v="2025-12-11T00:00:00"/>
    <n v="-1000"/>
    <s v=""/>
    <x v="0"/>
    <s v="ต้นทุนขาย"/>
    <m/>
    <n v="174.02"/>
  </r>
  <r>
    <x v="4"/>
    <x v="4"/>
    <s v="0329"/>
    <x v="0"/>
    <s v="GD goods issue:delvy"/>
    <s v="4923917939"/>
    <s v="P009"/>
    <s v="RE-170625"/>
    <s v=""/>
    <s v="13:47:46"/>
    <s v="THANAWIS"/>
    <s v="0001"/>
    <s v=""/>
    <s v="0000"/>
    <s v=""/>
    <s v="0000000000"/>
    <s v=""/>
    <s v=""/>
    <s v=""/>
    <s v="51003100"/>
    <s v=""/>
    <s v=""/>
    <s v=""/>
    <s v="2000109524"/>
    <m/>
    <s v="BAG"/>
    <n v="-2"/>
    <n v="-148.44"/>
    <d v="2025-12-11T00:00:00"/>
    <d v="2025-12-11T00:00:00"/>
    <m/>
    <d v="2025-12-11T00:00:00"/>
    <n v="-500"/>
    <s v=""/>
    <x v="1"/>
    <s v="ต้นทุนขาย"/>
    <m/>
    <n v="74.22"/>
  </r>
  <r>
    <x v="0"/>
    <x v="0"/>
    <s v="0328"/>
    <x v="0"/>
    <s v="GD goods issue:delvy"/>
    <s v="4923918027"/>
    <s v="P004"/>
    <s v="011125-B"/>
    <s v=""/>
    <s v="13:49:12"/>
    <s v="THANAWIS"/>
    <s v="0001"/>
    <s v=""/>
    <s v="0000"/>
    <s v=""/>
    <s v="0000000000"/>
    <s v=""/>
    <s v=""/>
    <s v=""/>
    <s v="51003100"/>
    <s v=""/>
    <s v=""/>
    <s v=""/>
    <s v="2000109527"/>
    <m/>
    <s v="BAG"/>
    <n v="-20"/>
    <n v="-3194.2"/>
    <d v="2025-12-11T00:00:00"/>
    <d v="2025-12-11T00:00:00"/>
    <m/>
    <d v="2025-12-11T00:00:00"/>
    <n v="-10000"/>
    <s v=""/>
    <x v="0"/>
    <s v="ต้นทุนขาย"/>
    <m/>
    <n v="159.70999999999998"/>
  </r>
  <r>
    <x v="0"/>
    <x v="0"/>
    <s v="0328"/>
    <x v="0"/>
    <s v="GD goods issue:delvy"/>
    <s v="4923918131"/>
    <s v="P004"/>
    <s v="011125-B"/>
    <s v=""/>
    <s v="13:49:55"/>
    <s v="THANAWIS"/>
    <s v="0001"/>
    <s v=""/>
    <s v="0000"/>
    <s v=""/>
    <s v="0000000000"/>
    <s v=""/>
    <s v=""/>
    <s v=""/>
    <s v="51003100"/>
    <s v=""/>
    <s v=""/>
    <s v=""/>
    <s v="2000109528"/>
    <m/>
    <s v="BAG"/>
    <n v="-30"/>
    <n v="-4791.3"/>
    <d v="2025-12-11T00:00:00"/>
    <d v="2025-12-11T00:00:00"/>
    <m/>
    <d v="2025-12-11T00:00:00"/>
    <n v="-15000"/>
    <s v=""/>
    <x v="0"/>
    <s v="ต้นทุนขาย"/>
    <m/>
    <n v="159.71"/>
  </r>
  <r>
    <x v="9"/>
    <x v="9"/>
    <s v="0328"/>
    <x v="0"/>
    <s v="GD goods issue:delvy"/>
    <s v="4923918137"/>
    <s v="P004"/>
    <s v="110925-T/P"/>
    <s v=""/>
    <s v="13:52:00"/>
    <s v="THANAWIS"/>
    <s v="0001"/>
    <s v=""/>
    <s v="0000"/>
    <s v=""/>
    <s v="0000000000"/>
    <s v=""/>
    <s v=""/>
    <s v=""/>
    <s v="51003100"/>
    <s v=""/>
    <s v=""/>
    <s v=""/>
    <s v="2000109531"/>
    <m/>
    <s v="BAG"/>
    <n v="-40"/>
    <n v="-7333.2"/>
    <d v="2025-12-11T00:00:00"/>
    <d v="2025-12-11T00:00:00"/>
    <m/>
    <d v="2025-12-11T00:00:00"/>
    <n v="-20000"/>
    <s v=""/>
    <x v="0"/>
    <s v="ต้นทุนขาย"/>
    <m/>
    <n v="183.32999999999998"/>
  </r>
  <r>
    <x v="1"/>
    <x v="1"/>
    <s v="0328"/>
    <x v="0"/>
    <s v="GD goods issue:delvy"/>
    <s v="4923918350"/>
    <s v="P004"/>
    <s v="081025-RE"/>
    <s v=""/>
    <s v="13:59:58"/>
    <s v="THANAWIS"/>
    <s v="0001"/>
    <s v=""/>
    <s v="0000"/>
    <s v=""/>
    <s v="0000000000"/>
    <s v=""/>
    <s v=""/>
    <s v=""/>
    <s v="51003100"/>
    <s v=""/>
    <s v=""/>
    <s v=""/>
    <s v="2000109537"/>
    <m/>
    <s v="BAG"/>
    <n v="-20"/>
    <n v="-3480.4"/>
    <d v="2025-12-11T00:00:00"/>
    <d v="2025-12-11T00:00:00"/>
    <m/>
    <d v="2025-12-11T00:00:00"/>
    <n v="-10000"/>
    <s v=""/>
    <x v="0"/>
    <s v="ต้นทุนขาย"/>
    <m/>
    <n v="174.02"/>
  </r>
  <r>
    <x v="2"/>
    <x v="2"/>
    <s v="0328"/>
    <x v="0"/>
    <s v="GD goods issue:delvy"/>
    <s v="4923930679"/>
    <s v="M001"/>
    <s v="261101-B/T"/>
    <s v=""/>
    <s v="15:07:55"/>
    <s v="JURASDOK"/>
    <s v="0001"/>
    <s v=""/>
    <s v="0000"/>
    <s v=""/>
    <s v="0000000000"/>
    <s v=""/>
    <s v=""/>
    <s v=""/>
    <s v="51003100"/>
    <s v=""/>
    <s v=""/>
    <s v=""/>
    <s v="2000109541"/>
    <m/>
    <s v="BOX"/>
    <n v="-1920"/>
    <n v="-2001024"/>
    <d v="2025-12-11T00:00:00"/>
    <d v="2025-12-11T00:00:00"/>
    <m/>
    <d v="2025-12-11T00:00:00"/>
    <n v="-5760000"/>
    <s v=""/>
    <x v="0"/>
    <s v="ต้นทุนขาย"/>
    <m/>
    <n v="1042.2"/>
  </r>
  <r>
    <x v="2"/>
    <x v="2"/>
    <s v="0328"/>
    <x v="0"/>
    <s v="GD goods issue:delvy"/>
    <s v="4923930862"/>
    <s v="M001"/>
    <s v="261101-B/T"/>
    <s v=""/>
    <s v="15:10:12"/>
    <s v="JURASDOK"/>
    <s v="0003"/>
    <s v=""/>
    <s v="0000"/>
    <s v=""/>
    <s v="0000000000"/>
    <s v=""/>
    <s v=""/>
    <s v=""/>
    <s v="51003100"/>
    <s v=""/>
    <s v=""/>
    <s v=""/>
    <s v="2000109542"/>
    <m/>
    <s v="BOX"/>
    <n v="-43"/>
    <n v="-44814.6"/>
    <d v="2025-12-11T00:00:00"/>
    <d v="2025-12-11T00:00:00"/>
    <m/>
    <d v="2025-12-11T00:00:00"/>
    <n v="-129000"/>
    <s v=""/>
    <x v="0"/>
    <s v="ต้นทุนขาย"/>
    <m/>
    <n v="1042.2"/>
  </r>
  <r>
    <x v="2"/>
    <x v="2"/>
    <s v="0328"/>
    <x v="0"/>
    <s v="GD goods issue:delvy"/>
    <s v="4923930862"/>
    <s v="M001"/>
    <s v="261102-B/T"/>
    <s v=""/>
    <s v="15:10:12"/>
    <s v="JURASDOK"/>
    <s v="0002"/>
    <s v=""/>
    <s v="0000"/>
    <s v=""/>
    <s v="0000000000"/>
    <s v=""/>
    <s v=""/>
    <s v=""/>
    <s v="51003100"/>
    <s v=""/>
    <s v=""/>
    <s v=""/>
    <s v="2000109542"/>
    <m/>
    <s v="BOX"/>
    <n v="-2470"/>
    <n v="-2574234"/>
    <d v="2025-12-11T00:00:00"/>
    <d v="2025-12-11T00:00:00"/>
    <m/>
    <d v="2025-12-11T00:00:00"/>
    <n v="-7410000"/>
    <s v=""/>
    <x v="0"/>
    <s v="ต้นทุนขาย"/>
    <m/>
    <n v="1042.2"/>
  </r>
  <r>
    <x v="2"/>
    <x v="2"/>
    <s v="0328"/>
    <x v="0"/>
    <s v="GD goods issue:delvy"/>
    <s v="4923930862"/>
    <s v="M001"/>
    <s v="251201-B/T"/>
    <s v=""/>
    <s v="15:10:12"/>
    <s v="JURASDOK"/>
    <s v="0001"/>
    <s v=""/>
    <s v="0000"/>
    <s v=""/>
    <s v="0000000000"/>
    <s v=""/>
    <s v=""/>
    <s v=""/>
    <s v="51003100"/>
    <s v=""/>
    <s v=""/>
    <s v=""/>
    <s v="2000109542"/>
    <m/>
    <s v="BOX"/>
    <n v="-367"/>
    <n v="-382487.4"/>
    <d v="2025-12-11T00:00:00"/>
    <d v="2025-12-11T00:00:00"/>
    <m/>
    <d v="2025-12-11T00:00:00"/>
    <n v="-1101000"/>
    <s v=""/>
    <x v="0"/>
    <s v="ต้นทุนขาย"/>
    <m/>
    <n v="1042.2"/>
  </r>
  <r>
    <x v="2"/>
    <x v="2"/>
    <s v="0328"/>
    <x v="0"/>
    <s v="GD goods issue:delvy"/>
    <s v="4923930985"/>
    <s v="M001"/>
    <s v="251201-B/T"/>
    <s v=""/>
    <s v="15:12:12"/>
    <s v="JURASDOK"/>
    <s v="0001"/>
    <s v=""/>
    <s v="0000"/>
    <s v=""/>
    <s v="0000000000"/>
    <s v=""/>
    <s v=""/>
    <s v=""/>
    <s v="51003100"/>
    <s v=""/>
    <s v=""/>
    <s v=""/>
    <s v="2000109543"/>
    <m/>
    <s v="BOX"/>
    <n v="-960"/>
    <n v="-1000512"/>
    <d v="2025-12-11T00:00:00"/>
    <d v="2025-12-11T00:00:00"/>
    <m/>
    <d v="2025-12-11T00:00:00"/>
    <n v="-2880000"/>
    <s v=""/>
    <x v="0"/>
    <s v="ต้นทุนขาย"/>
    <m/>
    <n v="1042.2"/>
  </r>
  <r>
    <x v="9"/>
    <x v="9"/>
    <s v="0328"/>
    <x v="0"/>
    <s v="GD goods issue:delvy"/>
    <s v="4923931656"/>
    <s v="P004"/>
    <s v="110925-T/P"/>
    <s v=""/>
    <s v="15:25:49"/>
    <s v="THANAWIS"/>
    <s v="0001"/>
    <s v=""/>
    <s v="0000"/>
    <s v=""/>
    <s v="0000000000"/>
    <s v=""/>
    <s v=""/>
    <s v=""/>
    <s v="51003100"/>
    <s v=""/>
    <s v=""/>
    <s v=""/>
    <s v="2000109545"/>
    <m/>
    <s v="BAG"/>
    <n v="-10"/>
    <n v="-1833.3"/>
    <d v="2025-12-11T00:00:00"/>
    <d v="2025-12-11T00:00:00"/>
    <m/>
    <d v="2025-12-11T00:00:00"/>
    <n v="-5000"/>
    <s v=""/>
    <x v="0"/>
    <s v="ต้นทุนขาย"/>
    <m/>
    <n v="183.32999999999998"/>
  </r>
  <r>
    <x v="0"/>
    <x v="0"/>
    <s v="0328"/>
    <x v="0"/>
    <s v="GD goods issue:delvy"/>
    <s v="4923935747"/>
    <s v="P004"/>
    <s v="011125-B"/>
    <s v=""/>
    <s v="17:19:20"/>
    <s v="THANAWIS"/>
    <s v="0001"/>
    <s v=""/>
    <s v="0000"/>
    <s v=""/>
    <s v="0000000000"/>
    <s v=""/>
    <s v=""/>
    <s v=""/>
    <s v="51003100"/>
    <s v=""/>
    <s v=""/>
    <s v=""/>
    <s v="2000109569"/>
    <m/>
    <s v="BAG"/>
    <n v="-28"/>
    <n v="-4471.88"/>
    <d v="2025-12-11T00:00:00"/>
    <d v="2025-12-11T00:00:00"/>
    <m/>
    <d v="2025-12-11T00:00:00"/>
    <n v="-14000"/>
    <s v=""/>
    <x v="0"/>
    <s v="ต้นทุนขาย"/>
    <m/>
    <n v="159.71"/>
  </r>
  <r>
    <x v="4"/>
    <x v="4"/>
    <s v="0329"/>
    <x v="0"/>
    <s v="GD goods issue:delvy"/>
    <s v="4923983476"/>
    <s v="P009"/>
    <s v="RE-170625"/>
    <s v=""/>
    <s v="08:36:19"/>
    <s v="SONGPCHI"/>
    <s v="0001"/>
    <s v=""/>
    <s v="0000"/>
    <s v=""/>
    <s v="0000000000"/>
    <s v=""/>
    <s v=""/>
    <s v=""/>
    <s v="51003100"/>
    <s v=""/>
    <s v=""/>
    <s v=""/>
    <s v="2000109627"/>
    <m/>
    <s v="BAG"/>
    <n v="-4"/>
    <n v="-296.88"/>
    <d v="2025-12-12T00:00:00"/>
    <d v="2025-12-12T00:00:00"/>
    <m/>
    <d v="2025-12-12T00:00:00"/>
    <n v="-1000"/>
    <s v=""/>
    <x v="1"/>
    <s v="ต้นทุนขาย"/>
    <m/>
    <n v="74.22"/>
  </r>
  <r>
    <x v="1"/>
    <x v="1"/>
    <s v="0328"/>
    <x v="0"/>
    <s v="GD goods issue:delvy"/>
    <s v="4923996303"/>
    <s v="P004"/>
    <s v="081025-RE"/>
    <s v=""/>
    <s v="12:42:04"/>
    <s v="SONGPCHI"/>
    <s v="0001"/>
    <s v=""/>
    <s v="0000"/>
    <s v=""/>
    <s v="0000000000"/>
    <s v=""/>
    <s v=""/>
    <s v=""/>
    <s v="51003100"/>
    <s v=""/>
    <s v=""/>
    <s v=""/>
    <s v="2000109651"/>
    <m/>
    <s v="BAG"/>
    <n v="-1"/>
    <n v="-174.02"/>
    <d v="2025-12-12T00:00:00"/>
    <d v="2025-12-12T00:00:00"/>
    <m/>
    <d v="2025-12-12T00:00:00"/>
    <n v="-500"/>
    <s v=""/>
    <x v="0"/>
    <s v="ต้นทุนขาย"/>
    <m/>
    <n v="174.02"/>
  </r>
  <r>
    <x v="3"/>
    <x v="3"/>
    <s v="0328"/>
    <x v="0"/>
    <s v="GD goods issue:delvy"/>
    <s v="4923996310"/>
    <s v="P004"/>
    <s v="081025-RE"/>
    <s v=""/>
    <s v="12:45:17"/>
    <s v="SONGPCHI"/>
    <s v="0001"/>
    <s v=""/>
    <s v="0000"/>
    <s v=""/>
    <s v="0000000000"/>
    <s v=""/>
    <s v=""/>
    <s v=""/>
    <s v="51003100"/>
    <s v=""/>
    <s v=""/>
    <s v=""/>
    <s v="2000109654"/>
    <m/>
    <s v="BAG"/>
    <n v="-2"/>
    <n v="-362.36"/>
    <d v="2025-12-12T00:00:00"/>
    <d v="2025-12-12T00:00:00"/>
    <m/>
    <d v="2025-12-12T00:00:00"/>
    <n v="-1000"/>
    <s v=""/>
    <x v="0"/>
    <s v="ต้นทุนขาย"/>
    <m/>
    <n v="181.18"/>
  </r>
  <r>
    <x v="0"/>
    <x v="0"/>
    <s v="0328"/>
    <x v="0"/>
    <s v="GD goods issue:delvy"/>
    <s v="4923996843"/>
    <s v="P004"/>
    <s v="011125-B"/>
    <s v=""/>
    <s v="13:06:20"/>
    <s v="THANAWIS"/>
    <s v="0001"/>
    <s v=""/>
    <s v="0000"/>
    <s v=""/>
    <s v="0000000000"/>
    <s v=""/>
    <s v=""/>
    <s v=""/>
    <s v="51003100"/>
    <s v=""/>
    <s v=""/>
    <s v=""/>
    <s v="2000109661"/>
    <m/>
    <s v="BAG"/>
    <n v="-30"/>
    <n v="-4791.3"/>
    <d v="2025-12-12T00:00:00"/>
    <d v="2025-12-12T00:00:00"/>
    <m/>
    <d v="2025-12-12T00:00:00"/>
    <n v="-15000"/>
    <s v=""/>
    <x v="0"/>
    <s v="ต้นทุนขาย"/>
    <m/>
    <n v="159.71"/>
  </r>
  <r>
    <x v="1"/>
    <x v="1"/>
    <s v="0328"/>
    <x v="9"/>
    <s v="GD Goods deliv. rev."/>
    <s v="4923996924"/>
    <s v="P004"/>
    <s v="081025-RE"/>
    <s v=""/>
    <s v="13:08:17"/>
    <s v="THANAWIS"/>
    <s v="0001"/>
    <s v=""/>
    <s v="0000"/>
    <s v=""/>
    <s v="0000000000"/>
    <s v=""/>
    <s v=""/>
    <s v=""/>
    <s v="51003100"/>
    <s v=""/>
    <s v=""/>
    <s v=""/>
    <s v="2000108870"/>
    <m/>
    <s v="BAG"/>
    <n v="60"/>
    <n v="10441.200000000001"/>
    <d v="2025-12-01T00:00:00"/>
    <d v="2025-12-12T00:00:00"/>
    <m/>
    <d v="2025-12-12T00:00:00"/>
    <n v="30000"/>
    <s v=""/>
    <x v="0"/>
    <s v="ต้นทุนขาย"/>
    <m/>
    <n v="174.02"/>
  </r>
  <r>
    <x v="1"/>
    <x v="1"/>
    <s v="0328"/>
    <x v="0"/>
    <s v="GD goods issue:delvy"/>
    <s v="4923996930"/>
    <s v="P004"/>
    <s v="081025-RE"/>
    <s v=""/>
    <s v="13:08:59"/>
    <s v="THANAWIS"/>
    <s v="0001"/>
    <s v=""/>
    <s v="0000"/>
    <s v=""/>
    <s v="0000000000"/>
    <s v=""/>
    <s v=""/>
    <s v=""/>
    <s v="51003100"/>
    <s v=""/>
    <s v=""/>
    <s v=""/>
    <s v="2000109663"/>
    <m/>
    <s v="BAG"/>
    <n v="-60"/>
    <n v="-10441.200000000001"/>
    <d v="2025-12-12T00:00:00"/>
    <d v="2025-12-12T00:00:00"/>
    <m/>
    <d v="2025-12-12T00:00:00"/>
    <n v="-30000"/>
    <s v=""/>
    <x v="0"/>
    <s v="ต้นทุนขาย"/>
    <m/>
    <n v="174.02"/>
  </r>
  <r>
    <x v="1"/>
    <x v="1"/>
    <s v="0328"/>
    <x v="4"/>
    <s v="GD returns unrestr."/>
    <s v="4924000422"/>
    <s v="P004"/>
    <s v="081025-RE"/>
    <s v=""/>
    <s v="14:08:26"/>
    <s v="SONGPCHI"/>
    <s v="0001"/>
    <s v=""/>
    <s v="0000"/>
    <s v=""/>
    <s v="0000000000"/>
    <s v=""/>
    <s v=""/>
    <s v=""/>
    <s v="51003100"/>
    <s v=""/>
    <s v=""/>
    <s v=""/>
    <s v="2100000862"/>
    <m/>
    <s v="BAG"/>
    <n v="2"/>
    <n v="348.04"/>
    <d v="2025-12-12T00:00:00"/>
    <d v="2025-12-12T00:00:00"/>
    <m/>
    <d v="2025-12-12T00:00:00"/>
    <n v="1000"/>
    <s v=""/>
    <x v="0"/>
    <s v="ต้นทุนขาย"/>
    <m/>
    <n v="174.02"/>
  </r>
  <r>
    <x v="1"/>
    <x v="1"/>
    <s v="0328"/>
    <x v="0"/>
    <s v="GD goods issue:delvy"/>
    <s v="4924003389"/>
    <s v="P004"/>
    <s v="081025-RE"/>
    <s v=""/>
    <s v="14:22:11"/>
    <s v="SONGPCHI"/>
    <s v="0001"/>
    <s v=""/>
    <s v="0000"/>
    <s v=""/>
    <s v="0000000000"/>
    <s v=""/>
    <s v=""/>
    <s v=""/>
    <s v="51003100"/>
    <s v=""/>
    <s v=""/>
    <s v=""/>
    <s v="2000109691"/>
    <m/>
    <s v="BAG"/>
    <n v="-2"/>
    <n v="-348.04"/>
    <d v="2025-12-12T00:00:00"/>
    <d v="2025-12-12T00:00:00"/>
    <m/>
    <d v="2025-12-12T00:00:00"/>
    <n v="-1000"/>
    <s v=""/>
    <x v="0"/>
    <s v="ต้นทุนขาย"/>
    <m/>
    <n v="174.02"/>
  </r>
  <r>
    <x v="14"/>
    <x v="14"/>
    <s v="0328"/>
    <x v="7"/>
    <s v="GI for order"/>
    <s v="4924008621"/>
    <s v="P002"/>
    <s v="251202-BBB"/>
    <s v="302000000142"/>
    <s v="14:38:58"/>
    <s v="JURASDOK"/>
    <s v="0002"/>
    <s v=""/>
    <s v="0000"/>
    <s v=""/>
    <s v="0142526469"/>
    <s v=""/>
    <s v=""/>
    <s v=""/>
    <s v="53001003"/>
    <s v=""/>
    <s v=""/>
    <s v=""/>
    <s v=""/>
    <m/>
    <s v="KG"/>
    <n v="-7680"/>
    <n v="-2049177.6000000001"/>
    <d v="2025-12-12T00:00:00"/>
    <d v="2025-12-02T00:00:00"/>
    <m/>
    <d v="2025-12-12T00:00:00"/>
    <n v="-7680000"/>
    <s v="302"/>
    <x v="4"/>
    <s v="ต้นทุนผลิตกึ่งสำเร็จ"/>
    <m/>
    <n v="266.82"/>
  </r>
  <r>
    <x v="15"/>
    <x v="15"/>
    <s v="0328"/>
    <x v="7"/>
    <s v="GI for order"/>
    <s v="4924008621"/>
    <s v="P002"/>
    <s v="251126-TTW"/>
    <s v="302000000142"/>
    <s v="14:38:58"/>
    <s v="JURASDOK"/>
    <s v="0003"/>
    <s v=""/>
    <s v="0000"/>
    <s v=""/>
    <s v="0142526469"/>
    <s v=""/>
    <s v=""/>
    <s v=""/>
    <s v="53001003"/>
    <s v=""/>
    <s v=""/>
    <s v=""/>
    <s v=""/>
    <m/>
    <s v="KG"/>
    <n v="-1920.16"/>
    <n v="-393306.37"/>
    <d v="2025-12-12T00:00:00"/>
    <d v="2025-12-02T00:00:00"/>
    <m/>
    <d v="2025-12-12T00:00:00"/>
    <n v="-1920160"/>
    <s v="302"/>
    <x v="4"/>
    <s v="ต้นทุนผลิตกึ่งสำเร็จ"/>
    <m/>
    <n v="204.82999854178817"/>
  </r>
  <r>
    <x v="16"/>
    <x v="16"/>
    <s v="0328"/>
    <x v="8"/>
    <s v="GR for order"/>
    <s v="4924008621"/>
    <s v="P003"/>
    <s v="251202-B/T"/>
    <s v="302000000142"/>
    <s v="14:38:58"/>
    <s v="JURASDOK"/>
    <s v="0001"/>
    <s v=""/>
    <s v="0000"/>
    <s v=""/>
    <s v="0000000000"/>
    <s v=""/>
    <s v=""/>
    <s v=""/>
    <s v="53001004"/>
    <s v=""/>
    <s v=""/>
    <s v=""/>
    <s v=""/>
    <m/>
    <s v="KG"/>
    <n v="7775.69"/>
    <n v="2593037.1"/>
    <d v="2025-12-12T00:00:00"/>
    <d v="2025-12-02T00:00:00"/>
    <m/>
    <d v="2025-12-12T00:00:00"/>
    <n v="7775690"/>
    <s v="302"/>
    <x v="4"/>
    <s v="ต้นทุนผลิตโอน Semi"/>
    <m/>
    <n v="333.47999984567286"/>
  </r>
  <r>
    <x v="5"/>
    <x v="5"/>
    <s v="0328"/>
    <x v="2"/>
    <s v="TF trfr within plant"/>
    <s v="4924009717"/>
    <s v="M003"/>
    <s v="04062025"/>
    <s v=""/>
    <s v="14:45:39"/>
    <s v="JURASDOK"/>
    <s v="0001"/>
    <s v=""/>
    <s v="0000"/>
    <s v=""/>
    <s v="0000000000"/>
    <s v=""/>
    <s v=""/>
    <s v=""/>
    <s v=""/>
    <s v=""/>
    <s v=""/>
    <s v=""/>
    <s v=""/>
    <m/>
    <s v="PC"/>
    <n v="-10000"/>
    <n v="0"/>
    <d v="2025-12-02T00:00:00"/>
    <d v="2025-12-02T00:00:00"/>
    <m/>
    <d v="2025-12-12T00:00:00"/>
    <n v="-10000"/>
    <s v=""/>
    <x v="2"/>
    <e v="#N/A"/>
    <m/>
    <n v="0"/>
  </r>
  <r>
    <x v="5"/>
    <x v="5"/>
    <s v="0328"/>
    <x v="2"/>
    <s v="TF trfr within plant"/>
    <s v="4924009717"/>
    <s v="P003"/>
    <s v="04062025"/>
    <s v=""/>
    <s v="14:45:39"/>
    <s v="JURASDOK"/>
    <s v="0002"/>
    <s v=""/>
    <s v="0000"/>
    <s v=""/>
    <s v="0000000000"/>
    <s v=""/>
    <s v=""/>
    <s v=""/>
    <s v=""/>
    <s v=""/>
    <s v=""/>
    <s v=""/>
    <s v=""/>
    <m/>
    <s v="PC"/>
    <n v="10000"/>
    <n v="0"/>
    <d v="2025-12-02T00:00:00"/>
    <d v="2025-12-02T00:00:00"/>
    <m/>
    <d v="2025-12-12T00:00:00"/>
    <n v="10000"/>
    <s v=""/>
    <x v="2"/>
    <e v="#N/A"/>
    <m/>
    <n v="0"/>
  </r>
  <r>
    <x v="7"/>
    <x v="7"/>
    <s v="0328"/>
    <x v="2"/>
    <s v="TF trfr within plant"/>
    <s v="4924010430"/>
    <s v="M003"/>
    <s v="20251121"/>
    <s v=""/>
    <s v="14:49:55"/>
    <s v="JURASDOK"/>
    <s v="0001"/>
    <s v=""/>
    <s v="0000"/>
    <s v=""/>
    <s v="0000000000"/>
    <s v=""/>
    <s v=""/>
    <s v=""/>
    <s v=""/>
    <s v=""/>
    <s v=""/>
    <s v=""/>
    <s v=""/>
    <m/>
    <s v="PC"/>
    <n v="-3000"/>
    <n v="0"/>
    <d v="2025-12-02T00:00:00"/>
    <d v="2025-12-02T00:00:00"/>
    <m/>
    <d v="2025-12-12T00:00:00"/>
    <n v="-3000"/>
    <s v=""/>
    <x v="2"/>
    <e v="#N/A"/>
    <m/>
    <n v="0"/>
  </r>
  <r>
    <x v="7"/>
    <x v="7"/>
    <s v="0328"/>
    <x v="2"/>
    <s v="TF trfr within plant"/>
    <s v="4924010430"/>
    <s v="P003"/>
    <s v="20251121"/>
    <s v=""/>
    <s v="14:49:55"/>
    <s v="JURASDOK"/>
    <s v="0002"/>
    <s v=""/>
    <s v="0000"/>
    <s v=""/>
    <s v="0000000000"/>
    <s v=""/>
    <s v=""/>
    <s v=""/>
    <s v=""/>
    <s v=""/>
    <s v=""/>
    <s v=""/>
    <s v=""/>
    <m/>
    <s v="PC"/>
    <n v="3000"/>
    <n v="0"/>
    <d v="2025-12-02T00:00:00"/>
    <d v="2025-12-02T00:00:00"/>
    <m/>
    <d v="2025-12-12T00:00:00"/>
    <n v="3000"/>
    <s v=""/>
    <x v="2"/>
    <e v="#N/A"/>
    <m/>
    <n v="0"/>
  </r>
  <r>
    <x v="16"/>
    <x v="16"/>
    <s v="0328"/>
    <x v="7"/>
    <s v="GI for order"/>
    <s v="4924011059"/>
    <s v="P003"/>
    <s v="251202-B/T"/>
    <s v="303000000143"/>
    <s v="14:59:59"/>
    <s v="JURASDOK"/>
    <s v="0002"/>
    <s v=""/>
    <s v="0000"/>
    <s v=""/>
    <s v="0142528084"/>
    <s v=""/>
    <s v=""/>
    <s v=""/>
    <s v="53001003"/>
    <s v=""/>
    <s v=""/>
    <s v=""/>
    <s v=""/>
    <m/>
    <s v="KG"/>
    <n v="-7775.69"/>
    <n v="-2593037.1"/>
    <d v="2025-12-12T00:00:00"/>
    <d v="2025-12-02T00:00:00"/>
    <m/>
    <d v="2025-12-12T00:00:00"/>
    <n v="-7775690"/>
    <s v="303"/>
    <x v="4"/>
    <s v="ต้นทุนผลิตกึ่งสำเร็จ"/>
    <m/>
    <n v="333.47999984567286"/>
  </r>
  <r>
    <x v="5"/>
    <x v="5"/>
    <s v="0328"/>
    <x v="7"/>
    <s v="GI for order"/>
    <s v="4924011059"/>
    <s v="P003"/>
    <s v="04062025"/>
    <s v="303000000143"/>
    <s v="14:59:59"/>
    <s v="JURASDOK"/>
    <s v="0003"/>
    <s v=""/>
    <s v="0000"/>
    <s v=""/>
    <s v="0142528084"/>
    <s v=""/>
    <s v=""/>
    <s v=""/>
    <s v="53003000"/>
    <s v=""/>
    <s v=""/>
    <s v=""/>
    <s v=""/>
    <m/>
    <s v="PC"/>
    <n v="-15784"/>
    <n v="-14441.26"/>
    <d v="2025-12-12T00:00:00"/>
    <d v="2025-12-02T00:00:00"/>
    <m/>
    <d v="2025-12-12T00:00:00"/>
    <n v="-15784"/>
    <s v="303"/>
    <x v="2"/>
    <s v="ต้นทุนผลิตหีบห่อ"/>
    <m/>
    <n v="0.91493030917384699"/>
  </r>
  <r>
    <x v="6"/>
    <x v="6"/>
    <s v="0328"/>
    <x v="7"/>
    <s v="GI for order"/>
    <s v="4924011059"/>
    <s v="P003"/>
    <s v="08112025"/>
    <s v="303000000143"/>
    <s v="14:59:59"/>
    <s v="JURASDOK"/>
    <s v="0004"/>
    <s v=""/>
    <s v="0000"/>
    <s v=""/>
    <s v="0142528084"/>
    <s v=""/>
    <s v=""/>
    <s v=""/>
    <s v="53003000"/>
    <s v=""/>
    <s v=""/>
    <s v=""/>
    <s v=""/>
    <m/>
    <s v="PC"/>
    <n v="-15784"/>
    <n v="-27095.87"/>
    <d v="2025-12-12T00:00:00"/>
    <d v="2025-12-02T00:00:00"/>
    <m/>
    <d v="2025-12-12T00:00:00"/>
    <n v="-15784"/>
    <s v="303"/>
    <x v="2"/>
    <s v="ต้นทุนผลิตหีบห่อ"/>
    <m/>
    <n v="1.7166668778509884"/>
  </r>
  <r>
    <x v="7"/>
    <x v="7"/>
    <s v="0328"/>
    <x v="7"/>
    <s v="GI for order"/>
    <s v="4924011059"/>
    <s v="P003"/>
    <s v="20251121"/>
    <s v="303000000143"/>
    <s v="14:59:59"/>
    <s v="JURASDOK"/>
    <s v="0006"/>
    <s v=""/>
    <s v="0000"/>
    <s v=""/>
    <s v="0000000000"/>
    <s v=""/>
    <s v="All Cafe ลังกระดาษ (287*240*177 mm.)"/>
    <s v=""/>
    <s v="53003000"/>
    <s v=""/>
    <s v=""/>
    <s v=""/>
    <s v=""/>
    <m/>
    <s v="PC"/>
    <n v="-1467"/>
    <n v="-7335"/>
    <d v="2025-12-12T00:00:00"/>
    <d v="2025-12-02T00:00:00"/>
    <m/>
    <d v="2025-12-12T00:00:00"/>
    <n v="-1467"/>
    <s v="303"/>
    <x v="2"/>
    <s v="ต้นทุนผลิตหีบห่อ"/>
    <m/>
    <n v="5"/>
  </r>
  <r>
    <x v="7"/>
    <x v="7"/>
    <s v="0328"/>
    <x v="7"/>
    <s v="GI for order"/>
    <s v="4924011059"/>
    <s v="P003"/>
    <s v="20251114"/>
    <s v="303000000143"/>
    <s v="14:59:59"/>
    <s v="JURASDOK"/>
    <s v="0005"/>
    <s v=""/>
    <s v="0000"/>
    <s v=""/>
    <s v="0142528084"/>
    <s v=""/>
    <s v=""/>
    <s v=""/>
    <s v="53003000"/>
    <s v=""/>
    <s v=""/>
    <s v=""/>
    <s v=""/>
    <m/>
    <s v="PC"/>
    <n v="-1151"/>
    <n v="-5755"/>
    <d v="2025-12-12T00:00:00"/>
    <d v="2025-12-02T00:00:00"/>
    <m/>
    <d v="2025-12-12T00:00:00"/>
    <n v="-1151"/>
    <s v="303"/>
    <x v="2"/>
    <s v="ต้นทุนผลิตหีบห่อ"/>
    <m/>
    <n v="5"/>
  </r>
  <r>
    <x v="2"/>
    <x v="2"/>
    <s v="0328"/>
    <x v="8"/>
    <s v="GR for order"/>
    <s v="4924011059"/>
    <s v="M001"/>
    <s v="011202-B/T"/>
    <s v="303000000143"/>
    <s v="14:59:59"/>
    <s v="JURASDOK"/>
    <s v="0001"/>
    <s v=""/>
    <s v="0000"/>
    <s v=""/>
    <s v="0000000000"/>
    <s v=""/>
    <s v=""/>
    <s v=""/>
    <s v="53001001"/>
    <s v=""/>
    <s v=""/>
    <s v=""/>
    <s v=""/>
    <m/>
    <s v="BAG"/>
    <n v="15548"/>
    <n v="2700687.6"/>
    <d v="2025-12-12T00:00:00"/>
    <d v="2025-12-02T00:00:00"/>
    <m/>
    <d v="2025-12-12T00:00:00"/>
    <n v="7774000"/>
    <s v="303"/>
    <x v="0"/>
    <s v="ต้นทุนผลิตโอน F/G"/>
    <m/>
    <n v="173.70000000000002"/>
  </r>
  <r>
    <x v="2"/>
    <x v="2"/>
    <s v="0328"/>
    <x v="0"/>
    <s v="GD goods issue:delvy"/>
    <s v="4924011991"/>
    <s v="M001"/>
    <s v="251201-B/T"/>
    <s v=""/>
    <s v="15:26:51"/>
    <s v="JURASDOK"/>
    <s v="0002"/>
    <s v=""/>
    <s v="0000"/>
    <s v=""/>
    <s v="0000000000"/>
    <s v=""/>
    <s v=""/>
    <s v=""/>
    <s v="51003100"/>
    <s v=""/>
    <s v=""/>
    <s v=""/>
    <s v="2000109703"/>
    <m/>
    <s v="BOX"/>
    <n v="-1318"/>
    <n v="-1373619.6"/>
    <d v="2025-12-12T00:00:00"/>
    <d v="2025-12-12T00:00:00"/>
    <m/>
    <d v="2025-12-12T00:00:00"/>
    <n v="-3954000"/>
    <s v=""/>
    <x v="0"/>
    <s v="ต้นทุนขาย"/>
    <m/>
    <n v="1042.2"/>
  </r>
  <r>
    <x v="2"/>
    <x v="2"/>
    <s v="0328"/>
    <x v="0"/>
    <s v="GD goods issue:delvy"/>
    <s v="4924011991"/>
    <s v="M001"/>
    <s v="011202-B/T"/>
    <s v=""/>
    <s v="15:26:51"/>
    <s v="JURASDOK"/>
    <s v="0001"/>
    <s v=""/>
    <s v="0000"/>
    <s v=""/>
    <s v="0000000000"/>
    <s v=""/>
    <s v=""/>
    <s v=""/>
    <s v="51003100"/>
    <s v=""/>
    <s v=""/>
    <s v=""/>
    <s v="2000109703"/>
    <m/>
    <s v="BOX"/>
    <n v="-602"/>
    <n v="-627404.4"/>
    <d v="2025-12-12T00:00:00"/>
    <d v="2025-12-12T00:00:00"/>
    <m/>
    <d v="2025-12-12T00:00:00"/>
    <n v="-1806000"/>
    <s v=""/>
    <x v="0"/>
    <s v="ต้นทุนขาย"/>
    <m/>
    <n v="1042.2"/>
  </r>
  <r>
    <x v="2"/>
    <x v="2"/>
    <s v="0328"/>
    <x v="0"/>
    <s v="GD goods issue:delvy"/>
    <s v="4924011993"/>
    <s v="M001"/>
    <s v="011202-B/T"/>
    <s v=""/>
    <s v="15:27:50"/>
    <s v="JURASDOK"/>
    <s v="0001"/>
    <s v=""/>
    <s v="0000"/>
    <s v=""/>
    <s v="0000000000"/>
    <s v=""/>
    <s v=""/>
    <s v=""/>
    <s v="51003100"/>
    <s v=""/>
    <s v=""/>
    <s v=""/>
    <s v="2000109704"/>
    <m/>
    <s v="BOX"/>
    <n v="-960"/>
    <n v="-1000512"/>
    <d v="2025-12-12T00:00:00"/>
    <d v="2025-12-12T00:00:00"/>
    <m/>
    <d v="2025-12-12T00:00:00"/>
    <n v="-2880000"/>
    <s v=""/>
    <x v="0"/>
    <s v="ต้นทุนขาย"/>
    <m/>
    <n v="1042.2"/>
  </r>
  <r>
    <x v="5"/>
    <x v="5"/>
    <s v="0328"/>
    <x v="2"/>
    <s v="TF trfr within plant"/>
    <s v="4924014021"/>
    <s v="P003"/>
    <s v="04062025"/>
    <s v=""/>
    <s v="16:29:04"/>
    <s v="RAPEESAN01"/>
    <s v="0002"/>
    <s v=""/>
    <s v="0000"/>
    <s v=""/>
    <s v="0000000000"/>
    <s v=""/>
    <s v=""/>
    <s v=""/>
    <s v=""/>
    <s v=""/>
    <s v=""/>
    <s v=""/>
    <s v=""/>
    <m/>
    <s v="PC"/>
    <n v="20000"/>
    <n v="0"/>
    <d v="2025-12-12T00:00:00"/>
    <d v="2025-12-12T00:00:00"/>
    <m/>
    <d v="2025-12-12T00:00:00"/>
    <n v="20000"/>
    <s v=""/>
    <x v="2"/>
    <e v="#N/A"/>
    <m/>
    <n v="0"/>
  </r>
  <r>
    <x v="5"/>
    <x v="5"/>
    <s v="0328"/>
    <x v="2"/>
    <s v="TF trfr within plant"/>
    <s v="4924014021"/>
    <s v="M003"/>
    <s v="04062025"/>
    <s v=""/>
    <s v="16:29:04"/>
    <s v="RAPEESAN01"/>
    <s v="0001"/>
    <s v=""/>
    <s v="0000"/>
    <s v=""/>
    <s v="0000000000"/>
    <s v=""/>
    <s v=""/>
    <s v=""/>
    <s v=""/>
    <s v=""/>
    <s v=""/>
    <s v=""/>
    <s v=""/>
    <m/>
    <s v="PC"/>
    <n v="-20000"/>
    <n v="0"/>
    <d v="2025-12-12T00:00:00"/>
    <d v="2025-12-12T00:00:00"/>
    <m/>
    <d v="2025-12-12T00:00:00"/>
    <n v="-20000"/>
    <s v=""/>
    <x v="2"/>
    <e v="#N/A"/>
    <m/>
    <n v="0"/>
  </r>
  <r>
    <x v="7"/>
    <x v="7"/>
    <s v="0328"/>
    <x v="2"/>
    <s v="TF trfr within plant"/>
    <s v="4924014021"/>
    <s v="P003"/>
    <s v="20251121"/>
    <s v=""/>
    <s v="16:29:04"/>
    <s v="RAPEESAN01"/>
    <s v="0004"/>
    <s v=""/>
    <s v="0000"/>
    <s v=""/>
    <s v="0000000000"/>
    <s v=""/>
    <s v=""/>
    <s v=""/>
    <s v=""/>
    <s v=""/>
    <s v=""/>
    <s v=""/>
    <s v=""/>
    <m/>
    <s v="PC"/>
    <n v="3500"/>
    <n v="0"/>
    <d v="2025-12-12T00:00:00"/>
    <d v="2025-12-12T00:00:00"/>
    <m/>
    <d v="2025-12-12T00:00:00"/>
    <n v="3500"/>
    <s v=""/>
    <x v="2"/>
    <e v="#N/A"/>
    <m/>
    <n v="0"/>
  </r>
  <r>
    <x v="7"/>
    <x v="7"/>
    <s v="0328"/>
    <x v="2"/>
    <s v="TF trfr within plant"/>
    <s v="4924014021"/>
    <s v="M003"/>
    <s v="20251121"/>
    <s v=""/>
    <s v="16:29:04"/>
    <s v="RAPEESAN01"/>
    <s v="0003"/>
    <s v=""/>
    <s v="0000"/>
    <s v=""/>
    <s v="0000000000"/>
    <s v=""/>
    <s v=""/>
    <s v=""/>
    <s v=""/>
    <s v=""/>
    <s v=""/>
    <s v=""/>
    <s v=""/>
    <m/>
    <s v="PC"/>
    <n v="-3500"/>
    <n v="0"/>
    <d v="2025-12-12T00:00:00"/>
    <d v="2025-12-12T00:00:00"/>
    <m/>
    <d v="2025-12-12T00:00:00"/>
    <n v="-3500"/>
    <s v=""/>
    <x v="2"/>
    <e v="#N/A"/>
    <m/>
    <n v="0"/>
  </r>
  <r>
    <x v="17"/>
    <x v="17"/>
    <s v="0328"/>
    <x v="2"/>
    <s v="TF trfr within plant"/>
    <s v="4924014745"/>
    <s v="M003"/>
    <s v="20250915"/>
    <s v=""/>
    <s v="16:51:06"/>
    <s v="RAPEESAN01"/>
    <s v="0001"/>
    <s v=""/>
    <s v="0000"/>
    <s v=""/>
    <s v="0000000000"/>
    <s v=""/>
    <s v=""/>
    <s v=""/>
    <s v=""/>
    <s v=""/>
    <s v=""/>
    <s v=""/>
    <s v=""/>
    <m/>
    <s v="PC"/>
    <n v="-6000"/>
    <n v="0"/>
    <d v="2025-12-11T00:00:00"/>
    <d v="2025-12-11T00:00:00"/>
    <m/>
    <d v="2025-12-12T00:00:00"/>
    <n v="-6000"/>
    <s v=""/>
    <x v="2"/>
    <e v="#N/A"/>
    <m/>
    <n v="0"/>
  </r>
  <r>
    <x v="17"/>
    <x v="17"/>
    <s v="0328"/>
    <x v="2"/>
    <s v="TF trfr within plant"/>
    <s v="4924014745"/>
    <s v="P003"/>
    <s v="20250915"/>
    <s v=""/>
    <s v="16:51:06"/>
    <s v="RAPEESAN01"/>
    <s v="0002"/>
    <s v=""/>
    <s v="0000"/>
    <s v=""/>
    <s v="0000000000"/>
    <s v=""/>
    <s v=""/>
    <s v=""/>
    <s v=""/>
    <s v=""/>
    <s v=""/>
    <s v=""/>
    <s v=""/>
    <m/>
    <s v="PC"/>
    <n v="6000"/>
    <n v="0"/>
    <d v="2025-12-11T00:00:00"/>
    <d v="2025-12-11T00:00:00"/>
    <m/>
    <d v="2025-12-12T00:00:00"/>
    <n v="6000"/>
    <s v=""/>
    <x v="2"/>
    <e v="#N/A"/>
    <m/>
    <n v="0"/>
  </r>
  <r>
    <x v="18"/>
    <x v="18"/>
    <s v="0328"/>
    <x v="2"/>
    <s v="TF trfr within plant"/>
    <s v="4924014745"/>
    <s v="M003"/>
    <s v="19092025"/>
    <s v=""/>
    <s v="16:51:06"/>
    <s v="RAPEESAN01"/>
    <s v="0003"/>
    <s v=""/>
    <s v="0000"/>
    <s v=""/>
    <s v="0000000000"/>
    <s v=""/>
    <s v=""/>
    <s v=""/>
    <s v=""/>
    <s v=""/>
    <s v=""/>
    <s v=""/>
    <s v=""/>
    <m/>
    <s v="PC"/>
    <n v="-699"/>
    <n v="0"/>
    <d v="2025-12-11T00:00:00"/>
    <d v="2025-12-11T00:00:00"/>
    <m/>
    <d v="2025-12-12T00:00:00"/>
    <n v="-699"/>
    <s v=""/>
    <x v="2"/>
    <e v="#N/A"/>
    <m/>
    <n v="0"/>
  </r>
  <r>
    <x v="18"/>
    <x v="18"/>
    <s v="0328"/>
    <x v="2"/>
    <s v="TF trfr within plant"/>
    <s v="4924014745"/>
    <s v="P003"/>
    <s v="19092025"/>
    <s v=""/>
    <s v="16:51:06"/>
    <s v="RAPEESAN01"/>
    <s v="0004"/>
    <s v=""/>
    <s v="0000"/>
    <s v=""/>
    <s v="0000000000"/>
    <s v=""/>
    <s v=""/>
    <s v=""/>
    <s v=""/>
    <s v=""/>
    <s v=""/>
    <s v=""/>
    <s v=""/>
    <m/>
    <s v="PC"/>
    <n v="699"/>
    <n v="0"/>
    <d v="2025-12-11T00:00:00"/>
    <d v="2025-12-11T00:00:00"/>
    <m/>
    <d v="2025-12-12T00:00:00"/>
    <n v="699"/>
    <s v=""/>
    <x v="2"/>
    <e v="#N/A"/>
    <m/>
    <n v="0"/>
  </r>
  <r>
    <x v="19"/>
    <x v="19"/>
    <s v="0328"/>
    <x v="2"/>
    <s v="TF trfr within plant"/>
    <s v="4924014745"/>
    <s v="M003"/>
    <s v="09072025"/>
    <s v=""/>
    <s v="16:51:06"/>
    <s v="RAPEESAN01"/>
    <s v="0005"/>
    <s v=""/>
    <s v="0000"/>
    <s v=""/>
    <s v="0000000000"/>
    <s v=""/>
    <s v=""/>
    <s v=""/>
    <s v=""/>
    <s v=""/>
    <s v=""/>
    <s v=""/>
    <s v=""/>
    <m/>
    <s v="PC"/>
    <n v="-159"/>
    <n v="0"/>
    <d v="2025-12-11T00:00:00"/>
    <d v="2025-12-11T00:00:00"/>
    <m/>
    <d v="2025-12-12T00:00:00"/>
    <n v="-159"/>
    <s v=""/>
    <x v="2"/>
    <e v="#N/A"/>
    <m/>
    <n v="0"/>
  </r>
  <r>
    <x v="19"/>
    <x v="19"/>
    <s v="0328"/>
    <x v="2"/>
    <s v="TF trfr within plant"/>
    <s v="4924014745"/>
    <s v="P003"/>
    <s v="09072025"/>
    <s v=""/>
    <s v="16:51:06"/>
    <s v="RAPEESAN01"/>
    <s v="0006"/>
    <s v=""/>
    <s v="0000"/>
    <s v=""/>
    <s v="0000000000"/>
    <s v=""/>
    <s v=""/>
    <s v=""/>
    <s v=""/>
    <s v=""/>
    <s v=""/>
    <s v=""/>
    <s v=""/>
    <m/>
    <s v="PC"/>
    <n v="159"/>
    <n v="0"/>
    <d v="2025-12-11T00:00:00"/>
    <d v="2025-12-11T00:00:00"/>
    <m/>
    <d v="2025-12-12T00:00:00"/>
    <n v="159"/>
    <s v=""/>
    <x v="2"/>
    <e v="#N/A"/>
    <m/>
    <n v="0"/>
  </r>
  <r>
    <x v="20"/>
    <x v="20"/>
    <s v="0328"/>
    <x v="2"/>
    <s v="TF trfr within plant"/>
    <s v="4924014745"/>
    <s v="P003"/>
    <s v="11072025"/>
    <s v=""/>
    <s v="16:51:06"/>
    <s v="RAPEESAN01"/>
    <s v="0012"/>
    <s v=""/>
    <s v="0000"/>
    <s v=""/>
    <s v="0000000000"/>
    <s v=""/>
    <s v=""/>
    <s v=""/>
    <s v=""/>
    <s v=""/>
    <s v=""/>
    <s v=""/>
    <s v=""/>
    <m/>
    <s v="EA"/>
    <n v="1170"/>
    <n v="0"/>
    <d v="2025-12-11T00:00:00"/>
    <d v="2025-12-11T00:00:00"/>
    <m/>
    <d v="2025-12-12T00:00:00"/>
    <n v="1170"/>
    <s v=""/>
    <x v="2"/>
    <e v="#N/A"/>
    <m/>
    <n v="0"/>
  </r>
  <r>
    <x v="20"/>
    <x v="20"/>
    <s v="0328"/>
    <x v="2"/>
    <s v="TF trfr within plant"/>
    <s v="4924014745"/>
    <s v="M003"/>
    <s v="11072025"/>
    <s v=""/>
    <s v="16:51:06"/>
    <s v="RAPEESAN01"/>
    <s v="0011"/>
    <s v=""/>
    <s v="0000"/>
    <s v=""/>
    <s v="0000000000"/>
    <s v=""/>
    <s v=""/>
    <s v=""/>
    <s v=""/>
    <s v=""/>
    <s v=""/>
    <s v=""/>
    <s v=""/>
    <m/>
    <s v="EA"/>
    <n v="-1170"/>
    <n v="0"/>
    <d v="2025-12-11T00:00:00"/>
    <d v="2025-12-11T00:00:00"/>
    <m/>
    <d v="2025-12-12T00:00:00"/>
    <n v="-1170"/>
    <s v=""/>
    <x v="2"/>
    <e v="#N/A"/>
    <m/>
    <n v="0"/>
  </r>
  <r>
    <x v="21"/>
    <x v="21"/>
    <s v="0328"/>
    <x v="2"/>
    <s v="TF trfr within plant"/>
    <s v="4924014745"/>
    <s v="M003"/>
    <s v="11072025"/>
    <s v=""/>
    <s v="16:51:06"/>
    <s v="RAPEESAN01"/>
    <s v="0009"/>
    <s v=""/>
    <s v="0000"/>
    <s v=""/>
    <s v="0000000000"/>
    <s v=""/>
    <s v=""/>
    <s v=""/>
    <s v=""/>
    <s v=""/>
    <s v=""/>
    <s v=""/>
    <s v=""/>
    <m/>
    <s v="EA"/>
    <n v="-1170"/>
    <n v="0"/>
    <d v="2025-12-11T00:00:00"/>
    <d v="2025-12-11T00:00:00"/>
    <m/>
    <d v="2025-12-12T00:00:00"/>
    <n v="-1170"/>
    <s v=""/>
    <x v="2"/>
    <e v="#N/A"/>
    <m/>
    <n v="0"/>
  </r>
  <r>
    <x v="21"/>
    <x v="21"/>
    <s v="0328"/>
    <x v="2"/>
    <s v="TF trfr within plant"/>
    <s v="4924014745"/>
    <s v="P003"/>
    <s v="11072025"/>
    <s v=""/>
    <s v="16:51:06"/>
    <s v="RAPEESAN01"/>
    <s v="0010"/>
    <s v=""/>
    <s v="0000"/>
    <s v=""/>
    <s v="0000000000"/>
    <s v=""/>
    <s v=""/>
    <s v=""/>
    <s v=""/>
    <s v=""/>
    <s v=""/>
    <s v=""/>
    <s v=""/>
    <m/>
    <s v="EA"/>
    <n v="1170"/>
    <n v="0"/>
    <d v="2025-12-11T00:00:00"/>
    <d v="2025-12-11T00:00:00"/>
    <m/>
    <d v="2025-12-12T00:00:00"/>
    <n v="1170"/>
    <s v=""/>
    <x v="2"/>
    <e v="#N/A"/>
    <m/>
    <n v="0"/>
  </r>
  <r>
    <x v="22"/>
    <x v="22"/>
    <s v="0328"/>
    <x v="2"/>
    <s v="TF trfr within plant"/>
    <s v="4924014745"/>
    <s v="M003"/>
    <s v="20250915"/>
    <s v=""/>
    <s v="16:51:06"/>
    <s v="RAPEESAN01"/>
    <s v="0007"/>
    <s v=""/>
    <s v="0000"/>
    <s v=""/>
    <s v="0000000000"/>
    <s v=""/>
    <s v=""/>
    <s v=""/>
    <s v=""/>
    <s v=""/>
    <s v=""/>
    <s v=""/>
    <s v=""/>
    <m/>
    <s v="PC"/>
    <n v="-6000"/>
    <n v="0"/>
    <d v="2025-12-11T00:00:00"/>
    <d v="2025-12-11T00:00:00"/>
    <m/>
    <d v="2025-12-12T00:00:00"/>
    <n v="-6000"/>
    <s v=""/>
    <x v="2"/>
    <e v="#N/A"/>
    <m/>
    <n v="0"/>
  </r>
  <r>
    <x v="22"/>
    <x v="22"/>
    <s v="0328"/>
    <x v="2"/>
    <s v="TF trfr within plant"/>
    <s v="4924014745"/>
    <s v="P003"/>
    <s v="20250915"/>
    <s v=""/>
    <s v="16:51:06"/>
    <s v="RAPEESAN01"/>
    <s v="0008"/>
    <s v=""/>
    <s v="0000"/>
    <s v=""/>
    <s v="0000000000"/>
    <s v=""/>
    <s v=""/>
    <s v=""/>
    <s v=""/>
    <s v=""/>
    <s v=""/>
    <s v=""/>
    <s v=""/>
    <m/>
    <s v="PC"/>
    <n v="6000"/>
    <n v="0"/>
    <d v="2025-12-11T00:00:00"/>
    <d v="2025-12-11T00:00:00"/>
    <m/>
    <d v="2025-12-12T00:00:00"/>
    <n v="6000"/>
    <s v=""/>
    <x v="2"/>
    <e v="#N/A"/>
    <m/>
    <n v="0"/>
  </r>
  <r>
    <x v="3"/>
    <x v="3"/>
    <s v="0328"/>
    <x v="0"/>
    <s v="GD goods issue:delvy"/>
    <s v="4924016893"/>
    <s v="P004"/>
    <s v="081025-RE"/>
    <s v=""/>
    <s v="17:36:39"/>
    <s v="THANAWIS"/>
    <s v="0001"/>
    <s v=""/>
    <s v="0000"/>
    <s v=""/>
    <s v="0000000000"/>
    <s v=""/>
    <s v=""/>
    <s v=""/>
    <s v="51003100"/>
    <s v=""/>
    <s v=""/>
    <s v=""/>
    <s v="2000109726"/>
    <m/>
    <s v="BAG"/>
    <n v="-20"/>
    <n v="-3623.6"/>
    <d v="2025-12-12T00:00:00"/>
    <d v="2025-12-12T00:00:00"/>
    <m/>
    <d v="2025-12-12T00:00:00"/>
    <n v="-10000"/>
    <s v=""/>
    <x v="0"/>
    <s v="ต้นทุนขาย"/>
    <m/>
    <n v="181.18"/>
  </r>
  <r>
    <x v="17"/>
    <x v="17"/>
    <s v="0328"/>
    <x v="2"/>
    <s v="TF trfr within plant"/>
    <s v="4924022416"/>
    <s v="P003"/>
    <s v="20250915"/>
    <s v=""/>
    <s v="20:16:42"/>
    <s v="PRONDTAN"/>
    <s v="0002"/>
    <s v=""/>
    <s v="0000"/>
    <s v=""/>
    <s v="0000000000"/>
    <s v=""/>
    <s v=""/>
    <s v=""/>
    <s v=""/>
    <s v=""/>
    <s v=""/>
    <s v=""/>
    <s v=""/>
    <m/>
    <s v="PC"/>
    <n v="3000"/>
    <n v="0"/>
    <d v="2025-12-12T00:00:00"/>
    <d v="2025-12-12T00:00:00"/>
    <m/>
    <d v="2025-12-12T00:00:00"/>
    <n v="3000"/>
    <s v=""/>
    <x v="2"/>
    <e v="#N/A"/>
    <m/>
    <n v="0"/>
  </r>
  <r>
    <x v="17"/>
    <x v="17"/>
    <s v="0328"/>
    <x v="2"/>
    <s v="TF trfr within plant"/>
    <s v="4924022416"/>
    <s v="M003"/>
    <s v="20250915"/>
    <s v=""/>
    <s v="20:16:42"/>
    <s v="PRONDTAN"/>
    <s v="0001"/>
    <s v=""/>
    <s v="0000"/>
    <s v=""/>
    <s v="0000000000"/>
    <s v=""/>
    <s v=""/>
    <s v=""/>
    <s v=""/>
    <s v=""/>
    <s v=""/>
    <s v=""/>
    <s v=""/>
    <m/>
    <s v="PC"/>
    <n v="-3000"/>
    <n v="0"/>
    <d v="2025-12-12T00:00:00"/>
    <d v="2025-12-12T00:00:00"/>
    <m/>
    <d v="2025-12-12T00:00:00"/>
    <n v="-3000"/>
    <s v=""/>
    <x v="2"/>
    <e v="#N/A"/>
    <m/>
    <n v="0"/>
  </r>
  <r>
    <x v="1"/>
    <x v="1"/>
    <s v="0328"/>
    <x v="0"/>
    <s v="GD goods issue:delvy"/>
    <s v="4924177614"/>
    <s v="P004"/>
    <s v="081025-RE"/>
    <s v=""/>
    <s v="11:28:22"/>
    <s v="SONGPCHI"/>
    <s v="0001"/>
    <s v=""/>
    <s v="0000"/>
    <s v=""/>
    <s v="0000000000"/>
    <s v=""/>
    <s v=""/>
    <s v=""/>
    <s v="51003100"/>
    <s v=""/>
    <s v=""/>
    <s v=""/>
    <s v="2000109756"/>
    <m/>
    <s v="BAG"/>
    <n v="-2"/>
    <n v="-348.04"/>
    <d v="2025-12-15T00:00:00"/>
    <d v="2025-12-15T00:00:00"/>
    <m/>
    <d v="2025-12-15T00:00:00"/>
    <n v="-1000"/>
    <s v=""/>
    <x v="0"/>
    <s v="ต้นทุนขาย"/>
    <m/>
    <n v="174.02"/>
  </r>
  <r>
    <x v="4"/>
    <x v="4"/>
    <s v="0329"/>
    <x v="0"/>
    <s v="GD goods issue:delvy"/>
    <s v="4924177801"/>
    <s v="P009"/>
    <s v="RE-170625"/>
    <s v=""/>
    <s v="11:31:40"/>
    <s v="SONGPCHI"/>
    <s v="0001"/>
    <s v=""/>
    <s v="0000"/>
    <s v=""/>
    <s v="0000000000"/>
    <s v=""/>
    <s v=""/>
    <s v=""/>
    <s v="51003100"/>
    <s v=""/>
    <s v=""/>
    <s v=""/>
    <s v="2000109757"/>
    <m/>
    <s v="BAG"/>
    <n v="-2"/>
    <n v="-148.44"/>
    <d v="2025-12-15T00:00:00"/>
    <d v="2025-12-15T00:00:00"/>
    <m/>
    <d v="2025-12-15T00:00:00"/>
    <n v="-500"/>
    <s v=""/>
    <x v="1"/>
    <s v="ต้นทุนขาย"/>
    <m/>
    <n v="74.22"/>
  </r>
  <r>
    <x v="3"/>
    <x v="3"/>
    <s v="0328"/>
    <x v="0"/>
    <s v="GD goods issue:delvy"/>
    <s v="4924177810"/>
    <s v="P004"/>
    <s v="081025-RE"/>
    <s v=""/>
    <s v="11:33:30"/>
    <s v="SONGPCHI"/>
    <s v="0001"/>
    <s v=""/>
    <s v="0000"/>
    <s v=""/>
    <s v="0000000000"/>
    <s v=""/>
    <s v=""/>
    <s v=""/>
    <s v="51003100"/>
    <s v=""/>
    <s v=""/>
    <s v=""/>
    <s v="2000109758"/>
    <m/>
    <s v="BAG"/>
    <n v="-1"/>
    <n v="-181.18"/>
    <d v="2025-12-15T00:00:00"/>
    <d v="2025-12-15T00:00:00"/>
    <m/>
    <d v="2025-12-15T00:00:00"/>
    <n v="-500"/>
    <s v=""/>
    <x v="0"/>
    <s v="ต้นทุนขาย"/>
    <m/>
    <n v="181.18"/>
  </r>
  <r>
    <x v="3"/>
    <x v="3"/>
    <s v="0328"/>
    <x v="6"/>
    <s v="GI for cost center"/>
    <s v="4924178085"/>
    <s v="P004"/>
    <s v="081025-RE"/>
    <s v=""/>
    <s v="11:39:37"/>
    <s v="THANAWIS"/>
    <s v="0001"/>
    <s v=""/>
    <s v="0000"/>
    <s v=""/>
    <s v="0142634108"/>
    <s v=""/>
    <s v="เบิกเพื่อเป็นของที่ระลึกในงานสมาคมเจ้าพระยา"/>
    <s v="405045"/>
    <s v="66001000"/>
    <s v=""/>
    <s v=""/>
    <s v=""/>
    <s v=""/>
    <m/>
    <s v="BAG"/>
    <n v="-50"/>
    <n v="-9059"/>
    <d v="2025-12-15T00:00:00"/>
    <d v="2025-12-15T00:00:00"/>
    <m/>
    <d v="2025-12-15T00:00:00"/>
    <n v="-25000"/>
    <s v=""/>
    <x v="0"/>
    <s v="วัสดุสิ้นเปลือง"/>
    <m/>
    <n v="181.18"/>
  </r>
  <r>
    <x v="13"/>
    <x v="13"/>
    <s v="0328"/>
    <x v="7"/>
    <s v="GI for order"/>
    <s v="4924180851"/>
    <s v="P002"/>
    <s v="280825-BBB"/>
    <s v="302000000143"/>
    <s v="13:35:04"/>
    <s v="JURASDOK"/>
    <s v="0002"/>
    <s v=""/>
    <s v="0000"/>
    <s v=""/>
    <s v="0142646919"/>
    <s v=""/>
    <s v=""/>
    <s v=""/>
    <s v="53001003"/>
    <s v=""/>
    <s v=""/>
    <s v=""/>
    <s v=""/>
    <m/>
    <s v="KG"/>
    <n v="-616.96400000000006"/>
    <n v="-164618.32999999999"/>
    <d v="2025-12-15T00:00:00"/>
    <d v="2025-12-03T00:00:00"/>
    <m/>
    <d v="2025-12-15T00:00:00"/>
    <n v="-616964"/>
    <s v="302"/>
    <x v="4"/>
    <s v="ต้นทุนผลิตกึ่งสำเร็จ"/>
    <m/>
    <n v="266.81999273863624"/>
  </r>
  <r>
    <x v="13"/>
    <x v="13"/>
    <s v="0328"/>
    <x v="7"/>
    <s v="GI for order"/>
    <s v="4924180851"/>
    <s v="P002"/>
    <s v="251202-BBB"/>
    <s v="302000000143"/>
    <s v="13:35:04"/>
    <s v="JURASDOK"/>
    <s v="0005"/>
    <s v=""/>
    <s v="0000"/>
    <s v=""/>
    <s v="0000000000"/>
    <s v=""/>
    <s v="เมล็ดกาแฟ Clean Arabica Size S&amp;M"/>
    <s v=""/>
    <s v="53001003"/>
    <s v=""/>
    <s v=""/>
    <s v=""/>
    <s v=""/>
    <m/>
    <s v="KG"/>
    <n v="-613.75599999999997"/>
    <n v="-163762.38"/>
    <d v="2025-12-15T00:00:00"/>
    <d v="2025-12-03T00:00:00"/>
    <m/>
    <d v="2025-12-15T00:00:00"/>
    <n v="-613756"/>
    <s v="302"/>
    <x v="4"/>
    <s v="ต้นทุนผลิตกึ่งสำเร็จ"/>
    <m/>
    <n v="266.82000664759289"/>
  </r>
  <r>
    <x v="14"/>
    <x v="14"/>
    <s v="0328"/>
    <x v="7"/>
    <s v="GI for order"/>
    <s v="4924180851"/>
    <s v="P002"/>
    <s v="251209-BBB"/>
    <s v="302000000143"/>
    <s v="13:35:04"/>
    <s v="JURASDOK"/>
    <s v="0006"/>
    <s v=""/>
    <s v="0000"/>
    <s v=""/>
    <s v="0000000000"/>
    <s v=""/>
    <s v="เมล็ดกาแฟ Clean Arabica Size L"/>
    <s v=""/>
    <s v="53001003"/>
    <s v=""/>
    <s v=""/>
    <s v=""/>
    <s v=""/>
    <m/>
    <s v="KG"/>
    <n v="-4521.3"/>
    <n v="-1206373.27"/>
    <d v="2025-12-15T00:00:00"/>
    <d v="2025-12-03T00:00:00"/>
    <m/>
    <d v="2025-12-15T00:00:00"/>
    <n v="-4521300"/>
    <s v="302"/>
    <x v="4"/>
    <s v="ต้นทุนผลิตกึ่งสำเร็จ"/>
    <m/>
    <n v="266.8200008847013"/>
  </r>
  <r>
    <x v="14"/>
    <x v="14"/>
    <s v="0328"/>
    <x v="7"/>
    <s v="GI for order"/>
    <s v="4924180851"/>
    <s v="P002"/>
    <s v="251202-BBB"/>
    <s v="302000000143"/>
    <s v="13:35:04"/>
    <s v="JURASDOK"/>
    <s v="0003"/>
    <s v=""/>
    <s v="0000"/>
    <s v=""/>
    <s v="0142646919"/>
    <s v=""/>
    <s v=""/>
    <s v=""/>
    <s v="53001003"/>
    <s v=""/>
    <s v=""/>
    <s v=""/>
    <s v=""/>
    <m/>
    <s v="KG"/>
    <n v="-397.2"/>
    <n v="-105980.9"/>
    <d v="2025-12-15T00:00:00"/>
    <d v="2025-12-03T00:00:00"/>
    <m/>
    <d v="2025-12-15T00:00:00"/>
    <n v="-397200"/>
    <s v="302"/>
    <x v="4"/>
    <s v="ต้นทุนผลิตกึ่งสำเร็จ"/>
    <m/>
    <n v="266.81998992950656"/>
  </r>
  <r>
    <x v="15"/>
    <x v="15"/>
    <s v="0328"/>
    <x v="7"/>
    <s v="GI for order"/>
    <s v="4924180851"/>
    <s v="P002"/>
    <s v="251126-TTW"/>
    <s v="302000000143"/>
    <s v="13:35:04"/>
    <s v="JURASDOK"/>
    <s v="0004"/>
    <s v=""/>
    <s v="0000"/>
    <s v=""/>
    <s v="0142646919"/>
    <s v=""/>
    <s v=""/>
    <s v=""/>
    <s v="53001003"/>
    <s v=""/>
    <s v=""/>
    <s v=""/>
    <s v=""/>
    <m/>
    <s v="KG"/>
    <n v="-85.2"/>
    <n v="-17451.52"/>
    <d v="2025-12-15T00:00:00"/>
    <d v="2025-12-03T00:00:00"/>
    <m/>
    <d v="2025-12-15T00:00:00"/>
    <n v="-85200"/>
    <s v="302"/>
    <x v="4"/>
    <s v="ต้นทุนผลิตกึ่งสำเร็จ"/>
    <m/>
    <n v="204.8300469483568"/>
  </r>
  <r>
    <x v="15"/>
    <x v="15"/>
    <s v="0328"/>
    <x v="7"/>
    <s v="GI for order"/>
    <s v="4924180851"/>
    <s v="P002"/>
    <s v="251202-TTW"/>
    <s v="302000000143"/>
    <s v="13:35:04"/>
    <s v="JURASDOK"/>
    <s v="0007"/>
    <s v=""/>
    <s v="0000"/>
    <s v=""/>
    <s v="0000000000"/>
    <s v=""/>
    <s v="เมล็ดกาแฟ Clean Robusta Size mix"/>
    <s v=""/>
    <s v="53001003"/>
    <s v=""/>
    <s v=""/>
    <s v=""/>
    <s v=""/>
    <m/>
    <s v="KG"/>
    <n v="-1451.34"/>
    <n v="-297277.96999999997"/>
    <d v="2025-12-15T00:00:00"/>
    <d v="2025-12-03T00:00:00"/>
    <m/>
    <d v="2025-12-15T00:00:00"/>
    <n v="-1451340"/>
    <s v="302"/>
    <x v="4"/>
    <s v="ต้นทุนผลิตกึ่งสำเร็จ"/>
    <m/>
    <n v="204.82999848415946"/>
  </r>
  <r>
    <x v="16"/>
    <x v="16"/>
    <s v="0328"/>
    <x v="8"/>
    <s v="GR for order"/>
    <s v="4924180851"/>
    <s v="P003"/>
    <s v="031225-B/T"/>
    <s v="302000000143"/>
    <s v="13:35:04"/>
    <s v="JURASDOK"/>
    <s v="0001"/>
    <s v=""/>
    <s v="0000"/>
    <s v=""/>
    <s v="0000000000"/>
    <s v=""/>
    <s v=""/>
    <s v=""/>
    <s v="53001004"/>
    <s v=""/>
    <s v=""/>
    <s v=""/>
    <s v=""/>
    <m/>
    <s v="KG"/>
    <n v="6201.46"/>
    <n v="2068062.88"/>
    <d v="2025-12-15T00:00:00"/>
    <d v="2025-12-03T00:00:00"/>
    <m/>
    <d v="2025-12-15T00:00:00"/>
    <n v="6201460"/>
    <s v="302"/>
    <x v="4"/>
    <s v="ต้นทุนผลิตโอน Semi"/>
    <m/>
    <n v="333.47999987099809"/>
  </r>
  <r>
    <x v="16"/>
    <x v="16"/>
    <s v="0328"/>
    <x v="7"/>
    <s v="GI for order"/>
    <s v="4924180856"/>
    <s v="P003"/>
    <s v="031225-B/T"/>
    <s v="303000000144"/>
    <s v="13:39:58"/>
    <s v="JURASDOK"/>
    <s v="0002"/>
    <s v=""/>
    <s v="0000"/>
    <s v=""/>
    <s v="0142647420"/>
    <s v=""/>
    <s v=""/>
    <s v=""/>
    <s v="53001003"/>
    <s v=""/>
    <s v=""/>
    <s v=""/>
    <s v=""/>
    <m/>
    <s v="KG"/>
    <n v="-6201.46"/>
    <n v="-2068062.88"/>
    <d v="2025-12-15T00:00:00"/>
    <d v="2025-12-03T00:00:00"/>
    <m/>
    <d v="2025-12-15T00:00:00"/>
    <n v="-6201460"/>
    <s v="303"/>
    <x v="4"/>
    <s v="ต้นทุนผลิตกึ่งสำเร็จ"/>
    <m/>
    <n v="333.47999987099809"/>
  </r>
  <r>
    <x v="5"/>
    <x v="5"/>
    <s v="0328"/>
    <x v="7"/>
    <s v="GI for order"/>
    <s v="4924180856"/>
    <s v="P003"/>
    <s v="04062025"/>
    <s v="303000000144"/>
    <s v="13:39:58"/>
    <s v="JURASDOK"/>
    <s v="0003"/>
    <s v=""/>
    <s v="0000"/>
    <s v=""/>
    <s v="0142647420"/>
    <s v=""/>
    <s v=""/>
    <s v=""/>
    <s v="53003000"/>
    <s v=""/>
    <s v=""/>
    <s v=""/>
    <s v=""/>
    <m/>
    <s v="PC"/>
    <n v="-12810"/>
    <n v="-11720.26"/>
    <d v="2025-12-15T00:00:00"/>
    <d v="2025-12-03T00:00:00"/>
    <m/>
    <d v="2025-12-15T00:00:00"/>
    <n v="-12810"/>
    <s v="303"/>
    <x v="2"/>
    <s v="ต้นทุนผลิตหีบห่อ"/>
    <m/>
    <n v="0.91493052302888367"/>
  </r>
  <r>
    <x v="6"/>
    <x v="6"/>
    <s v="0328"/>
    <x v="7"/>
    <s v="GI for order"/>
    <s v="4924180856"/>
    <s v="P003"/>
    <s v="08112025"/>
    <s v="303000000144"/>
    <s v="13:39:58"/>
    <s v="JURASDOK"/>
    <s v="0004"/>
    <s v=""/>
    <s v="0000"/>
    <s v=""/>
    <s v="0142647420"/>
    <s v=""/>
    <s v=""/>
    <s v=""/>
    <s v="53003000"/>
    <s v=""/>
    <s v=""/>
    <s v=""/>
    <s v=""/>
    <m/>
    <s v="PC"/>
    <n v="-12810"/>
    <n v="-21990.5"/>
    <d v="2025-12-15T00:00:00"/>
    <d v="2025-12-03T00:00:00"/>
    <m/>
    <d v="2025-12-15T00:00:00"/>
    <n v="-12810"/>
    <s v="303"/>
    <x v="2"/>
    <s v="ต้นทุนผลิตหีบห่อ"/>
    <m/>
    <n v="1.7166666666666666"/>
  </r>
  <r>
    <x v="7"/>
    <x v="7"/>
    <s v="0328"/>
    <x v="7"/>
    <s v="GI for order"/>
    <s v="4924180856"/>
    <s v="P003"/>
    <s v="20251121"/>
    <s v="303000000144"/>
    <s v="13:39:58"/>
    <s v="JURASDOK"/>
    <s v="0005"/>
    <s v=""/>
    <s v="0000"/>
    <s v=""/>
    <s v="0142647420"/>
    <s v=""/>
    <s v=""/>
    <s v=""/>
    <s v="53003000"/>
    <s v=""/>
    <s v=""/>
    <s v=""/>
    <s v=""/>
    <m/>
    <s v="PC"/>
    <n v="-2075"/>
    <n v="-10375"/>
    <d v="2025-12-15T00:00:00"/>
    <d v="2025-12-03T00:00:00"/>
    <m/>
    <d v="2025-12-15T00:00:00"/>
    <n v="-2075"/>
    <s v="303"/>
    <x v="2"/>
    <s v="ต้นทุนผลิตหีบห่อ"/>
    <m/>
    <n v="5"/>
  </r>
  <r>
    <x v="2"/>
    <x v="2"/>
    <s v="0328"/>
    <x v="8"/>
    <s v="GR for order"/>
    <s v="4924180856"/>
    <s v="M001"/>
    <s v="011203-B/T"/>
    <s v="303000000144"/>
    <s v="13:39:58"/>
    <s v="JURASDOK"/>
    <s v="0001"/>
    <s v=""/>
    <s v="0000"/>
    <s v=""/>
    <s v="0000000000"/>
    <s v=""/>
    <s v=""/>
    <s v=""/>
    <s v="53001001"/>
    <s v=""/>
    <s v=""/>
    <s v=""/>
    <s v=""/>
    <m/>
    <s v="BAG"/>
    <n v="12390"/>
    <n v="2152143"/>
    <d v="2025-12-15T00:00:00"/>
    <d v="2025-12-03T00:00:00"/>
    <m/>
    <d v="2025-12-15T00:00:00"/>
    <n v="6195000"/>
    <s v="303"/>
    <x v="0"/>
    <s v="ต้นทุนผลิตโอน F/G"/>
    <m/>
    <n v="173.7"/>
  </r>
  <r>
    <x v="13"/>
    <x v="13"/>
    <s v="0328"/>
    <x v="7"/>
    <s v="GI for order"/>
    <s v="4924181203"/>
    <s v="P002"/>
    <s v="251202-BBB"/>
    <s v="302000000144"/>
    <s v="13:45:45"/>
    <s v="JURASDOK"/>
    <s v="0002"/>
    <s v=""/>
    <s v="0000"/>
    <s v=""/>
    <s v="0142647489"/>
    <s v=""/>
    <s v=""/>
    <s v=""/>
    <s v="53001003"/>
    <s v=""/>
    <s v=""/>
    <s v=""/>
    <s v=""/>
    <m/>
    <s v="KG"/>
    <n v="-77.98"/>
    <n v="-20806.62"/>
    <d v="2025-12-15T00:00:00"/>
    <d v="2025-12-04T00:00:00"/>
    <m/>
    <d v="2025-12-15T00:00:00"/>
    <n v="-77980"/>
    <s v="302"/>
    <x v="4"/>
    <s v="ต้นทุนผลิตกึ่งสำเร็จ"/>
    <m/>
    <n v="266.81995383431649"/>
  </r>
  <r>
    <x v="14"/>
    <x v="14"/>
    <s v="0328"/>
    <x v="7"/>
    <s v="GI for order"/>
    <s v="4924181203"/>
    <s v="P002"/>
    <s v="251209-BBB"/>
    <s v="302000000144"/>
    <s v="13:45:45"/>
    <s v="JURASDOK"/>
    <s v="0003"/>
    <s v=""/>
    <s v="0000"/>
    <s v=""/>
    <s v="0142647489"/>
    <s v=""/>
    <s v=""/>
    <s v=""/>
    <s v="53001003"/>
    <s v=""/>
    <s v=""/>
    <s v=""/>
    <s v=""/>
    <m/>
    <s v="KG"/>
    <n v="-7986.02"/>
    <n v="-2130829.86"/>
    <d v="2025-12-15T00:00:00"/>
    <d v="2025-12-04T00:00:00"/>
    <m/>
    <d v="2025-12-15T00:00:00"/>
    <n v="-7986020"/>
    <s v="302"/>
    <x v="4"/>
    <s v="ต้นทุนผลิตกึ่งสำเร็จ"/>
    <m/>
    <n v="266.82000045078775"/>
  </r>
  <r>
    <x v="15"/>
    <x v="15"/>
    <s v="0328"/>
    <x v="7"/>
    <s v="GI for order"/>
    <s v="4924181203"/>
    <s v="P002"/>
    <s v="251202-TTW"/>
    <s v="302000000144"/>
    <s v="13:45:45"/>
    <s v="JURASDOK"/>
    <s v="0004"/>
    <s v=""/>
    <s v="0000"/>
    <s v=""/>
    <s v="0142647489"/>
    <s v=""/>
    <s v=""/>
    <s v=""/>
    <s v="53001003"/>
    <s v=""/>
    <s v=""/>
    <s v=""/>
    <s v=""/>
    <m/>
    <s v="KG"/>
    <n v="-2016"/>
    <n v="-412937.28"/>
    <d v="2025-12-15T00:00:00"/>
    <d v="2025-12-04T00:00:00"/>
    <m/>
    <d v="2025-12-15T00:00:00"/>
    <n v="-2016000"/>
    <s v="302"/>
    <x v="4"/>
    <s v="ต้นทุนผลิตกึ่งสำเร็จ"/>
    <m/>
    <n v="204.83"/>
  </r>
  <r>
    <x v="16"/>
    <x v="16"/>
    <s v="0328"/>
    <x v="8"/>
    <s v="GR for order"/>
    <s v="4924181203"/>
    <s v="P003"/>
    <s v="041225-B/T"/>
    <s v="302000000144"/>
    <s v="13:45:45"/>
    <s v="JURASDOK"/>
    <s v="0001"/>
    <s v=""/>
    <s v="0000"/>
    <s v=""/>
    <s v="0000000000"/>
    <s v=""/>
    <s v=""/>
    <s v=""/>
    <s v="53001004"/>
    <s v=""/>
    <s v=""/>
    <s v=""/>
    <s v=""/>
    <m/>
    <s v="KG"/>
    <n v="8081.82"/>
    <n v="2695125.33"/>
    <d v="2025-12-15T00:00:00"/>
    <d v="2025-12-04T00:00:00"/>
    <m/>
    <d v="2025-12-15T00:00:00"/>
    <n v="8081820"/>
    <s v="302"/>
    <x v="4"/>
    <s v="ต้นทุนผลิตโอน Semi"/>
    <m/>
    <n v="333.47999955455577"/>
  </r>
  <r>
    <x v="5"/>
    <x v="5"/>
    <s v="0328"/>
    <x v="2"/>
    <s v="TF trfr within plant"/>
    <s v="4924181995"/>
    <s v="M003"/>
    <s v="04062025"/>
    <s v=""/>
    <s v="14:07:40"/>
    <s v="JURASDOK"/>
    <s v="0001"/>
    <s v=""/>
    <s v="0000"/>
    <s v=""/>
    <s v="0000000000"/>
    <s v=""/>
    <s v=""/>
    <s v=""/>
    <s v=""/>
    <s v=""/>
    <s v=""/>
    <s v=""/>
    <s v=""/>
    <m/>
    <s v="PC"/>
    <n v="-30000"/>
    <n v="0"/>
    <d v="2025-12-04T00:00:00"/>
    <d v="2025-12-04T00:00:00"/>
    <m/>
    <d v="2025-12-15T00:00:00"/>
    <n v="-30000"/>
    <s v=""/>
    <x v="2"/>
    <e v="#N/A"/>
    <m/>
    <n v="0"/>
  </r>
  <r>
    <x v="5"/>
    <x v="5"/>
    <s v="0328"/>
    <x v="2"/>
    <s v="TF trfr within plant"/>
    <s v="4924181995"/>
    <s v="P003"/>
    <s v="04062025"/>
    <s v=""/>
    <s v="14:07:40"/>
    <s v="JURASDOK"/>
    <s v="0002"/>
    <s v=""/>
    <s v="0000"/>
    <s v=""/>
    <s v="0000000000"/>
    <s v=""/>
    <s v=""/>
    <s v=""/>
    <s v=""/>
    <s v=""/>
    <s v=""/>
    <s v=""/>
    <s v=""/>
    <m/>
    <s v="PC"/>
    <n v="30000"/>
    <n v="0"/>
    <d v="2025-12-04T00:00:00"/>
    <d v="2025-12-04T00:00:00"/>
    <m/>
    <d v="2025-12-15T00:00:00"/>
    <n v="30000"/>
    <s v=""/>
    <x v="2"/>
    <e v="#N/A"/>
    <m/>
    <n v="0"/>
  </r>
  <r>
    <x v="16"/>
    <x v="16"/>
    <s v="0328"/>
    <x v="7"/>
    <s v="GI for order"/>
    <s v="4924182000"/>
    <s v="P003"/>
    <s v="041225-B/T"/>
    <s v="303000000145"/>
    <s v="14:08:49"/>
    <s v="JURASDOK"/>
    <s v="0002"/>
    <s v=""/>
    <s v="0000"/>
    <s v=""/>
    <s v="0142647517"/>
    <s v=""/>
    <s v=""/>
    <s v=""/>
    <s v="53001003"/>
    <s v=""/>
    <s v=""/>
    <s v=""/>
    <s v=""/>
    <m/>
    <s v="KG"/>
    <n v="-8081.82"/>
    <n v="-2695125.33"/>
    <d v="2025-12-15T00:00:00"/>
    <d v="2025-12-04T00:00:00"/>
    <m/>
    <d v="2025-12-15T00:00:00"/>
    <n v="-8081820"/>
    <s v="303"/>
    <x v="4"/>
    <s v="ต้นทุนผลิตกึ่งสำเร็จ"/>
    <m/>
    <n v="333.47999955455577"/>
  </r>
  <r>
    <x v="5"/>
    <x v="5"/>
    <s v="0328"/>
    <x v="7"/>
    <s v="GI for order"/>
    <s v="4924182000"/>
    <s v="P003"/>
    <s v="04062025"/>
    <s v="303000000145"/>
    <s v="14:08:49"/>
    <s v="JURASDOK"/>
    <s v="0003"/>
    <s v=""/>
    <s v="0000"/>
    <s v=""/>
    <s v="0142647517"/>
    <s v=""/>
    <s v=""/>
    <s v=""/>
    <s v="53003000"/>
    <s v=""/>
    <s v=""/>
    <s v=""/>
    <s v=""/>
    <m/>
    <s v="PC"/>
    <n v="-16293"/>
    <n v="-14906.96"/>
    <d v="2025-12-15T00:00:00"/>
    <d v="2025-12-04T00:00:00"/>
    <m/>
    <d v="2025-12-15T00:00:00"/>
    <n v="-16293"/>
    <s v="303"/>
    <x v="2"/>
    <s v="ต้นทุนผลิตหีบห่อ"/>
    <m/>
    <n v="0.91493033818204128"/>
  </r>
  <r>
    <x v="6"/>
    <x v="6"/>
    <s v="0328"/>
    <x v="7"/>
    <s v="GI for order"/>
    <s v="4924182000"/>
    <s v="P003"/>
    <s v="08112025"/>
    <s v="303000000145"/>
    <s v="14:08:49"/>
    <s v="JURASDOK"/>
    <s v="0004"/>
    <s v=""/>
    <s v="0000"/>
    <s v=""/>
    <s v="0142647517"/>
    <s v=""/>
    <s v=""/>
    <s v=""/>
    <s v="53003000"/>
    <s v=""/>
    <s v=""/>
    <s v=""/>
    <s v=""/>
    <m/>
    <s v="PC"/>
    <n v="-16293"/>
    <n v="-27969.65"/>
    <d v="2025-12-15T00:00:00"/>
    <d v="2025-12-04T00:00:00"/>
    <m/>
    <d v="2025-12-15T00:00:00"/>
    <n v="-16293"/>
    <s v="303"/>
    <x v="2"/>
    <s v="ต้นทุนผลิตหีบห่อ"/>
    <m/>
    <n v="1.7166666666666668"/>
  </r>
  <r>
    <x v="7"/>
    <x v="7"/>
    <s v="0328"/>
    <x v="7"/>
    <s v="GI for order"/>
    <s v="4924182000"/>
    <s v="P003"/>
    <s v="20251121"/>
    <s v="303000000145"/>
    <s v="14:08:49"/>
    <s v="JURASDOK"/>
    <s v="0005"/>
    <s v=""/>
    <s v="0000"/>
    <s v=""/>
    <s v="0142647517"/>
    <s v=""/>
    <s v=""/>
    <s v=""/>
    <s v="53003000"/>
    <s v=""/>
    <s v=""/>
    <s v=""/>
    <s v=""/>
    <m/>
    <s v="PC"/>
    <n v="-2714"/>
    <n v="-13570"/>
    <d v="2025-12-15T00:00:00"/>
    <d v="2025-12-04T00:00:00"/>
    <m/>
    <d v="2025-12-15T00:00:00"/>
    <n v="-2714"/>
    <s v="303"/>
    <x v="2"/>
    <s v="ต้นทุนผลิตหีบห่อ"/>
    <m/>
    <n v="5"/>
  </r>
  <r>
    <x v="2"/>
    <x v="2"/>
    <s v="0328"/>
    <x v="8"/>
    <s v="GR for order"/>
    <s v="4924182000"/>
    <s v="M001"/>
    <s v="011204-B/T"/>
    <s v="303000000145"/>
    <s v="14:08:49"/>
    <s v="JURASDOK"/>
    <s v="0001"/>
    <s v=""/>
    <s v="0000"/>
    <s v=""/>
    <s v="0000000000"/>
    <s v=""/>
    <s v=""/>
    <s v=""/>
    <s v="53001001"/>
    <s v=""/>
    <s v=""/>
    <s v=""/>
    <s v=""/>
    <m/>
    <s v="BAG"/>
    <n v="16141"/>
    <n v="2803691.7"/>
    <d v="2025-12-15T00:00:00"/>
    <d v="2025-12-04T00:00:00"/>
    <m/>
    <d v="2025-12-15T00:00:00"/>
    <n v="8070500"/>
    <s v="303"/>
    <x v="0"/>
    <s v="ต้นทุนผลิตโอน F/G"/>
    <m/>
    <n v="173.70000000000002"/>
  </r>
  <r>
    <x v="14"/>
    <x v="14"/>
    <s v="0328"/>
    <x v="7"/>
    <s v="GI for order"/>
    <s v="4924182256"/>
    <s v="P002"/>
    <s v="251209-BBB"/>
    <s v="302000000145"/>
    <s v="14:15:31"/>
    <s v="JURASDOK"/>
    <s v="0002"/>
    <s v=""/>
    <s v="0000"/>
    <s v=""/>
    <s v="0142650027"/>
    <s v=""/>
    <s v=""/>
    <s v=""/>
    <s v="53001003"/>
    <s v=""/>
    <s v=""/>
    <s v=""/>
    <s v=""/>
    <m/>
    <s v="KG"/>
    <n v="-8256"/>
    <n v="-2202865.92"/>
    <d v="2025-12-15T00:00:00"/>
    <d v="2025-12-08T00:00:00"/>
    <m/>
    <d v="2025-12-15T00:00:00"/>
    <n v="-8256000"/>
    <s v="302"/>
    <x v="4"/>
    <s v="ต้นทุนผลิตกึ่งสำเร็จ"/>
    <m/>
    <n v="266.82"/>
  </r>
  <r>
    <x v="15"/>
    <x v="15"/>
    <s v="0328"/>
    <x v="7"/>
    <s v="GI for order"/>
    <s v="4924182256"/>
    <s v="P002"/>
    <s v="251202-TTW"/>
    <s v="302000000145"/>
    <s v="14:15:31"/>
    <s v="JURASDOK"/>
    <s v="0003"/>
    <s v=""/>
    <s v="0000"/>
    <s v=""/>
    <s v="0142650027"/>
    <s v=""/>
    <s v=""/>
    <s v=""/>
    <s v="53001003"/>
    <s v=""/>
    <s v=""/>
    <s v=""/>
    <s v=""/>
    <m/>
    <s v="KG"/>
    <n v="-2064"/>
    <n v="-422769.12"/>
    <d v="2025-12-15T00:00:00"/>
    <d v="2025-12-08T00:00:00"/>
    <m/>
    <d v="2025-12-15T00:00:00"/>
    <n v="-2064000"/>
    <s v="302"/>
    <x v="4"/>
    <s v="ต้นทุนผลิตกึ่งสำเร็จ"/>
    <m/>
    <n v="204.82999999999998"/>
  </r>
  <r>
    <x v="16"/>
    <x v="16"/>
    <s v="0328"/>
    <x v="8"/>
    <s v="GR for order"/>
    <s v="4924182256"/>
    <s v="P003"/>
    <s v="081225-B/T"/>
    <s v="302000000145"/>
    <s v="14:15:31"/>
    <s v="JURASDOK"/>
    <s v="0001"/>
    <s v=""/>
    <s v="0000"/>
    <s v=""/>
    <s v="0000000000"/>
    <s v=""/>
    <s v=""/>
    <s v=""/>
    <s v="53001004"/>
    <s v=""/>
    <s v=""/>
    <s v=""/>
    <s v=""/>
    <m/>
    <s v="KG"/>
    <n v="8408.98"/>
    <n v="2804226.65"/>
    <d v="2025-12-15T00:00:00"/>
    <d v="2025-12-08T00:00:00"/>
    <m/>
    <d v="2025-12-15T00:00:00"/>
    <n v="8408980"/>
    <s v="302"/>
    <x v="4"/>
    <s v="ต้นทุนผลิตโอน Semi"/>
    <m/>
    <n v="333.4799999524318"/>
  </r>
  <r>
    <x v="7"/>
    <x v="7"/>
    <s v="0328"/>
    <x v="2"/>
    <s v="TF trfr within plant"/>
    <s v="4924182458"/>
    <s v="P003"/>
    <s v="20251121"/>
    <s v=""/>
    <s v="14:23:04"/>
    <s v="JURASDOK"/>
    <s v="0002"/>
    <s v=""/>
    <s v="0000"/>
    <s v=""/>
    <s v="0000000000"/>
    <s v=""/>
    <s v=""/>
    <s v=""/>
    <s v=""/>
    <s v=""/>
    <s v=""/>
    <s v=""/>
    <s v=""/>
    <m/>
    <s v="PC"/>
    <n v="7112"/>
    <n v="0"/>
    <d v="2025-12-08T00:00:00"/>
    <d v="2025-12-08T00:00:00"/>
    <m/>
    <d v="2025-12-15T00:00:00"/>
    <n v="7112"/>
    <s v=""/>
    <x v="2"/>
    <e v="#N/A"/>
    <m/>
    <n v="0"/>
  </r>
  <r>
    <x v="7"/>
    <x v="7"/>
    <s v="0328"/>
    <x v="2"/>
    <s v="TF trfr within plant"/>
    <s v="4924182458"/>
    <s v="M003"/>
    <s v="20251121"/>
    <s v=""/>
    <s v="14:23:04"/>
    <s v="JURASDOK"/>
    <s v="0001"/>
    <s v=""/>
    <s v="0000"/>
    <s v=""/>
    <s v="0000000000"/>
    <s v=""/>
    <s v=""/>
    <s v=""/>
    <s v=""/>
    <s v=""/>
    <s v=""/>
    <s v=""/>
    <s v=""/>
    <m/>
    <s v="PC"/>
    <n v="-7112"/>
    <n v="0"/>
    <d v="2025-12-08T00:00:00"/>
    <d v="2025-12-08T00:00:00"/>
    <m/>
    <d v="2025-12-15T00:00:00"/>
    <n v="-7112"/>
    <s v=""/>
    <x v="2"/>
    <e v="#N/A"/>
    <m/>
    <n v="0"/>
  </r>
  <r>
    <x v="16"/>
    <x v="16"/>
    <s v="0328"/>
    <x v="7"/>
    <s v="GI for order"/>
    <s v="4924182460"/>
    <s v="P003"/>
    <s v="081225-B/T"/>
    <s v="303000000146"/>
    <s v="14:24:07"/>
    <s v="JURASDOK"/>
    <s v="0002"/>
    <s v=""/>
    <s v="0000"/>
    <s v=""/>
    <s v="0142650163"/>
    <s v=""/>
    <s v=""/>
    <s v=""/>
    <s v="53001003"/>
    <s v=""/>
    <s v=""/>
    <s v=""/>
    <s v=""/>
    <m/>
    <s v="KG"/>
    <n v="-8408.98"/>
    <n v="-2804226.65"/>
    <d v="2025-12-15T00:00:00"/>
    <d v="2025-12-08T00:00:00"/>
    <m/>
    <d v="2025-12-15T00:00:00"/>
    <n v="-8408980"/>
    <s v="303"/>
    <x v="4"/>
    <s v="ต้นทุนผลิตกึ่งสำเร็จ"/>
    <m/>
    <n v="333.4799999524318"/>
  </r>
  <r>
    <x v="5"/>
    <x v="5"/>
    <s v="0328"/>
    <x v="7"/>
    <s v="GI for order"/>
    <s v="4924182460"/>
    <s v="P003"/>
    <s v="04062025"/>
    <s v="303000000146"/>
    <s v="14:24:07"/>
    <s v="JURASDOK"/>
    <s v="0003"/>
    <s v=""/>
    <s v="0000"/>
    <s v=""/>
    <s v="0142650163"/>
    <s v=""/>
    <s v=""/>
    <s v=""/>
    <s v="53003000"/>
    <s v=""/>
    <s v=""/>
    <s v=""/>
    <s v=""/>
    <m/>
    <s v="PC"/>
    <n v="-17542"/>
    <n v="-16049.71"/>
    <d v="2025-12-15T00:00:00"/>
    <d v="2025-12-08T00:00:00"/>
    <m/>
    <d v="2025-12-15T00:00:00"/>
    <n v="-17542"/>
    <s v="303"/>
    <x v="2"/>
    <s v="ต้นทุนผลิตหีบห่อ"/>
    <m/>
    <n v="0.91493045262797856"/>
  </r>
  <r>
    <x v="6"/>
    <x v="6"/>
    <s v="0328"/>
    <x v="7"/>
    <s v="GI for order"/>
    <s v="4924182460"/>
    <s v="P003"/>
    <s v="08112025"/>
    <s v="303000000146"/>
    <s v="14:24:07"/>
    <s v="JURASDOK"/>
    <s v="0004"/>
    <s v=""/>
    <s v="0000"/>
    <s v=""/>
    <s v="0142650163"/>
    <s v=""/>
    <s v=""/>
    <s v=""/>
    <s v="53003000"/>
    <s v=""/>
    <s v=""/>
    <s v=""/>
    <s v=""/>
    <m/>
    <s v="PC"/>
    <n v="-11202"/>
    <n v="-19230.099999999999"/>
    <d v="2025-12-15T00:00:00"/>
    <d v="2025-12-08T00:00:00"/>
    <m/>
    <d v="2025-12-15T00:00:00"/>
    <n v="-11202"/>
    <s v="303"/>
    <x v="2"/>
    <s v="ต้นทุนผลิตหีบห่อ"/>
    <m/>
    <n v="1.7166666666666666"/>
  </r>
  <r>
    <x v="6"/>
    <x v="6"/>
    <s v="0328"/>
    <x v="7"/>
    <s v="GI for order"/>
    <s v="4924182460"/>
    <s v="P003"/>
    <s v="20251201"/>
    <s v="303000000146"/>
    <s v="14:24:07"/>
    <s v="JURASDOK"/>
    <s v="0006"/>
    <s v=""/>
    <s v="0000"/>
    <s v=""/>
    <s v="0000000000"/>
    <s v=""/>
    <s v="Film roll All cafe500g.420mm*900m"/>
    <s v=""/>
    <s v="53003000"/>
    <s v=""/>
    <s v=""/>
    <s v=""/>
    <s v=""/>
    <m/>
    <s v="PC"/>
    <n v="-6340"/>
    <n v="-10883.67"/>
    <d v="2025-12-15T00:00:00"/>
    <d v="2025-12-08T00:00:00"/>
    <m/>
    <d v="2025-12-15T00:00:00"/>
    <n v="-6340"/>
    <s v="303"/>
    <x v="2"/>
    <s v="ต้นทุนผลิตหีบห่อ"/>
    <m/>
    <n v="1.716667192429022"/>
  </r>
  <r>
    <x v="7"/>
    <x v="7"/>
    <s v="0328"/>
    <x v="7"/>
    <s v="GI for order"/>
    <s v="4924182460"/>
    <s v="P003"/>
    <s v="20251121"/>
    <s v="303000000146"/>
    <s v="14:24:07"/>
    <s v="JURASDOK"/>
    <s v="0005"/>
    <s v=""/>
    <s v="0000"/>
    <s v=""/>
    <s v="0142650163"/>
    <s v=""/>
    <s v=""/>
    <s v=""/>
    <s v="53003000"/>
    <s v=""/>
    <s v=""/>
    <s v=""/>
    <s v=""/>
    <m/>
    <s v="PC"/>
    <n v="-2834"/>
    <n v="-14170"/>
    <d v="2025-12-15T00:00:00"/>
    <d v="2025-12-08T00:00:00"/>
    <m/>
    <d v="2025-12-15T00:00:00"/>
    <n v="-2834"/>
    <s v="303"/>
    <x v="2"/>
    <s v="ต้นทุนผลิตหีบห่อ"/>
    <m/>
    <n v="5"/>
  </r>
  <r>
    <x v="2"/>
    <x v="2"/>
    <s v="0328"/>
    <x v="8"/>
    <s v="GR for order"/>
    <s v="4924182460"/>
    <s v="M001"/>
    <s v="081201-B/T"/>
    <s v="303000000146"/>
    <s v="14:24:07"/>
    <s v="JURASDOK"/>
    <s v="0001"/>
    <s v=""/>
    <s v="0000"/>
    <s v=""/>
    <s v="0000000000"/>
    <s v=""/>
    <s v=""/>
    <s v=""/>
    <s v="53001001"/>
    <s v=""/>
    <s v=""/>
    <s v=""/>
    <s v=""/>
    <m/>
    <s v="BAG"/>
    <n v="16804"/>
    <n v="2918854.8"/>
    <d v="2025-12-15T00:00:00"/>
    <d v="2025-12-08T00:00:00"/>
    <m/>
    <d v="2025-12-15T00:00:00"/>
    <n v="8402000"/>
    <s v="303"/>
    <x v="0"/>
    <s v="ต้นทุนผลิตโอน F/G"/>
    <m/>
    <n v="173.7"/>
  </r>
  <r>
    <x v="1"/>
    <x v="1"/>
    <s v="0328"/>
    <x v="0"/>
    <s v="GD goods issue:delvy"/>
    <s v="4924182483"/>
    <s v="P004"/>
    <s v="301025-B"/>
    <s v=""/>
    <s v="14:24:55"/>
    <s v="TANANIMJ"/>
    <s v="0001"/>
    <s v=""/>
    <s v="0000"/>
    <s v=""/>
    <s v="0000000000"/>
    <s v=""/>
    <s v=""/>
    <s v=""/>
    <s v="51003100"/>
    <s v=""/>
    <s v=""/>
    <s v=""/>
    <s v="2000109763"/>
    <m/>
    <s v="BAG"/>
    <n v="-40"/>
    <n v="-6960.8"/>
    <d v="2025-12-15T00:00:00"/>
    <d v="2025-12-15T00:00:00"/>
    <m/>
    <d v="2025-12-15T00:00:00"/>
    <n v="-20000"/>
    <s v=""/>
    <x v="0"/>
    <s v="ต้นทุนขาย"/>
    <m/>
    <n v="174.02"/>
  </r>
  <r>
    <x v="14"/>
    <x v="14"/>
    <s v="0328"/>
    <x v="7"/>
    <s v="GI for order"/>
    <s v="4924182704"/>
    <s v="P002"/>
    <s v="251209-BBB"/>
    <s v="302000000146"/>
    <s v="14:30:28"/>
    <s v="JURASDOK"/>
    <s v="0002"/>
    <s v=""/>
    <s v="0000"/>
    <s v=""/>
    <s v="0142650309"/>
    <s v=""/>
    <s v=""/>
    <s v=""/>
    <s v="53001003"/>
    <s v=""/>
    <s v=""/>
    <s v=""/>
    <s v=""/>
    <m/>
    <s v="KG"/>
    <n v="-8832"/>
    <n v="-2356554.2400000002"/>
    <d v="2025-12-15T00:00:00"/>
    <d v="2025-12-09T00:00:00"/>
    <m/>
    <d v="2025-12-15T00:00:00"/>
    <n v="-8832000"/>
    <s v="302"/>
    <x v="4"/>
    <s v="ต้นทุนผลิตกึ่งสำเร็จ"/>
    <m/>
    <n v="266.82000000000005"/>
  </r>
  <r>
    <x v="16"/>
    <x v="16"/>
    <s v="0328"/>
    <x v="8"/>
    <s v="GR for order"/>
    <s v="4924182704"/>
    <s v="P003"/>
    <s v="091225-B/T"/>
    <s v="302000000146"/>
    <s v="14:30:28"/>
    <s v="JURASDOK"/>
    <s v="0001"/>
    <s v=""/>
    <s v="0000"/>
    <s v=""/>
    <s v="0000000000"/>
    <s v=""/>
    <s v=""/>
    <s v=""/>
    <s v="53001004"/>
    <s v=""/>
    <s v=""/>
    <s v=""/>
    <s v=""/>
    <m/>
    <s v="KG"/>
    <n v="8914.4699999999993"/>
    <n v="2972797.46"/>
    <d v="2025-12-15T00:00:00"/>
    <d v="2025-12-09T00:00:00"/>
    <m/>
    <d v="2025-12-15T00:00:00"/>
    <n v="8914470"/>
    <s v="302"/>
    <x v="4"/>
    <s v="ต้นทุนผลิตโอน Semi"/>
    <m/>
    <n v="333.48000049357955"/>
  </r>
  <r>
    <x v="2"/>
    <x v="2"/>
    <s v="0328"/>
    <x v="0"/>
    <s v="GD goods issue:delvy"/>
    <s v="4924182874"/>
    <s v="M001"/>
    <s v="011203-B/T"/>
    <s v=""/>
    <s v="14:37:15"/>
    <s v="JURASDOK"/>
    <s v="0001"/>
    <s v=""/>
    <s v="0000"/>
    <s v=""/>
    <s v="0000000000"/>
    <s v=""/>
    <s v=""/>
    <s v=""/>
    <s v="51003100"/>
    <s v=""/>
    <s v=""/>
    <s v=""/>
    <s v="2000109764"/>
    <m/>
    <s v="BOX"/>
    <n v="-1805"/>
    <n v="-1881171"/>
    <d v="2025-12-15T00:00:00"/>
    <d v="2025-12-15T00:00:00"/>
    <m/>
    <d v="2025-12-15T00:00:00"/>
    <n v="-5415000"/>
    <s v=""/>
    <x v="0"/>
    <s v="ต้นทุนขาย"/>
    <m/>
    <n v="1042.2"/>
  </r>
  <r>
    <x v="2"/>
    <x v="2"/>
    <s v="0328"/>
    <x v="0"/>
    <s v="GD goods issue:delvy"/>
    <s v="4924182874"/>
    <s v="M001"/>
    <s v="011202-B/T"/>
    <s v=""/>
    <s v="14:37:15"/>
    <s v="JURASDOK"/>
    <s v="0002"/>
    <s v=""/>
    <s v="0000"/>
    <s v=""/>
    <s v="0000000000"/>
    <s v=""/>
    <s v=""/>
    <s v=""/>
    <s v="51003100"/>
    <s v=""/>
    <s v=""/>
    <s v=""/>
    <s v="2000109764"/>
    <m/>
    <s v="BOX"/>
    <n v="-1029"/>
    <n v="-1072423.8"/>
    <d v="2025-12-15T00:00:00"/>
    <d v="2025-12-15T00:00:00"/>
    <m/>
    <d v="2025-12-15T00:00:00"/>
    <n v="-3087000"/>
    <s v=""/>
    <x v="0"/>
    <s v="ต้นทุนขาย"/>
    <m/>
    <n v="1042.2"/>
  </r>
  <r>
    <x v="2"/>
    <x v="2"/>
    <s v="0328"/>
    <x v="0"/>
    <s v="GD goods issue:delvy"/>
    <s v="4924182874"/>
    <s v="M001"/>
    <s v="111101-B/P"/>
    <s v=""/>
    <s v="14:37:15"/>
    <s v="JURASDOK"/>
    <s v="0003"/>
    <s v=""/>
    <s v="0000"/>
    <s v=""/>
    <s v="0000000000"/>
    <s v=""/>
    <s v=""/>
    <s v=""/>
    <s v="51003100"/>
    <s v=""/>
    <s v=""/>
    <s v=""/>
    <s v="2000109764"/>
    <m/>
    <s v="BOX"/>
    <n v="-46"/>
    <n v="-47941.2"/>
    <d v="2025-12-15T00:00:00"/>
    <d v="2025-12-15T00:00:00"/>
    <m/>
    <d v="2025-12-15T00:00:00"/>
    <n v="-138000"/>
    <s v=""/>
    <x v="0"/>
    <s v="ต้นทุนขาย"/>
    <m/>
    <n v="1042.2"/>
  </r>
  <r>
    <x v="2"/>
    <x v="2"/>
    <s v="0328"/>
    <x v="0"/>
    <s v="GD goods issue:delvy"/>
    <s v="4924182984"/>
    <s v="M001"/>
    <s v="011204-B/T"/>
    <s v=""/>
    <s v="14:41:11"/>
    <s v="JURASDOK"/>
    <s v="0001"/>
    <s v=""/>
    <s v="0000"/>
    <s v=""/>
    <s v="0000000000"/>
    <s v=""/>
    <s v=""/>
    <s v=""/>
    <s v="51003100"/>
    <s v=""/>
    <s v=""/>
    <s v=""/>
    <s v="2000109765"/>
    <m/>
    <s v="BOX"/>
    <n v="-1711"/>
    <n v="-1783204.2"/>
    <d v="2025-12-15T00:00:00"/>
    <d v="2025-12-15T00:00:00"/>
    <m/>
    <d v="2025-12-15T00:00:00"/>
    <n v="-5133000"/>
    <s v=""/>
    <x v="0"/>
    <s v="ต้นทุนขาย"/>
    <m/>
    <n v="1042.2"/>
  </r>
  <r>
    <x v="2"/>
    <x v="2"/>
    <s v="0328"/>
    <x v="0"/>
    <s v="GD goods issue:delvy"/>
    <s v="4924182984"/>
    <s v="M001"/>
    <s v="011203-B/T"/>
    <s v=""/>
    <s v="14:41:11"/>
    <s v="JURASDOK"/>
    <s v="0002"/>
    <s v=""/>
    <s v="0000"/>
    <s v=""/>
    <s v="0000000000"/>
    <s v=""/>
    <s v=""/>
    <s v=""/>
    <s v="51003100"/>
    <s v=""/>
    <s v=""/>
    <s v=""/>
    <s v="2000109765"/>
    <m/>
    <s v="BOX"/>
    <n v="-209"/>
    <n v="-217819.8"/>
    <d v="2025-12-15T00:00:00"/>
    <d v="2025-12-15T00:00:00"/>
    <m/>
    <d v="2025-12-15T00:00:00"/>
    <n v="-627000"/>
    <s v=""/>
    <x v="0"/>
    <s v="ต้นทุนขาย"/>
    <m/>
    <n v="1042.2"/>
  </r>
  <r>
    <x v="5"/>
    <x v="5"/>
    <s v="0328"/>
    <x v="2"/>
    <s v="TF trfr within plant"/>
    <s v="4924183818"/>
    <s v="P003"/>
    <s v="04062025"/>
    <s v=""/>
    <s v="15:05:01"/>
    <s v="SUTTISIT02"/>
    <s v="0006"/>
    <s v=""/>
    <s v="0000"/>
    <s v=""/>
    <s v="0000000000"/>
    <s v=""/>
    <s v=""/>
    <s v=""/>
    <s v=""/>
    <s v=""/>
    <s v=""/>
    <s v=""/>
    <s v=""/>
    <m/>
    <s v="PC"/>
    <n v="20000"/>
    <n v="0"/>
    <d v="2025-12-15T00:00:00"/>
    <d v="2025-12-15T00:00:00"/>
    <m/>
    <d v="2025-12-15T00:00:00"/>
    <n v="20000"/>
    <s v=""/>
    <x v="2"/>
    <e v="#N/A"/>
    <m/>
    <n v="0"/>
  </r>
  <r>
    <x v="5"/>
    <x v="5"/>
    <s v="0328"/>
    <x v="2"/>
    <s v="TF trfr within plant"/>
    <s v="4924183818"/>
    <s v="M003"/>
    <s v="04062025"/>
    <s v=""/>
    <s v="15:05:01"/>
    <s v="SUTTISIT02"/>
    <s v="0005"/>
    <s v=""/>
    <s v="0000"/>
    <s v=""/>
    <s v="0000000000"/>
    <s v=""/>
    <s v=""/>
    <s v=""/>
    <s v=""/>
    <s v=""/>
    <s v=""/>
    <s v=""/>
    <s v=""/>
    <m/>
    <s v="PC"/>
    <n v="-20000"/>
    <n v="0"/>
    <d v="2025-12-15T00:00:00"/>
    <d v="2025-12-15T00:00:00"/>
    <m/>
    <d v="2025-12-15T00:00:00"/>
    <n v="-20000"/>
    <s v=""/>
    <x v="2"/>
    <e v="#N/A"/>
    <m/>
    <n v="0"/>
  </r>
  <r>
    <x v="6"/>
    <x v="6"/>
    <s v="0328"/>
    <x v="2"/>
    <s v="TF trfr within plant"/>
    <s v="4924183818"/>
    <s v="M003"/>
    <s v="20251201"/>
    <s v=""/>
    <s v="15:05:01"/>
    <s v="SUTTISIT02"/>
    <s v="0003"/>
    <s v=""/>
    <s v="0000"/>
    <s v=""/>
    <s v="0000000000"/>
    <s v=""/>
    <s v=""/>
    <s v=""/>
    <s v=""/>
    <s v=""/>
    <s v=""/>
    <s v=""/>
    <s v=""/>
    <m/>
    <s v="PC"/>
    <n v="-18000"/>
    <n v="0"/>
    <d v="2025-12-15T00:00:00"/>
    <d v="2025-12-15T00:00:00"/>
    <m/>
    <d v="2025-12-15T00:00:00"/>
    <n v="-18000"/>
    <s v=""/>
    <x v="2"/>
    <e v="#N/A"/>
    <m/>
    <n v="0"/>
  </r>
  <r>
    <x v="6"/>
    <x v="6"/>
    <s v="0328"/>
    <x v="2"/>
    <s v="TF trfr within plant"/>
    <s v="4924183818"/>
    <s v="P003"/>
    <s v="20251201"/>
    <s v=""/>
    <s v="15:05:01"/>
    <s v="SUTTISIT02"/>
    <s v="0004"/>
    <s v=""/>
    <s v="0000"/>
    <s v=""/>
    <s v="0000000000"/>
    <s v=""/>
    <s v=""/>
    <s v=""/>
    <s v=""/>
    <s v=""/>
    <s v=""/>
    <s v=""/>
    <s v=""/>
    <m/>
    <s v="PC"/>
    <n v="18000"/>
    <n v="0"/>
    <d v="2025-12-15T00:00:00"/>
    <d v="2025-12-15T00:00:00"/>
    <m/>
    <d v="2025-12-15T00:00:00"/>
    <n v="18000"/>
    <s v=""/>
    <x v="2"/>
    <e v="#N/A"/>
    <m/>
    <n v="0"/>
  </r>
  <r>
    <x v="7"/>
    <x v="7"/>
    <s v="0328"/>
    <x v="2"/>
    <s v="TF trfr within plant"/>
    <s v="4924183818"/>
    <s v="M003"/>
    <s v="20251201"/>
    <s v=""/>
    <s v="15:05:01"/>
    <s v="SUTTISIT02"/>
    <s v="0001"/>
    <s v=""/>
    <s v="0000"/>
    <s v=""/>
    <s v="0000000000"/>
    <s v=""/>
    <s v=""/>
    <s v=""/>
    <s v=""/>
    <s v=""/>
    <s v=""/>
    <s v=""/>
    <s v=""/>
    <m/>
    <s v="PC"/>
    <n v="-3000"/>
    <n v="0"/>
    <d v="2025-12-15T00:00:00"/>
    <d v="2025-12-15T00:00:00"/>
    <m/>
    <d v="2025-12-15T00:00:00"/>
    <n v="-3000"/>
    <s v=""/>
    <x v="2"/>
    <e v="#N/A"/>
    <m/>
    <n v="0"/>
  </r>
  <r>
    <x v="7"/>
    <x v="7"/>
    <s v="0328"/>
    <x v="2"/>
    <s v="TF trfr within plant"/>
    <s v="4924183818"/>
    <s v="P003"/>
    <s v="20251201"/>
    <s v=""/>
    <s v="15:05:01"/>
    <s v="SUTTISIT02"/>
    <s v="0002"/>
    <s v=""/>
    <s v="0000"/>
    <s v=""/>
    <s v="0000000000"/>
    <s v=""/>
    <s v=""/>
    <s v=""/>
    <s v=""/>
    <s v=""/>
    <s v=""/>
    <s v=""/>
    <s v=""/>
    <m/>
    <s v="PC"/>
    <n v="3000"/>
    <n v="0"/>
    <d v="2025-12-15T00:00:00"/>
    <d v="2025-12-15T00:00:00"/>
    <m/>
    <d v="2025-12-15T00:00:00"/>
    <n v="3000"/>
    <s v=""/>
    <x v="2"/>
    <e v="#N/A"/>
    <m/>
    <n v="0"/>
  </r>
  <r>
    <x v="3"/>
    <x v="3"/>
    <s v="0328"/>
    <x v="0"/>
    <s v="GD goods issue:delvy"/>
    <s v="4924184089"/>
    <s v="P004"/>
    <s v="081025-RE"/>
    <s v=""/>
    <s v="15:15:03"/>
    <s v="SONGPCHI"/>
    <s v="0001"/>
    <s v=""/>
    <s v="0000"/>
    <s v=""/>
    <s v="0000000000"/>
    <s v=""/>
    <s v=""/>
    <s v=""/>
    <s v="51003100"/>
    <s v=""/>
    <s v=""/>
    <s v=""/>
    <s v="2000109772"/>
    <m/>
    <s v="BAG"/>
    <n v="-2"/>
    <n v="-362.36"/>
    <d v="2025-12-15T00:00:00"/>
    <d v="2025-12-15T00:00:00"/>
    <m/>
    <d v="2025-12-15T00:00:00"/>
    <n v="-1000"/>
    <s v=""/>
    <x v="0"/>
    <s v="ต้นทุนขาย"/>
    <m/>
    <n v="181.18"/>
  </r>
  <r>
    <x v="1"/>
    <x v="1"/>
    <s v="0328"/>
    <x v="0"/>
    <s v="GD goods issue:delvy"/>
    <s v="4924251619"/>
    <s v="P004"/>
    <s v="301025-B"/>
    <s v=""/>
    <s v="11:49:50"/>
    <s v="TANANIMJ"/>
    <s v="0001"/>
    <s v=""/>
    <s v="0000"/>
    <s v=""/>
    <s v="0000000000"/>
    <s v=""/>
    <s v=""/>
    <s v=""/>
    <s v="51003100"/>
    <s v=""/>
    <s v=""/>
    <s v=""/>
    <s v="2000109846"/>
    <m/>
    <s v="BAG"/>
    <n v="-2"/>
    <n v="-348.04"/>
    <d v="2025-12-16T00:00:00"/>
    <d v="2025-12-16T00:00:00"/>
    <m/>
    <d v="2025-12-16T00:00:00"/>
    <n v="-1000"/>
    <s v=""/>
    <x v="0"/>
    <s v="ต้นทุนขาย"/>
    <m/>
    <n v="174.02"/>
  </r>
  <r>
    <x v="1"/>
    <x v="1"/>
    <s v="0328"/>
    <x v="0"/>
    <s v="GD goods issue:delvy"/>
    <s v="4924251673"/>
    <s v="P004"/>
    <s v="301025-B"/>
    <s v=""/>
    <s v="11:51:08"/>
    <s v="TANANIMJ"/>
    <s v="0001"/>
    <s v=""/>
    <s v="0000"/>
    <s v=""/>
    <s v="0000000000"/>
    <s v=""/>
    <s v=""/>
    <s v=""/>
    <s v="51003100"/>
    <s v=""/>
    <s v=""/>
    <s v=""/>
    <s v="2000109848"/>
    <m/>
    <s v="BAG"/>
    <n v="-6"/>
    <n v="-1044.1199999999999"/>
    <d v="2025-12-16T00:00:00"/>
    <d v="2025-12-16T00:00:00"/>
    <m/>
    <d v="2025-12-16T00:00:00"/>
    <n v="-3000"/>
    <s v=""/>
    <x v="0"/>
    <s v="ต้นทุนขาย"/>
    <m/>
    <n v="174.01999999999998"/>
  </r>
  <r>
    <x v="2"/>
    <x v="2"/>
    <s v="0328"/>
    <x v="0"/>
    <s v="GD goods issue:delvy"/>
    <s v="4924254425"/>
    <s v="M001"/>
    <s v="011204-B/T"/>
    <s v=""/>
    <s v="13:38:06"/>
    <s v="JURASDOK"/>
    <s v="0002"/>
    <s v=""/>
    <s v="0000"/>
    <s v=""/>
    <s v="0000000000"/>
    <s v=""/>
    <s v=""/>
    <s v=""/>
    <s v="51003100"/>
    <s v=""/>
    <s v=""/>
    <s v=""/>
    <s v="2000109853"/>
    <m/>
    <s v="BOX"/>
    <n v="-881"/>
    <n v="-918178.2"/>
    <d v="2025-12-16T00:00:00"/>
    <d v="2025-12-16T00:00:00"/>
    <m/>
    <d v="2025-12-16T00:00:00"/>
    <n v="-2643000"/>
    <s v=""/>
    <x v="0"/>
    <s v="ต้นทุนขาย"/>
    <m/>
    <n v="1042.2"/>
  </r>
  <r>
    <x v="2"/>
    <x v="2"/>
    <s v="0328"/>
    <x v="0"/>
    <s v="GD goods issue:delvy"/>
    <s v="4924254425"/>
    <s v="M001"/>
    <s v="081201-B/T"/>
    <s v=""/>
    <s v="13:38:06"/>
    <s v="JURASDOK"/>
    <s v="0001"/>
    <s v=""/>
    <s v="0000"/>
    <s v=""/>
    <s v="0000000000"/>
    <s v=""/>
    <s v=""/>
    <s v=""/>
    <s v="51003100"/>
    <s v=""/>
    <s v=""/>
    <s v=""/>
    <s v="2000109853"/>
    <m/>
    <s v="BOX"/>
    <n v="-1999"/>
    <n v="-2083357.8"/>
    <d v="2025-12-16T00:00:00"/>
    <d v="2025-12-16T00:00:00"/>
    <m/>
    <d v="2025-12-16T00:00:00"/>
    <n v="-5997000"/>
    <s v=""/>
    <x v="0"/>
    <s v="ต้นทุนขาย"/>
    <m/>
    <n v="1042.2"/>
  </r>
  <r>
    <x v="5"/>
    <x v="5"/>
    <s v="0328"/>
    <x v="2"/>
    <s v="TF trfr within plant"/>
    <s v="4924260952"/>
    <s v="M003"/>
    <s v="04062025"/>
    <s v=""/>
    <s v="14:53:13"/>
    <s v="SUTTISIT02"/>
    <s v="0005"/>
    <s v=""/>
    <s v="0000"/>
    <s v=""/>
    <s v="0000000000"/>
    <s v=""/>
    <s v=""/>
    <s v=""/>
    <s v=""/>
    <s v=""/>
    <s v=""/>
    <s v=""/>
    <s v=""/>
    <m/>
    <s v="PC"/>
    <n v="-20000"/>
    <n v="0"/>
    <d v="2025-12-16T00:00:00"/>
    <d v="2025-12-16T00:00:00"/>
    <m/>
    <d v="2025-12-16T00:00:00"/>
    <n v="-20000"/>
    <s v=""/>
    <x v="2"/>
    <e v="#N/A"/>
    <m/>
    <n v="0"/>
  </r>
  <r>
    <x v="5"/>
    <x v="5"/>
    <s v="0328"/>
    <x v="2"/>
    <s v="TF trfr within plant"/>
    <s v="4924260952"/>
    <s v="P003"/>
    <s v="04062025"/>
    <s v=""/>
    <s v="14:53:13"/>
    <s v="SUTTISIT02"/>
    <s v="0006"/>
    <s v=""/>
    <s v="0000"/>
    <s v=""/>
    <s v="0000000000"/>
    <s v=""/>
    <s v=""/>
    <s v=""/>
    <s v=""/>
    <s v=""/>
    <s v=""/>
    <s v=""/>
    <s v=""/>
    <m/>
    <s v="PC"/>
    <n v="20000"/>
    <n v="0"/>
    <d v="2025-12-16T00:00:00"/>
    <d v="2025-12-16T00:00:00"/>
    <m/>
    <d v="2025-12-16T00:00:00"/>
    <n v="20000"/>
    <s v=""/>
    <x v="2"/>
    <e v="#N/A"/>
    <m/>
    <n v="0"/>
  </r>
  <r>
    <x v="6"/>
    <x v="6"/>
    <s v="0328"/>
    <x v="2"/>
    <s v="TF trfr within plant"/>
    <s v="4924260952"/>
    <s v="M003"/>
    <s v="20251201"/>
    <s v=""/>
    <s v="14:53:13"/>
    <s v="SUTTISIT02"/>
    <s v="0003"/>
    <s v=""/>
    <s v="0000"/>
    <s v=""/>
    <s v="0000000000"/>
    <s v=""/>
    <s v=""/>
    <s v=""/>
    <s v=""/>
    <s v=""/>
    <s v=""/>
    <s v=""/>
    <s v=""/>
    <m/>
    <s v="PC"/>
    <n v="-18000"/>
    <n v="0"/>
    <d v="2025-12-16T00:00:00"/>
    <d v="2025-12-16T00:00:00"/>
    <m/>
    <d v="2025-12-16T00:00:00"/>
    <n v="-18000"/>
    <s v=""/>
    <x v="2"/>
    <e v="#N/A"/>
    <m/>
    <n v="0"/>
  </r>
  <r>
    <x v="6"/>
    <x v="6"/>
    <s v="0328"/>
    <x v="2"/>
    <s v="TF trfr within plant"/>
    <s v="4924260952"/>
    <s v="P003"/>
    <s v="20251201"/>
    <s v=""/>
    <s v="14:53:13"/>
    <s v="SUTTISIT02"/>
    <s v="0004"/>
    <s v=""/>
    <s v="0000"/>
    <s v=""/>
    <s v="0000000000"/>
    <s v=""/>
    <s v=""/>
    <s v=""/>
    <s v=""/>
    <s v=""/>
    <s v=""/>
    <s v=""/>
    <s v=""/>
    <m/>
    <s v="PC"/>
    <n v="18000"/>
    <n v="0"/>
    <d v="2025-12-16T00:00:00"/>
    <d v="2025-12-16T00:00:00"/>
    <m/>
    <d v="2025-12-16T00:00:00"/>
    <n v="18000"/>
    <s v=""/>
    <x v="2"/>
    <e v="#N/A"/>
    <m/>
    <n v="0"/>
  </r>
  <r>
    <x v="7"/>
    <x v="7"/>
    <s v="0328"/>
    <x v="2"/>
    <s v="TF trfr within plant"/>
    <s v="4924260952"/>
    <s v="P003"/>
    <s v="20251201"/>
    <s v=""/>
    <s v="14:53:13"/>
    <s v="SUTTISIT02"/>
    <s v="0002"/>
    <s v=""/>
    <s v="0000"/>
    <s v=""/>
    <s v="0000000000"/>
    <s v=""/>
    <s v=""/>
    <s v=""/>
    <s v=""/>
    <s v=""/>
    <s v=""/>
    <s v=""/>
    <s v=""/>
    <m/>
    <s v="PC"/>
    <n v="3000"/>
    <n v="0"/>
    <d v="2025-12-16T00:00:00"/>
    <d v="2025-12-16T00:00:00"/>
    <m/>
    <d v="2025-12-16T00:00:00"/>
    <n v="3000"/>
    <s v=""/>
    <x v="2"/>
    <e v="#N/A"/>
    <m/>
    <n v="0"/>
  </r>
  <r>
    <x v="7"/>
    <x v="7"/>
    <s v="0328"/>
    <x v="2"/>
    <s v="TF trfr within plant"/>
    <s v="4924260952"/>
    <s v="M003"/>
    <s v="20251201"/>
    <s v=""/>
    <s v="14:53:13"/>
    <s v="SUTTISIT02"/>
    <s v="0001"/>
    <s v=""/>
    <s v="0000"/>
    <s v=""/>
    <s v="0000000000"/>
    <s v=""/>
    <s v=""/>
    <s v=""/>
    <s v=""/>
    <s v=""/>
    <s v=""/>
    <s v=""/>
    <s v=""/>
    <m/>
    <s v="PC"/>
    <n v="-3000"/>
    <n v="0"/>
    <d v="2025-12-16T00:00:00"/>
    <d v="2025-12-16T00:00:00"/>
    <m/>
    <d v="2025-12-16T00:00:00"/>
    <n v="-3000"/>
    <s v=""/>
    <x v="2"/>
    <e v="#N/A"/>
    <m/>
    <n v="0"/>
  </r>
  <r>
    <x v="4"/>
    <x v="4"/>
    <s v="0329"/>
    <x v="0"/>
    <s v="GD goods issue:delvy"/>
    <s v="4924266069"/>
    <s v="P009"/>
    <s v="RE-170625"/>
    <s v=""/>
    <s v="15:21:38"/>
    <s v="TANANIMJ"/>
    <s v="0001"/>
    <s v=""/>
    <s v="0000"/>
    <s v=""/>
    <s v="0000000000"/>
    <s v=""/>
    <s v=""/>
    <s v=""/>
    <s v="51003100"/>
    <s v=""/>
    <s v=""/>
    <s v=""/>
    <s v="2000109858"/>
    <m/>
    <s v="BAG"/>
    <n v="-4"/>
    <n v="-296.88"/>
    <d v="2025-12-16T00:00:00"/>
    <d v="2025-12-16T00:00:00"/>
    <m/>
    <d v="2025-12-16T00:00:00"/>
    <n v="-1000"/>
    <s v=""/>
    <x v="1"/>
    <s v="ต้นทุนขาย"/>
    <m/>
    <n v="74.22"/>
  </r>
  <r>
    <x v="9"/>
    <x v="9"/>
    <s v="0328"/>
    <x v="0"/>
    <s v="GD goods issue:delvy"/>
    <s v="4924266866"/>
    <s v="P004"/>
    <s v="110925-T/P"/>
    <s v=""/>
    <s v="15:37:22"/>
    <s v="THANAWIS"/>
    <s v="0001"/>
    <s v=""/>
    <s v="0000"/>
    <s v=""/>
    <s v="0000000000"/>
    <s v=""/>
    <s v=""/>
    <s v=""/>
    <s v="51003100"/>
    <s v=""/>
    <s v=""/>
    <s v=""/>
    <s v="2000109860"/>
    <m/>
    <s v="BAG"/>
    <n v="-60"/>
    <n v="-10999.8"/>
    <d v="2025-12-16T00:00:00"/>
    <d v="2025-12-16T00:00:00"/>
    <m/>
    <d v="2025-12-16T00:00:00"/>
    <n v="-30000"/>
    <s v=""/>
    <x v="0"/>
    <s v="ต้นทุนขาย"/>
    <m/>
    <n v="183.32999999999998"/>
  </r>
  <r>
    <x v="3"/>
    <x v="3"/>
    <s v="0328"/>
    <x v="0"/>
    <s v="GD goods issue:delvy"/>
    <s v="4924266870"/>
    <s v="P004"/>
    <s v="081025-RE"/>
    <s v=""/>
    <s v="15:39:26"/>
    <s v="THANAWIS"/>
    <s v="0001"/>
    <s v=""/>
    <s v="0000"/>
    <s v=""/>
    <s v="0000000000"/>
    <s v=""/>
    <s v=""/>
    <s v=""/>
    <s v="51003100"/>
    <s v=""/>
    <s v=""/>
    <s v=""/>
    <s v="2000109861"/>
    <m/>
    <s v="BAG"/>
    <n v="-20"/>
    <n v="-3623.6"/>
    <d v="2025-12-16T00:00:00"/>
    <d v="2025-12-16T00:00:00"/>
    <m/>
    <d v="2025-12-16T00:00:00"/>
    <n v="-10000"/>
    <s v=""/>
    <x v="0"/>
    <s v="ต้นทุนขาย"/>
    <m/>
    <n v="181.18"/>
  </r>
  <r>
    <x v="3"/>
    <x v="3"/>
    <s v="0328"/>
    <x v="0"/>
    <s v="GD goods issue:delvy"/>
    <s v="4924266870"/>
    <s v="P004"/>
    <s v="081025-RE"/>
    <s v=""/>
    <s v="15:39:26"/>
    <s v="THANAWIS"/>
    <s v="0002"/>
    <s v=""/>
    <s v="0000"/>
    <s v=""/>
    <s v="0000000000"/>
    <s v=""/>
    <s v=""/>
    <s v=""/>
    <s v="51003100"/>
    <s v=""/>
    <s v=""/>
    <s v=""/>
    <s v="2000109861"/>
    <m/>
    <s v="BAG"/>
    <n v="-2"/>
    <n v="-362.36"/>
    <d v="2025-12-16T00:00:00"/>
    <d v="2025-12-16T00:00:00"/>
    <m/>
    <d v="2025-12-16T00:00:00"/>
    <n v="-1000"/>
    <s v=""/>
    <x v="0"/>
    <s v="ต้นทุนขาย"/>
    <m/>
    <n v="181.18"/>
  </r>
  <r>
    <x v="1"/>
    <x v="1"/>
    <s v="0328"/>
    <x v="0"/>
    <s v="GD goods issue:delvy"/>
    <s v="4924267417"/>
    <s v="P004"/>
    <s v="301025-B"/>
    <s v=""/>
    <s v="15:43:48"/>
    <s v="THANAWIS"/>
    <s v="0001"/>
    <s v=""/>
    <s v="0000"/>
    <s v=""/>
    <s v="0000000000"/>
    <s v=""/>
    <s v=""/>
    <s v=""/>
    <s v="51003100"/>
    <s v=""/>
    <s v=""/>
    <s v=""/>
    <s v="2000109862"/>
    <m/>
    <s v="BAG"/>
    <n v="-60"/>
    <n v="-10441.200000000001"/>
    <d v="2025-12-16T00:00:00"/>
    <d v="2025-12-16T00:00:00"/>
    <m/>
    <d v="2025-12-16T00:00:00"/>
    <n v="-30000"/>
    <s v=""/>
    <x v="0"/>
    <s v="ต้นทุนขาย"/>
    <m/>
    <n v="174.02"/>
  </r>
  <r>
    <x v="23"/>
    <x v="23"/>
    <s v="0321"/>
    <x v="5"/>
    <s v="GI ค่าวิจัยและพัฒนา"/>
    <s v="4924324570"/>
    <s v="P009"/>
    <s v="18122023"/>
    <s v=""/>
    <s v="09:09:46"/>
    <s v="JURASDOK"/>
    <s v="0001"/>
    <s v=""/>
    <s v="0000"/>
    <s v=""/>
    <s v="0000000000"/>
    <s v=""/>
    <s v="ทดสอบคุณภาพฟิมล์กับเครื่องบรรจุที่ประเทศเยอรมัน"/>
    <s v="405022"/>
    <s v="67501001"/>
    <s v=""/>
    <s v=""/>
    <s v=""/>
    <s v=""/>
    <m/>
    <s v="ROL"/>
    <n v="-2"/>
    <n v="-15200"/>
    <d v="2025-12-17T00:00:00"/>
    <d v="2025-12-17T00:00:00"/>
    <m/>
    <d v="2025-12-17T00:00:00"/>
    <n v="-2"/>
    <s v=""/>
    <x v="3"/>
    <s v="ค่าวิจัยคุณภาพสินค้า"/>
    <m/>
    <n v="7600"/>
  </r>
  <r>
    <x v="4"/>
    <x v="4"/>
    <s v="0329"/>
    <x v="0"/>
    <s v="GD goods issue:delvy"/>
    <s v="4924324649"/>
    <s v="P009"/>
    <s v="RE-170625"/>
    <s v=""/>
    <s v="09:11:41"/>
    <s v="THANAWIS"/>
    <s v="0001"/>
    <s v=""/>
    <s v="0000"/>
    <s v=""/>
    <s v="0000000000"/>
    <s v=""/>
    <s v=""/>
    <s v=""/>
    <s v="51003100"/>
    <s v=""/>
    <s v=""/>
    <s v=""/>
    <s v="2000109899"/>
    <m/>
    <s v="BAG"/>
    <n v="-4"/>
    <n v="-296.88"/>
    <d v="2025-12-17T00:00:00"/>
    <d v="2025-12-17T00:00:00"/>
    <m/>
    <d v="2025-12-17T00:00:00"/>
    <n v="-1000"/>
    <s v=""/>
    <x v="1"/>
    <s v="ต้นทุนขาย"/>
    <m/>
    <n v="74.22"/>
  </r>
  <r>
    <x v="3"/>
    <x v="3"/>
    <s v="0328"/>
    <x v="0"/>
    <s v="GD goods issue:delvy"/>
    <s v="4924332517"/>
    <s v="P004"/>
    <s v="081025-RE"/>
    <s v=""/>
    <s v="13:16:54"/>
    <s v="THANAWIS"/>
    <s v="0001"/>
    <s v=""/>
    <s v="0000"/>
    <s v=""/>
    <s v="0000000000"/>
    <s v=""/>
    <s v=""/>
    <s v=""/>
    <s v="51003100"/>
    <s v=""/>
    <s v=""/>
    <s v=""/>
    <s v="2000109960"/>
    <m/>
    <s v="BAG"/>
    <n v="-40"/>
    <n v="-7247.2"/>
    <d v="2025-12-17T00:00:00"/>
    <d v="2025-12-17T00:00:00"/>
    <m/>
    <d v="2025-12-17T00:00:00"/>
    <n v="-20000"/>
    <s v=""/>
    <x v="0"/>
    <s v="ต้นทุนขาย"/>
    <m/>
    <n v="181.18"/>
  </r>
  <r>
    <x v="1"/>
    <x v="1"/>
    <s v="0328"/>
    <x v="0"/>
    <s v="GD goods issue:delvy"/>
    <s v="4924333164"/>
    <s v="P004"/>
    <s v="081025-RE"/>
    <s v=""/>
    <s v="13:37:26"/>
    <s v="SONGPCHI"/>
    <s v="0001"/>
    <s v=""/>
    <s v="0000"/>
    <s v=""/>
    <s v="0000000000"/>
    <s v=""/>
    <s v=""/>
    <s v=""/>
    <s v="51003100"/>
    <s v=""/>
    <s v=""/>
    <s v=""/>
    <s v="2000109961"/>
    <m/>
    <s v="BAG"/>
    <n v="-2"/>
    <n v="-348.04"/>
    <d v="2025-12-17T00:00:00"/>
    <d v="2025-12-17T00:00:00"/>
    <m/>
    <d v="2025-12-17T00:00:00"/>
    <n v="-1000"/>
    <s v=""/>
    <x v="0"/>
    <s v="ต้นทุนขาย"/>
    <m/>
    <n v="174.02"/>
  </r>
  <r>
    <x v="4"/>
    <x v="4"/>
    <s v="0329"/>
    <x v="9"/>
    <s v="GD Goods deliv. rev."/>
    <s v="4924339009"/>
    <s v="P009"/>
    <s v="RE-170625"/>
    <s v=""/>
    <s v="14:27:58"/>
    <s v="SONGPCHI"/>
    <s v="0001"/>
    <s v=""/>
    <s v="0000"/>
    <s v=""/>
    <s v="0000000000"/>
    <s v=""/>
    <s v=""/>
    <s v=""/>
    <s v="51003100"/>
    <s v=""/>
    <s v=""/>
    <s v=""/>
    <s v="2000109858"/>
    <m/>
    <s v="BAG"/>
    <n v="4"/>
    <n v="296.88"/>
    <d v="2025-12-16T00:00:00"/>
    <d v="2025-12-17T00:00:00"/>
    <m/>
    <d v="2025-12-17T00:00:00"/>
    <n v="1000"/>
    <s v=""/>
    <x v="1"/>
    <s v="ต้นทุนขาย"/>
    <m/>
    <n v="74.22"/>
  </r>
  <r>
    <x v="4"/>
    <x v="4"/>
    <s v="0329"/>
    <x v="0"/>
    <s v="GD goods issue:delvy"/>
    <s v="4924340187"/>
    <s v="P009"/>
    <s v="RE-170625"/>
    <s v=""/>
    <s v="14:30:53"/>
    <s v="SONGPCHI"/>
    <s v="0001"/>
    <s v=""/>
    <s v="0000"/>
    <s v=""/>
    <s v="0000000000"/>
    <s v=""/>
    <s v=""/>
    <s v=""/>
    <s v="51003100"/>
    <s v=""/>
    <s v=""/>
    <s v=""/>
    <s v="2000109964"/>
    <m/>
    <s v="BAG"/>
    <n v="-4"/>
    <n v="-296.88"/>
    <d v="2025-12-17T00:00:00"/>
    <d v="2025-12-17T00:00:00"/>
    <m/>
    <d v="2025-12-17T00:00:00"/>
    <n v="-1000"/>
    <s v=""/>
    <x v="1"/>
    <s v="ต้นทุนขาย"/>
    <m/>
    <n v="74.22"/>
  </r>
  <r>
    <x v="1"/>
    <x v="1"/>
    <s v="0328"/>
    <x v="0"/>
    <s v="GD goods issue:delvy"/>
    <s v="4924347836"/>
    <s v="P004"/>
    <s v="081025-RE"/>
    <s v=""/>
    <s v="16:01:07"/>
    <s v="SONGPCHI"/>
    <s v="0001"/>
    <s v=""/>
    <s v="0000"/>
    <s v=""/>
    <s v="0000000000"/>
    <s v=""/>
    <s v=""/>
    <s v=""/>
    <s v="51003100"/>
    <s v=""/>
    <s v=""/>
    <s v=""/>
    <s v="2000110002"/>
    <m/>
    <s v="BAG"/>
    <n v="-2"/>
    <n v="-348.04"/>
    <d v="2025-12-17T00:00:00"/>
    <d v="2025-12-17T00:00:00"/>
    <m/>
    <d v="2025-12-17T00:00:00"/>
    <n v="-1000"/>
    <s v=""/>
    <x v="0"/>
    <s v="ต้นทุนขาย"/>
    <m/>
    <n v="174.02"/>
  </r>
  <r>
    <x v="10"/>
    <x v="10"/>
    <s v="0328"/>
    <x v="3"/>
    <s v="TF trfr plnt to plnt"/>
    <s v="4924349655"/>
    <s v="M001"/>
    <s v="071125-B"/>
    <s v=""/>
    <s v="16:48:45"/>
    <s v="JURASDOK"/>
    <s v="0001"/>
    <s v=""/>
    <s v="0000"/>
    <s v=""/>
    <s v="0142780963"/>
    <s v=""/>
    <s v=""/>
    <s v=""/>
    <s v=""/>
    <s v=""/>
    <s v=""/>
    <s v=""/>
    <s v=""/>
    <m/>
    <s v="BAG"/>
    <n v="-4800"/>
    <n v="-835296"/>
    <d v="2025-12-17T00:00:00"/>
    <d v="2025-12-17T00:00:00"/>
    <m/>
    <d v="2025-12-17T00:00:00"/>
    <n v="-2400000"/>
    <s v=""/>
    <x v="0"/>
    <e v="#N/A"/>
    <m/>
    <n v="174.02"/>
  </r>
  <r>
    <x v="5"/>
    <x v="5"/>
    <s v="0328"/>
    <x v="2"/>
    <s v="TF trfr within plant"/>
    <s v="4924349772"/>
    <s v="P003"/>
    <s v="04062025"/>
    <s v=""/>
    <s v="16:51:20"/>
    <s v="PRONDTAN"/>
    <s v="0006"/>
    <s v=""/>
    <s v="0000"/>
    <s v=""/>
    <s v="0000000000"/>
    <s v=""/>
    <s v=""/>
    <s v=""/>
    <s v=""/>
    <s v=""/>
    <s v=""/>
    <s v=""/>
    <s v=""/>
    <m/>
    <s v="PC"/>
    <n v="20000"/>
    <n v="0"/>
    <d v="2025-12-17T00:00:00"/>
    <d v="2025-12-17T00:00:00"/>
    <m/>
    <d v="2025-12-17T00:00:00"/>
    <n v="20000"/>
    <s v=""/>
    <x v="2"/>
    <e v="#N/A"/>
    <m/>
    <n v="0"/>
  </r>
  <r>
    <x v="5"/>
    <x v="5"/>
    <s v="0328"/>
    <x v="2"/>
    <s v="TF trfr within plant"/>
    <s v="4924349772"/>
    <s v="M003"/>
    <s v="04062025"/>
    <s v=""/>
    <s v="16:51:20"/>
    <s v="PRONDTAN"/>
    <s v="0005"/>
    <s v=""/>
    <s v="0000"/>
    <s v=""/>
    <s v="0000000000"/>
    <s v=""/>
    <s v=""/>
    <s v=""/>
    <s v=""/>
    <s v=""/>
    <s v=""/>
    <s v=""/>
    <s v=""/>
    <m/>
    <s v="PC"/>
    <n v="-20000"/>
    <n v="0"/>
    <d v="2025-12-17T00:00:00"/>
    <d v="2025-12-17T00:00:00"/>
    <m/>
    <d v="2025-12-17T00:00:00"/>
    <n v="-20000"/>
    <s v=""/>
    <x v="2"/>
    <e v="#N/A"/>
    <m/>
    <n v="0"/>
  </r>
  <r>
    <x v="6"/>
    <x v="6"/>
    <s v="0328"/>
    <x v="2"/>
    <s v="TF trfr within plant"/>
    <s v="4924349772"/>
    <s v="M003"/>
    <s v="20251201"/>
    <s v=""/>
    <s v="16:51:20"/>
    <s v="PRONDTAN"/>
    <s v="0001"/>
    <s v=""/>
    <s v="0000"/>
    <s v=""/>
    <s v="0000000000"/>
    <s v=""/>
    <s v=""/>
    <s v=""/>
    <s v=""/>
    <s v=""/>
    <s v=""/>
    <s v=""/>
    <s v=""/>
    <m/>
    <s v="PC"/>
    <n v="-18000"/>
    <n v="0"/>
    <d v="2025-12-17T00:00:00"/>
    <d v="2025-12-17T00:00:00"/>
    <m/>
    <d v="2025-12-17T00:00:00"/>
    <n v="-18000"/>
    <s v=""/>
    <x v="2"/>
    <e v="#N/A"/>
    <m/>
    <n v="0"/>
  </r>
  <r>
    <x v="6"/>
    <x v="6"/>
    <s v="0328"/>
    <x v="2"/>
    <s v="TF trfr within plant"/>
    <s v="4924349772"/>
    <s v="P003"/>
    <s v="20251201"/>
    <s v=""/>
    <s v="16:51:20"/>
    <s v="PRONDTAN"/>
    <s v="0002"/>
    <s v=""/>
    <s v="0000"/>
    <s v=""/>
    <s v="0000000000"/>
    <s v=""/>
    <s v=""/>
    <s v=""/>
    <s v=""/>
    <s v=""/>
    <s v=""/>
    <s v=""/>
    <s v=""/>
    <m/>
    <s v="PC"/>
    <n v="18000"/>
    <n v="0"/>
    <d v="2025-12-17T00:00:00"/>
    <d v="2025-12-17T00:00:00"/>
    <m/>
    <d v="2025-12-17T00:00:00"/>
    <n v="18000"/>
    <s v=""/>
    <x v="2"/>
    <e v="#N/A"/>
    <m/>
    <n v="0"/>
  </r>
  <r>
    <x v="7"/>
    <x v="7"/>
    <s v="0328"/>
    <x v="2"/>
    <s v="TF trfr within plant"/>
    <s v="4924349772"/>
    <s v="P003"/>
    <s v="20251201"/>
    <s v=""/>
    <s v="16:51:20"/>
    <s v="PRONDTAN"/>
    <s v="0004"/>
    <s v=""/>
    <s v="0000"/>
    <s v=""/>
    <s v="0000000000"/>
    <s v=""/>
    <s v=""/>
    <s v=""/>
    <s v=""/>
    <s v=""/>
    <s v=""/>
    <s v=""/>
    <s v=""/>
    <m/>
    <s v="PC"/>
    <n v="3000"/>
    <n v="0"/>
    <d v="2025-12-17T00:00:00"/>
    <d v="2025-12-17T00:00:00"/>
    <m/>
    <d v="2025-12-17T00:00:00"/>
    <n v="3000"/>
    <s v=""/>
    <x v="2"/>
    <e v="#N/A"/>
    <m/>
    <n v="0"/>
  </r>
  <r>
    <x v="7"/>
    <x v="7"/>
    <s v="0328"/>
    <x v="2"/>
    <s v="TF trfr within plant"/>
    <s v="4924349772"/>
    <s v="M003"/>
    <s v="20251201"/>
    <s v=""/>
    <s v="16:51:20"/>
    <s v="PRONDTAN"/>
    <s v="0003"/>
    <s v=""/>
    <s v="0000"/>
    <s v=""/>
    <s v="0000000000"/>
    <s v=""/>
    <s v=""/>
    <s v=""/>
    <s v=""/>
    <s v=""/>
    <s v=""/>
    <s v=""/>
    <s v=""/>
    <m/>
    <s v="PC"/>
    <n v="-3000"/>
    <n v="0"/>
    <d v="2025-12-17T00:00:00"/>
    <d v="2025-12-17T00:00:00"/>
    <m/>
    <d v="2025-12-17T00:00:00"/>
    <n v="-3000"/>
    <s v=""/>
    <x v="2"/>
    <e v="#N/A"/>
    <m/>
    <n v="0"/>
  </r>
  <r>
    <x v="3"/>
    <x v="3"/>
    <s v="0328"/>
    <x v="0"/>
    <s v="GD goods issue:delvy"/>
    <s v="4924350003"/>
    <s v="P004"/>
    <s v="160701-RE"/>
    <s v=""/>
    <s v="16:54:56"/>
    <s v="THANAWIS"/>
    <s v="0001"/>
    <s v=""/>
    <s v="0000"/>
    <s v=""/>
    <s v="0000000000"/>
    <s v=""/>
    <s v=""/>
    <s v=""/>
    <s v="51003100"/>
    <s v=""/>
    <s v=""/>
    <s v=""/>
    <s v="2000110004"/>
    <m/>
    <s v="BAG"/>
    <n v="-2"/>
    <n v="-362.36"/>
    <d v="2025-12-17T00:00:00"/>
    <d v="2025-12-17T00:00:00"/>
    <m/>
    <d v="2025-12-17T00:00:00"/>
    <n v="-1000"/>
    <s v=""/>
    <x v="0"/>
    <s v="ต้นทุนขาย"/>
    <m/>
    <n v="181.18"/>
  </r>
  <r>
    <x v="1"/>
    <x v="1"/>
    <s v="0328"/>
    <x v="0"/>
    <s v="GD goods issue:delvy"/>
    <s v="4924351160"/>
    <s v="P004"/>
    <s v="081025-RE"/>
    <s v=""/>
    <s v="17:28:55"/>
    <s v="SONGPCHI"/>
    <s v="0001"/>
    <s v=""/>
    <s v="0000"/>
    <s v=""/>
    <s v="0000000000"/>
    <s v=""/>
    <s v=""/>
    <s v=""/>
    <s v="51003100"/>
    <s v=""/>
    <s v=""/>
    <s v=""/>
    <s v="2000110009"/>
    <m/>
    <s v="BAG"/>
    <n v="-2"/>
    <n v="-348.04"/>
    <d v="2025-12-17T00:00:00"/>
    <d v="2025-12-17T00:00:00"/>
    <m/>
    <d v="2025-12-17T00:00:00"/>
    <n v="-1000"/>
    <s v=""/>
    <x v="0"/>
    <s v="ต้นทุนขาย"/>
    <m/>
    <n v="174.02"/>
  </r>
  <r>
    <x v="2"/>
    <x v="2"/>
    <s v="0328"/>
    <x v="8"/>
    <s v="GR for order"/>
    <s v="4924394595"/>
    <s v="M001"/>
    <s v="081202-B/T"/>
    <s v="303000000147"/>
    <s v="09:16:46"/>
    <s v="JURASDOK"/>
    <s v="0001"/>
    <s v=""/>
    <s v="0000"/>
    <s v=""/>
    <s v="0000000000"/>
    <s v=""/>
    <s v=""/>
    <s v=""/>
    <s v="53001001"/>
    <s v=""/>
    <s v=""/>
    <s v=""/>
    <s v=""/>
    <m/>
    <s v="BAG"/>
    <n v="17820"/>
    <n v="3095334"/>
    <d v="2025-12-18T00:00:00"/>
    <d v="2025-12-09T00:00:00"/>
    <m/>
    <d v="2025-12-18T00:00:00"/>
    <n v="8910000"/>
    <s v="303"/>
    <x v="0"/>
    <s v="ต้นทุนผลิตโอน F/G"/>
    <m/>
    <n v="173.7"/>
  </r>
  <r>
    <x v="2"/>
    <x v="2"/>
    <s v="0328"/>
    <x v="5"/>
    <s v="GI ค่าวิจัยและพัฒนา"/>
    <s v="4924395602"/>
    <s v="M001"/>
    <s v="111102-B/P"/>
    <s v=""/>
    <s v="09:35:58"/>
    <s v="RAPEESAN01"/>
    <s v="0002"/>
    <s v=""/>
    <s v="0000"/>
    <s v=""/>
    <s v="0142086199"/>
    <s v=""/>
    <s v="Retain 01.12.25.1 R2-9"/>
    <s v="405053"/>
    <s v="67501001"/>
    <s v=""/>
    <s v=""/>
    <s v=""/>
    <s v=""/>
    <m/>
    <s v="BAG"/>
    <n v="-5"/>
    <n v="-868.5"/>
    <d v="2025-12-01T00:00:00"/>
    <d v="2025-12-01T00:00:00"/>
    <m/>
    <d v="2025-12-18T00:00:00"/>
    <n v="-2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5602"/>
    <s v="M001"/>
    <s v="111101-B/P"/>
    <s v=""/>
    <s v="09:35:58"/>
    <s v="RAPEESAN01"/>
    <s v="0001"/>
    <s v=""/>
    <s v="0000"/>
    <s v=""/>
    <s v="0142086199"/>
    <s v=""/>
    <s v="ตรวจปล่อย 01.12.25.1 R2-9"/>
    <s v="405053"/>
    <s v="67501001"/>
    <s v=""/>
    <s v=""/>
    <s v=""/>
    <s v=""/>
    <m/>
    <s v="BAG"/>
    <n v="-5"/>
    <n v="-868.5"/>
    <d v="2025-12-01T00:00:00"/>
    <d v="2025-12-01T00:00:00"/>
    <m/>
    <d v="2025-12-18T00:00:00"/>
    <n v="-2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6611"/>
    <s v="M001"/>
    <s v="111102-B/P"/>
    <s v=""/>
    <s v="09:52:03"/>
    <s v="RAPEESAN01"/>
    <s v="0002"/>
    <s v=""/>
    <s v="0000"/>
    <s v=""/>
    <s v="0142125836"/>
    <s v=""/>
    <s v="ตรวจปล่อย 01.12.25.2R2-9"/>
    <s v="405053"/>
    <s v="67501001"/>
    <s v=""/>
    <s v=""/>
    <s v=""/>
    <s v=""/>
    <m/>
    <s v="BAG"/>
    <n v="-1"/>
    <n v="-173.7"/>
    <d v="2025-12-02T00:00:00"/>
    <d v="2025-12-02T00:00:00"/>
    <m/>
    <d v="2025-12-18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6611"/>
    <s v="M001"/>
    <s v="151101-B/T"/>
    <s v=""/>
    <s v="09:52:03"/>
    <s v="RAPEESAN01"/>
    <s v="0003"/>
    <s v=""/>
    <s v="0000"/>
    <s v=""/>
    <s v="0142125836"/>
    <s v=""/>
    <s v="ตรวจปล่อย 01.12.25.2R2-9"/>
    <s v="405053"/>
    <s v="67501001"/>
    <s v=""/>
    <s v=""/>
    <s v=""/>
    <s v=""/>
    <m/>
    <s v="BAG"/>
    <n v="-2"/>
    <n v="-347.4"/>
    <d v="2025-12-02T00:00:00"/>
    <d v="2025-12-02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6611"/>
    <s v="M001"/>
    <s v="151101-B/T"/>
    <s v=""/>
    <s v="09:52:03"/>
    <s v="RAPEESAN01"/>
    <s v="0004"/>
    <s v=""/>
    <s v="0000"/>
    <s v=""/>
    <s v="0142125836"/>
    <s v=""/>
    <s v="Retain 01.12.25.2R2-9"/>
    <s v="405053"/>
    <s v="67501001"/>
    <s v=""/>
    <s v=""/>
    <s v=""/>
    <s v=""/>
    <m/>
    <s v="BAG"/>
    <n v="-2"/>
    <n v="-347.4"/>
    <d v="2025-12-02T00:00:00"/>
    <d v="2025-12-02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6611"/>
    <s v="M001"/>
    <s v="011202-B/T"/>
    <s v=""/>
    <s v="09:52:03"/>
    <s v="RAPEESAN01"/>
    <s v="0001"/>
    <s v=""/>
    <s v="0000"/>
    <s v=""/>
    <s v="0142125836"/>
    <s v=""/>
    <s v="ตรวจปล่อย 01.12.25.2R2-9"/>
    <s v="405053"/>
    <s v="67501001"/>
    <s v=""/>
    <s v=""/>
    <s v=""/>
    <s v=""/>
    <m/>
    <s v="BAG"/>
    <n v="-2"/>
    <n v="-347.4"/>
    <d v="2025-12-02T00:00:00"/>
    <d v="2025-12-02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6611"/>
    <s v="M001"/>
    <s v="151103-B/T"/>
    <s v=""/>
    <s v="09:52:03"/>
    <s v="RAPEESAN01"/>
    <s v="0005"/>
    <s v=""/>
    <s v="0000"/>
    <s v=""/>
    <s v="0142125836"/>
    <s v=""/>
    <s v="Retain 01.12.25.2R2-9"/>
    <s v="405053"/>
    <s v="67501001"/>
    <s v=""/>
    <s v=""/>
    <s v=""/>
    <s v=""/>
    <m/>
    <s v="BAG"/>
    <n v="-3"/>
    <n v="-521.1"/>
    <d v="2025-12-02T00:00:00"/>
    <d v="2025-12-02T00:00:00"/>
    <m/>
    <d v="2025-12-18T00:00:00"/>
    <n v="-15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4396812"/>
    <s v="M001"/>
    <s v="011203-B/T"/>
    <s v=""/>
    <s v="09:55:57"/>
    <s v="RAPEESAN01"/>
    <s v="0002"/>
    <s v=""/>
    <s v="0000"/>
    <s v=""/>
    <s v="0142165903"/>
    <s v=""/>
    <s v="Retain 01.12.25.3 R2-9"/>
    <s v="405053"/>
    <s v="67501001"/>
    <s v=""/>
    <s v=""/>
    <s v=""/>
    <s v=""/>
    <m/>
    <s v="BAG"/>
    <n v="-5"/>
    <n v="-868.5"/>
    <d v="2025-12-03T00:00:00"/>
    <d v="2025-12-03T00:00:00"/>
    <m/>
    <d v="2025-12-18T00:00:00"/>
    <n v="-2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6812"/>
    <s v="M001"/>
    <s v="011203-B/T"/>
    <s v=""/>
    <s v="09:55:57"/>
    <s v="RAPEESAN01"/>
    <s v="0001"/>
    <s v=""/>
    <s v="0000"/>
    <s v=""/>
    <s v="0142165903"/>
    <s v=""/>
    <s v="ตรวจปล่อย 01.12.25.3 R2-9"/>
    <s v="405053"/>
    <s v="67501001"/>
    <s v=""/>
    <s v=""/>
    <s v=""/>
    <s v=""/>
    <m/>
    <s v="BAG"/>
    <n v="-5"/>
    <n v="-868.5"/>
    <d v="2025-12-03T00:00:00"/>
    <d v="2025-12-03T00:00:00"/>
    <m/>
    <d v="2025-12-18T00:00:00"/>
    <n v="-2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6957"/>
    <s v="M001"/>
    <s v="011204-B/T"/>
    <s v=""/>
    <s v="10:00:22"/>
    <s v="RAPEESAN01"/>
    <s v="0003"/>
    <s v=""/>
    <s v="0000"/>
    <s v=""/>
    <s v="0142226721"/>
    <s v=""/>
    <s v="ตรวจเพิ่ม 01.12.25.4 R2-9 P.1"/>
    <s v="405053"/>
    <s v="67501001"/>
    <s v=""/>
    <s v=""/>
    <s v=""/>
    <s v=""/>
    <m/>
    <s v="BAG"/>
    <n v="-2"/>
    <n v="-347.4"/>
    <d v="2025-12-04T00:00:00"/>
    <d v="2025-12-04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6957"/>
    <s v="M001"/>
    <s v="011203-B/T"/>
    <s v=""/>
    <s v="10:00:22"/>
    <s v="RAPEESAN01"/>
    <s v="0002"/>
    <s v=""/>
    <s v="0000"/>
    <s v=""/>
    <s v="0142226721"/>
    <s v=""/>
    <s v="ตรวจ Repack 01.12.25.3 R2-9 P.1"/>
    <s v="405053"/>
    <s v="67501001"/>
    <s v=""/>
    <s v=""/>
    <s v=""/>
    <s v=""/>
    <m/>
    <s v="BAG"/>
    <n v="-1"/>
    <n v="-173.7"/>
    <d v="2025-12-04T00:00:00"/>
    <d v="2025-12-04T00:00:00"/>
    <m/>
    <d v="2025-12-18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6957"/>
    <s v="M001"/>
    <s v="011203-B/T"/>
    <s v=""/>
    <s v="10:00:22"/>
    <s v="RAPEESAN01"/>
    <s v="0001"/>
    <s v=""/>
    <s v="0000"/>
    <s v=""/>
    <s v="0142226721"/>
    <s v=""/>
    <s v="ตรวจเพิ่ม 01.12.25.3 P.1 R2-9"/>
    <s v="405053"/>
    <s v="67501001"/>
    <s v=""/>
    <s v=""/>
    <s v=""/>
    <s v=""/>
    <m/>
    <s v="BAG"/>
    <n v="-2"/>
    <n v="-347.4"/>
    <d v="2025-12-04T00:00:00"/>
    <d v="2025-12-04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6957"/>
    <s v="M001"/>
    <s v="011204-B/T"/>
    <s v=""/>
    <s v="10:00:22"/>
    <s v="RAPEESAN01"/>
    <s v="0004"/>
    <s v=""/>
    <s v="0000"/>
    <s v=""/>
    <s v="0142226721"/>
    <s v=""/>
    <s v="ตรวจเพิ่ม 01.12.25.4 R2-9 P.2"/>
    <s v="405053"/>
    <s v="67501001"/>
    <s v=""/>
    <s v=""/>
    <s v=""/>
    <s v=""/>
    <m/>
    <s v="BAG"/>
    <n v="-1"/>
    <n v="-173.7"/>
    <d v="2025-12-04T00:00:00"/>
    <d v="2025-12-04T00:00:00"/>
    <m/>
    <d v="2025-12-18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7139"/>
    <s v="M001"/>
    <s v="011204-B/T"/>
    <s v=""/>
    <s v="10:02:55"/>
    <s v="RAPEESAN01"/>
    <s v="0002"/>
    <s v=""/>
    <s v="0000"/>
    <s v=""/>
    <s v="0142225825"/>
    <s v=""/>
    <s v="Retain 01.12.25.4 R2-9"/>
    <s v="405053"/>
    <s v="67501001"/>
    <s v=""/>
    <s v=""/>
    <s v=""/>
    <s v=""/>
    <m/>
    <s v="BAG"/>
    <n v="-5"/>
    <n v="-868.5"/>
    <d v="2025-12-04T00:00:00"/>
    <d v="2025-12-04T00:00:00"/>
    <m/>
    <d v="2025-12-18T00:00:00"/>
    <n v="-2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7139"/>
    <s v="M001"/>
    <s v="011204-B/T"/>
    <s v=""/>
    <s v="10:02:55"/>
    <s v="RAPEESAN01"/>
    <s v="0001"/>
    <s v=""/>
    <s v="0000"/>
    <s v=""/>
    <s v="0142225825"/>
    <s v=""/>
    <s v="ตรวจปล่อย 01.12.25.4 R2-9"/>
    <s v="405053"/>
    <s v="67501001"/>
    <s v=""/>
    <s v=""/>
    <s v=""/>
    <s v=""/>
    <m/>
    <s v="BAG"/>
    <n v="-5"/>
    <n v="-868.5"/>
    <d v="2025-12-04T00:00:00"/>
    <d v="2025-12-04T00:00:00"/>
    <m/>
    <d v="2025-12-18T00:00:00"/>
    <n v="-2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7219"/>
    <s v="M001"/>
    <s v="081201-B/T"/>
    <s v=""/>
    <s v="10:04:59"/>
    <s v="RAPEESAN01"/>
    <s v="0001"/>
    <s v=""/>
    <s v="0000"/>
    <s v=""/>
    <s v="0142346019"/>
    <s v=""/>
    <s v="ตรวจปล่อย 08.12.25.1 R2-9"/>
    <s v="405053"/>
    <s v="67501001"/>
    <s v=""/>
    <s v=""/>
    <s v=""/>
    <s v=""/>
    <m/>
    <s v="BAG"/>
    <n v="-5"/>
    <n v="-868.5"/>
    <d v="2025-12-08T00:00:00"/>
    <d v="2025-12-08T00:00:00"/>
    <m/>
    <d v="2025-12-18T00:00:00"/>
    <n v="-2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7219"/>
    <s v="M001"/>
    <s v="081201-B/T"/>
    <s v=""/>
    <s v="10:04:59"/>
    <s v="RAPEESAN01"/>
    <s v="0002"/>
    <s v=""/>
    <s v="0000"/>
    <s v=""/>
    <s v="0142346019"/>
    <s v=""/>
    <s v="Retain 08.12.25.1 R2-9"/>
    <s v="405053"/>
    <s v="67501001"/>
    <s v=""/>
    <s v=""/>
    <s v=""/>
    <s v=""/>
    <m/>
    <s v="BAG"/>
    <n v="-5"/>
    <n v="-868.5"/>
    <d v="2025-12-08T00:00:00"/>
    <d v="2025-12-08T00:00:00"/>
    <m/>
    <d v="2025-12-18T00:00:00"/>
    <n v="-2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7329"/>
    <s v="M001"/>
    <s v="011203-B/T"/>
    <s v=""/>
    <s v="10:07:53"/>
    <s v="RAPEESAN01"/>
    <s v="0002"/>
    <s v=""/>
    <s v="0000"/>
    <s v=""/>
    <s v="0142385220"/>
    <s v=""/>
    <s v="ตรวจเพิ่ม 01.12.25.3 R2-9 P.14"/>
    <s v="405053"/>
    <s v="67501001"/>
    <s v=""/>
    <s v=""/>
    <s v=""/>
    <s v=""/>
    <m/>
    <s v="BAG"/>
    <n v="-2"/>
    <n v="-347.4"/>
    <d v="2025-12-09T00:00:00"/>
    <d v="2025-12-09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7329"/>
    <s v="M001"/>
    <s v="011204-B/T"/>
    <s v=""/>
    <s v="10:07:53"/>
    <s v="RAPEESAN01"/>
    <s v="0003"/>
    <s v=""/>
    <s v="0000"/>
    <s v=""/>
    <s v="0142385220"/>
    <s v=""/>
    <s v="ตรวจเพิ่ม 01.12.25.4 R2-9 P.17"/>
    <s v="405053"/>
    <s v="67501001"/>
    <s v=""/>
    <s v=""/>
    <s v=""/>
    <s v=""/>
    <m/>
    <s v="BAG"/>
    <n v="-2"/>
    <n v="-347.4"/>
    <d v="2025-12-09T00:00:00"/>
    <d v="2025-12-09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7329"/>
    <s v="M001"/>
    <s v="081202-B/T"/>
    <s v=""/>
    <s v="10:07:53"/>
    <s v="RAPEESAN01"/>
    <s v="0001"/>
    <s v=""/>
    <s v="0000"/>
    <s v=""/>
    <s v="0142385220"/>
    <s v=""/>
    <s v="ตรวจเพิ่ม 08.12.25.2 R2-9 P.1"/>
    <s v="405053"/>
    <s v="67501001"/>
    <s v=""/>
    <s v=""/>
    <s v=""/>
    <s v=""/>
    <m/>
    <s v="BAG"/>
    <n v="-2"/>
    <n v="-347.4"/>
    <d v="2025-12-09T00:00:00"/>
    <d v="2025-12-09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7329"/>
    <s v="M001"/>
    <s v="011204-B/T"/>
    <s v=""/>
    <s v="10:07:53"/>
    <s v="RAPEESAN01"/>
    <s v="0004"/>
    <s v=""/>
    <s v="0000"/>
    <s v=""/>
    <s v="0142385220"/>
    <s v=""/>
    <s v="ตรวจ Repack 01.12.25.4 R2-9 P.1"/>
    <s v="405053"/>
    <s v="67501001"/>
    <s v=""/>
    <s v=""/>
    <s v=""/>
    <s v=""/>
    <m/>
    <s v="BAG"/>
    <n v="-1"/>
    <n v="-173.7"/>
    <d v="2025-12-09T00:00:00"/>
    <d v="2025-12-09T00:00:00"/>
    <m/>
    <d v="2025-12-18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7506"/>
    <s v="M001"/>
    <s v="081202-B/T"/>
    <s v=""/>
    <s v="10:10:03"/>
    <s v="RAPEESAN01"/>
    <s v="0002"/>
    <s v=""/>
    <s v="0000"/>
    <s v=""/>
    <s v="0142385190"/>
    <s v=""/>
    <s v="Retain 08.12.25.2 R2-9"/>
    <s v="405053"/>
    <s v="67501001"/>
    <s v=""/>
    <s v=""/>
    <s v=""/>
    <s v=""/>
    <m/>
    <s v="BAG"/>
    <n v="-5"/>
    <n v="-868.5"/>
    <d v="2025-12-09T00:00:00"/>
    <d v="2025-12-09T00:00:00"/>
    <m/>
    <d v="2025-12-18T00:00:00"/>
    <n v="-2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7506"/>
    <s v="M001"/>
    <s v="081202-B/T"/>
    <s v=""/>
    <s v="10:10:03"/>
    <s v="RAPEESAN01"/>
    <s v="0001"/>
    <s v=""/>
    <s v="0000"/>
    <s v=""/>
    <s v="0142385190"/>
    <s v=""/>
    <s v="ตรวจปล่อย 08.12.25.2 R2-9"/>
    <s v="405053"/>
    <s v="67501001"/>
    <s v=""/>
    <s v=""/>
    <s v=""/>
    <s v=""/>
    <m/>
    <s v="BAG"/>
    <n v="-5"/>
    <n v="-868.5"/>
    <d v="2025-12-09T00:00:00"/>
    <d v="2025-12-09T00:00:00"/>
    <m/>
    <d v="2025-12-18T00:00:00"/>
    <n v="-2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7755"/>
    <s v="M001"/>
    <s v="011203-B/T"/>
    <s v=""/>
    <s v="10:12:29"/>
    <s v="RAPEESAN01"/>
    <s v="0004"/>
    <s v=""/>
    <s v="0000"/>
    <s v=""/>
    <s v="0142482520"/>
    <s v=""/>
    <s v="ตรวจเพิ่ม 01.12.25.3 R2-9 P.21"/>
    <s v="405053"/>
    <s v="67501001"/>
    <s v=""/>
    <s v=""/>
    <s v=""/>
    <s v=""/>
    <m/>
    <s v="BAG"/>
    <n v="-1"/>
    <n v="-173.7"/>
    <d v="2025-12-11T00:00:00"/>
    <d v="2025-12-11T00:00:00"/>
    <m/>
    <d v="2025-12-18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7755"/>
    <s v="M001"/>
    <s v="081201-B/T"/>
    <s v=""/>
    <s v="10:12:29"/>
    <s v="RAPEESAN01"/>
    <s v="0002"/>
    <s v=""/>
    <s v="0000"/>
    <s v=""/>
    <s v="0142482520"/>
    <s v=""/>
    <s v="ตรวจเพิ่ม 08.12.25.1 R2-9 P.8"/>
    <s v="405053"/>
    <s v="67501001"/>
    <s v=""/>
    <s v=""/>
    <s v=""/>
    <s v=""/>
    <m/>
    <s v="BAG"/>
    <n v="-3"/>
    <n v="-521.1"/>
    <d v="2025-12-11T00:00:00"/>
    <d v="2025-12-11T00:00:00"/>
    <m/>
    <d v="2025-12-18T00:00:00"/>
    <n v="-15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4397755"/>
    <s v="M001"/>
    <s v="081202-B/T"/>
    <s v=""/>
    <s v="10:12:29"/>
    <s v="RAPEESAN01"/>
    <s v="0003"/>
    <s v=""/>
    <s v="0000"/>
    <s v=""/>
    <s v="0142482520"/>
    <s v=""/>
    <s v="ตรวจ Repack 08.12.25.2 R2-9 P.1"/>
    <s v="405053"/>
    <s v="67501001"/>
    <s v=""/>
    <s v=""/>
    <s v=""/>
    <s v=""/>
    <m/>
    <s v="BAG"/>
    <n v="-1"/>
    <n v="-173.7"/>
    <d v="2025-12-11T00:00:00"/>
    <d v="2025-12-11T00:00:00"/>
    <m/>
    <d v="2025-12-18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7755"/>
    <s v="M001"/>
    <s v="081201-B/T"/>
    <s v=""/>
    <s v="10:12:29"/>
    <s v="RAPEESAN01"/>
    <s v="0001"/>
    <s v=""/>
    <s v="0000"/>
    <s v=""/>
    <s v="0142482520"/>
    <s v=""/>
    <s v="ตรวจเพิ่ม 08.12.25.1 R2-9 P.9"/>
    <s v="405053"/>
    <s v="67501001"/>
    <s v=""/>
    <s v=""/>
    <s v=""/>
    <s v=""/>
    <m/>
    <s v="BAG"/>
    <n v="-2"/>
    <n v="-347.4"/>
    <d v="2025-12-11T00:00:00"/>
    <d v="2025-12-11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8064"/>
    <s v="M001"/>
    <s v="151104-B/T"/>
    <s v=""/>
    <s v="10:17:36"/>
    <s v="RAPEESAN01"/>
    <s v="0002"/>
    <s v=""/>
    <s v="0000"/>
    <s v=""/>
    <s v="0142482394"/>
    <s v=""/>
    <s v="Retain 08.12.25.3 R2-9"/>
    <s v="405053"/>
    <s v="67501001"/>
    <s v=""/>
    <s v=""/>
    <s v=""/>
    <s v=""/>
    <m/>
    <s v="BAG"/>
    <n v="-3"/>
    <n v="-521.1"/>
    <d v="2025-12-11T00:00:00"/>
    <d v="2025-12-11T00:00:00"/>
    <m/>
    <d v="2025-12-18T00:00:00"/>
    <n v="-15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4398064"/>
    <s v="M001"/>
    <s v="151103-B/T"/>
    <s v=""/>
    <s v="10:17:36"/>
    <s v="RAPEESAN01"/>
    <s v="0001"/>
    <s v=""/>
    <s v="0000"/>
    <s v=""/>
    <s v="0142482394"/>
    <s v=""/>
    <s v="ตรวจปล่อย 08.12.25.3 R2-9"/>
    <s v="405053"/>
    <s v="67501001"/>
    <s v=""/>
    <s v=""/>
    <s v=""/>
    <s v=""/>
    <m/>
    <s v="BAG"/>
    <n v="-3"/>
    <n v="-521.1"/>
    <d v="2025-12-11T00:00:00"/>
    <d v="2025-12-11T00:00:00"/>
    <m/>
    <d v="2025-12-18T00:00:00"/>
    <n v="-15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4398070"/>
    <s v="M001"/>
    <s v="011203-B/T"/>
    <s v=""/>
    <s v="10:19:14"/>
    <s v="RAPEESAN01"/>
    <s v="0001"/>
    <s v=""/>
    <s v="0000"/>
    <s v=""/>
    <s v="0142535308"/>
    <s v=""/>
    <s v="ตรวจเพิ่ม 1.12.25.3R2-9 P.21"/>
    <s v="405053"/>
    <s v="67501001"/>
    <s v=""/>
    <s v=""/>
    <s v=""/>
    <s v=""/>
    <m/>
    <s v="BAG"/>
    <n v="-2"/>
    <n v="-347.4"/>
    <d v="2025-12-12T00:00:00"/>
    <d v="2025-12-12T00:00:00"/>
    <m/>
    <d v="2025-12-18T00:00:00"/>
    <n v="-1000"/>
    <s v=""/>
    <x v="0"/>
    <s v="ค่าวิจัยคุณภาพสินค้า"/>
    <m/>
    <n v="173.7"/>
  </r>
  <r>
    <x v="10"/>
    <x v="10"/>
    <s v="0328"/>
    <x v="5"/>
    <s v="GI ค่าวิจัยและพัฒนา"/>
    <s v="4924398217"/>
    <s v="M001"/>
    <s v="071125-B"/>
    <s v=""/>
    <s v="10:22:54"/>
    <s v="RAPEESAN01"/>
    <s v="0001"/>
    <s v=""/>
    <s v="0000"/>
    <s v=""/>
    <s v="0142535744"/>
    <s v=""/>
    <s v="ตรวจปล่อย 12.12.25.1"/>
    <s v="405053"/>
    <s v="67501001"/>
    <s v=""/>
    <s v=""/>
    <s v=""/>
    <s v=""/>
    <m/>
    <s v="BAG"/>
    <n v="-1"/>
    <n v="-174.02"/>
    <d v="2025-12-12T00:00:00"/>
    <d v="2025-12-12T00:00:00"/>
    <m/>
    <d v="2025-12-18T00:00:00"/>
    <n v="-500"/>
    <s v=""/>
    <x v="0"/>
    <s v="ค่าวิจัยคุณภาพสินค้า"/>
    <m/>
    <n v="174.02"/>
  </r>
  <r>
    <x v="2"/>
    <x v="2"/>
    <s v="0328"/>
    <x v="5"/>
    <s v="GI ค่าวิจัยและพัฒนา"/>
    <s v="4924398595"/>
    <s v="M001"/>
    <s v="151104-B/T"/>
    <s v=""/>
    <s v="10:28:31"/>
    <s v="RAPEESAN01"/>
    <s v="0001"/>
    <s v=""/>
    <s v="0000"/>
    <s v=""/>
    <s v="0142662559"/>
    <s v=""/>
    <s v="Routine MFG 08.12.25 Lot.4 R2-9"/>
    <s v="405053"/>
    <s v="67501001"/>
    <s v=""/>
    <s v=""/>
    <s v=""/>
    <s v=""/>
    <m/>
    <s v="BAG"/>
    <n v="-3"/>
    <n v="-521.1"/>
    <d v="2025-12-15T00:00:00"/>
    <d v="2025-12-15T00:00:00"/>
    <m/>
    <d v="2025-12-18T00:00:00"/>
    <n v="-15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4398595"/>
    <s v="M001"/>
    <s v="011203-B/T"/>
    <s v=""/>
    <s v="10:28:31"/>
    <s v="RAPEESAN01"/>
    <s v="0002"/>
    <s v=""/>
    <s v="0000"/>
    <s v=""/>
    <s v="0142662559"/>
    <s v=""/>
    <s v="Routine MFG 08.12.25 Lot.4 R2-9"/>
    <s v="405053"/>
    <s v="67501001"/>
    <s v=""/>
    <s v=""/>
    <s v=""/>
    <s v=""/>
    <m/>
    <s v="BAG"/>
    <n v="-3"/>
    <n v="-521.1"/>
    <d v="2025-12-15T00:00:00"/>
    <d v="2025-12-15T00:00:00"/>
    <m/>
    <d v="2025-12-18T00:00:00"/>
    <n v="-15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4398595"/>
    <s v="M001"/>
    <s v="011203-B/T"/>
    <s v=""/>
    <s v="10:28:31"/>
    <s v="RAPEESAN01"/>
    <s v="0003"/>
    <s v=""/>
    <s v="0000"/>
    <s v=""/>
    <s v="0142662559"/>
    <s v=""/>
    <s v="Retain 08.12.25 Lot.4 R2-9"/>
    <s v="405053"/>
    <s v="67501001"/>
    <s v=""/>
    <s v=""/>
    <s v=""/>
    <s v=""/>
    <m/>
    <s v="BAG"/>
    <n v="-6"/>
    <n v="-1042.2"/>
    <d v="2025-12-15T00:00:00"/>
    <d v="2025-12-15T00:00:00"/>
    <m/>
    <d v="2025-12-18T00:00:00"/>
    <n v="-30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4398751"/>
    <s v="M001"/>
    <s v="081202-B/T"/>
    <s v=""/>
    <s v="10:33:04"/>
    <s v="RAPEESAN01"/>
    <s v="0006"/>
    <s v=""/>
    <s v="0000"/>
    <s v=""/>
    <s v="0142662590"/>
    <s v=""/>
    <s v="ตรวจเพิ่ม 08.12.25 Lot.2 R2-9 P.23"/>
    <s v="405053"/>
    <s v="67501001"/>
    <s v=""/>
    <s v=""/>
    <s v=""/>
    <s v=""/>
    <m/>
    <s v="BAG"/>
    <n v="-2"/>
    <n v="-347.4"/>
    <d v="2025-12-15T00:00:00"/>
    <d v="2025-12-15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8751"/>
    <s v="M001"/>
    <s v="081202-B/T"/>
    <s v=""/>
    <s v="10:33:04"/>
    <s v="RAPEESAN01"/>
    <s v="0007"/>
    <s v=""/>
    <s v="0000"/>
    <s v=""/>
    <s v="0142662590"/>
    <s v=""/>
    <s v="ตรวจเพิ่ม 08.12.25 Lot.2 R2-9 P.31"/>
    <s v="405053"/>
    <s v="67501001"/>
    <s v=""/>
    <s v=""/>
    <s v=""/>
    <s v=""/>
    <m/>
    <s v="BAG"/>
    <n v="-2"/>
    <n v="-347.4"/>
    <d v="2025-12-15T00:00:00"/>
    <d v="2025-12-15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8751"/>
    <s v="M001"/>
    <s v="081202-B/T"/>
    <s v=""/>
    <s v="10:33:04"/>
    <s v="RAPEESAN01"/>
    <s v="0005"/>
    <s v=""/>
    <s v="0000"/>
    <s v=""/>
    <s v="0142662590"/>
    <s v=""/>
    <s v="ตรวจเพิ่ม 08.12.25 Lot.2 R2-9 P.15"/>
    <s v="405053"/>
    <s v="67501001"/>
    <s v=""/>
    <s v=""/>
    <s v=""/>
    <s v=""/>
    <m/>
    <s v="BAG"/>
    <n v="-2"/>
    <n v="-347.4"/>
    <d v="2025-12-15T00:00:00"/>
    <d v="2025-12-15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8751"/>
    <s v="M001"/>
    <s v="081202-B/T"/>
    <s v=""/>
    <s v="10:33:04"/>
    <s v="RAPEESAN01"/>
    <s v="0004"/>
    <s v=""/>
    <s v="0000"/>
    <s v=""/>
    <s v="0142662590"/>
    <s v=""/>
    <s v="ตรวจเพิ่ม 08.12.25 Lot.2 R2-9 P.7"/>
    <s v="405053"/>
    <s v="67501001"/>
    <s v=""/>
    <s v=""/>
    <s v=""/>
    <s v=""/>
    <m/>
    <s v="BAG"/>
    <n v="-2"/>
    <n v="-347.4"/>
    <d v="2025-12-15T00:00:00"/>
    <d v="2025-12-15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8751"/>
    <s v="M001"/>
    <s v="011203-B/T"/>
    <s v=""/>
    <s v="10:33:04"/>
    <s v="RAPEESAN01"/>
    <s v="0003"/>
    <s v=""/>
    <s v="0000"/>
    <s v=""/>
    <s v="0142662590"/>
    <s v=""/>
    <s v="Repack 08.12.25 Lot.3 R2-9 P.21"/>
    <s v="405053"/>
    <s v="67501001"/>
    <s v=""/>
    <s v=""/>
    <s v=""/>
    <s v=""/>
    <m/>
    <s v="BAG"/>
    <n v="-1"/>
    <n v="-173.7"/>
    <d v="2025-12-15T00:00:00"/>
    <d v="2025-12-15T00:00:00"/>
    <m/>
    <d v="2025-12-18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8751"/>
    <s v="M001"/>
    <s v="011203-B/T"/>
    <s v=""/>
    <s v="10:33:04"/>
    <s v="RAPEESAN01"/>
    <s v="0001"/>
    <s v=""/>
    <s v="0000"/>
    <s v=""/>
    <s v="0142662590"/>
    <s v=""/>
    <s v="ตรวจเพิ่ม 08.12.25 Lot.3 R2-9 P.7"/>
    <s v="405053"/>
    <s v="67501001"/>
    <s v=""/>
    <s v=""/>
    <s v=""/>
    <s v=""/>
    <m/>
    <s v="BAG"/>
    <n v="-2"/>
    <n v="-347.4"/>
    <d v="2025-12-15T00:00:00"/>
    <d v="2025-12-15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8751"/>
    <s v="M001"/>
    <s v="011203-B/T"/>
    <s v=""/>
    <s v="10:33:04"/>
    <s v="RAPEESAN01"/>
    <s v="0002"/>
    <s v=""/>
    <s v="0000"/>
    <s v=""/>
    <s v="0142662590"/>
    <s v=""/>
    <s v="ตรวจเพิ่ม 08.12.25 Lot.3 R2-9 P.13"/>
    <s v="405053"/>
    <s v="67501001"/>
    <s v=""/>
    <s v=""/>
    <s v=""/>
    <s v=""/>
    <m/>
    <s v="BAG"/>
    <n v="-2"/>
    <n v="-347.4"/>
    <d v="2025-12-15T00:00:00"/>
    <d v="2025-12-15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8759"/>
    <s v="M001"/>
    <s v="011203-B/T"/>
    <s v=""/>
    <s v="10:35:02"/>
    <s v="RAPEESAN01"/>
    <s v="0001"/>
    <s v=""/>
    <s v="0000"/>
    <s v=""/>
    <s v="0142723028"/>
    <s v=""/>
    <s v="ตรวจเพิ่ม 16.12.25.1 P.1 R2-10"/>
    <s v="405053"/>
    <s v="67501001"/>
    <s v=""/>
    <s v=""/>
    <s v=""/>
    <s v=""/>
    <m/>
    <s v="BAG"/>
    <n v="-2"/>
    <n v="-347.4"/>
    <d v="2025-12-16T00:00:00"/>
    <d v="2025-12-16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8838"/>
    <s v="M001"/>
    <s v="011203-B/T"/>
    <s v=""/>
    <s v="10:36:45"/>
    <s v="RAPEESAN01"/>
    <s v="0001"/>
    <s v=""/>
    <s v="0000"/>
    <s v=""/>
    <s v="0142720513"/>
    <s v=""/>
    <s v="ตรวจปล่อย 16.12.25.1 R2-10"/>
    <s v="405053"/>
    <s v="67501001"/>
    <s v=""/>
    <s v=""/>
    <s v=""/>
    <s v=""/>
    <m/>
    <s v="BAG"/>
    <n v="-6"/>
    <n v="-1042.2"/>
    <d v="2025-12-16T00:00:00"/>
    <d v="2025-12-16T00:00:00"/>
    <m/>
    <d v="2025-12-18T00:00:00"/>
    <n v="-30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4398838"/>
    <s v="M001"/>
    <s v="011203-B/T"/>
    <s v=""/>
    <s v="10:36:45"/>
    <s v="RAPEESAN01"/>
    <s v="0002"/>
    <s v=""/>
    <s v="0000"/>
    <s v=""/>
    <s v="0142720513"/>
    <s v=""/>
    <s v="Routine 16.12.25.1 R2-10"/>
    <s v="405053"/>
    <s v="67501001"/>
    <s v=""/>
    <s v=""/>
    <s v=""/>
    <s v=""/>
    <m/>
    <s v="BAG"/>
    <n v="-6"/>
    <n v="-1042.2"/>
    <d v="2025-12-16T00:00:00"/>
    <d v="2025-12-16T00:00:00"/>
    <m/>
    <d v="2025-12-18T00:00:00"/>
    <n v="-30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4398988"/>
    <s v="M001"/>
    <s v="011203-B/T"/>
    <s v=""/>
    <s v="10:39:28"/>
    <s v="RAPEESAN01"/>
    <s v="0004"/>
    <s v=""/>
    <s v="0000"/>
    <s v=""/>
    <s v="0142783850"/>
    <s v=""/>
    <s v="ตรวจเพิ่ม 16.12.25.2 P.1 R2-10"/>
    <s v="405053"/>
    <s v="67501001"/>
    <s v=""/>
    <s v=""/>
    <s v=""/>
    <s v=""/>
    <m/>
    <s v="BAG"/>
    <n v="-2"/>
    <n v="-347.4"/>
    <d v="2025-12-17T00:00:00"/>
    <d v="2025-12-17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8988"/>
    <s v="M001"/>
    <s v="011203-B/T"/>
    <s v=""/>
    <s v="10:39:28"/>
    <s v="RAPEESAN01"/>
    <s v="0003"/>
    <s v=""/>
    <s v="0000"/>
    <s v=""/>
    <s v="0142783850"/>
    <s v=""/>
    <s v="ตรวจเพิ่ม 08.12.25.4 R2-9 P.31"/>
    <s v="405053"/>
    <s v="67501001"/>
    <s v=""/>
    <s v=""/>
    <s v=""/>
    <s v=""/>
    <m/>
    <s v="BAG"/>
    <n v="-2"/>
    <n v="-347.4"/>
    <d v="2025-12-17T00:00:00"/>
    <d v="2025-12-17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398988"/>
    <s v="M001"/>
    <s v="011203-B/T"/>
    <s v=""/>
    <s v="10:39:28"/>
    <s v="RAPEESAN01"/>
    <s v="0001"/>
    <s v=""/>
    <s v="0000"/>
    <s v=""/>
    <s v="0142783850"/>
    <s v=""/>
    <s v="ตรวจเพิ่ม 08.12.25.4 R2-9 P.2"/>
    <s v="405053"/>
    <s v="67501001"/>
    <s v=""/>
    <s v=""/>
    <s v=""/>
    <s v=""/>
    <m/>
    <s v="BAG"/>
    <n v="-3"/>
    <n v="-521.1"/>
    <d v="2025-12-17T00:00:00"/>
    <d v="2025-12-17T00:00:00"/>
    <m/>
    <d v="2025-12-18T00:00:00"/>
    <n v="-15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4398988"/>
    <s v="M001"/>
    <s v="011203-B/T"/>
    <s v=""/>
    <s v="10:39:28"/>
    <s v="RAPEESAN01"/>
    <s v="0002"/>
    <s v=""/>
    <s v="0000"/>
    <s v=""/>
    <s v="0142783850"/>
    <s v=""/>
    <s v="ตรวจเพิ่ม 08.12.25.4 R2-9 P.3"/>
    <s v="405053"/>
    <s v="67501001"/>
    <s v=""/>
    <s v=""/>
    <s v=""/>
    <s v=""/>
    <m/>
    <s v="BAG"/>
    <n v="-3"/>
    <n v="-521.1"/>
    <d v="2025-12-17T00:00:00"/>
    <d v="2025-12-17T00:00:00"/>
    <m/>
    <d v="2025-12-18T00:00:00"/>
    <n v="-15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4399064"/>
    <s v="M001"/>
    <s v="011203-B/T"/>
    <s v=""/>
    <s v="10:41:27"/>
    <s v="RAPEESAN01"/>
    <s v="0001"/>
    <s v=""/>
    <s v="0000"/>
    <s v=""/>
    <s v="0142782252"/>
    <s v=""/>
    <s v="Routine 16.12.25.2 R-10"/>
    <s v="405053"/>
    <s v="67501001"/>
    <s v=""/>
    <s v=""/>
    <s v=""/>
    <s v=""/>
    <m/>
    <s v="BAG"/>
    <n v="-6"/>
    <n v="-1042.2"/>
    <d v="2025-12-17T00:00:00"/>
    <d v="2025-12-17T00:00:00"/>
    <m/>
    <d v="2025-12-18T00:00:00"/>
    <n v="-30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4399064"/>
    <s v="M001"/>
    <s v="011203-B/T"/>
    <s v=""/>
    <s v="10:41:27"/>
    <s v="RAPEESAN01"/>
    <s v="0002"/>
    <s v=""/>
    <s v="0000"/>
    <s v=""/>
    <s v="0142782252"/>
    <s v=""/>
    <s v="Retain 16.12.25.2 R2-10"/>
    <s v="405053"/>
    <s v="67501001"/>
    <s v=""/>
    <s v=""/>
    <s v=""/>
    <s v=""/>
    <m/>
    <s v="BAG"/>
    <n v="-6"/>
    <n v="-1042.2"/>
    <d v="2025-12-17T00:00:00"/>
    <d v="2025-12-17T00:00:00"/>
    <m/>
    <d v="2025-12-18T00:00:00"/>
    <n v="-30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4401349"/>
    <s v="M001"/>
    <s v="070804-B/P"/>
    <s v=""/>
    <s v="11:44:19"/>
    <s v="JURASDOK"/>
    <s v="0001"/>
    <s v=""/>
    <s v="0000"/>
    <s v=""/>
    <s v="0141977323"/>
    <s v=""/>
    <s v="เพื่อส่งให้ RD'QA 7-11 ตรวจสอบ"/>
    <s v="405053"/>
    <s v="67501001"/>
    <s v=""/>
    <s v=""/>
    <s v=""/>
    <s v=""/>
    <m/>
    <s v="BAG"/>
    <n v="-6"/>
    <n v="-1042.2"/>
    <d v="2025-12-01T00:00:00"/>
    <d v="2025-12-01T00:00:00"/>
    <m/>
    <d v="2025-12-18T00:00:00"/>
    <n v="-30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4401444"/>
    <s v="M001"/>
    <s v="070804-B/P"/>
    <s v=""/>
    <s v="11:45:13"/>
    <s v="JURASDOK"/>
    <s v="0001"/>
    <s v=""/>
    <s v="0000"/>
    <s v=""/>
    <s v="0142063191"/>
    <s v=""/>
    <s v="เพื่อส่งให้ RD'QA 7-11 ตรวจสอบ"/>
    <s v="405053"/>
    <s v="67501001"/>
    <s v=""/>
    <s v=""/>
    <s v=""/>
    <s v=""/>
    <m/>
    <s v="BAG"/>
    <n v="-2"/>
    <n v="-347.4"/>
    <d v="2025-12-02T00:00:00"/>
    <d v="2025-12-02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401448"/>
    <s v="M001"/>
    <s v="070804-B/P"/>
    <s v=""/>
    <s v="11:46:23"/>
    <s v="JURASDOK"/>
    <s v="0001"/>
    <s v=""/>
    <s v="0000"/>
    <s v=""/>
    <s v="0142070458"/>
    <s v=""/>
    <s v="เพื่อส่งให้ RD'QA 7-11 ตรวจสอบ"/>
    <s v="405053"/>
    <s v="67501001"/>
    <s v=""/>
    <s v=""/>
    <s v=""/>
    <s v=""/>
    <m/>
    <s v="BAG"/>
    <n v="-5"/>
    <n v="-868.5"/>
    <d v="2025-12-03T00:00:00"/>
    <d v="2025-12-03T00:00:00"/>
    <m/>
    <d v="2025-12-18T00:00:00"/>
    <n v="-2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401508"/>
    <s v="M001"/>
    <s v="070804-B/P"/>
    <s v=""/>
    <s v="11:48:01"/>
    <s v="JURASDOK"/>
    <s v="0001"/>
    <s v=""/>
    <s v="0000"/>
    <s v=""/>
    <s v="0142119703"/>
    <s v=""/>
    <s v="เพื่อส่งให้ RD'QA 7-11 ตรวจสอบ"/>
    <s v="405053"/>
    <s v="67501001"/>
    <s v=""/>
    <s v=""/>
    <s v=""/>
    <s v=""/>
    <m/>
    <s v="BAG"/>
    <n v="-5"/>
    <n v="-868.5"/>
    <d v="2025-12-03T00:00:00"/>
    <d v="2025-12-03T00:00:00"/>
    <m/>
    <d v="2025-12-18T00:00:00"/>
    <n v="-2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401559"/>
    <s v="M001"/>
    <s v="201101-B/T"/>
    <s v=""/>
    <s v="11:49:10"/>
    <s v="JURASDOK"/>
    <s v="0001"/>
    <s v=""/>
    <s v="0000"/>
    <s v=""/>
    <s v="0142216013"/>
    <s v=""/>
    <s v="เพื่อส่งให้ RD'QA 7-11 ตรวจสอบ"/>
    <s v="405053"/>
    <s v="67501001"/>
    <s v=""/>
    <s v=""/>
    <s v=""/>
    <s v=""/>
    <m/>
    <s v="BAG"/>
    <n v="-2"/>
    <n v="-347.4"/>
    <d v="2025-12-06T00:00:00"/>
    <d v="2025-12-06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401573"/>
    <s v="M001"/>
    <s v="201101-B/T"/>
    <s v=""/>
    <s v="11:49:56"/>
    <s v="JURASDOK"/>
    <s v="0001"/>
    <s v=""/>
    <s v="0000"/>
    <s v=""/>
    <s v="0142216022"/>
    <s v=""/>
    <s v="เพื่อส่งให้ RD'QA 7-11 ตรวจสอบ"/>
    <s v="405053"/>
    <s v="67501001"/>
    <s v=""/>
    <s v=""/>
    <s v=""/>
    <s v=""/>
    <m/>
    <s v="BAG"/>
    <n v="-4"/>
    <n v="-694.8"/>
    <d v="2025-12-08T00:00:00"/>
    <d v="2025-12-08T00:00:00"/>
    <m/>
    <d v="2025-12-18T00:00:00"/>
    <n v="-2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401580"/>
    <s v="M001"/>
    <s v="201104-B/T"/>
    <s v=""/>
    <s v="11:50:51"/>
    <s v="JURASDOK"/>
    <s v="0001"/>
    <s v=""/>
    <s v="0000"/>
    <s v=""/>
    <s v="0142330958"/>
    <s v=""/>
    <s v="เพื่อส่งให้ RA'QA 7-11 ตรวจสอบ"/>
    <s v="405053"/>
    <s v="67501001"/>
    <s v=""/>
    <s v=""/>
    <s v=""/>
    <s v=""/>
    <m/>
    <s v="BAG"/>
    <n v="-2"/>
    <n v="-347.4"/>
    <d v="2025-12-09T00:00:00"/>
    <d v="2025-12-09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401643"/>
    <s v="M001"/>
    <s v="201104-B/T"/>
    <s v=""/>
    <s v="11:52:04"/>
    <s v="JURASDOK"/>
    <s v="0001"/>
    <s v=""/>
    <s v="0000"/>
    <s v=""/>
    <s v="0142369400"/>
    <s v=""/>
    <s v="เพื่อส่งให้ RA'QA 7-11 ตรวจสอบ"/>
    <s v="405053"/>
    <s v="67501001"/>
    <s v=""/>
    <s v=""/>
    <s v=""/>
    <s v=""/>
    <m/>
    <s v="BAG"/>
    <n v="-4"/>
    <n v="-694.8"/>
    <d v="2025-12-11T00:00:00"/>
    <d v="2025-12-11T00:00:00"/>
    <m/>
    <d v="2025-12-18T00:00:00"/>
    <n v="-2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401646"/>
    <s v="M001"/>
    <s v="261101-B/T"/>
    <s v=""/>
    <s v="11:53:46"/>
    <s v="JURASDOK"/>
    <s v="0002"/>
    <s v=""/>
    <s v="0000"/>
    <s v=""/>
    <s v="0142370158"/>
    <s v=""/>
    <s v="ส่ง QA RD 7-11ทดสอบสินค้า"/>
    <s v="405053"/>
    <s v="67501001"/>
    <s v=""/>
    <s v=""/>
    <s v=""/>
    <s v=""/>
    <m/>
    <s v="BAG"/>
    <n v="-4"/>
    <n v="-694.8"/>
    <d v="2025-12-12T00:00:00"/>
    <d v="2025-12-12T00:00:00"/>
    <m/>
    <d v="2025-12-18T00:00:00"/>
    <n v="-2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401646"/>
    <s v="M001"/>
    <s v="251201-B/T"/>
    <s v=""/>
    <s v="11:53:46"/>
    <s v="JURASDOK"/>
    <s v="0001"/>
    <s v=""/>
    <s v="0000"/>
    <s v=""/>
    <s v="0142370158"/>
    <s v=""/>
    <s v="ส่ง QA RD 7-11ทดสอบสินค้า"/>
    <s v="405053"/>
    <s v="67501001"/>
    <s v=""/>
    <s v=""/>
    <s v=""/>
    <s v=""/>
    <m/>
    <s v="BAG"/>
    <n v="-2"/>
    <n v="-347.4"/>
    <d v="2025-12-12T00:00:00"/>
    <d v="2025-12-12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401722"/>
    <s v="M001"/>
    <s v="251201-B/T"/>
    <s v=""/>
    <s v="11:54:39"/>
    <s v="JURASDOK"/>
    <s v="0001"/>
    <s v=""/>
    <s v="0000"/>
    <s v=""/>
    <s v="0142460396"/>
    <s v=""/>
    <s v="เพื่อส่งให้ RA'QA 7-11 ตรวจสอบ"/>
    <s v="405053"/>
    <s v="67501001"/>
    <s v=""/>
    <s v=""/>
    <s v=""/>
    <s v=""/>
    <m/>
    <s v="BAG"/>
    <n v="-2"/>
    <n v="-347.4"/>
    <d v="2025-12-13T00:00:00"/>
    <d v="2025-12-13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401729"/>
    <s v="M001"/>
    <s v="070804-B/P"/>
    <s v=""/>
    <s v="11:56:54"/>
    <s v="JURASDOK"/>
    <s v="0001"/>
    <s v=""/>
    <s v="0000"/>
    <s v=""/>
    <s v="0142514230"/>
    <s v=""/>
    <s v="เพื่อส่งให้ RA'QA 7-11 ตรวจสอบ"/>
    <s v="405053"/>
    <s v="67501001"/>
    <s v=""/>
    <s v=""/>
    <s v=""/>
    <s v=""/>
    <m/>
    <s v="BAG"/>
    <n v="-4"/>
    <n v="-694.8"/>
    <d v="2025-12-15T00:00:00"/>
    <d v="2025-12-15T00:00:00"/>
    <m/>
    <d v="2025-12-18T00:00:00"/>
    <n v="-2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401804"/>
    <s v="M001"/>
    <s v="070804-B/P"/>
    <s v=""/>
    <s v="11:57:26"/>
    <s v="JURASDOK"/>
    <s v="0001"/>
    <s v=""/>
    <s v="0000"/>
    <s v=""/>
    <s v="0142633826"/>
    <s v=""/>
    <s v="เพื่อส่งให้ RA'QA 7-11 ตรวจสอบ"/>
    <s v="405053"/>
    <s v="67501001"/>
    <s v=""/>
    <s v=""/>
    <s v=""/>
    <s v=""/>
    <m/>
    <s v="BAG"/>
    <n v="-2"/>
    <n v="-347.4"/>
    <d v="2025-12-16T00:00:00"/>
    <d v="2025-12-16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401844"/>
    <s v="M001"/>
    <s v="081201-B/T"/>
    <s v=""/>
    <s v="11:59:06"/>
    <s v="JURASDOK"/>
    <s v="0001"/>
    <s v=""/>
    <s v="0000"/>
    <s v=""/>
    <s v="0142701931"/>
    <s v=""/>
    <s v="เพื่อส่งให้ RA'QA 7-11 ตรวจสอบ"/>
    <s v="405053"/>
    <s v="67501001"/>
    <s v=""/>
    <s v=""/>
    <s v=""/>
    <s v=""/>
    <m/>
    <s v="BAG"/>
    <n v="-2"/>
    <n v="-347.4"/>
    <d v="2025-12-18T00:00:00"/>
    <d v="2025-12-18T00:00:00"/>
    <m/>
    <d v="2025-12-18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401844"/>
    <s v="M001"/>
    <s v="011204-B/T"/>
    <s v=""/>
    <s v="11:59:06"/>
    <s v="JURASDOK"/>
    <s v="0002"/>
    <s v=""/>
    <s v="0000"/>
    <s v=""/>
    <s v="0142701931"/>
    <s v=""/>
    <s v="เพื่อส่งให้ RA'QA 7-11 ตรวจสอบ"/>
    <s v="405053"/>
    <s v="67501001"/>
    <s v=""/>
    <s v=""/>
    <s v=""/>
    <s v=""/>
    <m/>
    <s v="BAG"/>
    <n v="-2"/>
    <n v="-347.4"/>
    <d v="2025-12-18T00:00:00"/>
    <d v="2025-12-18T00:00:00"/>
    <m/>
    <d v="2025-12-18T00:00:00"/>
    <n v="-1000"/>
    <s v=""/>
    <x v="0"/>
    <s v="ค่าวิจัยคุณภาพสินค้า"/>
    <m/>
    <n v="173.7"/>
  </r>
  <r>
    <x v="5"/>
    <x v="5"/>
    <s v="0328"/>
    <x v="2"/>
    <s v="TF trfr within plant"/>
    <s v="4924405593"/>
    <s v="P003"/>
    <s v="04062025"/>
    <s v=""/>
    <s v="14:03:29"/>
    <s v="RAPEESAN01"/>
    <s v="0002"/>
    <s v=""/>
    <s v="0000"/>
    <s v=""/>
    <s v="0000000000"/>
    <s v=""/>
    <s v=""/>
    <s v=""/>
    <s v=""/>
    <s v=""/>
    <s v=""/>
    <s v=""/>
    <s v=""/>
    <m/>
    <s v="PC"/>
    <n v="20000"/>
    <n v="0"/>
    <d v="2025-12-18T00:00:00"/>
    <d v="2025-12-18T00:00:00"/>
    <m/>
    <d v="2025-12-18T00:00:00"/>
    <n v="20000"/>
    <s v=""/>
    <x v="2"/>
    <e v="#N/A"/>
    <m/>
    <n v="0"/>
  </r>
  <r>
    <x v="5"/>
    <x v="5"/>
    <s v="0328"/>
    <x v="2"/>
    <s v="TF trfr within plant"/>
    <s v="4924405593"/>
    <s v="M003"/>
    <s v="04062025"/>
    <s v=""/>
    <s v="14:03:29"/>
    <s v="RAPEESAN01"/>
    <s v="0001"/>
    <s v=""/>
    <s v="0000"/>
    <s v=""/>
    <s v="0000000000"/>
    <s v=""/>
    <s v=""/>
    <s v=""/>
    <s v=""/>
    <s v=""/>
    <s v=""/>
    <s v=""/>
    <s v=""/>
    <m/>
    <s v="PC"/>
    <n v="-20000"/>
    <n v="0"/>
    <d v="2025-12-18T00:00:00"/>
    <d v="2025-12-18T00:00:00"/>
    <m/>
    <d v="2025-12-18T00:00:00"/>
    <n v="-20000"/>
    <s v=""/>
    <x v="2"/>
    <e v="#N/A"/>
    <m/>
    <n v="0"/>
  </r>
  <r>
    <x v="6"/>
    <x v="6"/>
    <s v="0328"/>
    <x v="2"/>
    <s v="TF trfr within plant"/>
    <s v="4924405593"/>
    <s v="M003"/>
    <s v="20251201"/>
    <s v=""/>
    <s v="14:03:29"/>
    <s v="RAPEESAN01"/>
    <s v="0003"/>
    <s v=""/>
    <s v="0000"/>
    <s v=""/>
    <s v="0000000000"/>
    <s v=""/>
    <s v=""/>
    <s v=""/>
    <s v=""/>
    <s v=""/>
    <s v=""/>
    <s v=""/>
    <s v=""/>
    <m/>
    <s v="PC"/>
    <n v="-3000"/>
    <n v="0"/>
    <d v="2025-12-18T00:00:00"/>
    <d v="2025-12-18T00:00:00"/>
    <m/>
    <d v="2025-12-18T00:00:00"/>
    <n v="-3000"/>
    <s v=""/>
    <x v="2"/>
    <e v="#N/A"/>
    <m/>
    <n v="0"/>
  </r>
  <r>
    <x v="6"/>
    <x v="6"/>
    <s v="0328"/>
    <x v="2"/>
    <s v="TF trfr within plant"/>
    <s v="4924405593"/>
    <s v="P003"/>
    <s v="20251201"/>
    <s v=""/>
    <s v="14:03:29"/>
    <s v="RAPEESAN01"/>
    <s v="0004"/>
    <s v=""/>
    <s v="0000"/>
    <s v=""/>
    <s v="0000000000"/>
    <s v=""/>
    <s v=""/>
    <s v=""/>
    <s v=""/>
    <s v=""/>
    <s v=""/>
    <s v=""/>
    <s v=""/>
    <m/>
    <s v="PC"/>
    <n v="3000"/>
    <n v="0"/>
    <d v="2025-12-18T00:00:00"/>
    <d v="2025-12-18T00:00:00"/>
    <m/>
    <d v="2025-12-18T00:00:00"/>
    <n v="3000"/>
    <s v=""/>
    <x v="2"/>
    <e v="#N/A"/>
    <m/>
    <n v="0"/>
  </r>
  <r>
    <x v="6"/>
    <x v="6"/>
    <s v="0328"/>
    <x v="2"/>
    <s v="TF trfr within plant"/>
    <s v="4924405593"/>
    <s v="M003"/>
    <s v="20251202"/>
    <s v=""/>
    <s v="14:03:29"/>
    <s v="RAPEESAN01"/>
    <s v="0005"/>
    <s v=""/>
    <s v="0000"/>
    <s v=""/>
    <s v="0000000000"/>
    <s v=""/>
    <s v=""/>
    <s v=""/>
    <s v=""/>
    <s v=""/>
    <s v=""/>
    <s v=""/>
    <s v=""/>
    <m/>
    <s v="PC"/>
    <n v="-18000"/>
    <n v="0"/>
    <d v="2025-12-18T00:00:00"/>
    <d v="2025-12-18T00:00:00"/>
    <m/>
    <d v="2025-12-18T00:00:00"/>
    <n v="-18000"/>
    <s v=""/>
    <x v="2"/>
    <e v="#N/A"/>
    <m/>
    <n v="0"/>
  </r>
  <r>
    <x v="6"/>
    <x v="6"/>
    <s v="0328"/>
    <x v="2"/>
    <s v="TF trfr within plant"/>
    <s v="4924405593"/>
    <s v="P003"/>
    <s v="20251202"/>
    <s v=""/>
    <s v="14:03:29"/>
    <s v="RAPEESAN01"/>
    <s v="0006"/>
    <s v=""/>
    <s v="0000"/>
    <s v=""/>
    <s v="0000000000"/>
    <s v=""/>
    <s v=""/>
    <s v=""/>
    <s v=""/>
    <s v=""/>
    <s v=""/>
    <s v=""/>
    <s v=""/>
    <m/>
    <s v="PC"/>
    <n v="18000"/>
    <n v="0"/>
    <d v="2025-12-18T00:00:00"/>
    <d v="2025-12-18T00:00:00"/>
    <m/>
    <d v="2025-12-18T00:00:00"/>
    <n v="18000"/>
    <s v=""/>
    <x v="2"/>
    <e v="#N/A"/>
    <m/>
    <n v="0"/>
  </r>
  <r>
    <x v="7"/>
    <x v="7"/>
    <s v="0328"/>
    <x v="2"/>
    <s v="TF trfr within plant"/>
    <s v="4924405593"/>
    <s v="P003"/>
    <s v="20251201"/>
    <s v=""/>
    <s v="14:03:29"/>
    <s v="RAPEESAN01"/>
    <s v="0008"/>
    <s v=""/>
    <s v="0000"/>
    <s v=""/>
    <s v="0000000000"/>
    <s v=""/>
    <s v=""/>
    <s v=""/>
    <s v=""/>
    <s v=""/>
    <s v=""/>
    <s v=""/>
    <s v=""/>
    <m/>
    <s v="PC"/>
    <n v="3000"/>
    <n v="0"/>
    <d v="2025-12-18T00:00:00"/>
    <d v="2025-12-18T00:00:00"/>
    <m/>
    <d v="2025-12-18T00:00:00"/>
    <n v="3000"/>
    <s v=""/>
    <x v="2"/>
    <e v="#N/A"/>
    <m/>
    <n v="0"/>
  </r>
  <r>
    <x v="7"/>
    <x v="7"/>
    <s v="0328"/>
    <x v="2"/>
    <s v="TF trfr within plant"/>
    <s v="4924405593"/>
    <s v="M003"/>
    <s v="20251201"/>
    <s v=""/>
    <s v="14:03:29"/>
    <s v="RAPEESAN01"/>
    <s v="0007"/>
    <s v=""/>
    <s v="0000"/>
    <s v=""/>
    <s v="0000000000"/>
    <s v=""/>
    <s v=""/>
    <s v=""/>
    <s v=""/>
    <s v=""/>
    <s v=""/>
    <s v=""/>
    <s v=""/>
    <m/>
    <s v="PC"/>
    <n v="-3000"/>
    <n v="0"/>
    <d v="2025-12-18T00:00:00"/>
    <d v="2025-12-18T00:00:00"/>
    <m/>
    <d v="2025-12-18T00:00:00"/>
    <n v="-3000"/>
    <s v=""/>
    <x v="2"/>
    <e v="#N/A"/>
    <m/>
    <n v="0"/>
  </r>
  <r>
    <x v="1"/>
    <x v="1"/>
    <s v="0328"/>
    <x v="0"/>
    <s v="GD goods issue:delvy"/>
    <s v="4924412752"/>
    <s v="P004"/>
    <s v="301025-B"/>
    <s v=""/>
    <s v="14:31:48"/>
    <s v="THANAWIS"/>
    <s v="0001"/>
    <s v=""/>
    <s v="0000"/>
    <s v=""/>
    <s v="0000000000"/>
    <s v=""/>
    <s v=""/>
    <s v=""/>
    <s v="51003100"/>
    <s v=""/>
    <s v=""/>
    <s v=""/>
    <s v="2000110101"/>
    <m/>
    <s v="BAG"/>
    <n v="-40"/>
    <n v="-6960.8"/>
    <d v="2025-12-18T00:00:00"/>
    <d v="2025-12-18T00:00:00"/>
    <m/>
    <d v="2025-12-18T00:00:00"/>
    <n v="-20000"/>
    <s v=""/>
    <x v="0"/>
    <s v="ต้นทุนขาย"/>
    <m/>
    <n v="174.02"/>
  </r>
  <r>
    <x v="1"/>
    <x v="1"/>
    <s v="0328"/>
    <x v="0"/>
    <s v="GD goods issue:delvy"/>
    <s v="4924416315"/>
    <s v="P004"/>
    <s v="301025-B"/>
    <s v=""/>
    <s v="15:02:45"/>
    <s v="SONGPCHI"/>
    <s v="0001"/>
    <s v=""/>
    <s v="0000"/>
    <s v=""/>
    <s v="0000000000"/>
    <s v=""/>
    <s v=""/>
    <s v=""/>
    <s v="51003100"/>
    <s v=""/>
    <s v=""/>
    <s v=""/>
    <s v="2000110103"/>
    <m/>
    <s v="BAG"/>
    <n v="-200"/>
    <n v="-34804"/>
    <d v="2025-12-18T00:00:00"/>
    <d v="2025-12-18T00:00:00"/>
    <m/>
    <d v="2025-12-18T00:00:00"/>
    <n v="-100000"/>
    <s v=""/>
    <x v="0"/>
    <s v="ต้นทุนขาย"/>
    <m/>
    <n v="174.02"/>
  </r>
  <r>
    <x v="2"/>
    <x v="2"/>
    <s v="0328"/>
    <x v="0"/>
    <s v="GD goods issue:delvy"/>
    <s v="4924416626"/>
    <s v="M001"/>
    <s v="081201-B/T"/>
    <s v=""/>
    <s v="15:09:21"/>
    <s v="JURASDOK"/>
    <s v="0002"/>
    <s v=""/>
    <s v="0000"/>
    <s v=""/>
    <s v="0000000000"/>
    <s v=""/>
    <s v=""/>
    <s v=""/>
    <s v="51003100"/>
    <s v=""/>
    <s v=""/>
    <s v=""/>
    <s v="2000110106"/>
    <m/>
    <s v="BOX"/>
    <n v="-798"/>
    <n v="-831675.6"/>
    <d v="2025-12-18T00:00:00"/>
    <d v="2025-12-18T00:00:00"/>
    <m/>
    <d v="2025-12-18T00:00:00"/>
    <n v="-2394000"/>
    <s v=""/>
    <x v="0"/>
    <s v="ต้นทุนขาย"/>
    <m/>
    <n v="1042.2"/>
  </r>
  <r>
    <x v="2"/>
    <x v="2"/>
    <s v="0328"/>
    <x v="0"/>
    <s v="GD goods issue:delvy"/>
    <s v="4924416626"/>
    <s v="M001"/>
    <s v="081202-B/T"/>
    <s v=""/>
    <s v="15:09:21"/>
    <s v="JURASDOK"/>
    <s v="0001"/>
    <s v=""/>
    <s v="0000"/>
    <s v=""/>
    <s v="0000000000"/>
    <s v=""/>
    <s v=""/>
    <s v=""/>
    <s v="51003100"/>
    <s v=""/>
    <s v=""/>
    <s v=""/>
    <s v="2000110106"/>
    <m/>
    <s v="BOX"/>
    <n v="-1122"/>
    <n v="-1169348.3999999999"/>
    <d v="2025-12-18T00:00:00"/>
    <d v="2025-12-18T00:00:00"/>
    <m/>
    <d v="2025-12-18T00:00:00"/>
    <n v="-3366000"/>
    <s v=""/>
    <x v="0"/>
    <s v="ต้นทุนขาย"/>
    <m/>
    <n v="1042.1999999999998"/>
  </r>
  <r>
    <x v="2"/>
    <x v="2"/>
    <s v="0328"/>
    <x v="8"/>
    <s v="GR for order"/>
    <s v="4924468756"/>
    <s v="M001"/>
    <s v="081203-B/T"/>
    <s v="303000000148"/>
    <s v="10:25:22"/>
    <s v="JURASDOK"/>
    <s v="0001"/>
    <s v=""/>
    <s v="0000"/>
    <s v=""/>
    <s v="0000000000"/>
    <s v=""/>
    <s v=""/>
    <s v=""/>
    <s v="53001001"/>
    <s v=""/>
    <s v=""/>
    <s v=""/>
    <s v=""/>
    <m/>
    <s v="BAG"/>
    <n v="7332"/>
    <n v="1273568.3999999999"/>
    <d v="2025-12-19T00:00:00"/>
    <d v="2025-12-11T00:00:00"/>
    <m/>
    <d v="2025-12-19T00:00:00"/>
    <n v="3666000"/>
    <s v="303"/>
    <x v="0"/>
    <s v="ต้นทุนผลิตโอน F/G"/>
    <m/>
    <n v="173.7"/>
  </r>
  <r>
    <x v="2"/>
    <x v="2"/>
    <s v="0328"/>
    <x v="8"/>
    <s v="GR for order"/>
    <s v="4924468926"/>
    <s v="M001"/>
    <s v="081204-B/T"/>
    <s v="303000000149"/>
    <s v="10:31:34"/>
    <s v="JURASDOK"/>
    <s v="0001"/>
    <s v=""/>
    <s v="0000"/>
    <s v=""/>
    <s v="0000000000"/>
    <s v=""/>
    <s v=""/>
    <s v=""/>
    <s v="53001001"/>
    <s v=""/>
    <s v=""/>
    <s v=""/>
    <s v=""/>
    <m/>
    <s v="BAG"/>
    <n v="17808"/>
    <n v="3093249.6"/>
    <d v="2025-12-19T00:00:00"/>
    <d v="2025-12-15T00:00:00"/>
    <m/>
    <d v="2025-12-19T00:00:00"/>
    <n v="8904000"/>
    <s v="303"/>
    <x v="0"/>
    <s v="ต้นทุนผลิตโอน F/G"/>
    <m/>
    <n v="173.70000000000002"/>
  </r>
  <r>
    <x v="9"/>
    <x v="9"/>
    <s v="0328"/>
    <x v="0"/>
    <s v="GD goods issue:delvy"/>
    <s v="4924471177"/>
    <s v="P004"/>
    <s v="110925-T/P"/>
    <s v=""/>
    <s v="11:24:35"/>
    <s v="THANAWIS"/>
    <s v="0001"/>
    <s v=""/>
    <s v="0000"/>
    <s v=""/>
    <s v="0000000000"/>
    <s v=""/>
    <s v=""/>
    <s v=""/>
    <s v="51003100"/>
    <s v=""/>
    <s v=""/>
    <s v=""/>
    <s v="2000110192"/>
    <m/>
    <s v="BAG"/>
    <n v="-200"/>
    <n v="-36666"/>
    <d v="2025-12-19T00:00:00"/>
    <d v="2025-12-19T00:00:00"/>
    <m/>
    <d v="2025-12-19T00:00:00"/>
    <n v="-100000"/>
    <s v=""/>
    <x v="0"/>
    <s v="ต้นทุนขาย"/>
    <m/>
    <n v="183.33"/>
  </r>
  <r>
    <x v="2"/>
    <x v="2"/>
    <s v="0328"/>
    <x v="0"/>
    <s v="GD goods issue:delvy"/>
    <s v="4924476652"/>
    <s v="M001"/>
    <s v="081203-B/T"/>
    <s v=""/>
    <s v="13:36:04"/>
    <s v="JURASDOK"/>
    <s v="0002"/>
    <s v=""/>
    <s v="0000"/>
    <s v=""/>
    <s v="0000000000"/>
    <s v=""/>
    <s v=""/>
    <s v=""/>
    <s v="51003100"/>
    <s v=""/>
    <s v=""/>
    <s v=""/>
    <s v="2000110209"/>
    <m/>
    <s v="BOX"/>
    <n v="-1036"/>
    <n v="-1079719.2"/>
    <d v="2025-12-19T00:00:00"/>
    <d v="2025-12-19T00:00:00"/>
    <m/>
    <d v="2025-12-19T00:00:00"/>
    <n v="-3108000"/>
    <s v=""/>
    <x v="0"/>
    <s v="ต้นทุนขาย"/>
    <m/>
    <n v="1042.2"/>
  </r>
  <r>
    <x v="2"/>
    <x v="2"/>
    <s v="0328"/>
    <x v="0"/>
    <s v="GD goods issue:delvy"/>
    <s v="4924476652"/>
    <s v="M001"/>
    <s v="081202-B/T"/>
    <s v=""/>
    <s v="13:36:04"/>
    <s v="JURASDOK"/>
    <s v="0001"/>
    <s v=""/>
    <s v="0000"/>
    <s v=""/>
    <s v="0000000000"/>
    <s v=""/>
    <s v=""/>
    <s v=""/>
    <s v="51003100"/>
    <s v=""/>
    <s v=""/>
    <s v=""/>
    <s v="2000110209"/>
    <m/>
    <s v="BOX"/>
    <n v="-1844"/>
    <n v="-1921816.8"/>
    <d v="2025-12-19T00:00:00"/>
    <d v="2025-12-19T00:00:00"/>
    <m/>
    <d v="2025-12-19T00:00:00"/>
    <n v="-5532000"/>
    <s v=""/>
    <x v="0"/>
    <s v="ต้นทุนขาย"/>
    <m/>
    <n v="1042.2"/>
  </r>
  <r>
    <x v="2"/>
    <x v="2"/>
    <s v="0328"/>
    <x v="0"/>
    <s v="GD goods issue:delvy"/>
    <s v="4924476654"/>
    <s v="M001"/>
    <s v="081204-B/T"/>
    <s v=""/>
    <s v="13:38:43"/>
    <s v="JURASDOK"/>
    <s v="0001"/>
    <s v=""/>
    <s v="0000"/>
    <s v=""/>
    <s v="0000000000"/>
    <s v=""/>
    <s v=""/>
    <s v=""/>
    <s v="51003100"/>
    <s v=""/>
    <s v=""/>
    <s v=""/>
    <s v="2000110210"/>
    <m/>
    <s v="BOX"/>
    <n v="-1803"/>
    <n v="-1879086.6"/>
    <d v="2025-12-19T00:00:00"/>
    <d v="2025-12-19T00:00:00"/>
    <m/>
    <d v="2025-12-19T00:00:00"/>
    <n v="-5409000"/>
    <s v=""/>
    <x v="0"/>
    <s v="ต้นทุนขาย"/>
    <m/>
    <n v="1042.2"/>
  </r>
  <r>
    <x v="2"/>
    <x v="2"/>
    <s v="0328"/>
    <x v="0"/>
    <s v="GD goods issue:delvy"/>
    <s v="4924476654"/>
    <s v="M001"/>
    <s v="081203-B/T"/>
    <s v=""/>
    <s v="13:38:43"/>
    <s v="JURASDOK"/>
    <s v="0002"/>
    <s v=""/>
    <s v="0000"/>
    <s v=""/>
    <s v="0000000000"/>
    <s v=""/>
    <s v=""/>
    <s v=""/>
    <s v="51003100"/>
    <s v=""/>
    <s v=""/>
    <s v=""/>
    <s v="2000110210"/>
    <m/>
    <s v="BOX"/>
    <n v="-117"/>
    <n v="-121937.4"/>
    <d v="2025-12-19T00:00:00"/>
    <d v="2025-12-19T00:00:00"/>
    <m/>
    <d v="2025-12-19T00:00:00"/>
    <n v="-351000"/>
    <s v=""/>
    <x v="0"/>
    <s v="ต้นทุนขาย"/>
    <m/>
    <n v="1042.2"/>
  </r>
  <r>
    <x v="5"/>
    <x v="5"/>
    <s v="0328"/>
    <x v="2"/>
    <s v="TF trfr within plant"/>
    <s v="4924476872"/>
    <s v="P003"/>
    <s v="04062025"/>
    <s v=""/>
    <s v="13:44:09"/>
    <s v="SUTTISIT02"/>
    <s v="0006"/>
    <s v=""/>
    <s v="0000"/>
    <s v=""/>
    <s v="0000000000"/>
    <s v=""/>
    <s v=""/>
    <s v=""/>
    <s v=""/>
    <s v=""/>
    <s v=""/>
    <s v=""/>
    <s v=""/>
    <m/>
    <s v="PC"/>
    <n v="20000"/>
    <n v="0"/>
    <d v="2025-12-19T00:00:00"/>
    <d v="2025-12-19T00:00:00"/>
    <m/>
    <d v="2025-12-19T00:00:00"/>
    <n v="20000"/>
    <s v=""/>
    <x v="2"/>
    <e v="#N/A"/>
    <m/>
    <n v="0"/>
  </r>
  <r>
    <x v="5"/>
    <x v="5"/>
    <s v="0328"/>
    <x v="2"/>
    <s v="TF trfr within plant"/>
    <s v="4924476872"/>
    <s v="M003"/>
    <s v="04062025"/>
    <s v=""/>
    <s v="13:44:09"/>
    <s v="SUTTISIT02"/>
    <s v="0005"/>
    <s v=""/>
    <s v="0000"/>
    <s v=""/>
    <s v="0000000000"/>
    <s v=""/>
    <s v=""/>
    <s v=""/>
    <s v=""/>
    <s v=""/>
    <s v=""/>
    <s v=""/>
    <s v=""/>
    <m/>
    <s v="PC"/>
    <n v="-20000"/>
    <n v="0"/>
    <d v="2025-12-19T00:00:00"/>
    <d v="2025-12-19T00:00:00"/>
    <m/>
    <d v="2025-12-19T00:00:00"/>
    <n v="-20000"/>
    <s v=""/>
    <x v="2"/>
    <e v="#N/A"/>
    <m/>
    <n v="0"/>
  </r>
  <r>
    <x v="6"/>
    <x v="6"/>
    <s v="0328"/>
    <x v="2"/>
    <s v="TF trfr within plant"/>
    <s v="4924476872"/>
    <s v="P003"/>
    <s v="20251202"/>
    <s v=""/>
    <s v="13:44:09"/>
    <s v="SUTTISIT02"/>
    <s v="0004"/>
    <s v=""/>
    <s v="0000"/>
    <s v=""/>
    <s v="0000000000"/>
    <s v=""/>
    <s v=""/>
    <s v=""/>
    <s v=""/>
    <s v=""/>
    <s v=""/>
    <s v=""/>
    <s v=""/>
    <m/>
    <s v="PC"/>
    <n v="18000"/>
    <n v="0"/>
    <d v="2025-12-19T00:00:00"/>
    <d v="2025-12-19T00:00:00"/>
    <m/>
    <d v="2025-12-19T00:00:00"/>
    <n v="18000"/>
    <s v=""/>
    <x v="2"/>
    <e v="#N/A"/>
    <m/>
    <n v="0"/>
  </r>
  <r>
    <x v="6"/>
    <x v="6"/>
    <s v="0328"/>
    <x v="2"/>
    <s v="TF trfr within plant"/>
    <s v="4924476872"/>
    <s v="M003"/>
    <s v="20251202"/>
    <s v=""/>
    <s v="13:44:09"/>
    <s v="SUTTISIT02"/>
    <s v="0003"/>
    <s v=""/>
    <s v="0000"/>
    <s v=""/>
    <s v="0000000000"/>
    <s v=""/>
    <s v=""/>
    <s v=""/>
    <s v=""/>
    <s v=""/>
    <s v=""/>
    <s v=""/>
    <s v=""/>
    <m/>
    <s v="PC"/>
    <n v="-18000"/>
    <n v="0"/>
    <d v="2025-12-19T00:00:00"/>
    <d v="2025-12-19T00:00:00"/>
    <m/>
    <d v="2025-12-19T00:00:00"/>
    <n v="-18000"/>
    <s v=""/>
    <x v="2"/>
    <e v="#N/A"/>
    <m/>
    <n v="0"/>
  </r>
  <r>
    <x v="7"/>
    <x v="7"/>
    <s v="0328"/>
    <x v="2"/>
    <s v="TF trfr within plant"/>
    <s v="4924476872"/>
    <s v="M003"/>
    <s v="20251201"/>
    <s v=""/>
    <s v="13:44:09"/>
    <s v="SUTTISIT02"/>
    <s v="0001"/>
    <s v=""/>
    <s v="0000"/>
    <s v=""/>
    <s v="0000000000"/>
    <s v=""/>
    <s v=""/>
    <s v=""/>
    <s v=""/>
    <s v=""/>
    <s v=""/>
    <s v=""/>
    <s v=""/>
    <m/>
    <s v="PC"/>
    <n v="-3000"/>
    <n v="0"/>
    <d v="2025-12-19T00:00:00"/>
    <d v="2025-12-19T00:00:00"/>
    <m/>
    <d v="2025-12-19T00:00:00"/>
    <n v="-3000"/>
    <s v=""/>
    <x v="2"/>
    <e v="#N/A"/>
    <m/>
    <n v="0"/>
  </r>
  <r>
    <x v="7"/>
    <x v="7"/>
    <s v="0328"/>
    <x v="2"/>
    <s v="TF trfr within plant"/>
    <s v="4924476872"/>
    <s v="P003"/>
    <s v="20251201"/>
    <s v=""/>
    <s v="13:44:09"/>
    <s v="SUTTISIT02"/>
    <s v="0002"/>
    <s v=""/>
    <s v="0000"/>
    <s v=""/>
    <s v="0000000000"/>
    <s v=""/>
    <s v=""/>
    <s v=""/>
    <s v=""/>
    <s v=""/>
    <s v=""/>
    <s v=""/>
    <s v=""/>
    <m/>
    <s v="PC"/>
    <n v="3000"/>
    <n v="0"/>
    <d v="2025-12-19T00:00:00"/>
    <d v="2025-12-19T00:00:00"/>
    <m/>
    <d v="2025-12-19T00:00:00"/>
    <n v="3000"/>
    <s v=""/>
    <x v="2"/>
    <e v="#N/A"/>
    <m/>
    <n v="0"/>
  </r>
  <r>
    <x v="1"/>
    <x v="1"/>
    <s v="0328"/>
    <x v="0"/>
    <s v="GD goods issue:delvy"/>
    <s v="4924487802"/>
    <s v="P004"/>
    <s v="301025-B"/>
    <s v=""/>
    <s v="14:59:11"/>
    <s v="THANAWIS"/>
    <s v="0001"/>
    <s v=""/>
    <s v="0000"/>
    <s v=""/>
    <s v="0000000000"/>
    <s v=""/>
    <s v=""/>
    <s v=""/>
    <s v="51003100"/>
    <s v=""/>
    <s v=""/>
    <s v=""/>
    <s v="2000110219"/>
    <m/>
    <s v="BAG"/>
    <n v="-40"/>
    <n v="-6960.8"/>
    <d v="2025-12-19T00:00:00"/>
    <d v="2025-12-19T00:00:00"/>
    <m/>
    <d v="2025-12-19T00:00:00"/>
    <n v="-20000"/>
    <s v=""/>
    <x v="0"/>
    <s v="ต้นทุนขาย"/>
    <m/>
    <n v="174.02"/>
  </r>
  <r>
    <x v="2"/>
    <x v="2"/>
    <s v="0328"/>
    <x v="8"/>
    <s v="GR for order"/>
    <s v="4924488847"/>
    <s v="M001"/>
    <s v="161201-B/T"/>
    <s v="303000000150"/>
    <s v="15:30:50"/>
    <s v="JURASDOK"/>
    <s v="0001"/>
    <s v=""/>
    <s v="0000"/>
    <s v=""/>
    <s v="0000000000"/>
    <s v=""/>
    <s v=""/>
    <s v=""/>
    <s v="53001001"/>
    <s v=""/>
    <s v=""/>
    <s v=""/>
    <s v=""/>
    <m/>
    <s v="BAG"/>
    <n v="19382"/>
    <n v="3366653.4"/>
    <d v="2025-12-19T00:00:00"/>
    <d v="2025-12-16T00:00:00"/>
    <m/>
    <d v="2025-12-19T00:00:00"/>
    <n v="9691000"/>
    <s v="303"/>
    <x v="0"/>
    <s v="ต้นทุนผลิตโอน F/G"/>
    <m/>
    <n v="173.7"/>
  </r>
  <r>
    <x v="2"/>
    <x v="2"/>
    <s v="0328"/>
    <x v="0"/>
    <s v="GD goods issue:delvy"/>
    <s v="4924488937"/>
    <s v="M001"/>
    <s v="161201-B/T"/>
    <s v=""/>
    <s v="15:33:58"/>
    <s v="JURASDOK"/>
    <s v="0001"/>
    <s v=""/>
    <s v="0000"/>
    <s v=""/>
    <s v="0000000000"/>
    <s v=""/>
    <s v=""/>
    <s v=""/>
    <s v="51003100"/>
    <s v=""/>
    <s v=""/>
    <s v=""/>
    <s v="2000110230"/>
    <m/>
    <s v="BOX"/>
    <n v="-1920"/>
    <n v="-2001024"/>
    <d v="2025-12-19T00:00:00"/>
    <d v="2025-12-19T00:00:00"/>
    <m/>
    <d v="2025-12-19T00:00:00"/>
    <n v="-5760000"/>
    <s v=""/>
    <x v="0"/>
    <s v="ต้นทุนขาย"/>
    <m/>
    <n v="1042.2"/>
  </r>
  <r>
    <x v="5"/>
    <x v="5"/>
    <s v="0328"/>
    <x v="2"/>
    <s v="TF trfr within plant"/>
    <s v="4924550439"/>
    <s v="P003"/>
    <s v="04062025"/>
    <s v=""/>
    <s v="14:07:01"/>
    <s v="SUTTISIT02"/>
    <s v="0002"/>
    <s v=""/>
    <s v="0000"/>
    <s v=""/>
    <s v="0000000000"/>
    <s v=""/>
    <s v=""/>
    <s v=""/>
    <s v=""/>
    <s v=""/>
    <s v=""/>
    <s v=""/>
    <s v=""/>
    <m/>
    <s v="PC"/>
    <n v="20000"/>
    <n v="0"/>
    <d v="2025-12-20T00:00:00"/>
    <d v="2025-12-20T00:00:00"/>
    <m/>
    <d v="2025-12-20T00:00:00"/>
    <n v="20000"/>
    <s v=""/>
    <x v="2"/>
    <e v="#N/A"/>
    <m/>
    <n v="0"/>
  </r>
  <r>
    <x v="5"/>
    <x v="5"/>
    <s v="0328"/>
    <x v="2"/>
    <s v="TF trfr within plant"/>
    <s v="4924550439"/>
    <s v="M003"/>
    <s v="04062025"/>
    <s v=""/>
    <s v="14:07:01"/>
    <s v="SUTTISIT02"/>
    <s v="0001"/>
    <s v=""/>
    <s v="0000"/>
    <s v=""/>
    <s v="0000000000"/>
    <s v=""/>
    <s v=""/>
    <s v=""/>
    <s v=""/>
    <s v=""/>
    <s v=""/>
    <s v=""/>
    <s v=""/>
    <m/>
    <s v="PC"/>
    <n v="-20000"/>
    <n v="0"/>
    <d v="2025-12-20T00:00:00"/>
    <d v="2025-12-20T00:00:00"/>
    <m/>
    <d v="2025-12-20T00:00:00"/>
    <n v="-20000"/>
    <s v=""/>
    <x v="2"/>
    <e v="#N/A"/>
    <m/>
    <n v="0"/>
  </r>
  <r>
    <x v="6"/>
    <x v="6"/>
    <s v="0328"/>
    <x v="2"/>
    <s v="TF trfr within plant"/>
    <s v="4924550439"/>
    <s v="P003"/>
    <s v="20251202"/>
    <s v=""/>
    <s v="14:07:01"/>
    <s v="SUTTISIT02"/>
    <s v="0004"/>
    <s v=""/>
    <s v="0000"/>
    <s v=""/>
    <s v="0000000000"/>
    <s v=""/>
    <s v=""/>
    <s v=""/>
    <s v=""/>
    <s v=""/>
    <s v=""/>
    <s v=""/>
    <s v=""/>
    <m/>
    <s v="PC"/>
    <n v="21000"/>
    <n v="0"/>
    <d v="2025-12-20T00:00:00"/>
    <d v="2025-12-20T00:00:00"/>
    <m/>
    <d v="2025-12-20T00:00:00"/>
    <n v="21000"/>
    <s v=""/>
    <x v="2"/>
    <e v="#N/A"/>
    <m/>
    <n v="0"/>
  </r>
  <r>
    <x v="6"/>
    <x v="6"/>
    <s v="0328"/>
    <x v="2"/>
    <s v="TF trfr within plant"/>
    <s v="4924550439"/>
    <s v="M003"/>
    <s v="20251202"/>
    <s v=""/>
    <s v="14:07:01"/>
    <s v="SUTTISIT02"/>
    <s v="0003"/>
    <s v=""/>
    <s v="0000"/>
    <s v=""/>
    <s v="0000000000"/>
    <s v=""/>
    <s v=""/>
    <s v=""/>
    <s v=""/>
    <s v=""/>
    <s v=""/>
    <s v=""/>
    <s v=""/>
    <m/>
    <s v="PC"/>
    <n v="-21000"/>
    <n v="0"/>
    <d v="2025-12-20T00:00:00"/>
    <d v="2025-12-20T00:00:00"/>
    <m/>
    <d v="2025-12-20T00:00:00"/>
    <n v="-21000"/>
    <s v=""/>
    <x v="2"/>
    <e v="#N/A"/>
    <m/>
    <n v="0"/>
  </r>
  <r>
    <x v="7"/>
    <x v="7"/>
    <s v="0328"/>
    <x v="2"/>
    <s v="TF trfr within plant"/>
    <s v="4924550439"/>
    <s v="M003"/>
    <s v="20251206"/>
    <s v=""/>
    <s v="14:07:01"/>
    <s v="SUTTISIT02"/>
    <s v="0005"/>
    <s v=""/>
    <s v="0000"/>
    <s v=""/>
    <s v="0000000000"/>
    <s v=""/>
    <s v=""/>
    <s v=""/>
    <s v=""/>
    <s v=""/>
    <s v=""/>
    <s v=""/>
    <s v=""/>
    <m/>
    <s v="PC"/>
    <n v="-3500"/>
    <n v="0"/>
    <d v="2025-12-20T00:00:00"/>
    <d v="2025-12-20T00:00:00"/>
    <m/>
    <d v="2025-12-20T00:00:00"/>
    <n v="-3500"/>
    <s v=""/>
    <x v="2"/>
    <e v="#N/A"/>
    <m/>
    <n v="0"/>
  </r>
  <r>
    <x v="7"/>
    <x v="7"/>
    <s v="0328"/>
    <x v="2"/>
    <s v="TF trfr within plant"/>
    <s v="4924550439"/>
    <s v="P003"/>
    <s v="20251206"/>
    <s v=""/>
    <s v="14:07:01"/>
    <s v="SUTTISIT02"/>
    <s v="0006"/>
    <s v=""/>
    <s v="0000"/>
    <s v=""/>
    <s v="0000000000"/>
    <s v=""/>
    <s v=""/>
    <s v=""/>
    <s v=""/>
    <s v=""/>
    <s v=""/>
    <s v=""/>
    <s v=""/>
    <m/>
    <s v="PC"/>
    <n v="3500"/>
    <n v="0"/>
    <d v="2025-12-20T00:00:00"/>
    <d v="2025-12-20T00:00:00"/>
    <m/>
    <d v="2025-12-20T00:00:00"/>
    <n v="3500"/>
    <s v=""/>
    <x v="2"/>
    <e v="#N/A"/>
    <m/>
    <n v="0"/>
  </r>
  <r>
    <x v="11"/>
    <x v="11"/>
    <s v="0328"/>
    <x v="5"/>
    <s v="GI ค่าวิจัยและพัฒนา"/>
    <s v="4924664661"/>
    <s v="P001"/>
    <s v="250925-BBB"/>
    <s v=""/>
    <s v="09:47:19"/>
    <s v="PANUPWAI"/>
    <s v="0002"/>
    <s v=""/>
    <s v="0000"/>
    <s v=""/>
    <s v="0142482435"/>
    <s v=""/>
    <s v="A.BBB 25.09.25 BB50"/>
    <s v="405053"/>
    <s v="67501001"/>
    <s v=""/>
    <s v=""/>
    <s v=""/>
    <s v=""/>
    <m/>
    <s v="G"/>
    <n v="-500"/>
    <n v="-127.2"/>
    <d v="2025-12-22T00:00:00"/>
    <d v="2025-12-22T00:00:00"/>
    <m/>
    <d v="2025-12-22T00:00:00"/>
    <n v="-500"/>
    <s v=""/>
    <x v="3"/>
    <s v="ค่าวิจัยคุณภาพสินค้า"/>
    <m/>
    <n v="0.25440000000000002"/>
  </r>
  <r>
    <x v="11"/>
    <x v="11"/>
    <s v="0328"/>
    <x v="5"/>
    <s v="GI ค่าวิจัยและพัฒนา"/>
    <s v="4924664661"/>
    <s v="P001"/>
    <s v="250925-BBB"/>
    <s v=""/>
    <s v="09:47:19"/>
    <s v="PANUPWAI"/>
    <s v="0001"/>
    <s v=""/>
    <s v="0000"/>
    <s v=""/>
    <s v="0142482435"/>
    <s v=""/>
    <s v="A.BBB 25.09.25 CL11:00"/>
    <s v="405053"/>
    <s v="67501001"/>
    <s v=""/>
    <s v=""/>
    <s v=""/>
    <s v=""/>
    <m/>
    <s v="G"/>
    <n v="-500"/>
    <n v="-127.2"/>
    <d v="2025-12-22T00:00:00"/>
    <d v="2025-12-22T00:00:00"/>
    <m/>
    <d v="2025-12-22T00:00:00"/>
    <n v="-500"/>
    <s v=""/>
    <x v="3"/>
    <s v="ค่าวิจัยคุณภาพสินค้า"/>
    <m/>
    <n v="0.25440000000000002"/>
  </r>
  <r>
    <x v="11"/>
    <x v="11"/>
    <s v="0328"/>
    <x v="5"/>
    <s v="GI ค่าวิจัยและพัฒนา"/>
    <s v="4924664745"/>
    <s v="P001"/>
    <s v="250925-BBB"/>
    <s v=""/>
    <s v="09:50:08"/>
    <s v="PANUPWAI"/>
    <s v="0001"/>
    <s v=""/>
    <s v="0000"/>
    <s v=""/>
    <s v="0142662612"/>
    <s v=""/>
    <s v="A.BBB 25/9/25 Cl13.00"/>
    <s v="405053"/>
    <s v="67501001"/>
    <s v=""/>
    <s v=""/>
    <s v=""/>
    <s v=""/>
    <m/>
    <s v="G"/>
    <n v="-500"/>
    <n v="-127.2"/>
    <d v="2025-12-22T00:00:00"/>
    <d v="2025-12-22T00:00:00"/>
    <m/>
    <d v="2025-12-22T00:00:00"/>
    <n v="-500"/>
    <s v=""/>
    <x v="3"/>
    <s v="ค่าวิจัยคุณภาพสินค้า"/>
    <m/>
    <n v="0.25440000000000002"/>
  </r>
  <r>
    <x v="3"/>
    <x v="3"/>
    <s v="0328"/>
    <x v="3"/>
    <s v="TF trfr plnt to plnt"/>
    <s v="4924666001"/>
    <s v="P004"/>
    <s v="081025-RE"/>
    <s v=""/>
    <s v="10:21:43"/>
    <s v="THANAWIS"/>
    <s v="0001"/>
    <s v=""/>
    <s v="0000"/>
    <s v=""/>
    <s v="0142933983"/>
    <s v=""/>
    <s v=""/>
    <s v=""/>
    <s v=""/>
    <s v=""/>
    <s v=""/>
    <s v=""/>
    <s v=""/>
    <m/>
    <s v="BAG"/>
    <n v="-60"/>
    <n v="-10870.8"/>
    <d v="2025-12-22T00:00:00"/>
    <d v="2025-12-22T00:00:00"/>
    <m/>
    <d v="2025-12-22T00:00:00"/>
    <n v="-30000"/>
    <s v=""/>
    <x v="0"/>
    <e v="#N/A"/>
    <m/>
    <n v="181.17999999999998"/>
  </r>
  <r>
    <x v="4"/>
    <x v="4"/>
    <s v="0329"/>
    <x v="0"/>
    <s v="GD goods issue:delvy"/>
    <s v="4924666297"/>
    <s v="P009"/>
    <s v="RE-170625"/>
    <s v=""/>
    <s v="10:30:05"/>
    <s v="THANAWIS"/>
    <s v="0001"/>
    <s v=""/>
    <s v="0000"/>
    <s v=""/>
    <s v="0000000000"/>
    <s v=""/>
    <s v=""/>
    <s v=""/>
    <s v="51003100"/>
    <s v=""/>
    <s v=""/>
    <s v=""/>
    <s v="2000110311"/>
    <m/>
    <s v="BAG"/>
    <n v="-24"/>
    <n v="-1781.28"/>
    <d v="2025-12-22T00:00:00"/>
    <d v="2025-12-22T00:00:00"/>
    <m/>
    <d v="2025-12-22T00:00:00"/>
    <n v="-6000"/>
    <s v=""/>
    <x v="1"/>
    <s v="ต้นทุนขาย"/>
    <m/>
    <n v="74.22"/>
  </r>
  <r>
    <x v="3"/>
    <x v="3"/>
    <s v="0328"/>
    <x v="0"/>
    <s v="GD goods issue:delvy"/>
    <s v="4924666297"/>
    <s v="P004"/>
    <s v="081025-RE"/>
    <s v=""/>
    <s v="10:30:05"/>
    <s v="THANAWIS"/>
    <s v="0002"/>
    <s v=""/>
    <s v="0000"/>
    <s v=""/>
    <s v="0000000000"/>
    <s v=""/>
    <s v=""/>
    <s v=""/>
    <s v="51003100"/>
    <s v=""/>
    <s v=""/>
    <s v=""/>
    <s v="2000110311"/>
    <m/>
    <s v="BAG"/>
    <n v="-20"/>
    <n v="-3623.6"/>
    <d v="2025-12-22T00:00:00"/>
    <d v="2025-12-22T00:00:00"/>
    <m/>
    <d v="2025-12-22T00:00:00"/>
    <n v="-10000"/>
    <s v=""/>
    <x v="0"/>
    <s v="ต้นทุนขาย"/>
    <m/>
    <n v="181.18"/>
  </r>
  <r>
    <x v="3"/>
    <x v="3"/>
    <s v="0328"/>
    <x v="0"/>
    <s v="GD goods issue:delvy"/>
    <s v="4924666297"/>
    <s v="P004"/>
    <s v="081025-RE"/>
    <s v=""/>
    <s v="10:30:05"/>
    <s v="THANAWIS"/>
    <s v="0003"/>
    <s v=""/>
    <s v="0000"/>
    <s v=""/>
    <s v="0000000000"/>
    <s v=""/>
    <s v=""/>
    <s v=""/>
    <s v="51003100"/>
    <s v=""/>
    <s v=""/>
    <s v=""/>
    <s v="2000110311"/>
    <m/>
    <s v="BAG"/>
    <n v="-8"/>
    <n v="-1449.44"/>
    <d v="2025-12-22T00:00:00"/>
    <d v="2025-12-22T00:00:00"/>
    <m/>
    <d v="2025-12-22T00:00:00"/>
    <n v="-4000"/>
    <s v=""/>
    <x v="0"/>
    <s v="ต้นทุนขาย"/>
    <m/>
    <n v="181.18"/>
  </r>
  <r>
    <x v="3"/>
    <x v="3"/>
    <s v="0328"/>
    <x v="3"/>
    <s v="TF trfr plnt to plnt"/>
    <s v="4924671320"/>
    <s v="P004"/>
    <s v="1"/>
    <s v=""/>
    <s v="13:04:55"/>
    <s v="THANAWIS"/>
    <s v="0002"/>
    <s v=""/>
    <s v="0000"/>
    <s v=""/>
    <s v="0142942527"/>
    <s v=""/>
    <s v=""/>
    <s v=""/>
    <s v=""/>
    <s v=""/>
    <s v=""/>
    <s v=""/>
    <s v=""/>
    <m/>
    <s v="BAG"/>
    <n v="60"/>
    <n v="10870.8"/>
    <d v="2025-12-22T00:00:00"/>
    <d v="2025-12-22T00:00:00"/>
    <m/>
    <d v="2025-12-22T00:00:00"/>
    <n v="30000"/>
    <s v=""/>
    <x v="0"/>
    <e v="#N/A"/>
    <m/>
    <n v="181.17999999999998"/>
  </r>
  <r>
    <x v="1"/>
    <x v="1"/>
    <s v="0328"/>
    <x v="0"/>
    <s v="GD goods issue:delvy"/>
    <s v="4924672355"/>
    <s v="P004"/>
    <s v="081025-RE"/>
    <s v=""/>
    <s v="13:46:06"/>
    <s v="SONGPCHI"/>
    <s v="0001"/>
    <s v=""/>
    <s v="0000"/>
    <s v=""/>
    <s v="0000000000"/>
    <s v=""/>
    <s v=""/>
    <s v=""/>
    <s v="51003100"/>
    <s v=""/>
    <s v=""/>
    <s v=""/>
    <s v="2000110337"/>
    <m/>
    <s v="BAG"/>
    <n v="-2"/>
    <n v="-348.04"/>
    <d v="2025-12-22T00:00:00"/>
    <d v="2025-12-22T00:00:00"/>
    <m/>
    <d v="2025-12-22T00:00:00"/>
    <n v="-1000"/>
    <s v=""/>
    <x v="0"/>
    <s v="ต้นทุนขาย"/>
    <m/>
    <n v="174.02"/>
  </r>
  <r>
    <x v="1"/>
    <x v="1"/>
    <s v="0328"/>
    <x v="0"/>
    <s v="GD goods issue:delvy"/>
    <s v="4924672405"/>
    <s v="P004"/>
    <s v="081025-RE"/>
    <s v=""/>
    <s v="13:47:03"/>
    <s v="SONGPCHI"/>
    <s v="0001"/>
    <s v=""/>
    <s v="0000"/>
    <s v=""/>
    <s v="0000000000"/>
    <s v=""/>
    <s v=""/>
    <s v=""/>
    <s v="51003100"/>
    <s v=""/>
    <s v=""/>
    <s v=""/>
    <s v="2000110338"/>
    <m/>
    <s v="BAG"/>
    <n v="-1"/>
    <n v="-174.02"/>
    <d v="2025-12-22T00:00:00"/>
    <d v="2025-12-22T00:00:00"/>
    <m/>
    <d v="2025-12-22T00:00:00"/>
    <n v="-500"/>
    <s v=""/>
    <x v="0"/>
    <s v="ต้นทุนขาย"/>
    <m/>
    <n v="174.02"/>
  </r>
  <r>
    <x v="4"/>
    <x v="4"/>
    <s v="0329"/>
    <x v="0"/>
    <s v="GD goods issue:delvy"/>
    <s v="4924672460"/>
    <s v="P009"/>
    <s v="RE-170625"/>
    <s v=""/>
    <s v="13:48:30"/>
    <s v="SONGPCHI"/>
    <s v="0002"/>
    <s v=""/>
    <s v="0000"/>
    <s v=""/>
    <s v="0000000000"/>
    <s v=""/>
    <s v=""/>
    <s v=""/>
    <s v="51003100"/>
    <s v=""/>
    <s v=""/>
    <s v=""/>
    <s v="2000110339"/>
    <m/>
    <s v="BAG"/>
    <n v="-2"/>
    <n v="-148.44"/>
    <d v="2025-12-22T00:00:00"/>
    <d v="2025-12-22T00:00:00"/>
    <m/>
    <d v="2025-12-22T00:00:00"/>
    <n v="-500"/>
    <s v=""/>
    <x v="1"/>
    <s v="ต้นทุนขาย"/>
    <m/>
    <n v="74.22"/>
  </r>
  <r>
    <x v="1"/>
    <x v="1"/>
    <s v="0328"/>
    <x v="0"/>
    <s v="GD goods issue:delvy"/>
    <s v="4924672460"/>
    <s v="P004"/>
    <s v="081025-RE"/>
    <s v=""/>
    <s v="13:48:30"/>
    <s v="SONGPCHI"/>
    <s v="0001"/>
    <s v=""/>
    <s v="0000"/>
    <s v=""/>
    <s v="0000000000"/>
    <s v=""/>
    <s v=""/>
    <s v=""/>
    <s v="51003100"/>
    <s v=""/>
    <s v=""/>
    <s v=""/>
    <s v="2000110339"/>
    <m/>
    <s v="BAG"/>
    <n v="-1"/>
    <n v="-174.02"/>
    <d v="2025-12-22T00:00:00"/>
    <d v="2025-12-22T00:00:00"/>
    <m/>
    <d v="2025-12-22T00:00:00"/>
    <n v="-500"/>
    <s v=""/>
    <x v="0"/>
    <s v="ต้นทุนขาย"/>
    <m/>
    <n v="174.02"/>
  </r>
  <r>
    <x v="4"/>
    <x v="4"/>
    <s v="0329"/>
    <x v="0"/>
    <s v="GD goods issue:delvy"/>
    <s v="4924672537"/>
    <s v="P009"/>
    <s v="RE-170625"/>
    <s v=""/>
    <s v="13:50:50"/>
    <s v="SONGPCHI"/>
    <s v="0001"/>
    <s v=""/>
    <s v="0000"/>
    <s v=""/>
    <s v="0000000000"/>
    <s v=""/>
    <s v=""/>
    <s v=""/>
    <s v="51003100"/>
    <s v=""/>
    <s v=""/>
    <s v=""/>
    <s v="2000110340"/>
    <m/>
    <s v="BAG"/>
    <n v="-4"/>
    <n v="-296.88"/>
    <d v="2025-12-22T00:00:00"/>
    <d v="2025-12-22T00:00:00"/>
    <m/>
    <d v="2025-12-22T00:00:00"/>
    <n v="-1000"/>
    <s v=""/>
    <x v="1"/>
    <s v="ต้นทุนขาย"/>
    <m/>
    <n v="74.22"/>
  </r>
  <r>
    <x v="1"/>
    <x v="1"/>
    <s v="0328"/>
    <x v="0"/>
    <s v="GD goods issue:delvy"/>
    <s v="4924673436"/>
    <s v="P004"/>
    <s v="301025-B"/>
    <s v=""/>
    <s v="14:04:17"/>
    <s v="THANAWIS"/>
    <s v="0003"/>
    <s v=""/>
    <s v="0000"/>
    <s v=""/>
    <s v="0000000000"/>
    <s v=""/>
    <s v=""/>
    <s v=""/>
    <s v="51003100"/>
    <s v=""/>
    <s v=""/>
    <s v=""/>
    <s v="2000110342"/>
    <m/>
    <s v="BAG"/>
    <n v="-11"/>
    <n v="-1914.22"/>
    <d v="2025-12-22T00:00:00"/>
    <d v="2025-12-22T00:00:00"/>
    <m/>
    <d v="2025-12-22T00:00:00"/>
    <n v="-5500"/>
    <s v=""/>
    <x v="0"/>
    <s v="ต้นทุนขาย"/>
    <m/>
    <n v="174.02"/>
  </r>
  <r>
    <x v="1"/>
    <x v="1"/>
    <s v="0328"/>
    <x v="0"/>
    <s v="GD goods issue:delvy"/>
    <s v="4924673436"/>
    <s v="P004"/>
    <s v="081025-RE"/>
    <s v=""/>
    <s v="14:04:17"/>
    <s v="THANAWIS"/>
    <s v="0002"/>
    <s v=""/>
    <s v="0000"/>
    <s v=""/>
    <s v="0000000000"/>
    <s v=""/>
    <s v=""/>
    <s v=""/>
    <s v="51003100"/>
    <s v=""/>
    <s v=""/>
    <s v=""/>
    <s v="2000110342"/>
    <m/>
    <s v="BAG"/>
    <n v="-29"/>
    <n v="-5046.58"/>
    <d v="2025-12-22T00:00:00"/>
    <d v="2025-12-22T00:00:00"/>
    <m/>
    <d v="2025-12-22T00:00:00"/>
    <n v="-14500"/>
    <s v=""/>
    <x v="0"/>
    <s v="ต้นทุนขาย"/>
    <m/>
    <n v="174.02"/>
  </r>
  <r>
    <x v="1"/>
    <x v="1"/>
    <s v="0328"/>
    <x v="0"/>
    <s v="GD goods issue:delvy"/>
    <s v="4924674003"/>
    <s v="P004"/>
    <s v="301025-B"/>
    <s v=""/>
    <s v="14:05:57"/>
    <s v="THANAWIS"/>
    <s v="0001"/>
    <s v=""/>
    <s v="0000"/>
    <s v=""/>
    <s v="0000000000"/>
    <s v=""/>
    <s v=""/>
    <s v=""/>
    <s v="51003100"/>
    <s v=""/>
    <s v=""/>
    <s v=""/>
    <s v="2000110343"/>
    <m/>
    <s v="BAG"/>
    <n v="-23"/>
    <n v="-4002.46"/>
    <d v="2025-12-22T00:00:00"/>
    <d v="2025-12-22T00:00:00"/>
    <m/>
    <d v="2025-12-22T00:00:00"/>
    <n v="-11500"/>
    <s v=""/>
    <x v="0"/>
    <s v="ต้นทุนขาย"/>
    <m/>
    <n v="174.02"/>
  </r>
  <r>
    <x v="12"/>
    <x v="12"/>
    <s v="0328"/>
    <x v="2"/>
    <s v="TF trfr within plant"/>
    <s v="4924686098"/>
    <s v="P001"/>
    <s v="150825-TTW"/>
    <s v=""/>
    <s v="16:11:23"/>
    <s v="PANUPWAI"/>
    <s v="0002"/>
    <s v=""/>
    <s v="0000"/>
    <s v=""/>
    <s v="0000000000"/>
    <s v=""/>
    <s v=""/>
    <s v=""/>
    <s v=""/>
    <s v=""/>
    <s v=""/>
    <s v=""/>
    <s v=""/>
    <m/>
    <s v="KG"/>
    <n v="18105.400000000001"/>
    <n v="0"/>
    <d v="2025-12-09T00:00:00"/>
    <d v="2025-12-09T00:00:00"/>
    <m/>
    <d v="2025-12-22T00:00:00"/>
    <n v="18105400"/>
    <s v=""/>
    <x v="3"/>
    <e v="#N/A"/>
    <m/>
    <n v="0"/>
  </r>
  <r>
    <x v="12"/>
    <x v="12"/>
    <s v="0328"/>
    <x v="2"/>
    <s v="TF trfr within plant"/>
    <s v="4924686098"/>
    <s v="M002"/>
    <s v="150825-TTW"/>
    <s v=""/>
    <s v="16:11:23"/>
    <s v="PANUPWAI"/>
    <s v="0001"/>
    <s v=""/>
    <s v="0000"/>
    <s v=""/>
    <s v="0000000000"/>
    <s v=""/>
    <s v=""/>
    <s v=""/>
    <s v=""/>
    <s v=""/>
    <s v=""/>
    <s v=""/>
    <s v=""/>
    <m/>
    <s v="KG"/>
    <n v="-18105.400000000001"/>
    <n v="0"/>
    <d v="2025-12-09T00:00:00"/>
    <d v="2025-12-09T00:00:00"/>
    <m/>
    <d v="2025-12-22T00:00:00"/>
    <n v="-18105400"/>
    <s v=""/>
    <x v="3"/>
    <e v="#N/A"/>
    <m/>
    <n v="0"/>
  </r>
  <r>
    <x v="12"/>
    <x v="12"/>
    <s v="0328"/>
    <x v="7"/>
    <s v="GI for order"/>
    <s v="4924687264"/>
    <s v="P001"/>
    <s v="150825-TTW"/>
    <s v="301000000092"/>
    <s v="16:37:33"/>
    <s v="PANUPWAI"/>
    <s v="0002"/>
    <s v=""/>
    <s v="0000"/>
    <s v=""/>
    <s v="0000000000"/>
    <s v=""/>
    <s v="สารกาแฟโรบัสต้า"/>
    <s v=""/>
    <s v="53002000"/>
    <s v=""/>
    <s v=""/>
    <s v=""/>
    <s v=""/>
    <m/>
    <s v="KG"/>
    <n v="-8833.2099999999991"/>
    <n v="-1726934.01"/>
    <d v="2025-12-22T00:00:00"/>
    <d v="2025-12-11T00:00:00"/>
    <m/>
    <d v="2025-12-22T00:00:00"/>
    <n v="-8833210"/>
    <s v="301"/>
    <x v="3"/>
    <s v="ต้นทุนผลิต-วัตถุดิบ"/>
    <m/>
    <n v="195.50469308439403"/>
  </r>
  <r>
    <x v="12"/>
    <x v="12"/>
    <s v="0328"/>
    <x v="7"/>
    <s v="GI for order"/>
    <s v="4924687264"/>
    <s v="P001"/>
    <s v="290725-TTW"/>
    <s v="301000000092"/>
    <s v="16:37:33"/>
    <s v="PANUPWAI"/>
    <s v="0001"/>
    <s v=""/>
    <s v="0000"/>
    <s v=""/>
    <s v="0142952957"/>
    <s v=""/>
    <s v=""/>
    <s v=""/>
    <s v="53002000"/>
    <s v=""/>
    <s v=""/>
    <s v=""/>
    <s v=""/>
    <m/>
    <s v="KG"/>
    <n v="-214.47"/>
    <n v="-41929.89"/>
    <d v="2025-12-22T00:00:00"/>
    <d v="2025-12-11T00:00:00"/>
    <m/>
    <d v="2025-12-22T00:00:00"/>
    <n v="-214470"/>
    <s v="301"/>
    <x v="3"/>
    <s v="ต้นทุนผลิต-วัตถุดิบ"/>
    <m/>
    <n v="195.50468597006574"/>
  </r>
  <r>
    <x v="6"/>
    <x v="6"/>
    <s v="0328"/>
    <x v="10"/>
    <s v="GR phys.inv.: whse"/>
    <s v="4924688795"/>
    <s v="M003"/>
    <s v="20251202"/>
    <s v=""/>
    <s v="17:27:49"/>
    <s v="WANNENUA"/>
    <s v="0001"/>
    <s v=""/>
    <s v="0000"/>
    <s v=""/>
    <s v="0000000000"/>
    <s v=""/>
    <s v=""/>
    <s v="601028"/>
    <s v="68901000"/>
    <s v=""/>
    <s v=""/>
    <s v=""/>
    <s v=""/>
    <m/>
    <s v="PC"/>
    <n v="441"/>
    <n v="757.05"/>
    <d v="2025-12-22T00:00:00"/>
    <d v="2025-12-22T00:00:00"/>
    <m/>
    <d v="2025-12-22T00:00:00"/>
    <n v="441"/>
    <s v=""/>
    <x v="2"/>
    <e v="#N/A"/>
    <m/>
    <n v="1.7166666666666666"/>
  </r>
  <r>
    <x v="24"/>
    <x v="24"/>
    <s v="0328"/>
    <x v="10"/>
    <s v="GR phys.inv.: whse"/>
    <s v="4924688795"/>
    <s v="M003"/>
    <s v="20251114"/>
    <s v=""/>
    <s v="17:27:49"/>
    <s v="WANNENUA"/>
    <s v="0002"/>
    <s v=""/>
    <s v="0000"/>
    <s v=""/>
    <s v="0000000000"/>
    <s v=""/>
    <s v=""/>
    <s v="601028"/>
    <s v="68901000"/>
    <s v=""/>
    <s v=""/>
    <s v=""/>
    <s v=""/>
    <m/>
    <s v="EA"/>
    <n v="8"/>
    <n v="9.2799999999999994"/>
    <d v="2025-12-22T00:00:00"/>
    <d v="2025-12-22T00:00:00"/>
    <m/>
    <d v="2025-12-22T00:00:00"/>
    <n v="8"/>
    <s v=""/>
    <x v="2"/>
    <e v="#N/A"/>
    <m/>
    <n v="1.1599999999999999"/>
  </r>
  <r>
    <x v="21"/>
    <x v="21"/>
    <s v="0328"/>
    <x v="10"/>
    <s v="GR phys.inv.: whse"/>
    <s v="4924688795"/>
    <s v="M003"/>
    <s v="11072025"/>
    <s v=""/>
    <s v="17:27:49"/>
    <s v="WANNENUA"/>
    <s v="0003"/>
    <s v=""/>
    <s v="0000"/>
    <s v=""/>
    <s v="0000000000"/>
    <s v=""/>
    <s v=""/>
    <s v="601028"/>
    <s v="68901000"/>
    <s v=""/>
    <s v=""/>
    <s v=""/>
    <s v=""/>
    <m/>
    <s v="EA"/>
    <n v="16"/>
    <n v="24.96"/>
    <d v="2025-12-22T00:00:00"/>
    <d v="2025-12-22T00:00:00"/>
    <m/>
    <d v="2025-12-22T00:00:00"/>
    <n v="16"/>
    <s v=""/>
    <x v="2"/>
    <e v="#N/A"/>
    <m/>
    <n v="1.56"/>
  </r>
  <r>
    <x v="25"/>
    <x v="25"/>
    <s v="0328"/>
    <x v="10"/>
    <s v="GR phys.inv.: whse"/>
    <s v="4924688795"/>
    <s v="M003"/>
    <s v="6/10/20"/>
    <s v=""/>
    <s v="17:27:49"/>
    <s v="WANNENUA"/>
    <s v="0004"/>
    <s v=""/>
    <s v="0000"/>
    <s v=""/>
    <s v="0000000000"/>
    <s v=""/>
    <s v=""/>
    <s v="601028"/>
    <s v="68901000"/>
    <s v=""/>
    <s v=""/>
    <s v=""/>
    <s v=""/>
    <m/>
    <s v="PC"/>
    <n v="1"/>
    <n v="4.5"/>
    <d v="2025-12-22T00:00:00"/>
    <d v="2025-12-22T00:00:00"/>
    <m/>
    <d v="2025-12-22T00:00:00"/>
    <n v="1"/>
    <s v=""/>
    <x v="2"/>
    <e v="#N/A"/>
    <m/>
    <n v="4.5"/>
  </r>
  <r>
    <x v="26"/>
    <x v="19"/>
    <s v="0321"/>
    <x v="10"/>
    <s v="GR phys.inv.: whse"/>
    <s v="4924689091"/>
    <s v="P009"/>
    <s v="09072025"/>
    <s v=""/>
    <s v="17:31:39"/>
    <s v="WANNENUA"/>
    <s v="0001"/>
    <s v=""/>
    <s v="0000"/>
    <s v=""/>
    <s v="0000000000"/>
    <s v=""/>
    <s v=""/>
    <s v=""/>
    <s v="51004001"/>
    <s v=""/>
    <s v=""/>
    <s v=""/>
    <s v=""/>
    <m/>
    <s v="PC"/>
    <n v="6"/>
    <n v="132"/>
    <d v="2025-12-22T00:00:00"/>
    <d v="2025-12-22T00:00:00"/>
    <m/>
    <d v="2025-12-22T00:00:00"/>
    <n v="6"/>
    <s v=""/>
    <x v="3"/>
    <e v="#N/A"/>
    <m/>
    <n v="22"/>
  </r>
  <r>
    <x v="11"/>
    <x v="11"/>
    <s v="0328"/>
    <x v="7"/>
    <s v="GI for order"/>
    <s v="4924689277"/>
    <s v="P001"/>
    <s v="250925-BBB"/>
    <s v="301000000093"/>
    <s v="17:38:21"/>
    <s v="PANUPWAI"/>
    <s v="0001"/>
    <s v=""/>
    <s v="0000"/>
    <s v=""/>
    <s v="0142954240"/>
    <s v=""/>
    <s v=""/>
    <s v=""/>
    <s v="53002000"/>
    <s v=""/>
    <s v=""/>
    <s v=""/>
    <s v=""/>
    <m/>
    <s v="KG"/>
    <n v="-12117.56"/>
    <n v="-3082733.76"/>
    <d v="2025-12-22T00:00:00"/>
    <d v="2025-12-15T00:00:00"/>
    <m/>
    <d v="2025-12-22T00:00:00"/>
    <n v="-12117560"/>
    <s v="301"/>
    <x v="3"/>
    <s v="ต้นทุนผลิต-วัตถุดิบ"/>
    <m/>
    <n v="254.40218657881618"/>
  </r>
  <r>
    <x v="11"/>
    <x v="11"/>
    <s v="0328"/>
    <x v="2"/>
    <s v="TF trfr within plant"/>
    <s v="4924689982"/>
    <s v="P001"/>
    <s v="251126-BBB"/>
    <s v=""/>
    <s v="17:57:54"/>
    <s v="PANUPWAI"/>
    <s v="0002"/>
    <s v=""/>
    <s v="0000"/>
    <s v=""/>
    <s v="0000000000"/>
    <s v=""/>
    <s v=""/>
    <s v=""/>
    <s v=""/>
    <s v=""/>
    <s v=""/>
    <s v=""/>
    <s v=""/>
    <m/>
    <s v="KG"/>
    <n v="16999.5"/>
    <n v="0"/>
    <d v="2025-12-15T00:00:00"/>
    <d v="2025-12-15T00:00:00"/>
    <m/>
    <d v="2025-12-22T00:00:00"/>
    <n v="16999500"/>
    <s v=""/>
    <x v="3"/>
    <e v="#N/A"/>
    <m/>
    <n v="0"/>
  </r>
  <r>
    <x v="11"/>
    <x v="11"/>
    <s v="0328"/>
    <x v="2"/>
    <s v="TF trfr within plant"/>
    <s v="4924689982"/>
    <s v="M002"/>
    <s v="251126-BBB"/>
    <s v=""/>
    <s v="17:57:54"/>
    <s v="PANUPWAI"/>
    <s v="0001"/>
    <s v=""/>
    <s v="0000"/>
    <s v=""/>
    <s v="0000000000"/>
    <s v=""/>
    <s v=""/>
    <s v=""/>
    <s v=""/>
    <s v=""/>
    <s v=""/>
    <s v=""/>
    <s v=""/>
    <m/>
    <s v="KG"/>
    <n v="-16999.5"/>
    <n v="0"/>
    <d v="2025-12-15T00:00:00"/>
    <d v="2025-12-15T00:00:00"/>
    <m/>
    <d v="2025-12-22T00:00:00"/>
    <n v="-16999500"/>
    <s v=""/>
    <x v="3"/>
    <e v="#N/A"/>
    <m/>
    <n v="0"/>
  </r>
  <r>
    <x v="11"/>
    <x v="11"/>
    <s v="0328"/>
    <x v="2"/>
    <s v="TF trfr within plant"/>
    <s v="4924689985"/>
    <s v="M002"/>
    <s v="300925-BBB"/>
    <s v=""/>
    <s v="17:58:58"/>
    <s v="PANUPWAI"/>
    <s v="0001"/>
    <s v=""/>
    <s v="0000"/>
    <s v=""/>
    <s v="0000000000"/>
    <s v=""/>
    <s v=""/>
    <s v=""/>
    <s v=""/>
    <s v=""/>
    <s v=""/>
    <s v=""/>
    <s v=""/>
    <m/>
    <s v="KG"/>
    <n v="-63241.3"/>
    <n v="0"/>
    <d v="2025-12-22T00:00:00"/>
    <d v="2025-12-22T00:00:00"/>
    <m/>
    <d v="2025-12-22T00:00:00"/>
    <n v="-63241300"/>
    <s v=""/>
    <x v="3"/>
    <e v="#N/A"/>
    <m/>
    <n v="0"/>
  </r>
  <r>
    <x v="11"/>
    <x v="11"/>
    <s v="0328"/>
    <x v="2"/>
    <s v="TF trfr within plant"/>
    <s v="4924689985"/>
    <s v="P001"/>
    <s v="300925-BBB"/>
    <s v=""/>
    <s v="17:58:58"/>
    <s v="PANUPWAI"/>
    <s v="0002"/>
    <s v=""/>
    <s v="0000"/>
    <s v=""/>
    <s v="0000000000"/>
    <s v=""/>
    <s v=""/>
    <s v=""/>
    <s v=""/>
    <s v=""/>
    <s v=""/>
    <s v=""/>
    <s v=""/>
    <m/>
    <s v="KG"/>
    <n v="63241.3"/>
    <n v="0"/>
    <d v="2025-12-22T00:00:00"/>
    <d v="2025-12-22T00:00:00"/>
    <m/>
    <d v="2025-12-22T00:00:00"/>
    <n v="63241300"/>
    <s v=""/>
    <x v="3"/>
    <e v="#N/A"/>
    <m/>
    <n v="0"/>
  </r>
  <r>
    <x v="11"/>
    <x v="11"/>
    <s v="0328"/>
    <x v="2"/>
    <s v="TF trfr within plant"/>
    <s v="4924690083"/>
    <s v="P001"/>
    <s v="301025-BBB"/>
    <s v=""/>
    <s v="18:00:59"/>
    <s v="PANUPWAI"/>
    <s v="0002"/>
    <s v=""/>
    <s v="0000"/>
    <s v=""/>
    <s v="0000000000"/>
    <s v=""/>
    <s v=""/>
    <s v=""/>
    <s v=""/>
    <s v=""/>
    <s v=""/>
    <s v=""/>
    <s v=""/>
    <m/>
    <s v="KG"/>
    <n v="28118.5"/>
    <n v="0"/>
    <d v="2025-12-22T00:00:00"/>
    <d v="2025-12-22T00:00:00"/>
    <m/>
    <d v="2025-12-22T00:00:00"/>
    <n v="28118500"/>
    <s v=""/>
    <x v="3"/>
    <e v="#N/A"/>
    <m/>
    <n v="0"/>
  </r>
  <r>
    <x v="11"/>
    <x v="11"/>
    <s v="0328"/>
    <x v="2"/>
    <s v="TF trfr within plant"/>
    <s v="4924690083"/>
    <s v="M002"/>
    <s v="301025-BBB"/>
    <s v=""/>
    <s v="18:00:59"/>
    <s v="PANUPWAI"/>
    <s v="0001"/>
    <s v=""/>
    <s v="0000"/>
    <s v=""/>
    <s v="0000000000"/>
    <s v=""/>
    <s v=""/>
    <s v=""/>
    <s v=""/>
    <s v=""/>
    <s v=""/>
    <s v=""/>
    <s v=""/>
    <m/>
    <s v="KG"/>
    <n v="-28118.5"/>
    <n v="0"/>
    <d v="2025-12-22T00:00:00"/>
    <d v="2025-12-22T00:00:00"/>
    <m/>
    <d v="2025-12-22T00:00:00"/>
    <n v="-28118500"/>
    <s v=""/>
    <x v="3"/>
    <e v="#N/A"/>
    <m/>
    <n v="0"/>
  </r>
  <r>
    <x v="5"/>
    <x v="5"/>
    <s v="0328"/>
    <x v="2"/>
    <s v="TF trfr within plant"/>
    <s v="4924691980"/>
    <s v="P003"/>
    <s v="04062025"/>
    <s v=""/>
    <s v="18:50:05"/>
    <s v="SUTTISIT02"/>
    <s v="0008"/>
    <s v=""/>
    <s v="0000"/>
    <s v=""/>
    <s v="0000000000"/>
    <s v=""/>
    <s v=""/>
    <s v=""/>
    <s v=""/>
    <s v=""/>
    <s v=""/>
    <s v=""/>
    <s v=""/>
    <m/>
    <s v="PC"/>
    <n v="30000"/>
    <n v="0"/>
    <d v="2025-12-22T00:00:00"/>
    <d v="2025-12-22T00:00:00"/>
    <m/>
    <d v="2025-12-22T00:00:00"/>
    <n v="30000"/>
    <s v=""/>
    <x v="2"/>
    <e v="#N/A"/>
    <m/>
    <n v="0"/>
  </r>
  <r>
    <x v="5"/>
    <x v="5"/>
    <s v="0328"/>
    <x v="2"/>
    <s v="TF trfr within plant"/>
    <s v="4924691980"/>
    <s v="M003"/>
    <s v="04062025"/>
    <s v=""/>
    <s v="18:50:05"/>
    <s v="SUTTISIT02"/>
    <s v="0007"/>
    <s v=""/>
    <s v="0000"/>
    <s v=""/>
    <s v="0000000000"/>
    <s v=""/>
    <s v=""/>
    <s v=""/>
    <s v=""/>
    <s v=""/>
    <s v=""/>
    <s v=""/>
    <s v=""/>
    <m/>
    <s v="PC"/>
    <n v="-30000"/>
    <n v="0"/>
    <d v="2025-12-22T00:00:00"/>
    <d v="2025-12-22T00:00:00"/>
    <m/>
    <d v="2025-12-22T00:00:00"/>
    <n v="-30000"/>
    <s v=""/>
    <x v="2"/>
    <e v="#N/A"/>
    <m/>
    <n v="0"/>
  </r>
  <r>
    <x v="6"/>
    <x v="6"/>
    <s v="0328"/>
    <x v="2"/>
    <s v="TF trfr within plant"/>
    <s v="4924691980"/>
    <s v="M003"/>
    <s v="20251202"/>
    <s v=""/>
    <s v="18:50:05"/>
    <s v="SUTTISIT02"/>
    <s v="0003"/>
    <s v=""/>
    <s v="0000"/>
    <s v=""/>
    <s v="0000000000"/>
    <s v=""/>
    <s v=""/>
    <s v=""/>
    <s v=""/>
    <s v=""/>
    <s v=""/>
    <s v=""/>
    <s v=""/>
    <m/>
    <s v="PC"/>
    <n v="-3441"/>
    <n v="0"/>
    <d v="2025-12-22T00:00:00"/>
    <d v="2025-12-22T00:00:00"/>
    <m/>
    <d v="2025-12-22T00:00:00"/>
    <n v="-3441"/>
    <s v=""/>
    <x v="2"/>
    <e v="#N/A"/>
    <m/>
    <n v="0"/>
  </r>
  <r>
    <x v="6"/>
    <x v="6"/>
    <s v="0328"/>
    <x v="2"/>
    <s v="TF trfr within plant"/>
    <s v="4924691980"/>
    <s v="P003"/>
    <s v="20251202"/>
    <s v=""/>
    <s v="18:50:05"/>
    <s v="SUTTISIT02"/>
    <s v="0004"/>
    <s v=""/>
    <s v="0000"/>
    <s v=""/>
    <s v="0000000000"/>
    <s v=""/>
    <s v=""/>
    <s v=""/>
    <s v=""/>
    <s v=""/>
    <s v=""/>
    <s v=""/>
    <s v=""/>
    <m/>
    <s v="PC"/>
    <n v="3441"/>
    <n v="0"/>
    <d v="2025-12-22T00:00:00"/>
    <d v="2025-12-22T00:00:00"/>
    <m/>
    <d v="2025-12-22T00:00:00"/>
    <n v="3441"/>
    <s v=""/>
    <x v="2"/>
    <e v="#N/A"/>
    <m/>
    <n v="0"/>
  </r>
  <r>
    <x v="6"/>
    <x v="6"/>
    <s v="0328"/>
    <x v="2"/>
    <s v="TF trfr within plant"/>
    <s v="4924691980"/>
    <s v="M003"/>
    <s v="20251212"/>
    <s v=""/>
    <s v="18:50:05"/>
    <s v="SUTTISIT02"/>
    <s v="0005"/>
    <s v=""/>
    <s v="0000"/>
    <s v=""/>
    <s v="0000000000"/>
    <s v=""/>
    <s v=""/>
    <s v=""/>
    <s v=""/>
    <s v=""/>
    <s v=""/>
    <s v=""/>
    <s v=""/>
    <m/>
    <s v="PC"/>
    <n v="-17559"/>
    <n v="0"/>
    <d v="2025-12-22T00:00:00"/>
    <d v="2025-12-22T00:00:00"/>
    <m/>
    <d v="2025-12-22T00:00:00"/>
    <n v="-17559"/>
    <s v=""/>
    <x v="2"/>
    <e v="#N/A"/>
    <m/>
    <n v="0"/>
  </r>
  <r>
    <x v="6"/>
    <x v="6"/>
    <s v="0328"/>
    <x v="2"/>
    <s v="TF trfr within plant"/>
    <s v="4924691980"/>
    <s v="P003"/>
    <s v="20251212"/>
    <s v=""/>
    <s v="18:50:05"/>
    <s v="SUTTISIT02"/>
    <s v="0006"/>
    <s v=""/>
    <s v="0000"/>
    <s v=""/>
    <s v="0000000000"/>
    <s v=""/>
    <s v=""/>
    <s v=""/>
    <s v=""/>
    <s v=""/>
    <s v=""/>
    <s v=""/>
    <s v=""/>
    <m/>
    <s v="PC"/>
    <n v="17559"/>
    <n v="0"/>
    <d v="2025-12-22T00:00:00"/>
    <d v="2025-12-22T00:00:00"/>
    <m/>
    <d v="2025-12-22T00:00:00"/>
    <n v="17559"/>
    <s v=""/>
    <x v="2"/>
    <e v="#N/A"/>
    <m/>
    <n v="0"/>
  </r>
  <r>
    <x v="7"/>
    <x v="7"/>
    <s v="0328"/>
    <x v="2"/>
    <s v="TF trfr within plant"/>
    <s v="4924691980"/>
    <s v="M003"/>
    <s v="20251206"/>
    <s v=""/>
    <s v="18:50:05"/>
    <s v="SUTTISIT02"/>
    <s v="0001"/>
    <s v=""/>
    <s v="0000"/>
    <s v=""/>
    <s v="0000000000"/>
    <s v=""/>
    <s v=""/>
    <s v=""/>
    <s v=""/>
    <s v=""/>
    <s v=""/>
    <s v=""/>
    <s v=""/>
    <m/>
    <s v="PC"/>
    <n v="-3500"/>
    <n v="0"/>
    <d v="2025-12-22T00:00:00"/>
    <d v="2025-12-22T00:00:00"/>
    <m/>
    <d v="2025-12-22T00:00:00"/>
    <n v="-3500"/>
    <s v=""/>
    <x v="2"/>
    <e v="#N/A"/>
    <m/>
    <n v="0"/>
  </r>
  <r>
    <x v="7"/>
    <x v="7"/>
    <s v="0328"/>
    <x v="2"/>
    <s v="TF trfr within plant"/>
    <s v="4924691980"/>
    <s v="P003"/>
    <s v="20251206"/>
    <s v=""/>
    <s v="18:50:05"/>
    <s v="SUTTISIT02"/>
    <s v="0002"/>
    <s v=""/>
    <s v="0000"/>
    <s v=""/>
    <s v="0000000000"/>
    <s v=""/>
    <s v=""/>
    <s v=""/>
    <s v=""/>
    <s v=""/>
    <s v=""/>
    <s v=""/>
    <s v=""/>
    <m/>
    <s v="PC"/>
    <n v="3500"/>
    <n v="0"/>
    <d v="2025-12-22T00:00:00"/>
    <d v="2025-12-22T00:00:00"/>
    <m/>
    <d v="2025-12-22T00:00:00"/>
    <n v="3500"/>
    <s v=""/>
    <x v="2"/>
    <e v="#N/A"/>
    <m/>
    <n v="0"/>
  </r>
  <r>
    <x v="2"/>
    <x v="2"/>
    <s v="0328"/>
    <x v="8"/>
    <s v="GR for order"/>
    <s v="4924732803"/>
    <s v="M001"/>
    <s v="161202-B/T"/>
    <s v="303000000151"/>
    <s v="09:06:09"/>
    <s v="JURASDOK"/>
    <s v="0001"/>
    <s v=""/>
    <s v="0000"/>
    <s v=""/>
    <s v="0000000000"/>
    <s v=""/>
    <s v=""/>
    <s v=""/>
    <s v="53001001"/>
    <s v=""/>
    <s v=""/>
    <s v=""/>
    <s v=""/>
    <m/>
    <s v="BAG"/>
    <n v="19766"/>
    <n v="3433354.2"/>
    <d v="2025-12-23T00:00:00"/>
    <d v="2025-12-17T00:00:00"/>
    <m/>
    <d v="2025-12-23T00:00:00"/>
    <n v="9883000"/>
    <s v="303"/>
    <x v="0"/>
    <s v="ต้นทุนผลิตโอน F/G"/>
    <m/>
    <n v="173.70000000000002"/>
  </r>
  <r>
    <x v="2"/>
    <x v="2"/>
    <s v="0328"/>
    <x v="5"/>
    <s v="GI ค่าวิจัยและพัฒนา"/>
    <s v="4924733069"/>
    <s v="M001"/>
    <s v="011203-B/T"/>
    <s v=""/>
    <s v="09:14:39"/>
    <s v="RAPEESAN01"/>
    <s v="0002"/>
    <s v=""/>
    <s v="0000"/>
    <s v=""/>
    <s v="0142856785"/>
    <s v=""/>
    <s v="Retain 16.12.25.4 R210"/>
    <s v="405053"/>
    <s v="67501001"/>
    <s v=""/>
    <s v=""/>
    <s v=""/>
    <s v=""/>
    <m/>
    <s v="BAG"/>
    <n v="-6"/>
    <n v="-1042.2"/>
    <d v="2025-12-19T00:00:00"/>
    <d v="2025-12-19T00:00:00"/>
    <m/>
    <d v="2025-12-23T00:00:00"/>
    <n v="-30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4733069"/>
    <s v="M001"/>
    <s v="011203-B/T"/>
    <s v=""/>
    <s v="09:14:39"/>
    <s v="RAPEESAN01"/>
    <s v="0001"/>
    <s v=""/>
    <s v="0000"/>
    <s v=""/>
    <s v="0142856785"/>
    <s v=""/>
    <s v="ตรวจปล่อย 16.12.25.4 R210"/>
    <s v="405053"/>
    <s v="67501001"/>
    <s v=""/>
    <s v=""/>
    <s v=""/>
    <s v=""/>
    <m/>
    <s v="BAG"/>
    <n v="-6"/>
    <n v="-1042.2"/>
    <d v="2025-12-19T00:00:00"/>
    <d v="2025-12-19T00:00:00"/>
    <m/>
    <d v="2025-12-23T00:00:00"/>
    <n v="-3000"/>
    <s v=""/>
    <x v="0"/>
    <s v="ค่าวิจัยคุณภาพสินค้า"/>
    <m/>
    <n v="173.70000000000002"/>
  </r>
  <r>
    <x v="2"/>
    <x v="2"/>
    <s v="0328"/>
    <x v="8"/>
    <s v="GR for order"/>
    <s v="4924733275"/>
    <s v="M001"/>
    <s v="161203-B/T"/>
    <s v="303000000152"/>
    <s v="09:16:48"/>
    <s v="JURASDOK"/>
    <s v="0001"/>
    <s v=""/>
    <s v="0000"/>
    <s v=""/>
    <s v="0000000000"/>
    <s v=""/>
    <s v=""/>
    <s v=""/>
    <s v="53001001"/>
    <s v=""/>
    <s v=""/>
    <s v=""/>
    <s v=""/>
    <m/>
    <s v="BAG"/>
    <n v="19304"/>
    <n v="3353104.8"/>
    <d v="2025-12-23T00:00:00"/>
    <d v="2025-12-18T00:00:00"/>
    <m/>
    <d v="2025-12-23T00:00:00"/>
    <n v="9652000"/>
    <s v="303"/>
    <x v="0"/>
    <s v="ต้นทุนผลิตโอน F/G"/>
    <m/>
    <n v="173.7"/>
  </r>
  <r>
    <x v="2"/>
    <x v="2"/>
    <s v="0328"/>
    <x v="0"/>
    <s v="GD goods issue:delvy"/>
    <s v="4924733914"/>
    <s v="M001"/>
    <s v="161202-B/T"/>
    <s v=""/>
    <s v="09:31:40"/>
    <s v="JURASDOK"/>
    <s v="0001"/>
    <s v=""/>
    <s v="0000"/>
    <s v=""/>
    <s v="0000000000"/>
    <s v=""/>
    <s v=""/>
    <s v=""/>
    <s v="51003100"/>
    <s v=""/>
    <s v=""/>
    <s v=""/>
    <s v="2000110368"/>
    <m/>
    <s v="BOX"/>
    <n v="-2256"/>
    <n v="-2351203.2000000002"/>
    <d v="2025-12-23T00:00:00"/>
    <d v="2025-12-23T00:00:00"/>
    <m/>
    <d v="2025-12-23T00:00:00"/>
    <n v="-6768000"/>
    <s v=""/>
    <x v="0"/>
    <s v="ต้นทุนขาย"/>
    <m/>
    <n v="1042.2"/>
  </r>
  <r>
    <x v="2"/>
    <x v="2"/>
    <s v="0328"/>
    <x v="0"/>
    <s v="GD goods issue:delvy"/>
    <s v="4924733914"/>
    <s v="M001"/>
    <s v="161201-B/T"/>
    <s v=""/>
    <s v="09:31:40"/>
    <s v="JURASDOK"/>
    <s v="0002"/>
    <s v=""/>
    <s v="0000"/>
    <s v=""/>
    <s v="0000000000"/>
    <s v=""/>
    <s v=""/>
    <s v=""/>
    <s v="51003100"/>
    <s v=""/>
    <s v=""/>
    <s v=""/>
    <s v="2000110368"/>
    <m/>
    <s v="BOX"/>
    <n v="-1310"/>
    <n v="-1365282"/>
    <d v="2025-12-23T00:00:00"/>
    <d v="2025-12-23T00:00:00"/>
    <m/>
    <d v="2025-12-23T00:00:00"/>
    <n v="-3930000"/>
    <s v=""/>
    <x v="0"/>
    <s v="ต้นทุนขาย"/>
    <m/>
    <n v="1042.2"/>
  </r>
  <r>
    <x v="2"/>
    <x v="2"/>
    <s v="0328"/>
    <x v="0"/>
    <s v="GD goods issue:delvy"/>
    <s v="4924733914"/>
    <s v="M001"/>
    <s v="081203-B/T"/>
    <s v=""/>
    <s v="09:31:40"/>
    <s v="JURASDOK"/>
    <s v="0004"/>
    <s v=""/>
    <s v="0000"/>
    <s v=""/>
    <s v="0000000000"/>
    <s v=""/>
    <s v=""/>
    <s v=""/>
    <s v="51003100"/>
    <s v=""/>
    <s v=""/>
    <s v=""/>
    <s v="2000110368"/>
    <m/>
    <s v="BOX"/>
    <n v="-69"/>
    <n v="-71911.8"/>
    <d v="2025-12-23T00:00:00"/>
    <d v="2025-12-23T00:00:00"/>
    <m/>
    <d v="2025-12-23T00:00:00"/>
    <n v="-207000"/>
    <s v=""/>
    <x v="0"/>
    <s v="ต้นทุนขาย"/>
    <m/>
    <n v="1042.2"/>
  </r>
  <r>
    <x v="2"/>
    <x v="2"/>
    <s v="0328"/>
    <x v="0"/>
    <s v="GD goods issue:delvy"/>
    <s v="4924733914"/>
    <s v="M001"/>
    <s v="081204-B/T"/>
    <s v=""/>
    <s v="09:31:40"/>
    <s v="JURASDOK"/>
    <s v="0003"/>
    <s v=""/>
    <s v="0000"/>
    <s v=""/>
    <s v="0000000000"/>
    <s v=""/>
    <s v=""/>
    <s v=""/>
    <s v="51003100"/>
    <s v=""/>
    <s v=""/>
    <s v=""/>
    <s v="2000110368"/>
    <m/>
    <s v="BOX"/>
    <n v="-1165"/>
    <n v="-1214163"/>
    <d v="2025-12-23T00:00:00"/>
    <d v="2025-12-23T00:00:00"/>
    <m/>
    <d v="2025-12-23T00:00:00"/>
    <n v="-3495000"/>
    <s v=""/>
    <x v="0"/>
    <s v="ต้นทุนขาย"/>
    <m/>
    <n v="1042.2"/>
  </r>
  <r>
    <x v="2"/>
    <x v="2"/>
    <s v="0328"/>
    <x v="5"/>
    <s v="GI ค่าวิจัยและพัฒนา"/>
    <s v="4924733944"/>
    <s v="M001"/>
    <s v="081201-B/T"/>
    <s v=""/>
    <s v="09:33:09"/>
    <s v="RAPEESAN01"/>
    <s v="0004"/>
    <s v=""/>
    <s v="0000"/>
    <s v=""/>
    <s v="0142856796"/>
    <s v=""/>
    <s v="ตรวจ Repack 08.12.25.2 R2-9 P.31"/>
    <s v="405053"/>
    <s v="67501001"/>
    <s v=""/>
    <s v=""/>
    <s v=""/>
    <s v=""/>
    <m/>
    <s v="BAG"/>
    <n v="-1"/>
    <n v="-173.7"/>
    <d v="2025-12-19T00:00:00"/>
    <d v="2025-12-19T00:00:00"/>
    <m/>
    <d v="2025-12-23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733944"/>
    <s v="M001"/>
    <s v="081202-B/T"/>
    <s v=""/>
    <s v="09:33:09"/>
    <s v="RAPEESAN01"/>
    <s v="0003"/>
    <s v=""/>
    <s v="0000"/>
    <s v=""/>
    <s v="0142856796"/>
    <s v=""/>
    <s v="ตรวจ Repack 08.12.25.2 R2-9 P.23"/>
    <s v="405053"/>
    <s v="67501001"/>
    <s v=""/>
    <s v=""/>
    <s v=""/>
    <s v=""/>
    <m/>
    <s v="BAG"/>
    <n v="-1"/>
    <n v="-173.7"/>
    <d v="2025-12-19T00:00:00"/>
    <d v="2025-12-19T00:00:00"/>
    <m/>
    <d v="2025-12-23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733944"/>
    <s v="M001"/>
    <s v="081202-B/T"/>
    <s v=""/>
    <s v="09:33:09"/>
    <s v="RAPEESAN01"/>
    <s v="0001"/>
    <s v=""/>
    <s v="0000"/>
    <s v=""/>
    <s v="0142856796"/>
    <s v=""/>
    <s v="ตรวจ Repack 08.12.25.2 R2-9 P.7"/>
    <s v="405053"/>
    <s v="67501001"/>
    <s v=""/>
    <s v=""/>
    <s v=""/>
    <s v=""/>
    <m/>
    <s v="BAG"/>
    <n v="-1"/>
    <n v="-173.7"/>
    <d v="2025-12-19T00:00:00"/>
    <d v="2025-12-19T00:00:00"/>
    <m/>
    <d v="2025-12-23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733944"/>
    <s v="M001"/>
    <s v="081202-B/T"/>
    <s v=""/>
    <s v="09:33:09"/>
    <s v="RAPEESAN01"/>
    <s v="0002"/>
    <s v=""/>
    <s v="0000"/>
    <s v=""/>
    <s v="0142856796"/>
    <s v=""/>
    <s v="ตรวจ Repack 08.12.25.2 R2-9 P.15"/>
    <s v="405053"/>
    <s v="67501001"/>
    <s v=""/>
    <s v=""/>
    <s v=""/>
    <s v=""/>
    <m/>
    <s v="BAG"/>
    <n v="-1"/>
    <n v="-173.7"/>
    <d v="2025-12-19T00:00:00"/>
    <d v="2025-12-19T00:00:00"/>
    <m/>
    <d v="2025-12-23T00:00:00"/>
    <n v="-500"/>
    <s v=""/>
    <x v="0"/>
    <s v="ค่าวิจัยคุณภาพสินค้า"/>
    <m/>
    <n v="173.7"/>
  </r>
  <r>
    <x v="11"/>
    <x v="11"/>
    <s v="0328"/>
    <x v="7"/>
    <s v="GI for order"/>
    <s v="4924738781"/>
    <s v="P001"/>
    <s v="251126-BBB"/>
    <s v="301000000094"/>
    <s v="11:30:37"/>
    <s v="PANUPWAI"/>
    <s v="0002"/>
    <s v=""/>
    <s v="0000"/>
    <s v=""/>
    <s v="0000000000"/>
    <s v=""/>
    <s v="สารกาแฟอาราบิก้า"/>
    <s v=""/>
    <s v="53002000"/>
    <s v=""/>
    <s v=""/>
    <s v=""/>
    <s v=""/>
    <m/>
    <s v="KG"/>
    <n v="-12852.95"/>
    <n v="-3269818.58"/>
    <d v="2025-12-23T00:00:00"/>
    <d v="2025-12-17T00:00:00"/>
    <m/>
    <d v="2025-12-23T00:00:00"/>
    <n v="-12852950"/>
    <s v="301"/>
    <x v="3"/>
    <s v="ต้นทุนผลิต-วัตถุดิบ"/>
    <m/>
    <n v="254.402186268522"/>
  </r>
  <r>
    <x v="11"/>
    <x v="11"/>
    <s v="0328"/>
    <x v="7"/>
    <s v="GI for order"/>
    <s v="4924738781"/>
    <s v="P001"/>
    <s v="250925-BBB"/>
    <s v="301000000094"/>
    <s v="11:30:37"/>
    <s v="PANUPWAI"/>
    <s v="0001"/>
    <s v=""/>
    <s v="0000"/>
    <s v=""/>
    <s v="0142976538"/>
    <s v=""/>
    <s v=""/>
    <s v=""/>
    <s v="53002000"/>
    <s v=""/>
    <s v=""/>
    <s v=""/>
    <s v=""/>
    <m/>
    <s v="KG"/>
    <n v="-5167.75"/>
    <n v="-1314686.8999999999"/>
    <d v="2025-12-23T00:00:00"/>
    <d v="2025-12-17T00:00:00"/>
    <m/>
    <d v="2025-12-23T00:00:00"/>
    <n v="-5167750"/>
    <s v="301"/>
    <x v="3"/>
    <s v="ต้นทุนผลิต-วัตถุดิบ"/>
    <m/>
    <n v="254.40218663828551"/>
  </r>
  <r>
    <x v="12"/>
    <x v="12"/>
    <s v="0328"/>
    <x v="2"/>
    <s v="TF trfr within plant"/>
    <s v="4924740620"/>
    <s v="P001"/>
    <s v="160925-BBB"/>
    <s v=""/>
    <s v="12:43:23"/>
    <s v="PANUPWAI"/>
    <s v="0002"/>
    <s v=""/>
    <s v="0000"/>
    <s v=""/>
    <s v="0000000000"/>
    <s v=""/>
    <s v=""/>
    <s v=""/>
    <s v=""/>
    <s v=""/>
    <s v=""/>
    <s v=""/>
    <s v=""/>
    <m/>
    <s v="KG"/>
    <n v="31074.9"/>
    <n v="0"/>
    <d v="2025-12-17T00:00:00"/>
    <d v="2025-12-17T00:00:00"/>
    <m/>
    <d v="2025-12-23T00:00:00"/>
    <n v="31074900"/>
    <s v=""/>
    <x v="3"/>
    <e v="#N/A"/>
    <m/>
    <n v="0"/>
  </r>
  <r>
    <x v="12"/>
    <x v="12"/>
    <s v="0328"/>
    <x v="2"/>
    <s v="TF trfr within plant"/>
    <s v="4924740620"/>
    <s v="M002"/>
    <s v="160925-BBB"/>
    <s v=""/>
    <s v="12:43:23"/>
    <s v="PANUPWAI"/>
    <s v="0001"/>
    <s v=""/>
    <s v="0000"/>
    <s v=""/>
    <s v="0000000000"/>
    <s v=""/>
    <s v=""/>
    <s v=""/>
    <s v=""/>
    <s v=""/>
    <s v=""/>
    <s v=""/>
    <s v=""/>
    <m/>
    <s v="KG"/>
    <n v="-31074.9"/>
    <n v="0"/>
    <d v="2025-12-17T00:00:00"/>
    <d v="2025-12-17T00:00:00"/>
    <m/>
    <d v="2025-12-23T00:00:00"/>
    <n v="-31074900"/>
    <s v=""/>
    <x v="3"/>
    <e v="#N/A"/>
    <m/>
    <n v="0"/>
  </r>
  <r>
    <x v="12"/>
    <x v="12"/>
    <s v="0328"/>
    <x v="7"/>
    <s v="GI for order"/>
    <s v="4924740802"/>
    <s v="P001"/>
    <s v="160925-BBB"/>
    <s v="301000000095"/>
    <s v="12:44:14"/>
    <s v="PANUPWAI"/>
    <s v="0001"/>
    <s v=""/>
    <s v="0000"/>
    <s v=""/>
    <s v="0142977556"/>
    <s v=""/>
    <s v=""/>
    <s v=""/>
    <s v="53002000"/>
    <s v=""/>
    <s v=""/>
    <s v=""/>
    <s v=""/>
    <m/>
    <s v="KG"/>
    <n v="-6007.4"/>
    <n v="-1174474.8899999999"/>
    <d v="2025-12-23T00:00:00"/>
    <d v="2025-12-17T00:00:00"/>
    <m/>
    <d v="2025-12-23T00:00:00"/>
    <n v="-6007400"/>
    <s v="301"/>
    <x v="3"/>
    <s v="ต้นทุนผลิต-วัตถุดิบ"/>
    <m/>
    <n v="195.50469254586011"/>
  </r>
  <r>
    <x v="11"/>
    <x v="11"/>
    <s v="0328"/>
    <x v="7"/>
    <s v="GI for order"/>
    <s v="4924740969"/>
    <s v="P001"/>
    <s v="251126-BBB"/>
    <s v="301000000096"/>
    <s v="12:59:45"/>
    <s v="PANUPWAI"/>
    <s v="0001"/>
    <s v=""/>
    <s v="0000"/>
    <s v=""/>
    <s v="0142978070"/>
    <s v=""/>
    <s v=""/>
    <s v=""/>
    <s v="53002000"/>
    <s v=""/>
    <s v=""/>
    <s v=""/>
    <s v=""/>
    <m/>
    <s v="KG"/>
    <n v="-4146.55"/>
    <n v="-1054891.3899999999"/>
    <d v="2025-12-23T00:00:00"/>
    <d v="2025-12-19T00:00:00"/>
    <m/>
    <d v="2025-12-23T00:00:00"/>
    <n v="-4146550"/>
    <s v="301"/>
    <x v="3"/>
    <s v="ต้นทุนผลิต-วัตถุดิบ"/>
    <m/>
    <n v="254.40218736057682"/>
  </r>
  <r>
    <x v="11"/>
    <x v="11"/>
    <s v="0328"/>
    <x v="7"/>
    <s v="GI for order"/>
    <s v="4924740969"/>
    <s v="P001"/>
    <s v="300925-BBB"/>
    <s v="301000000096"/>
    <s v="12:59:45"/>
    <s v="PANUPWAI"/>
    <s v="0002"/>
    <s v=""/>
    <s v="0000"/>
    <s v=""/>
    <s v="0000000000"/>
    <s v=""/>
    <s v="สารกาแฟอาราบิก้า"/>
    <s v=""/>
    <s v="53002000"/>
    <s v=""/>
    <s v=""/>
    <s v=""/>
    <s v=""/>
    <m/>
    <s v="KG"/>
    <n v="-21918.25"/>
    <n v="-5576050.7199999997"/>
    <d v="2025-12-23T00:00:00"/>
    <d v="2025-12-19T00:00:00"/>
    <m/>
    <d v="2025-12-23T00:00:00"/>
    <n v="-21918250"/>
    <s v="301"/>
    <x v="3"/>
    <s v="ต้นทุนผลิต-วัตถุดิบ"/>
    <m/>
    <n v="254.40218630593225"/>
  </r>
  <r>
    <x v="10"/>
    <x v="10"/>
    <s v="0328"/>
    <x v="3"/>
    <s v="TF trfr plnt to plnt"/>
    <s v="4924741461"/>
    <s v="M001"/>
    <s v="071125-B"/>
    <s v=""/>
    <s v="13:16:41"/>
    <s v="JURASDOK"/>
    <s v="0001"/>
    <s v=""/>
    <s v="0000"/>
    <s v=""/>
    <s v="0142967542"/>
    <s v=""/>
    <s v=""/>
    <s v=""/>
    <s v=""/>
    <s v=""/>
    <s v=""/>
    <s v=""/>
    <s v=""/>
    <m/>
    <s v="BAG"/>
    <n v="-1200"/>
    <n v="-208824"/>
    <d v="2025-12-23T00:00:00"/>
    <d v="2025-12-23T00:00:00"/>
    <m/>
    <d v="2025-12-23T00:00:00"/>
    <n v="-600000"/>
    <s v=""/>
    <x v="0"/>
    <e v="#N/A"/>
    <m/>
    <n v="174.02"/>
  </r>
  <r>
    <x v="3"/>
    <x v="3"/>
    <s v="0328"/>
    <x v="0"/>
    <s v="GD goods issue:delvy"/>
    <s v="4924742615"/>
    <s v="P004"/>
    <s v="1"/>
    <s v=""/>
    <s v="13:59:32"/>
    <s v="THANAWIS"/>
    <s v="0001"/>
    <s v=""/>
    <s v="0000"/>
    <s v=""/>
    <s v="0000000000"/>
    <s v=""/>
    <s v=""/>
    <s v=""/>
    <s v="51003100"/>
    <s v=""/>
    <s v=""/>
    <s v=""/>
    <s v="2000110385"/>
    <m/>
    <s v="BAG"/>
    <n v="-14"/>
    <n v="-2536.52"/>
    <d v="2025-12-23T00:00:00"/>
    <d v="2025-12-23T00:00:00"/>
    <m/>
    <d v="2025-12-23T00:00:00"/>
    <n v="-7000"/>
    <s v=""/>
    <x v="0"/>
    <s v="ต้นทุนขาย"/>
    <m/>
    <n v="181.18"/>
  </r>
  <r>
    <x v="1"/>
    <x v="1"/>
    <s v="0328"/>
    <x v="6"/>
    <s v="GI for cost center"/>
    <s v="4924743436"/>
    <s v="P004"/>
    <s v="REBB-1906"/>
    <s v=""/>
    <s v="14:04:38"/>
    <s v="THANAWIS"/>
    <s v="0001"/>
    <s v=""/>
    <s v="0000"/>
    <s v=""/>
    <s v="0142848837"/>
    <s v=""/>
    <s v="สำหรับกรมสรรพกรณ์อารีย์"/>
    <s v="204001"/>
    <s v="66001000"/>
    <s v=""/>
    <s v=""/>
    <s v=""/>
    <s v=""/>
    <m/>
    <s v="BAG"/>
    <n v="-4"/>
    <n v="-696.08"/>
    <d v="2025-12-23T00:00:00"/>
    <d v="2025-12-23T00:00:00"/>
    <m/>
    <d v="2025-12-23T00:00:00"/>
    <n v="-2000"/>
    <s v=""/>
    <x v="0"/>
    <s v="วัสดุสิ้นเปลือง"/>
    <m/>
    <n v="174.02"/>
  </r>
  <r>
    <x v="1"/>
    <x v="1"/>
    <s v="0328"/>
    <x v="6"/>
    <s v="GI for cost center"/>
    <s v="4924743436"/>
    <s v="P004"/>
    <s v="301025-B"/>
    <s v=""/>
    <s v="14:04:38"/>
    <s v="THANAWIS"/>
    <s v="0002"/>
    <s v=""/>
    <s v="0000"/>
    <s v=""/>
    <s v="0142848837"/>
    <s v=""/>
    <s v="สำหรับกรมสรรพกรณ์อารีย์"/>
    <s v="204001"/>
    <s v="66001000"/>
    <s v=""/>
    <s v=""/>
    <s v=""/>
    <s v=""/>
    <m/>
    <s v="BAG"/>
    <n v="-56"/>
    <n v="-9745.1200000000008"/>
    <d v="2025-12-23T00:00:00"/>
    <d v="2025-12-23T00:00:00"/>
    <m/>
    <d v="2025-12-23T00:00:00"/>
    <n v="-28000"/>
    <s v=""/>
    <x v="0"/>
    <s v="วัสดุสิ้นเปลือง"/>
    <m/>
    <n v="174.02"/>
  </r>
  <r>
    <x v="12"/>
    <x v="12"/>
    <s v="0328"/>
    <x v="7"/>
    <s v="GI for order"/>
    <s v="4924749744"/>
    <s v="P001"/>
    <s v="160925-BBB"/>
    <s v="301000000097"/>
    <s v="14:32:48"/>
    <s v="PANUPWAI"/>
    <s v="0001"/>
    <s v=""/>
    <s v="0000"/>
    <s v=""/>
    <s v="0142984241"/>
    <s v=""/>
    <s v=""/>
    <s v=""/>
    <s v="53002000"/>
    <s v=""/>
    <s v=""/>
    <s v=""/>
    <s v=""/>
    <m/>
    <s v="KG"/>
    <n v="-8008.9"/>
    <n v="-1565777.54"/>
    <d v="2025-12-23T00:00:00"/>
    <d v="2025-12-19T00:00:00"/>
    <m/>
    <d v="2025-12-23T00:00:00"/>
    <n v="-8008900"/>
    <s v="301"/>
    <x v="3"/>
    <s v="ต้นทุนผลิต-วัตถุดิบ"/>
    <m/>
    <n v="195.50469352844962"/>
  </r>
  <r>
    <x v="2"/>
    <x v="2"/>
    <s v="0328"/>
    <x v="0"/>
    <s v="GD goods issue:delvy"/>
    <s v="4924751345"/>
    <s v="M001"/>
    <s v="161203-B/T"/>
    <s v=""/>
    <s v="14:39:23"/>
    <s v="JURASDOK"/>
    <s v="0001"/>
    <s v=""/>
    <s v="0000"/>
    <s v=""/>
    <s v="0000000000"/>
    <s v=""/>
    <s v=""/>
    <s v=""/>
    <s v="51003100"/>
    <s v=""/>
    <s v=""/>
    <s v=""/>
    <s v="2000110391"/>
    <m/>
    <s v="BOX"/>
    <n v="-882"/>
    <n v="-919220.4"/>
    <d v="2025-12-23T00:00:00"/>
    <d v="2025-12-23T00:00:00"/>
    <m/>
    <d v="2025-12-23T00:00:00"/>
    <n v="-2646000"/>
    <s v=""/>
    <x v="0"/>
    <s v="ต้นทุนขาย"/>
    <m/>
    <n v="1042.2"/>
  </r>
  <r>
    <x v="2"/>
    <x v="2"/>
    <s v="0328"/>
    <x v="0"/>
    <s v="GD goods issue:delvy"/>
    <s v="4924751345"/>
    <s v="M001"/>
    <s v="161202-B/T"/>
    <s v=""/>
    <s v="14:39:23"/>
    <s v="JURASDOK"/>
    <s v="0002"/>
    <s v=""/>
    <s v="0000"/>
    <s v=""/>
    <s v="0000000000"/>
    <s v=""/>
    <s v=""/>
    <s v=""/>
    <s v="51003100"/>
    <s v=""/>
    <s v=""/>
    <s v=""/>
    <s v="2000110391"/>
    <m/>
    <s v="BOX"/>
    <n v="-1038"/>
    <n v="-1081803.6000000001"/>
    <d v="2025-12-23T00:00:00"/>
    <d v="2025-12-23T00:00:00"/>
    <m/>
    <d v="2025-12-23T00:00:00"/>
    <n v="-3114000"/>
    <s v=""/>
    <x v="0"/>
    <s v="ต้นทุนขาย"/>
    <m/>
    <n v="1042.2"/>
  </r>
  <r>
    <x v="2"/>
    <x v="2"/>
    <s v="0328"/>
    <x v="0"/>
    <s v="GD goods issue:delvy"/>
    <s v="4924751660"/>
    <s v="M001"/>
    <s v="161203-B/T"/>
    <s v=""/>
    <s v="14:40:58"/>
    <s v="JURASDOK"/>
    <s v="0001"/>
    <s v=""/>
    <s v="0000"/>
    <s v=""/>
    <s v="0000000000"/>
    <s v=""/>
    <s v=""/>
    <s v=""/>
    <s v="51003100"/>
    <s v=""/>
    <s v=""/>
    <s v=""/>
    <s v="2000110393"/>
    <m/>
    <s v="BOX"/>
    <n v="-1920"/>
    <n v="-2001024"/>
    <d v="2025-12-23T00:00:00"/>
    <d v="2025-12-23T00:00:00"/>
    <m/>
    <d v="2025-12-23T00:00:00"/>
    <n v="-5760000"/>
    <s v=""/>
    <x v="0"/>
    <s v="ต้นทุนขาย"/>
    <m/>
    <n v="1042.2"/>
  </r>
  <r>
    <x v="4"/>
    <x v="4"/>
    <s v="0329"/>
    <x v="0"/>
    <s v="GD goods issue:delvy"/>
    <s v="4924755721"/>
    <s v="P009"/>
    <s v="RE-170625"/>
    <s v=""/>
    <s v="16:08:45"/>
    <s v="THANAWIS"/>
    <s v="0001"/>
    <s v=""/>
    <s v="0000"/>
    <s v=""/>
    <s v="0000000000"/>
    <s v=""/>
    <s v=""/>
    <s v=""/>
    <s v="51003100"/>
    <s v=""/>
    <s v=""/>
    <s v=""/>
    <s v="2000110455"/>
    <m/>
    <s v="BAG"/>
    <n v="-2"/>
    <n v="-148.44"/>
    <d v="2025-12-23T00:00:00"/>
    <d v="2025-12-23T00:00:00"/>
    <m/>
    <d v="2025-12-23T00:00:00"/>
    <n v="-500"/>
    <s v=""/>
    <x v="1"/>
    <s v="ต้นทุนขาย"/>
    <m/>
    <n v="74.22"/>
  </r>
  <r>
    <x v="5"/>
    <x v="5"/>
    <s v="0328"/>
    <x v="2"/>
    <s v="TF trfr within plant"/>
    <s v="4924761236"/>
    <s v="P003"/>
    <s v="04062025"/>
    <s v=""/>
    <s v="18:08:37"/>
    <s v="RAPEESAN01"/>
    <s v="0002"/>
    <s v=""/>
    <s v="0000"/>
    <s v=""/>
    <s v="0000000000"/>
    <s v=""/>
    <s v=""/>
    <s v=""/>
    <s v=""/>
    <s v=""/>
    <s v=""/>
    <s v=""/>
    <s v=""/>
    <m/>
    <s v="PC"/>
    <n v="20000"/>
    <n v="0"/>
    <d v="2025-12-23T00:00:00"/>
    <d v="2025-12-23T00:00:00"/>
    <m/>
    <d v="2025-12-23T00:00:00"/>
    <n v="20000"/>
    <s v=""/>
    <x v="2"/>
    <e v="#N/A"/>
    <m/>
    <n v="0"/>
  </r>
  <r>
    <x v="5"/>
    <x v="5"/>
    <s v="0328"/>
    <x v="2"/>
    <s v="TF trfr within plant"/>
    <s v="4924761236"/>
    <s v="M003"/>
    <s v="04062025"/>
    <s v=""/>
    <s v="18:08:37"/>
    <s v="RAPEESAN01"/>
    <s v="0001"/>
    <s v=""/>
    <s v="0000"/>
    <s v=""/>
    <s v="0000000000"/>
    <s v=""/>
    <s v=""/>
    <s v=""/>
    <s v=""/>
    <s v=""/>
    <s v=""/>
    <s v=""/>
    <s v=""/>
    <m/>
    <s v="PC"/>
    <n v="-20000"/>
    <n v="0"/>
    <d v="2025-12-23T00:00:00"/>
    <d v="2025-12-23T00:00:00"/>
    <m/>
    <d v="2025-12-23T00:00:00"/>
    <n v="-20000"/>
    <s v=""/>
    <x v="2"/>
    <e v="#N/A"/>
    <m/>
    <n v="0"/>
  </r>
  <r>
    <x v="6"/>
    <x v="6"/>
    <s v="0328"/>
    <x v="2"/>
    <s v="TF trfr within plant"/>
    <s v="4924761236"/>
    <s v="M003"/>
    <s v="20251212"/>
    <s v=""/>
    <s v="18:08:37"/>
    <s v="RAPEESAN01"/>
    <s v="0003"/>
    <s v=""/>
    <s v="0000"/>
    <s v=""/>
    <s v="0000000000"/>
    <s v=""/>
    <s v=""/>
    <s v=""/>
    <s v=""/>
    <s v=""/>
    <s v=""/>
    <s v=""/>
    <s v=""/>
    <m/>
    <s v="PC"/>
    <n v="-21000"/>
    <n v="0"/>
    <d v="2025-12-23T00:00:00"/>
    <d v="2025-12-23T00:00:00"/>
    <m/>
    <d v="2025-12-23T00:00:00"/>
    <n v="-21000"/>
    <s v=""/>
    <x v="2"/>
    <e v="#N/A"/>
    <m/>
    <n v="0"/>
  </r>
  <r>
    <x v="6"/>
    <x v="6"/>
    <s v="0328"/>
    <x v="2"/>
    <s v="TF trfr within plant"/>
    <s v="4924761236"/>
    <s v="P003"/>
    <s v="20251212"/>
    <s v=""/>
    <s v="18:08:37"/>
    <s v="RAPEESAN01"/>
    <s v="0004"/>
    <s v=""/>
    <s v="0000"/>
    <s v=""/>
    <s v="0000000000"/>
    <s v=""/>
    <s v=""/>
    <s v=""/>
    <s v=""/>
    <s v=""/>
    <s v=""/>
    <s v=""/>
    <s v=""/>
    <m/>
    <s v="PC"/>
    <n v="21000"/>
    <n v="0"/>
    <d v="2025-12-23T00:00:00"/>
    <d v="2025-12-23T00:00:00"/>
    <m/>
    <d v="2025-12-23T00:00:00"/>
    <n v="21000"/>
    <s v=""/>
    <x v="2"/>
    <e v="#N/A"/>
    <m/>
    <n v="0"/>
  </r>
  <r>
    <x v="7"/>
    <x v="7"/>
    <s v="0328"/>
    <x v="2"/>
    <s v="TF trfr within plant"/>
    <s v="4924761236"/>
    <s v="P003"/>
    <s v="20251206"/>
    <s v=""/>
    <s v="18:08:37"/>
    <s v="RAPEESAN01"/>
    <s v="0006"/>
    <s v=""/>
    <s v="0000"/>
    <s v=""/>
    <s v="0000000000"/>
    <s v=""/>
    <s v=""/>
    <s v=""/>
    <s v=""/>
    <s v=""/>
    <s v=""/>
    <s v=""/>
    <s v=""/>
    <m/>
    <s v="PC"/>
    <n v="3600"/>
    <n v="0"/>
    <d v="2025-12-23T00:00:00"/>
    <d v="2025-12-23T00:00:00"/>
    <m/>
    <d v="2025-12-23T00:00:00"/>
    <n v="3600"/>
    <s v=""/>
    <x v="2"/>
    <e v="#N/A"/>
    <m/>
    <n v="0"/>
  </r>
  <r>
    <x v="7"/>
    <x v="7"/>
    <s v="0328"/>
    <x v="2"/>
    <s v="TF trfr within plant"/>
    <s v="4924761236"/>
    <s v="M003"/>
    <s v="20251206"/>
    <s v=""/>
    <s v="18:08:37"/>
    <s v="RAPEESAN01"/>
    <s v="0005"/>
    <s v=""/>
    <s v="0000"/>
    <s v=""/>
    <s v="0000000000"/>
    <s v=""/>
    <s v=""/>
    <s v=""/>
    <s v=""/>
    <s v=""/>
    <s v=""/>
    <s v=""/>
    <s v=""/>
    <m/>
    <s v="PC"/>
    <n v="-3600"/>
    <n v="0"/>
    <d v="2025-12-23T00:00:00"/>
    <d v="2025-12-23T00:00:00"/>
    <m/>
    <d v="2025-12-23T00:00:00"/>
    <n v="-3600"/>
    <s v=""/>
    <x v="2"/>
    <e v="#N/A"/>
    <m/>
    <n v="0"/>
  </r>
  <r>
    <x v="24"/>
    <x v="24"/>
    <s v="0328"/>
    <x v="2"/>
    <s v="TF trfr within plant"/>
    <s v="4924761834"/>
    <s v="M003"/>
    <s v="20251114"/>
    <s v=""/>
    <s v="18:14:12"/>
    <s v="RAPEESAN01"/>
    <s v="0001"/>
    <s v=""/>
    <s v="0000"/>
    <s v=""/>
    <s v="0000000000"/>
    <s v=""/>
    <s v=""/>
    <s v=""/>
    <s v=""/>
    <s v=""/>
    <s v=""/>
    <s v=""/>
    <s v=""/>
    <m/>
    <s v="EA"/>
    <n v="-500"/>
    <n v="0"/>
    <d v="2025-12-23T00:00:00"/>
    <d v="2025-12-23T00:00:00"/>
    <m/>
    <d v="2025-12-23T00:00:00"/>
    <n v="-500"/>
    <s v=""/>
    <x v="2"/>
    <e v="#N/A"/>
    <m/>
    <n v="0"/>
  </r>
  <r>
    <x v="24"/>
    <x v="24"/>
    <s v="0328"/>
    <x v="2"/>
    <s v="TF trfr within plant"/>
    <s v="4924761834"/>
    <s v="P003"/>
    <s v="20251114"/>
    <s v=""/>
    <s v="18:14:12"/>
    <s v="RAPEESAN01"/>
    <s v="0002"/>
    <s v=""/>
    <s v="0000"/>
    <s v=""/>
    <s v="0000000000"/>
    <s v=""/>
    <s v=""/>
    <s v=""/>
    <s v=""/>
    <s v=""/>
    <s v=""/>
    <s v=""/>
    <s v=""/>
    <m/>
    <s v="EA"/>
    <n v="500"/>
    <n v="0"/>
    <d v="2025-12-23T00:00:00"/>
    <d v="2025-12-23T00:00:00"/>
    <m/>
    <d v="2025-12-23T00:00:00"/>
    <n v="500"/>
    <s v=""/>
    <x v="2"/>
    <e v="#N/A"/>
    <m/>
    <n v="0"/>
  </r>
  <r>
    <x v="27"/>
    <x v="26"/>
    <s v="0328"/>
    <x v="2"/>
    <s v="TF trfr within plant"/>
    <s v="4924761834"/>
    <s v="P003"/>
    <s v="250607"/>
    <s v=""/>
    <s v="18:14:12"/>
    <s v="RAPEESAN01"/>
    <s v="0004"/>
    <s v=""/>
    <s v="0000"/>
    <s v=""/>
    <s v="0000000000"/>
    <s v=""/>
    <s v=""/>
    <s v=""/>
    <s v=""/>
    <s v=""/>
    <s v=""/>
    <s v=""/>
    <s v=""/>
    <m/>
    <s v="EA"/>
    <n v="390"/>
    <n v="0"/>
    <d v="2025-12-23T00:00:00"/>
    <d v="2025-12-23T00:00:00"/>
    <m/>
    <d v="2025-12-23T00:00:00"/>
    <n v="390"/>
    <s v=""/>
    <x v="2"/>
    <e v="#N/A"/>
    <m/>
    <n v="0"/>
  </r>
  <r>
    <x v="27"/>
    <x v="26"/>
    <s v="0328"/>
    <x v="2"/>
    <s v="TF trfr within plant"/>
    <s v="4924761834"/>
    <s v="M003"/>
    <s v="250607"/>
    <s v=""/>
    <s v="18:14:12"/>
    <s v="RAPEESAN01"/>
    <s v="0003"/>
    <s v=""/>
    <s v="0000"/>
    <s v=""/>
    <s v="0000000000"/>
    <s v=""/>
    <s v=""/>
    <s v=""/>
    <s v=""/>
    <s v=""/>
    <s v=""/>
    <s v=""/>
    <s v=""/>
    <m/>
    <s v="EA"/>
    <n v="-390"/>
    <n v="0"/>
    <d v="2025-12-23T00:00:00"/>
    <d v="2025-12-23T00:00:00"/>
    <m/>
    <d v="2025-12-23T00:00:00"/>
    <n v="-390"/>
    <s v=""/>
    <x v="2"/>
    <e v="#N/A"/>
    <m/>
    <n v="0"/>
  </r>
  <r>
    <x v="1"/>
    <x v="1"/>
    <s v="0328"/>
    <x v="0"/>
    <s v="GD goods issue:delvy"/>
    <s v="4924816528"/>
    <s v="P004"/>
    <s v="301025-B"/>
    <s v=""/>
    <s v="14:04:22"/>
    <s v="THANAWIS"/>
    <s v="0001"/>
    <s v=""/>
    <s v="0000"/>
    <s v=""/>
    <s v="0000000000"/>
    <s v=""/>
    <s v=""/>
    <s v=""/>
    <s v="51003100"/>
    <s v=""/>
    <s v=""/>
    <s v=""/>
    <s v="2000110535"/>
    <m/>
    <s v="BAG"/>
    <n v="-2"/>
    <n v="-348.04"/>
    <d v="2025-12-24T00:00:00"/>
    <d v="2025-12-24T00:00:00"/>
    <m/>
    <d v="2025-12-24T00:00:00"/>
    <n v="-1000"/>
    <s v=""/>
    <x v="0"/>
    <s v="ต้นทุนขาย"/>
    <m/>
    <n v="174.02"/>
  </r>
  <r>
    <x v="5"/>
    <x v="5"/>
    <s v="0328"/>
    <x v="2"/>
    <s v="TF trfr within plant"/>
    <s v="4924825325"/>
    <s v="P003"/>
    <s v="04062025"/>
    <s v=""/>
    <s v="14:47:28"/>
    <s v="SUTTISIT02"/>
    <s v="0006"/>
    <s v=""/>
    <s v="0000"/>
    <s v=""/>
    <s v="0000000000"/>
    <s v=""/>
    <s v=""/>
    <s v=""/>
    <s v=""/>
    <s v=""/>
    <s v=""/>
    <s v=""/>
    <s v=""/>
    <m/>
    <s v="PC"/>
    <n v="30000"/>
    <n v="0"/>
    <d v="2025-12-24T00:00:00"/>
    <d v="2025-12-24T00:00:00"/>
    <m/>
    <d v="2025-12-24T00:00:00"/>
    <n v="30000"/>
    <s v=""/>
    <x v="2"/>
    <e v="#N/A"/>
    <m/>
    <n v="0"/>
  </r>
  <r>
    <x v="5"/>
    <x v="5"/>
    <s v="0328"/>
    <x v="2"/>
    <s v="TF trfr within plant"/>
    <s v="4924825325"/>
    <s v="M003"/>
    <s v="04062025"/>
    <s v=""/>
    <s v="14:47:28"/>
    <s v="SUTTISIT02"/>
    <s v="0005"/>
    <s v=""/>
    <s v="0000"/>
    <s v=""/>
    <s v="0000000000"/>
    <s v=""/>
    <s v=""/>
    <s v=""/>
    <s v=""/>
    <s v=""/>
    <s v=""/>
    <s v=""/>
    <s v=""/>
    <m/>
    <s v="PC"/>
    <n v="-30000"/>
    <n v="0"/>
    <d v="2025-12-24T00:00:00"/>
    <d v="2025-12-24T00:00:00"/>
    <m/>
    <d v="2025-12-24T00:00:00"/>
    <n v="-30000"/>
    <s v=""/>
    <x v="2"/>
    <e v="#N/A"/>
    <m/>
    <n v="0"/>
  </r>
  <r>
    <x v="6"/>
    <x v="6"/>
    <s v="0328"/>
    <x v="2"/>
    <s v="TF trfr within plant"/>
    <s v="4924825325"/>
    <s v="M003"/>
    <s v="20251212"/>
    <s v=""/>
    <s v="14:47:28"/>
    <s v="SUTTISIT02"/>
    <s v="0003"/>
    <s v=""/>
    <s v="0000"/>
    <s v=""/>
    <s v="0000000000"/>
    <s v=""/>
    <s v=""/>
    <s v=""/>
    <s v=""/>
    <s v=""/>
    <s v=""/>
    <s v=""/>
    <s v=""/>
    <m/>
    <s v="PC"/>
    <n v="-18000"/>
    <n v="0"/>
    <d v="2025-12-24T00:00:00"/>
    <d v="2025-12-24T00:00:00"/>
    <m/>
    <d v="2025-12-24T00:00:00"/>
    <n v="-18000"/>
    <s v=""/>
    <x v="2"/>
    <e v="#N/A"/>
    <m/>
    <n v="0"/>
  </r>
  <r>
    <x v="6"/>
    <x v="6"/>
    <s v="0328"/>
    <x v="2"/>
    <s v="TF trfr within plant"/>
    <s v="4924825325"/>
    <s v="P003"/>
    <s v="20251212"/>
    <s v=""/>
    <s v="14:47:28"/>
    <s v="SUTTISIT02"/>
    <s v="0004"/>
    <s v=""/>
    <s v="0000"/>
    <s v=""/>
    <s v="0000000000"/>
    <s v=""/>
    <s v=""/>
    <s v=""/>
    <s v=""/>
    <s v=""/>
    <s v=""/>
    <s v=""/>
    <s v=""/>
    <m/>
    <s v="PC"/>
    <n v="18000"/>
    <n v="0"/>
    <d v="2025-12-24T00:00:00"/>
    <d v="2025-12-24T00:00:00"/>
    <m/>
    <d v="2025-12-24T00:00:00"/>
    <n v="18000"/>
    <s v=""/>
    <x v="2"/>
    <e v="#N/A"/>
    <m/>
    <n v="0"/>
  </r>
  <r>
    <x v="7"/>
    <x v="7"/>
    <s v="0328"/>
    <x v="2"/>
    <s v="TF trfr within plant"/>
    <s v="4924825325"/>
    <s v="P003"/>
    <s v="20251206"/>
    <s v=""/>
    <s v="14:47:28"/>
    <s v="SUTTISIT02"/>
    <s v="0002"/>
    <s v=""/>
    <s v="0000"/>
    <s v=""/>
    <s v="0000000000"/>
    <s v=""/>
    <s v=""/>
    <s v=""/>
    <s v=""/>
    <s v=""/>
    <s v=""/>
    <s v=""/>
    <s v=""/>
    <m/>
    <s v="PC"/>
    <n v="3215"/>
    <n v="0"/>
    <d v="2025-12-24T00:00:00"/>
    <d v="2025-12-24T00:00:00"/>
    <m/>
    <d v="2025-12-24T00:00:00"/>
    <n v="3215"/>
    <s v=""/>
    <x v="2"/>
    <e v="#N/A"/>
    <m/>
    <n v="0"/>
  </r>
  <r>
    <x v="7"/>
    <x v="7"/>
    <s v="0328"/>
    <x v="2"/>
    <s v="TF trfr within plant"/>
    <s v="4924825325"/>
    <s v="M003"/>
    <s v="20251206"/>
    <s v=""/>
    <s v="14:47:28"/>
    <s v="SUTTISIT02"/>
    <s v="0001"/>
    <s v=""/>
    <s v="0000"/>
    <s v=""/>
    <s v="0000000000"/>
    <s v=""/>
    <s v=""/>
    <s v=""/>
    <s v=""/>
    <s v=""/>
    <s v=""/>
    <s v=""/>
    <s v=""/>
    <m/>
    <s v="PC"/>
    <n v="-3215"/>
    <n v="0"/>
    <d v="2025-12-24T00:00:00"/>
    <d v="2025-12-24T00:00:00"/>
    <m/>
    <d v="2025-12-24T00:00:00"/>
    <n v="-3215"/>
    <s v=""/>
    <x v="2"/>
    <e v="#N/A"/>
    <m/>
    <n v="0"/>
  </r>
  <r>
    <x v="18"/>
    <x v="18"/>
    <s v="0328"/>
    <x v="2"/>
    <s v="TF trfr within plant"/>
    <s v="4924826845"/>
    <s v="P003"/>
    <s v="20251222"/>
    <s v=""/>
    <s v="15:32:59"/>
    <s v="PRONDTAN"/>
    <s v="0002"/>
    <s v=""/>
    <s v="0000"/>
    <s v=""/>
    <s v="0000000000"/>
    <s v=""/>
    <s v=""/>
    <s v=""/>
    <s v=""/>
    <s v=""/>
    <s v=""/>
    <s v=""/>
    <s v=""/>
    <m/>
    <s v="PC"/>
    <n v="100"/>
    <n v="0"/>
    <d v="2025-12-24T00:00:00"/>
    <d v="2025-12-24T00:00:00"/>
    <m/>
    <d v="2025-12-24T00:00:00"/>
    <n v="100"/>
    <s v=""/>
    <x v="2"/>
    <e v="#N/A"/>
    <m/>
    <n v="0"/>
  </r>
  <r>
    <x v="18"/>
    <x v="18"/>
    <s v="0328"/>
    <x v="2"/>
    <s v="TF trfr within plant"/>
    <s v="4924826845"/>
    <s v="M003"/>
    <s v="20251222"/>
    <s v=""/>
    <s v="15:32:59"/>
    <s v="PRONDTAN"/>
    <s v="0001"/>
    <s v=""/>
    <s v="0000"/>
    <s v=""/>
    <s v="0000000000"/>
    <s v=""/>
    <s v=""/>
    <s v=""/>
    <s v=""/>
    <s v=""/>
    <s v=""/>
    <s v=""/>
    <s v=""/>
    <m/>
    <s v="PC"/>
    <n v="-100"/>
    <n v="0"/>
    <d v="2025-12-24T00:00:00"/>
    <d v="2025-12-24T00:00:00"/>
    <m/>
    <d v="2025-12-24T00:00:00"/>
    <n v="-100"/>
    <s v=""/>
    <x v="2"/>
    <e v="#N/A"/>
    <m/>
    <n v="0"/>
  </r>
  <r>
    <x v="18"/>
    <x v="18"/>
    <s v="0328"/>
    <x v="2"/>
    <s v="TF trfr within plant"/>
    <s v="4924876905"/>
    <s v="P003"/>
    <s v="20251222"/>
    <s v=""/>
    <s v="08:04:54"/>
    <s v="PRONDTAN"/>
    <s v="0002"/>
    <s v=""/>
    <s v="0000"/>
    <s v=""/>
    <s v="0000000000"/>
    <s v=""/>
    <s v=""/>
    <s v=""/>
    <s v=""/>
    <s v=""/>
    <s v=""/>
    <s v=""/>
    <s v=""/>
    <m/>
    <s v="PC"/>
    <n v="200"/>
    <n v="0"/>
    <d v="2025-12-25T00:00:00"/>
    <d v="2025-12-25T00:00:00"/>
    <m/>
    <d v="2025-12-25T00:00:00"/>
    <n v="200"/>
    <s v=""/>
    <x v="2"/>
    <e v="#N/A"/>
    <m/>
    <n v="0"/>
  </r>
  <r>
    <x v="18"/>
    <x v="18"/>
    <s v="0328"/>
    <x v="2"/>
    <s v="TF trfr within plant"/>
    <s v="4924876905"/>
    <s v="M003"/>
    <s v="20251222"/>
    <s v=""/>
    <s v="08:04:54"/>
    <s v="PRONDTAN"/>
    <s v="0001"/>
    <s v=""/>
    <s v="0000"/>
    <s v=""/>
    <s v="0000000000"/>
    <s v=""/>
    <s v=""/>
    <s v=""/>
    <s v=""/>
    <s v=""/>
    <s v=""/>
    <s v=""/>
    <s v=""/>
    <m/>
    <s v="PC"/>
    <n v="-200"/>
    <n v="0"/>
    <d v="2025-12-25T00:00:00"/>
    <d v="2025-12-25T00:00:00"/>
    <m/>
    <d v="2025-12-25T00:00:00"/>
    <n v="-200"/>
    <s v=""/>
    <x v="2"/>
    <e v="#N/A"/>
    <m/>
    <n v="0"/>
  </r>
  <r>
    <x v="11"/>
    <x v="11"/>
    <s v="0328"/>
    <x v="7"/>
    <s v="GI for order"/>
    <s v="4924881594"/>
    <s v="P001"/>
    <s v="300925-BBB"/>
    <s v="301000000098"/>
    <s v="09:58:15"/>
    <s v="PANUPWAI"/>
    <s v="0002"/>
    <s v=""/>
    <s v="0000"/>
    <s v=""/>
    <s v="0000000000"/>
    <s v=""/>
    <s v="สารกาแฟอาราบิก้า"/>
    <s v=""/>
    <s v="53002000"/>
    <s v=""/>
    <s v=""/>
    <s v=""/>
    <s v=""/>
    <m/>
    <s v="KG"/>
    <n v="-6057.1"/>
    <n v="-1540939.48"/>
    <d v="2025-12-25T00:00:00"/>
    <d v="2025-12-23T00:00:00"/>
    <m/>
    <d v="2025-12-25T00:00:00"/>
    <n v="-6057100"/>
    <s v="301"/>
    <x v="3"/>
    <s v="ต้นทุนผลิต-วัตถุดิบ"/>
    <m/>
    <n v="254.40218586452261"/>
  </r>
  <r>
    <x v="11"/>
    <x v="11"/>
    <s v="0328"/>
    <x v="7"/>
    <s v="GI for order"/>
    <s v="4924881594"/>
    <s v="P001"/>
    <s v="301025-BBB"/>
    <s v="301000000098"/>
    <s v="09:58:15"/>
    <s v="PANUPWAI"/>
    <s v="0001"/>
    <s v=""/>
    <s v="0000"/>
    <s v=""/>
    <s v="0143047532"/>
    <s v=""/>
    <s v=""/>
    <s v=""/>
    <s v="53002000"/>
    <s v=""/>
    <s v=""/>
    <s v=""/>
    <s v=""/>
    <m/>
    <s v="KG"/>
    <n v="-28118.5"/>
    <n v="-7153407.8799999999"/>
    <d v="2025-12-25T00:00:00"/>
    <d v="2025-12-23T00:00:00"/>
    <m/>
    <d v="2025-12-25T00:00:00"/>
    <n v="-28118500"/>
    <s v="301"/>
    <x v="3"/>
    <s v="ต้นทุนผลิต-วัตถุดิบ"/>
    <m/>
    <n v="254.40218646087095"/>
  </r>
  <r>
    <x v="12"/>
    <x v="12"/>
    <s v="0328"/>
    <x v="7"/>
    <s v="GI for order"/>
    <s v="4924884550"/>
    <s v="P001"/>
    <s v="160925-BBB"/>
    <s v="301000000099"/>
    <s v="10:41:37"/>
    <s v="PANUPWAI"/>
    <s v="0001"/>
    <s v=""/>
    <s v="0000"/>
    <s v=""/>
    <s v="0143050892"/>
    <s v=""/>
    <s v=""/>
    <s v=""/>
    <s v="53002000"/>
    <s v=""/>
    <s v=""/>
    <s v=""/>
    <s v=""/>
    <m/>
    <s v="KG"/>
    <n v="-8040.8"/>
    <n v="-1572014.14"/>
    <d v="2025-12-25T00:00:00"/>
    <d v="2025-12-23T00:00:00"/>
    <m/>
    <d v="2025-12-25T00:00:00"/>
    <n v="-8040800"/>
    <s v="301"/>
    <x v="3"/>
    <s v="ต้นทุนผลิต-วัตถุดิบ"/>
    <m/>
    <n v="195.50469356282954"/>
  </r>
  <r>
    <x v="15"/>
    <x v="15"/>
    <s v="0328"/>
    <x v="7"/>
    <s v="GI for order"/>
    <s v="4924884996"/>
    <s v="P002"/>
    <s v="250815-TTW"/>
    <s v="302000000146"/>
    <s v="10:49:54"/>
    <s v="JURASDOK"/>
    <s v="0001"/>
    <s v=""/>
    <s v="0000"/>
    <s v=""/>
    <s v="0142650309"/>
    <s v=""/>
    <s v=""/>
    <s v=""/>
    <s v="53001003"/>
    <s v=""/>
    <s v=""/>
    <s v=""/>
    <s v=""/>
    <m/>
    <s v="KG"/>
    <n v="-2208"/>
    <n v="-452264.64"/>
    <d v="2025-12-25T00:00:00"/>
    <d v="2025-12-09T00:00:00"/>
    <m/>
    <d v="2025-12-25T00:00:00"/>
    <n v="-2208000"/>
    <s v="302"/>
    <x v="4"/>
    <s v="ต้นทุนผลิตกึ่งสำเร็จ"/>
    <m/>
    <n v="204.83"/>
  </r>
  <r>
    <x v="16"/>
    <x v="16"/>
    <s v="0328"/>
    <x v="7"/>
    <s v="GI for order"/>
    <s v="4924885742"/>
    <s v="P003"/>
    <s v="091225-B/T"/>
    <s v="303000000147"/>
    <s v="11:00:40"/>
    <s v="JURASDOK"/>
    <s v="0001"/>
    <s v=""/>
    <s v="0000"/>
    <s v=""/>
    <s v="0142796863"/>
    <s v=""/>
    <s v=""/>
    <s v=""/>
    <s v="53001003"/>
    <s v=""/>
    <s v=""/>
    <s v=""/>
    <s v=""/>
    <m/>
    <s v="KG"/>
    <n v="-8914.4699999999993"/>
    <n v="-2972797.46"/>
    <d v="2025-12-25T00:00:00"/>
    <d v="2025-12-09T00:00:00"/>
    <m/>
    <d v="2025-12-25T00:00:00"/>
    <n v="-8914470"/>
    <s v="303"/>
    <x v="4"/>
    <s v="ต้นทุนผลิตกึ่งสำเร็จ"/>
    <m/>
    <n v="333.48000049357955"/>
  </r>
  <r>
    <x v="5"/>
    <x v="5"/>
    <s v="0328"/>
    <x v="7"/>
    <s v="GI for order"/>
    <s v="4924885742"/>
    <s v="P003"/>
    <s v="04062025"/>
    <s v="303000000147"/>
    <s v="11:00:40"/>
    <s v="JURASDOK"/>
    <s v="0002"/>
    <s v=""/>
    <s v="0000"/>
    <s v=""/>
    <s v="0142796863"/>
    <s v=""/>
    <s v=""/>
    <s v=""/>
    <s v="53003000"/>
    <s v=""/>
    <s v=""/>
    <s v=""/>
    <s v=""/>
    <m/>
    <s v="PC"/>
    <n v="-17930"/>
    <n v="-16404.7"/>
    <d v="2025-12-25T00:00:00"/>
    <d v="2025-12-09T00:00:00"/>
    <m/>
    <d v="2025-12-25T00:00:00"/>
    <n v="-17930"/>
    <s v="303"/>
    <x v="2"/>
    <s v="ต้นทุนผลิตหีบห่อ"/>
    <m/>
    <n v="0.91493028443948698"/>
  </r>
  <r>
    <x v="6"/>
    <x v="6"/>
    <s v="0328"/>
    <x v="7"/>
    <s v="GI for order"/>
    <s v="4924885742"/>
    <s v="P003"/>
    <s v="20251201"/>
    <s v="303000000147"/>
    <s v="11:00:40"/>
    <s v="JURASDOK"/>
    <s v="0003"/>
    <s v=""/>
    <s v="0000"/>
    <s v=""/>
    <s v="0142796863"/>
    <s v=""/>
    <s v=""/>
    <s v=""/>
    <s v="53003000"/>
    <s v=""/>
    <s v=""/>
    <s v=""/>
    <s v=""/>
    <m/>
    <s v="PC"/>
    <n v="-17930"/>
    <n v="-30779.83"/>
    <d v="2025-12-25T00:00:00"/>
    <d v="2025-12-09T00:00:00"/>
    <m/>
    <d v="2025-12-25T00:00:00"/>
    <n v="-17930"/>
    <s v="303"/>
    <x v="2"/>
    <s v="ต้นทุนผลิตหีบห่อ"/>
    <m/>
    <n v="1.7166664807585055"/>
  </r>
  <r>
    <x v="7"/>
    <x v="7"/>
    <s v="0328"/>
    <x v="7"/>
    <s v="GI for order"/>
    <s v="4924885742"/>
    <s v="P003"/>
    <s v="20251121"/>
    <s v="303000000147"/>
    <s v="11:00:40"/>
    <s v="JURASDOK"/>
    <s v="0004"/>
    <s v=""/>
    <s v="0000"/>
    <s v=""/>
    <s v="0142796863"/>
    <s v=""/>
    <s v=""/>
    <s v=""/>
    <s v="53003000"/>
    <s v=""/>
    <s v=""/>
    <s v=""/>
    <s v=""/>
    <m/>
    <s v="PC"/>
    <n v="-2992"/>
    <n v="-14960"/>
    <d v="2025-12-25T00:00:00"/>
    <d v="2025-12-09T00:00:00"/>
    <m/>
    <d v="2025-12-25T00:00:00"/>
    <n v="-2992"/>
    <s v="303"/>
    <x v="2"/>
    <s v="ต้นทุนผลิตหีบห่อ"/>
    <m/>
    <n v="5"/>
  </r>
  <r>
    <x v="13"/>
    <x v="13"/>
    <s v="0328"/>
    <x v="7"/>
    <s v="GI for order"/>
    <s v="4924886309"/>
    <s v="P002"/>
    <s v="250925-BBB"/>
    <s v="302000000147"/>
    <s v="11:15:57"/>
    <s v="JURASDOK"/>
    <s v="0002"/>
    <s v=""/>
    <s v="0000"/>
    <s v=""/>
    <s v="0142833163"/>
    <s v=""/>
    <s v=""/>
    <s v=""/>
    <s v="53001003"/>
    <s v=""/>
    <s v=""/>
    <s v=""/>
    <s v=""/>
    <m/>
    <s v="KG"/>
    <n v="-528.41999999999996"/>
    <n v="-140993.01999999999"/>
    <d v="2025-12-25T00:00:00"/>
    <d v="2025-12-11T00:00:00"/>
    <m/>
    <d v="2025-12-25T00:00:00"/>
    <n v="-528420"/>
    <s v="302"/>
    <x v="4"/>
    <s v="ต้นทุนผลิตกึ่งสำเร็จ"/>
    <m/>
    <n v="266.81999167329019"/>
  </r>
  <r>
    <x v="13"/>
    <x v="13"/>
    <s v="0328"/>
    <x v="7"/>
    <s v="GI for order"/>
    <s v="4924886309"/>
    <s v="P002"/>
    <s v="251202-BBB"/>
    <s v="302000000147"/>
    <s v="11:15:57"/>
    <s v="JURASDOK"/>
    <s v="0005"/>
    <s v=""/>
    <s v="0000"/>
    <s v=""/>
    <s v="0000000000"/>
    <s v=""/>
    <s v="เมล็ดกาแฟ Clean Arabica Size S&amp;M"/>
    <s v=""/>
    <s v="53001003"/>
    <s v=""/>
    <s v=""/>
    <s v=""/>
    <s v=""/>
    <m/>
    <s v="KG"/>
    <n v="-195.28"/>
    <n v="-52104.61"/>
    <d v="2025-12-25T00:00:00"/>
    <d v="2025-12-11T00:00:00"/>
    <m/>
    <d v="2025-12-25T00:00:00"/>
    <n v="-195280"/>
    <s v="302"/>
    <x v="4"/>
    <s v="ต้นทุนผลิตกึ่งสำเร็จ"/>
    <m/>
    <n v="266.82000204834083"/>
  </r>
  <r>
    <x v="14"/>
    <x v="14"/>
    <s v="0328"/>
    <x v="7"/>
    <s v="GI for order"/>
    <s v="4924886309"/>
    <s v="P002"/>
    <s v="250925-BBB"/>
    <s v="302000000147"/>
    <s v="11:15:57"/>
    <s v="JURASDOK"/>
    <s v="0003"/>
    <s v=""/>
    <s v="0000"/>
    <s v=""/>
    <s v="0142833163"/>
    <s v=""/>
    <s v=""/>
    <s v=""/>
    <s v="53001003"/>
    <s v=""/>
    <s v=""/>
    <s v=""/>
    <s v=""/>
    <m/>
    <s v="KG"/>
    <n v="-2927.9"/>
    <n v="-781222.28"/>
    <d v="2025-12-25T00:00:00"/>
    <d v="2025-12-11T00:00:00"/>
    <m/>
    <d v="2025-12-25T00:00:00"/>
    <n v="-2927900"/>
    <s v="302"/>
    <x v="4"/>
    <s v="ต้นทุนผลิตกึ่งสำเร็จ"/>
    <m/>
    <n v="266.82000068308344"/>
  </r>
  <r>
    <x v="15"/>
    <x v="15"/>
    <s v="0328"/>
    <x v="7"/>
    <s v="GI for order"/>
    <s v="4924886309"/>
    <s v="P002"/>
    <s v="250815-TTW"/>
    <s v="302000000147"/>
    <s v="11:15:57"/>
    <s v="JURASDOK"/>
    <s v="0004"/>
    <s v=""/>
    <s v="0000"/>
    <s v=""/>
    <s v="0142833163"/>
    <s v=""/>
    <s v=""/>
    <s v=""/>
    <s v="53001003"/>
    <s v=""/>
    <s v=""/>
    <s v=""/>
    <s v=""/>
    <m/>
    <s v="KG"/>
    <n v="-915.5"/>
    <n v="-187521.86"/>
    <d v="2025-12-25T00:00:00"/>
    <d v="2025-12-11T00:00:00"/>
    <m/>
    <d v="2025-12-25T00:00:00"/>
    <n v="-915500"/>
    <s v="302"/>
    <x v="4"/>
    <s v="ต้นทุนผลิตกึ่งสำเร็จ"/>
    <m/>
    <n v="204.82999453850354"/>
  </r>
  <r>
    <x v="16"/>
    <x v="16"/>
    <s v="0328"/>
    <x v="8"/>
    <s v="GR for order"/>
    <s v="4924886309"/>
    <s v="P003"/>
    <s v="111225-B/T"/>
    <s v="302000000147"/>
    <s v="11:15:57"/>
    <s v="JURASDOK"/>
    <s v="0001"/>
    <s v=""/>
    <s v="0000"/>
    <s v=""/>
    <s v="0000000000"/>
    <s v=""/>
    <s v=""/>
    <s v=""/>
    <s v="53001004"/>
    <s v=""/>
    <s v=""/>
    <s v=""/>
    <s v=""/>
    <m/>
    <s v="KG"/>
    <n v="3668.84"/>
    <n v="1223484.76"/>
    <d v="2025-12-25T00:00:00"/>
    <d v="2025-12-11T00:00:00"/>
    <m/>
    <d v="2025-12-25T00:00:00"/>
    <n v="3668840"/>
    <s v="302"/>
    <x v="4"/>
    <s v="ต้นทุนผลิตโอน Semi"/>
    <m/>
    <n v="333.47999912778971"/>
  </r>
  <r>
    <x v="16"/>
    <x v="16"/>
    <s v="0328"/>
    <x v="7"/>
    <s v="GI for order"/>
    <s v="4924886496"/>
    <s v="P003"/>
    <s v="111225-B/T"/>
    <s v="303000000148"/>
    <s v="11:21:18"/>
    <s v="JURASDOK"/>
    <s v="0001"/>
    <s v=""/>
    <s v="0000"/>
    <s v=""/>
    <s v="0142833187"/>
    <s v=""/>
    <s v=""/>
    <s v=""/>
    <s v="53001003"/>
    <s v=""/>
    <s v=""/>
    <s v=""/>
    <s v=""/>
    <m/>
    <s v="KG"/>
    <n v="-3668.84"/>
    <n v="-1223484.76"/>
    <d v="2025-12-25T00:00:00"/>
    <d v="2025-12-11T00:00:00"/>
    <m/>
    <d v="2025-12-25T00:00:00"/>
    <n v="-3668840"/>
    <s v="303"/>
    <x v="4"/>
    <s v="ต้นทุนผลิตกึ่งสำเร็จ"/>
    <m/>
    <n v="333.47999912778971"/>
  </r>
  <r>
    <x v="5"/>
    <x v="5"/>
    <s v="0328"/>
    <x v="7"/>
    <s v="GI for order"/>
    <s v="4924886496"/>
    <s v="P003"/>
    <s v="04062025"/>
    <s v="303000000148"/>
    <s v="11:21:18"/>
    <s v="JURASDOK"/>
    <s v="0002"/>
    <s v=""/>
    <s v="0000"/>
    <s v=""/>
    <s v="0142833187"/>
    <s v=""/>
    <s v=""/>
    <s v=""/>
    <s v="53003000"/>
    <s v=""/>
    <s v=""/>
    <s v=""/>
    <s v=""/>
    <m/>
    <s v="PC"/>
    <n v="-7640"/>
    <n v="-6990.07"/>
    <d v="2025-12-25T00:00:00"/>
    <d v="2025-12-11T00:00:00"/>
    <m/>
    <d v="2025-12-25T00:00:00"/>
    <n v="-7640"/>
    <s v="303"/>
    <x v="2"/>
    <s v="ต้นทุนผลิตหีบห่อ"/>
    <m/>
    <n v="0.91493062827225125"/>
  </r>
  <r>
    <x v="6"/>
    <x v="6"/>
    <s v="0328"/>
    <x v="7"/>
    <s v="GI for order"/>
    <s v="4924886496"/>
    <s v="P003"/>
    <s v="20251201"/>
    <s v="303000000148"/>
    <s v="11:21:18"/>
    <s v="JURASDOK"/>
    <s v="0003"/>
    <s v=""/>
    <s v="0000"/>
    <s v=""/>
    <s v="0142833187"/>
    <s v=""/>
    <s v=""/>
    <s v=""/>
    <s v="53003000"/>
    <s v=""/>
    <s v=""/>
    <s v=""/>
    <s v=""/>
    <m/>
    <s v="PC"/>
    <n v="-7640"/>
    <n v="-13115.33"/>
    <d v="2025-12-25T00:00:00"/>
    <d v="2025-12-11T00:00:00"/>
    <m/>
    <d v="2025-12-25T00:00:00"/>
    <n v="-7640"/>
    <s v="303"/>
    <x v="2"/>
    <s v="ต้นทุนผลิตหีบห่อ"/>
    <m/>
    <n v="1.7166662303664921"/>
  </r>
  <r>
    <x v="7"/>
    <x v="7"/>
    <s v="0328"/>
    <x v="7"/>
    <s v="GI for order"/>
    <s v="4924886496"/>
    <s v="P003"/>
    <s v="20251121"/>
    <s v="303000000148"/>
    <s v="11:21:18"/>
    <s v="JURASDOK"/>
    <s v="0004"/>
    <s v=""/>
    <s v="0000"/>
    <s v=""/>
    <s v="0142833187"/>
    <s v=""/>
    <s v=""/>
    <s v=""/>
    <s v="53003000"/>
    <s v=""/>
    <s v=""/>
    <s v=""/>
    <s v=""/>
    <m/>
    <s v="PC"/>
    <n v="-1226"/>
    <n v="-6130"/>
    <d v="2025-12-25T00:00:00"/>
    <d v="2025-12-11T00:00:00"/>
    <m/>
    <d v="2025-12-25T00:00:00"/>
    <n v="-1226"/>
    <s v="303"/>
    <x v="2"/>
    <s v="ต้นทุนผลิตหีบห่อ"/>
    <m/>
    <n v="5"/>
  </r>
  <r>
    <x v="28"/>
    <x v="27"/>
    <s v="0328"/>
    <x v="7"/>
    <s v="GI for order"/>
    <s v="4924887293"/>
    <s v="P002"/>
    <s v="250820-TTW"/>
    <s v="302000000150"/>
    <s v="11:42:57"/>
    <s v="JURASDOK"/>
    <s v="0002"/>
    <s v=""/>
    <s v="0000"/>
    <s v=""/>
    <s v="0143051876"/>
    <s v=""/>
    <s v=""/>
    <s v=""/>
    <s v="53001003"/>
    <s v=""/>
    <s v=""/>
    <s v=""/>
    <s v=""/>
    <m/>
    <s v="KG"/>
    <n v="-307.2"/>
    <n v="-81967.100000000006"/>
    <d v="2025-12-25T00:00:00"/>
    <d v="2025-12-12T00:00:00"/>
    <m/>
    <d v="2025-12-25T00:00:00"/>
    <n v="-307200"/>
    <s v="302"/>
    <x v="4"/>
    <s v="ต้นทุนผลิตกึ่งสำเร็จ"/>
    <m/>
    <n v="266.81998697916669"/>
  </r>
  <r>
    <x v="15"/>
    <x v="15"/>
    <s v="0328"/>
    <x v="7"/>
    <s v="GI for order"/>
    <s v="4924887293"/>
    <s v="P002"/>
    <s v="250815-TTW"/>
    <s v="302000000150"/>
    <s v="11:42:57"/>
    <s v="JURASDOK"/>
    <s v="0003"/>
    <s v=""/>
    <s v="0000"/>
    <s v=""/>
    <s v="0143051876"/>
    <s v=""/>
    <s v=""/>
    <s v=""/>
    <s v="53001003"/>
    <s v=""/>
    <s v=""/>
    <s v=""/>
    <s v=""/>
    <m/>
    <s v="KG"/>
    <n v="-77"/>
    <n v="-15771.91"/>
    <d v="2025-12-25T00:00:00"/>
    <d v="2025-12-12T00:00:00"/>
    <m/>
    <d v="2025-12-25T00:00:00"/>
    <n v="-77000"/>
    <s v="302"/>
    <x v="4"/>
    <s v="ต้นทุนผลิตกึ่งสำเร็จ"/>
    <m/>
    <n v="204.82999999999998"/>
  </r>
  <r>
    <x v="29"/>
    <x v="28"/>
    <s v="0328"/>
    <x v="8"/>
    <s v="GR for order"/>
    <s v="4924887293"/>
    <s v="P003"/>
    <s v="121225-B"/>
    <s v="302000000150"/>
    <s v="11:42:57"/>
    <s v="JURASDOK"/>
    <s v="0001"/>
    <s v=""/>
    <s v="0000"/>
    <s v=""/>
    <s v="0000000000"/>
    <s v=""/>
    <s v=""/>
    <s v=""/>
    <s v="53001004"/>
    <s v=""/>
    <s v=""/>
    <s v=""/>
    <s v=""/>
    <m/>
    <s v="KG"/>
    <n v="300"/>
    <n v="100044"/>
    <d v="2025-12-25T00:00:00"/>
    <d v="2025-12-12T00:00:00"/>
    <m/>
    <d v="2025-12-25T00:00:00"/>
    <n v="300000"/>
    <s v="302"/>
    <x v="4"/>
    <s v="ต้นทุนผลิตโอน Semi"/>
    <m/>
    <n v="333.48"/>
  </r>
  <r>
    <x v="29"/>
    <x v="28"/>
    <s v="0328"/>
    <x v="7"/>
    <s v="GI for order"/>
    <s v="4924887518"/>
    <s v="P003"/>
    <s v="121225-B"/>
    <s v="303000000153"/>
    <s v="11:53:55"/>
    <s v="JURASDOK"/>
    <s v="0002"/>
    <s v=""/>
    <s v="0000"/>
    <s v=""/>
    <s v="0143051989"/>
    <s v=""/>
    <s v=""/>
    <s v=""/>
    <s v="53001003"/>
    <s v=""/>
    <s v=""/>
    <s v=""/>
    <s v=""/>
    <m/>
    <s v="KG"/>
    <n v="-300"/>
    <n v="-100044"/>
    <d v="2025-12-25T00:00:00"/>
    <d v="2025-12-12T00:00:00"/>
    <m/>
    <d v="2025-12-25T00:00:00"/>
    <n v="-300000"/>
    <s v="303"/>
    <x v="4"/>
    <s v="ต้นทุนผลิตกึ่งสำเร็จ"/>
    <m/>
    <n v="333.48"/>
  </r>
  <r>
    <x v="5"/>
    <x v="5"/>
    <s v="0328"/>
    <x v="7"/>
    <s v="GI for order"/>
    <s v="4924887518"/>
    <s v="P003"/>
    <s v="04062025"/>
    <s v="303000000153"/>
    <s v="11:53:55"/>
    <s v="JURASDOK"/>
    <s v="0003"/>
    <s v=""/>
    <s v="0000"/>
    <s v=""/>
    <s v="0143051989"/>
    <s v=""/>
    <s v=""/>
    <s v=""/>
    <s v="53003000"/>
    <s v=""/>
    <s v=""/>
    <s v=""/>
    <s v=""/>
    <m/>
    <s v="PC"/>
    <n v="-600"/>
    <n v="-548.96"/>
    <d v="2025-12-25T00:00:00"/>
    <d v="2025-12-12T00:00:00"/>
    <m/>
    <d v="2025-12-25T00:00:00"/>
    <n v="-600"/>
    <s v="303"/>
    <x v="2"/>
    <s v="ต้นทุนผลิตหีบห่อ"/>
    <m/>
    <n v="0.91493333333333338"/>
  </r>
  <r>
    <x v="19"/>
    <x v="19"/>
    <s v="0328"/>
    <x v="7"/>
    <s v="GI for order"/>
    <s v="4924887518"/>
    <s v="P003"/>
    <s v="09072025"/>
    <s v="303000000153"/>
    <s v="11:53:55"/>
    <s v="JURASDOK"/>
    <s v="0007"/>
    <s v=""/>
    <s v="0000"/>
    <s v=""/>
    <s v="0000000000"/>
    <s v=""/>
    <s v="(4seal) กล่องกระดาษ5ชั้น 450*330*300 mm"/>
    <s v=""/>
    <s v="53003000"/>
    <s v=""/>
    <s v=""/>
    <s v=""/>
    <s v=""/>
    <m/>
    <s v="PC"/>
    <n v="-30"/>
    <n v="-660"/>
    <d v="2025-12-25T00:00:00"/>
    <d v="2025-12-12T00:00:00"/>
    <m/>
    <d v="2025-12-25T00:00:00"/>
    <n v="-30"/>
    <s v="303"/>
    <x v="2"/>
    <s v="ต้นทุนผลิตหีบห่อ"/>
    <m/>
    <n v="22"/>
  </r>
  <r>
    <x v="20"/>
    <x v="20"/>
    <s v="0328"/>
    <x v="7"/>
    <s v="GI for order"/>
    <s v="4924887518"/>
    <s v="P003"/>
    <s v="11072025"/>
    <s v="303000000153"/>
    <s v="11:53:55"/>
    <s v="JURASDOK"/>
    <s v="0004"/>
    <s v=""/>
    <s v="0000"/>
    <s v=""/>
    <s v="0143051989"/>
    <s v=""/>
    <s v=""/>
    <s v=""/>
    <s v="53003000"/>
    <s v=""/>
    <s v=""/>
    <s v=""/>
    <s v=""/>
    <m/>
    <s v="EA"/>
    <n v="-600"/>
    <n v="-2148"/>
    <d v="2025-12-25T00:00:00"/>
    <d v="2025-12-12T00:00:00"/>
    <m/>
    <d v="2025-12-25T00:00:00"/>
    <n v="-600"/>
    <s v="303"/>
    <x v="2"/>
    <s v="ต้นทุนผลิตหีบห่อ"/>
    <m/>
    <n v="3.58"/>
  </r>
  <r>
    <x v="21"/>
    <x v="21"/>
    <s v="0328"/>
    <x v="7"/>
    <s v="GI for order"/>
    <s v="4924887518"/>
    <s v="P003"/>
    <s v="11072025"/>
    <s v="303000000153"/>
    <s v="11:53:55"/>
    <s v="JURASDOK"/>
    <s v="0005"/>
    <s v=""/>
    <s v="0000"/>
    <s v=""/>
    <s v="0143051989"/>
    <s v=""/>
    <s v=""/>
    <s v=""/>
    <s v="53003000"/>
    <s v=""/>
    <s v=""/>
    <s v=""/>
    <s v=""/>
    <m/>
    <s v="EA"/>
    <n v="-600"/>
    <n v="-936"/>
    <d v="2025-12-25T00:00:00"/>
    <d v="2025-12-12T00:00:00"/>
    <m/>
    <d v="2025-12-25T00:00:00"/>
    <n v="-600"/>
    <s v="303"/>
    <x v="2"/>
    <s v="ต้นทุนผลิตหีบห่อ"/>
    <m/>
    <n v="1.56"/>
  </r>
  <r>
    <x v="22"/>
    <x v="22"/>
    <s v="0328"/>
    <x v="7"/>
    <s v="GI for order"/>
    <s v="4924887518"/>
    <s v="P003"/>
    <s v="20250915"/>
    <s v="303000000153"/>
    <s v="11:53:55"/>
    <s v="JURASDOK"/>
    <s v="0006"/>
    <s v=""/>
    <s v="0000"/>
    <s v=""/>
    <s v="0000000000"/>
    <s v=""/>
    <s v="Film roll Nologo 500g.420mm*900m"/>
    <s v=""/>
    <s v="53003000"/>
    <s v=""/>
    <s v=""/>
    <s v=""/>
    <s v=""/>
    <m/>
    <s v="PC"/>
    <n v="-600"/>
    <n v="-1030"/>
    <d v="2025-12-25T00:00:00"/>
    <d v="2025-12-12T00:00:00"/>
    <m/>
    <d v="2025-12-25T00:00:00"/>
    <n v="-600"/>
    <s v="303"/>
    <x v="2"/>
    <s v="ต้นทุนผลิตหีบห่อ"/>
    <m/>
    <n v="1.7166666666666666"/>
  </r>
  <r>
    <x v="3"/>
    <x v="3"/>
    <s v="0328"/>
    <x v="8"/>
    <s v="GR for order"/>
    <s v="4924887518"/>
    <s v="M001"/>
    <s v="121225-B"/>
    <s v="303000000153"/>
    <s v="11:53:55"/>
    <s v="JURASDOK"/>
    <s v="0001"/>
    <s v=""/>
    <s v="0000"/>
    <s v=""/>
    <s v="0000000000"/>
    <s v=""/>
    <s v=""/>
    <s v=""/>
    <s v="53001001"/>
    <s v=""/>
    <s v=""/>
    <s v=""/>
    <s v=""/>
    <m/>
    <s v="BAG"/>
    <n v="600"/>
    <n v="108708"/>
    <d v="2025-12-25T00:00:00"/>
    <d v="2025-12-12T00:00:00"/>
    <m/>
    <d v="2025-12-25T00:00:00"/>
    <n v="300000"/>
    <s v="303"/>
    <x v="0"/>
    <s v="ต้นทุนผลิตโอน F/G"/>
    <m/>
    <n v="181.18"/>
  </r>
  <r>
    <x v="13"/>
    <x v="13"/>
    <s v="0328"/>
    <x v="7"/>
    <s v="GI for order"/>
    <s v="4924896750"/>
    <s v="P002"/>
    <s v="251202-BBB"/>
    <s v="302000000151"/>
    <s v="13:52:32"/>
    <s v="JURASDOK"/>
    <s v="0003"/>
    <s v=""/>
    <s v="0000"/>
    <s v=""/>
    <s v="0143053459"/>
    <s v=""/>
    <s v=""/>
    <s v=""/>
    <s v="53001003"/>
    <s v=""/>
    <s v=""/>
    <s v=""/>
    <s v=""/>
    <m/>
    <s v="KG"/>
    <n v="-114.92400000000001"/>
    <n v="-30664.02"/>
    <d v="2025-12-25T00:00:00"/>
    <d v="2025-12-12T00:00:00"/>
    <m/>
    <d v="2025-12-25T00:00:00"/>
    <n v="-114924"/>
    <s v="302"/>
    <x v="4"/>
    <s v="ต้นทุนผลิตกึ่งสำเร็จ"/>
    <m/>
    <n v="266.81998538164351"/>
  </r>
  <r>
    <x v="13"/>
    <x v="13"/>
    <s v="0328"/>
    <x v="7"/>
    <s v="GI for order"/>
    <s v="4924896750"/>
    <s v="P002"/>
    <s v="251209-BBB"/>
    <s v="302000000151"/>
    <s v="13:52:32"/>
    <s v="JURASDOK"/>
    <s v="0004"/>
    <s v=""/>
    <s v="0000"/>
    <s v=""/>
    <s v="0000000000"/>
    <s v=""/>
    <s v="เมล็ดกาแฟ Clean Arabica Size S&amp;M"/>
    <s v=""/>
    <s v="53001003"/>
    <s v=""/>
    <s v=""/>
    <s v=""/>
    <s v=""/>
    <m/>
    <s v="KG"/>
    <n v="-185.23599999999999"/>
    <n v="-49424.67"/>
    <d v="2025-12-25T00:00:00"/>
    <d v="2025-12-12T00:00:00"/>
    <m/>
    <d v="2025-12-25T00:00:00"/>
    <n v="-185236"/>
    <s v="302"/>
    <x v="4"/>
    <s v="ต้นทุนผลิตกึ่งสำเร็จ"/>
    <m/>
    <n v="266.82000259128898"/>
  </r>
  <r>
    <x v="28"/>
    <x v="27"/>
    <s v="0328"/>
    <x v="7"/>
    <s v="GI for order"/>
    <s v="4924896750"/>
    <s v="P002"/>
    <s v="250820-TTW"/>
    <s v="302000000151"/>
    <s v="13:52:32"/>
    <s v="JURASDOK"/>
    <s v="0005"/>
    <s v=""/>
    <s v="0000"/>
    <s v=""/>
    <s v="0000000000"/>
    <s v=""/>
    <s v="เมล็ดกาแฟ Clean Arabica Size ต่ำกว่า S&amp;M"/>
    <s v=""/>
    <s v="53001003"/>
    <s v=""/>
    <s v=""/>
    <s v=""/>
    <s v=""/>
    <m/>
    <s v="KG"/>
    <n v="-277.7"/>
    <n v="-74095.91"/>
    <d v="2025-12-25T00:00:00"/>
    <d v="2025-12-12T00:00:00"/>
    <m/>
    <d v="2025-12-25T00:00:00"/>
    <n v="-277700"/>
    <s v="302"/>
    <x v="4"/>
    <s v="ต้นทุนผลิตกึ่งสำเร็จ"/>
    <m/>
    <n v="266.8199855959669"/>
  </r>
  <r>
    <x v="15"/>
    <x v="15"/>
    <s v="0328"/>
    <x v="7"/>
    <s v="GI for order"/>
    <s v="4924896750"/>
    <s v="P002"/>
    <s v="250815-TTW"/>
    <s v="302000000151"/>
    <s v="13:52:32"/>
    <s v="JURASDOK"/>
    <s v="0002"/>
    <s v=""/>
    <s v="0000"/>
    <s v=""/>
    <s v="0143053459"/>
    <s v=""/>
    <s v=""/>
    <s v=""/>
    <s v="53001003"/>
    <s v=""/>
    <s v=""/>
    <s v=""/>
    <s v=""/>
    <m/>
    <s v="KG"/>
    <n v="-864.76"/>
    <n v="-177128.79"/>
    <d v="2025-12-25T00:00:00"/>
    <d v="2025-12-12T00:00:00"/>
    <m/>
    <d v="2025-12-25T00:00:00"/>
    <n v="-864760"/>
    <s v="302"/>
    <x v="4"/>
    <s v="ต้นทุนผลิตกึ่งสำเร็จ"/>
    <m/>
    <n v="204.82999907488784"/>
  </r>
  <r>
    <x v="30"/>
    <x v="29"/>
    <s v="0328"/>
    <x v="8"/>
    <s v="GR for order"/>
    <s v="4924896750"/>
    <s v="P003"/>
    <s v="121225-B"/>
    <s v="302000000151"/>
    <s v="13:52:32"/>
    <s v="JURASDOK"/>
    <s v="0001"/>
    <s v=""/>
    <s v="0000"/>
    <s v=""/>
    <s v="0000000000"/>
    <s v=""/>
    <s v=""/>
    <s v=""/>
    <s v="53001004"/>
    <s v=""/>
    <s v=""/>
    <s v=""/>
    <s v=""/>
    <m/>
    <s v="KG"/>
    <n v="1182.5"/>
    <n v="357682.6"/>
    <d v="2025-12-25T00:00:00"/>
    <d v="2025-12-12T00:00:00"/>
    <m/>
    <d v="2025-12-25T00:00:00"/>
    <n v="1182500"/>
    <s v="302"/>
    <x v="4"/>
    <s v="ต้นทุนผลิตโอน Semi"/>
    <m/>
    <n v="302.47999999999996"/>
  </r>
  <r>
    <x v="13"/>
    <x v="13"/>
    <s v="0328"/>
    <x v="11"/>
    <s v="RE for order"/>
    <s v="4924896837"/>
    <s v="P002"/>
    <s v="251209-BBB"/>
    <s v="302000000151"/>
    <s v="13:58:12"/>
    <s v="JURASDOK"/>
    <s v="0001"/>
    <s v=""/>
    <s v="0000"/>
    <s v=""/>
    <s v="0000000000"/>
    <s v=""/>
    <s v="เมล็ดกาแฟ Clean Arabica Size S&amp;M"/>
    <s v=""/>
    <s v="53001003"/>
    <s v=""/>
    <s v=""/>
    <s v=""/>
    <s v=""/>
    <m/>
    <s v="KG"/>
    <n v="185.23599999999999"/>
    <n v="49424.67"/>
    <d v="2025-12-25T00:00:00"/>
    <d v="2025-12-12T00:00:00"/>
    <m/>
    <d v="2025-12-25T00:00:00"/>
    <n v="185236"/>
    <s v="302"/>
    <x v="4"/>
    <s v="ต้นทุนผลิตกึ่งสำเร็จ"/>
    <m/>
    <n v="266.82000259128898"/>
  </r>
  <r>
    <x v="13"/>
    <x v="13"/>
    <s v="0328"/>
    <x v="11"/>
    <s v="RE for order"/>
    <s v="4924896837"/>
    <s v="P002"/>
    <s v="251202-BBB"/>
    <s v="302000000151"/>
    <s v="13:58:12"/>
    <s v="JURASDOK"/>
    <s v="0002"/>
    <s v=""/>
    <s v="0000"/>
    <s v=""/>
    <s v="0143053459"/>
    <s v=""/>
    <s v=""/>
    <s v=""/>
    <s v="53001003"/>
    <s v=""/>
    <s v=""/>
    <s v=""/>
    <s v=""/>
    <m/>
    <s v="KG"/>
    <n v="114.92400000000001"/>
    <n v="30664.02"/>
    <d v="2025-12-25T00:00:00"/>
    <d v="2025-12-12T00:00:00"/>
    <m/>
    <d v="2025-12-25T00:00:00"/>
    <n v="114924"/>
    <s v="302"/>
    <x v="4"/>
    <s v="ต้นทุนผลิตกึ่งสำเร็จ"/>
    <m/>
    <n v="266.81998538164351"/>
  </r>
  <r>
    <x v="28"/>
    <x v="27"/>
    <s v="0328"/>
    <x v="11"/>
    <s v="RE for order"/>
    <s v="4924896837"/>
    <s v="P002"/>
    <s v="250820-TTW"/>
    <s v="302000000151"/>
    <s v="13:58:12"/>
    <s v="JURASDOK"/>
    <s v="0003"/>
    <s v=""/>
    <s v="0000"/>
    <s v=""/>
    <s v="0000000000"/>
    <s v=""/>
    <s v="เมล็ดกาแฟ Clean Arabica Size ต่ำกว่า S&amp;M"/>
    <s v=""/>
    <s v="53001003"/>
    <s v=""/>
    <s v=""/>
    <s v=""/>
    <s v=""/>
    <m/>
    <s v="KG"/>
    <n v="277.7"/>
    <n v="74095.91"/>
    <d v="2025-12-25T00:00:00"/>
    <d v="2025-12-12T00:00:00"/>
    <m/>
    <d v="2025-12-25T00:00:00"/>
    <n v="277700"/>
    <s v="302"/>
    <x v="4"/>
    <s v="ต้นทุนผลิตกึ่งสำเร็จ"/>
    <m/>
    <n v="266.8199855959669"/>
  </r>
  <r>
    <x v="15"/>
    <x v="15"/>
    <s v="0328"/>
    <x v="11"/>
    <s v="RE for order"/>
    <s v="4924896837"/>
    <s v="P002"/>
    <s v="250815-TTW"/>
    <s v="302000000151"/>
    <s v="13:58:12"/>
    <s v="JURASDOK"/>
    <s v="0004"/>
    <s v=""/>
    <s v="0000"/>
    <s v=""/>
    <s v="0143053459"/>
    <s v=""/>
    <s v=""/>
    <s v=""/>
    <s v="53001003"/>
    <s v=""/>
    <s v=""/>
    <s v=""/>
    <s v=""/>
    <m/>
    <s v="KG"/>
    <n v="864.76"/>
    <n v="177128.79"/>
    <d v="2025-12-25T00:00:00"/>
    <d v="2025-12-12T00:00:00"/>
    <m/>
    <d v="2025-12-25T00:00:00"/>
    <n v="864760"/>
    <s v="302"/>
    <x v="4"/>
    <s v="ต้นทุนผลิตกึ่งสำเร็จ"/>
    <m/>
    <n v="204.82999907488784"/>
  </r>
  <r>
    <x v="30"/>
    <x v="29"/>
    <s v="0328"/>
    <x v="12"/>
    <s v="GR for order    rev."/>
    <s v="4924896837"/>
    <s v="P003"/>
    <s v="121225-B"/>
    <s v="302000000151"/>
    <s v="13:58:12"/>
    <s v="JURASDOK"/>
    <s v="0005"/>
    <s v=""/>
    <s v="0000"/>
    <s v=""/>
    <s v="0000000000"/>
    <s v=""/>
    <s v=""/>
    <s v=""/>
    <s v="53001004"/>
    <s v=""/>
    <s v=""/>
    <s v=""/>
    <s v=""/>
    <m/>
    <s v="KG"/>
    <n v="-1182.5"/>
    <n v="-357682.6"/>
    <d v="2025-12-25T00:00:00"/>
    <d v="2025-12-12T00:00:00"/>
    <m/>
    <d v="2025-12-25T00:00:00"/>
    <n v="-1182500"/>
    <s v="302"/>
    <x v="4"/>
    <s v="ต้นทุนผลิตโอน Semi"/>
    <m/>
    <n v="302.47999999999996"/>
  </r>
  <r>
    <x v="4"/>
    <x v="4"/>
    <s v="0329"/>
    <x v="0"/>
    <s v="GD goods issue:delvy"/>
    <s v="4924907711"/>
    <s v="P009"/>
    <s v="RE-170625"/>
    <s v=""/>
    <s v="14:50:19"/>
    <s v="THANAWIS"/>
    <s v="0001"/>
    <s v=""/>
    <s v="0000"/>
    <s v=""/>
    <s v="0000000000"/>
    <s v=""/>
    <s v=""/>
    <s v=""/>
    <s v="51003100"/>
    <s v=""/>
    <s v=""/>
    <s v=""/>
    <s v="2000110603"/>
    <m/>
    <s v="BAG"/>
    <n v="-8"/>
    <n v="-593.76"/>
    <d v="2025-12-25T00:00:00"/>
    <d v="2025-12-25T00:00:00"/>
    <m/>
    <d v="2025-12-25T00:00:00"/>
    <n v="-2000"/>
    <s v=""/>
    <x v="1"/>
    <s v="ต้นทุนขาย"/>
    <m/>
    <n v="74.22"/>
  </r>
  <r>
    <x v="1"/>
    <x v="1"/>
    <s v="0328"/>
    <x v="0"/>
    <s v="GD goods issue:delvy"/>
    <s v="4924907711"/>
    <s v="P004"/>
    <s v="301025-B"/>
    <s v=""/>
    <s v="14:50:19"/>
    <s v="THANAWIS"/>
    <s v="0002"/>
    <s v=""/>
    <s v="0000"/>
    <s v=""/>
    <s v="0000000000"/>
    <s v=""/>
    <s v=""/>
    <s v=""/>
    <s v="51003100"/>
    <s v=""/>
    <s v=""/>
    <s v=""/>
    <s v="2000110603"/>
    <m/>
    <s v="BAG"/>
    <n v="-30"/>
    <n v="-5220.6000000000004"/>
    <d v="2025-12-25T00:00:00"/>
    <d v="2025-12-25T00:00:00"/>
    <m/>
    <d v="2025-12-25T00:00:00"/>
    <n v="-15000"/>
    <s v=""/>
    <x v="0"/>
    <s v="ต้นทุนขาย"/>
    <m/>
    <n v="174.02"/>
  </r>
  <r>
    <x v="3"/>
    <x v="3"/>
    <s v="0328"/>
    <x v="0"/>
    <s v="GD goods issue:delvy"/>
    <s v="4924907711"/>
    <s v="P004"/>
    <s v="1"/>
    <s v=""/>
    <s v="14:50:19"/>
    <s v="THANAWIS"/>
    <s v="0003"/>
    <s v=""/>
    <s v="0000"/>
    <s v=""/>
    <s v="0000000000"/>
    <s v=""/>
    <s v=""/>
    <s v=""/>
    <s v="51003100"/>
    <s v=""/>
    <s v=""/>
    <s v=""/>
    <s v="2000110603"/>
    <m/>
    <s v="BAG"/>
    <n v="-20"/>
    <n v="-3623.6"/>
    <d v="2025-12-25T00:00:00"/>
    <d v="2025-12-25T00:00:00"/>
    <m/>
    <d v="2025-12-25T00:00:00"/>
    <n v="-10000"/>
    <s v=""/>
    <x v="0"/>
    <s v="ต้นทุนขาย"/>
    <m/>
    <n v="181.18"/>
  </r>
  <r>
    <x v="28"/>
    <x v="27"/>
    <s v="0328"/>
    <x v="7"/>
    <s v="GI for order"/>
    <s v="4924908290"/>
    <s v="P002"/>
    <s v="250820-TTW"/>
    <s v="302000000151"/>
    <s v="15:03:15"/>
    <s v="JURASDOK"/>
    <s v="0003"/>
    <s v=""/>
    <s v="0000"/>
    <s v=""/>
    <s v="0000000000"/>
    <s v=""/>
    <s v="เมล็ดกาแฟ Clean Arabica Size ต่ำกว่า S&amp;M"/>
    <s v=""/>
    <s v="53001003"/>
    <s v=""/>
    <s v=""/>
    <s v=""/>
    <s v=""/>
    <m/>
    <s v="KG"/>
    <n v="-192"/>
    <n v="-51229.440000000002"/>
    <d v="2025-12-25T00:00:00"/>
    <d v="2025-12-12T00:00:00"/>
    <m/>
    <d v="2025-12-25T00:00:00"/>
    <n v="-192000"/>
    <s v="302"/>
    <x v="4"/>
    <s v="ต้นทุนผลิตกึ่งสำเร็จ"/>
    <m/>
    <n v="266.82"/>
  </r>
  <r>
    <x v="15"/>
    <x v="15"/>
    <s v="0328"/>
    <x v="7"/>
    <s v="GI for order"/>
    <s v="4924908290"/>
    <s v="P002"/>
    <s v="160925-BBB"/>
    <s v="302000000151"/>
    <s v="15:03:15"/>
    <s v="JURASDOK"/>
    <s v="0002"/>
    <s v=""/>
    <s v="0000"/>
    <s v=""/>
    <s v="0143053459"/>
    <s v=""/>
    <s v=""/>
    <s v=""/>
    <s v="53001003"/>
    <s v=""/>
    <s v=""/>
    <s v=""/>
    <s v=""/>
    <m/>
    <s v="KG"/>
    <n v="-288"/>
    <n v="-58991.040000000001"/>
    <d v="2025-12-25T00:00:00"/>
    <d v="2025-12-12T00:00:00"/>
    <m/>
    <d v="2025-12-25T00:00:00"/>
    <n v="-288000"/>
    <s v="302"/>
    <x v="4"/>
    <s v="ต้นทุนผลิตกึ่งสำเร็จ"/>
    <m/>
    <n v="204.83"/>
  </r>
  <r>
    <x v="30"/>
    <x v="29"/>
    <s v="0328"/>
    <x v="8"/>
    <s v="GR for order"/>
    <s v="4924908290"/>
    <s v="P003"/>
    <s v="121225-B"/>
    <s v="302000000151"/>
    <s v="15:03:15"/>
    <s v="JURASDOK"/>
    <s v="0001"/>
    <s v=""/>
    <s v="0000"/>
    <s v=""/>
    <s v="0000000000"/>
    <s v=""/>
    <s v=""/>
    <s v=""/>
    <s v="53001004"/>
    <s v=""/>
    <s v=""/>
    <s v=""/>
    <s v=""/>
    <m/>
    <s v="KG"/>
    <n v="390"/>
    <n v="117967.2"/>
    <d v="2025-12-25T00:00:00"/>
    <d v="2025-12-12T00:00:00"/>
    <m/>
    <d v="2025-12-25T00:00:00"/>
    <n v="390000"/>
    <s v="302"/>
    <x v="4"/>
    <s v="ต้นทุนผลิตโอน Semi"/>
    <m/>
    <n v="302.48"/>
  </r>
  <r>
    <x v="4"/>
    <x v="4"/>
    <s v="0329"/>
    <x v="0"/>
    <s v="GD goods issue:delvy"/>
    <s v="4924908544"/>
    <s v="P009"/>
    <s v="RE-170625"/>
    <s v=""/>
    <s v="15:06:52"/>
    <s v="SONGPCHI"/>
    <s v="0001"/>
    <s v=""/>
    <s v="0000"/>
    <s v=""/>
    <s v="0000000000"/>
    <s v=""/>
    <s v=""/>
    <s v=""/>
    <s v="51003100"/>
    <s v=""/>
    <s v=""/>
    <s v=""/>
    <s v="2000110611"/>
    <m/>
    <s v="BAG"/>
    <n v="-4"/>
    <n v="-296.88"/>
    <d v="2025-12-25T00:00:00"/>
    <d v="2025-12-25T00:00:00"/>
    <m/>
    <d v="2025-12-25T00:00:00"/>
    <n v="-1000"/>
    <s v=""/>
    <x v="1"/>
    <s v="ต้นทุนขาย"/>
    <m/>
    <n v="74.22"/>
  </r>
  <r>
    <x v="0"/>
    <x v="0"/>
    <s v="0328"/>
    <x v="0"/>
    <s v="GD goods issue:delvy"/>
    <s v="4924908574"/>
    <s v="P004"/>
    <s v="281125-B/T"/>
    <s v=""/>
    <s v="15:09:24"/>
    <s v="THANAWIS"/>
    <s v="0001"/>
    <s v=""/>
    <s v="0000"/>
    <s v=""/>
    <s v="0000000000"/>
    <s v=""/>
    <s v=""/>
    <s v=""/>
    <s v="51003100"/>
    <s v=""/>
    <s v=""/>
    <s v=""/>
    <s v="2000110613"/>
    <m/>
    <s v="BAG"/>
    <n v="-30"/>
    <n v="-4791.3"/>
    <d v="2025-12-25T00:00:00"/>
    <d v="2025-12-25T00:00:00"/>
    <m/>
    <d v="2025-12-25T00:00:00"/>
    <n v="-15000"/>
    <s v=""/>
    <x v="0"/>
    <s v="ต้นทุนขาย"/>
    <m/>
    <n v="159.71"/>
  </r>
  <r>
    <x v="24"/>
    <x v="24"/>
    <s v="0328"/>
    <x v="2"/>
    <s v="TF trfr within plant"/>
    <s v="4924909885"/>
    <s v="M003"/>
    <s v="20251114"/>
    <s v=""/>
    <s v="15:39:18"/>
    <s v="JURASDOK"/>
    <s v="0001"/>
    <s v=""/>
    <s v="0000"/>
    <s v=""/>
    <s v="0000000000"/>
    <s v=""/>
    <s v=""/>
    <s v=""/>
    <s v=""/>
    <s v=""/>
    <s v=""/>
    <s v=""/>
    <s v=""/>
    <m/>
    <s v="EA"/>
    <n v="-280"/>
    <n v="0"/>
    <d v="2025-12-12T00:00:00"/>
    <d v="2025-12-12T00:00:00"/>
    <m/>
    <d v="2025-12-25T00:00:00"/>
    <n v="-280"/>
    <s v=""/>
    <x v="2"/>
    <e v="#N/A"/>
    <m/>
    <n v="0"/>
  </r>
  <r>
    <x v="24"/>
    <x v="24"/>
    <s v="0328"/>
    <x v="2"/>
    <s v="TF trfr within plant"/>
    <s v="4924909885"/>
    <s v="P003"/>
    <s v="20251114"/>
    <s v=""/>
    <s v="15:39:18"/>
    <s v="JURASDOK"/>
    <s v="0002"/>
    <s v=""/>
    <s v="0000"/>
    <s v=""/>
    <s v="0000000000"/>
    <s v=""/>
    <s v=""/>
    <s v=""/>
    <s v=""/>
    <s v=""/>
    <s v=""/>
    <s v=""/>
    <s v=""/>
    <m/>
    <s v="EA"/>
    <n v="280"/>
    <n v="0"/>
    <d v="2025-12-12T00:00:00"/>
    <d v="2025-12-12T00:00:00"/>
    <m/>
    <d v="2025-12-25T00:00:00"/>
    <n v="280"/>
    <s v=""/>
    <x v="2"/>
    <e v="#N/A"/>
    <m/>
    <n v="0"/>
  </r>
  <r>
    <x v="30"/>
    <x v="29"/>
    <s v="0328"/>
    <x v="7"/>
    <s v="GI for order"/>
    <s v="4924909890"/>
    <s v="P003"/>
    <s v="121225-B"/>
    <s v="303000000154"/>
    <s v="15:40:22"/>
    <s v="JURASDOK"/>
    <s v="0002"/>
    <s v=""/>
    <s v="0000"/>
    <s v=""/>
    <s v="0143053639"/>
    <s v=""/>
    <s v=""/>
    <s v=""/>
    <s v="53001003"/>
    <s v=""/>
    <s v=""/>
    <s v=""/>
    <s v=""/>
    <m/>
    <s v="KG"/>
    <n v="-390"/>
    <n v="-117967.2"/>
    <d v="2025-12-25T00:00:00"/>
    <d v="2025-12-12T00:00:00"/>
    <m/>
    <d v="2025-12-25T00:00:00"/>
    <n v="-390000"/>
    <s v="303"/>
    <x v="4"/>
    <s v="ต้นทุนผลิตกึ่งสำเร็จ"/>
    <m/>
    <n v="302.48"/>
  </r>
  <r>
    <x v="5"/>
    <x v="5"/>
    <s v="0328"/>
    <x v="7"/>
    <s v="GI for order"/>
    <s v="4924909890"/>
    <s v="P003"/>
    <s v="04062025"/>
    <s v="303000000154"/>
    <s v="15:40:22"/>
    <s v="JURASDOK"/>
    <s v="0003"/>
    <s v=""/>
    <s v="0000"/>
    <s v=""/>
    <s v="0143053639"/>
    <s v=""/>
    <s v=""/>
    <s v=""/>
    <s v="53003000"/>
    <s v=""/>
    <s v=""/>
    <s v=""/>
    <s v=""/>
    <m/>
    <s v="PC"/>
    <n v="-780"/>
    <n v="-713.65"/>
    <d v="2025-12-25T00:00:00"/>
    <d v="2025-12-12T00:00:00"/>
    <m/>
    <d v="2025-12-25T00:00:00"/>
    <n v="-780"/>
    <s v="303"/>
    <x v="2"/>
    <s v="ต้นทุนผลิตหีบห่อ"/>
    <m/>
    <n v="0.91493589743589743"/>
  </r>
  <r>
    <x v="24"/>
    <x v="24"/>
    <s v="0328"/>
    <x v="7"/>
    <s v="GI for order"/>
    <s v="4924909890"/>
    <s v="P003"/>
    <s v="20251114"/>
    <s v="303000000154"/>
    <s v="15:40:22"/>
    <s v="JURASDOK"/>
    <s v="0005"/>
    <s v=""/>
    <s v="0000"/>
    <s v=""/>
    <s v="0143053639"/>
    <s v=""/>
    <s v=""/>
    <s v=""/>
    <s v="53003000"/>
    <s v=""/>
    <s v=""/>
    <s v=""/>
    <s v=""/>
    <m/>
    <s v="EA"/>
    <n v="-780"/>
    <n v="-904.8"/>
    <d v="2025-12-25T00:00:00"/>
    <d v="2025-12-12T00:00:00"/>
    <m/>
    <d v="2025-12-25T00:00:00"/>
    <n v="-780"/>
    <s v="303"/>
    <x v="2"/>
    <s v="ต้นทุนผลิตหีบห่อ"/>
    <m/>
    <n v="1.1599999999999999"/>
  </r>
  <r>
    <x v="19"/>
    <x v="19"/>
    <s v="0328"/>
    <x v="7"/>
    <s v="GI for order"/>
    <s v="4924909890"/>
    <s v="P003"/>
    <s v="09072025"/>
    <s v="303000000154"/>
    <s v="15:40:22"/>
    <s v="JURASDOK"/>
    <s v="0004"/>
    <s v=""/>
    <s v="0000"/>
    <s v=""/>
    <s v="0143053639"/>
    <s v=""/>
    <s v=""/>
    <s v=""/>
    <s v="53003000"/>
    <s v=""/>
    <s v=""/>
    <s v=""/>
    <s v=""/>
    <m/>
    <s v="PC"/>
    <n v="-39"/>
    <n v="-858"/>
    <d v="2025-12-25T00:00:00"/>
    <d v="2025-12-12T00:00:00"/>
    <m/>
    <d v="2025-12-25T00:00:00"/>
    <n v="-39"/>
    <s v="303"/>
    <x v="2"/>
    <s v="ต้นทุนผลิตหีบห่อ"/>
    <m/>
    <n v="22"/>
  </r>
  <r>
    <x v="22"/>
    <x v="22"/>
    <s v="0328"/>
    <x v="7"/>
    <s v="GI for order"/>
    <s v="4924909890"/>
    <s v="P003"/>
    <s v="20250915"/>
    <s v="303000000154"/>
    <s v="15:40:22"/>
    <s v="JURASDOK"/>
    <s v="0006"/>
    <s v=""/>
    <s v="0000"/>
    <s v=""/>
    <s v="0000000000"/>
    <s v=""/>
    <s v="Film roll Nologo 500g.420mm*900m"/>
    <s v=""/>
    <s v="53003000"/>
    <s v=""/>
    <s v=""/>
    <s v=""/>
    <s v=""/>
    <m/>
    <s v="PC"/>
    <n v="-780"/>
    <n v="-1339"/>
    <d v="2025-12-25T00:00:00"/>
    <d v="2025-12-12T00:00:00"/>
    <m/>
    <d v="2025-12-25T00:00:00"/>
    <n v="-780"/>
    <s v="303"/>
    <x v="2"/>
    <s v="ต้นทุนผลิตหีบห่อ"/>
    <m/>
    <n v="1.7166666666666666"/>
  </r>
  <r>
    <x v="0"/>
    <x v="0"/>
    <s v="0328"/>
    <x v="8"/>
    <s v="GR for order"/>
    <s v="4924909890"/>
    <s v="M001"/>
    <s v="121225-B"/>
    <s v="303000000154"/>
    <s v="15:40:22"/>
    <s v="JURASDOK"/>
    <s v="0001"/>
    <s v=""/>
    <s v="0000"/>
    <s v=""/>
    <s v="0000000000"/>
    <s v=""/>
    <s v=""/>
    <s v=""/>
    <s v="53001001"/>
    <s v=""/>
    <s v=""/>
    <s v=""/>
    <s v=""/>
    <m/>
    <s v="BAG"/>
    <n v="780"/>
    <n v="124573.8"/>
    <d v="2025-12-25T00:00:00"/>
    <d v="2025-12-12T00:00:00"/>
    <m/>
    <d v="2025-12-25T00:00:00"/>
    <n v="390000"/>
    <s v="303"/>
    <x v="0"/>
    <s v="ต้นทุนผลิตโอน F/G"/>
    <m/>
    <n v="159.71"/>
  </r>
  <r>
    <x v="2"/>
    <x v="2"/>
    <s v="0328"/>
    <x v="8"/>
    <s v="GR for order"/>
    <s v="4924910172"/>
    <s v="M001"/>
    <s v="161204-B/T"/>
    <s v="303000000155"/>
    <s v="15:44:24"/>
    <s v="JURASDOK"/>
    <s v="0001"/>
    <s v=""/>
    <s v="0000"/>
    <s v=""/>
    <s v="0000000000"/>
    <s v=""/>
    <s v=""/>
    <s v=""/>
    <s v="53001001"/>
    <s v=""/>
    <s v=""/>
    <s v=""/>
    <s v=""/>
    <m/>
    <s v="BAG"/>
    <n v="19284"/>
    <n v="3349630.8"/>
    <d v="2025-12-25T00:00:00"/>
    <d v="2025-12-19T00:00:00"/>
    <m/>
    <d v="2025-12-25T00:00:00"/>
    <n v="9642000"/>
    <s v="303"/>
    <x v="0"/>
    <s v="ต้นทุนผลิตโอน F/G"/>
    <m/>
    <n v="173.7"/>
  </r>
  <r>
    <x v="2"/>
    <x v="2"/>
    <s v="0328"/>
    <x v="0"/>
    <s v="GD goods issue:delvy"/>
    <s v="4924910235"/>
    <s v="M001"/>
    <s v="161203-B/T"/>
    <s v=""/>
    <s v="15:46:48"/>
    <s v="JURASDOK"/>
    <s v="0002"/>
    <s v=""/>
    <s v="0000"/>
    <s v=""/>
    <s v="0000000000"/>
    <s v=""/>
    <s v=""/>
    <s v=""/>
    <s v="51003100"/>
    <s v=""/>
    <s v=""/>
    <s v=""/>
    <s v="2000110617"/>
    <m/>
    <s v="BOX"/>
    <n v="-415"/>
    <n v="-432513"/>
    <d v="2025-12-25T00:00:00"/>
    <d v="2025-12-25T00:00:00"/>
    <m/>
    <d v="2025-12-25T00:00:00"/>
    <n v="-1245000"/>
    <s v=""/>
    <x v="0"/>
    <s v="ต้นทุนขาย"/>
    <m/>
    <n v="1042.2"/>
  </r>
  <r>
    <x v="2"/>
    <x v="2"/>
    <s v="0328"/>
    <x v="0"/>
    <s v="GD goods issue:delvy"/>
    <s v="4924910235"/>
    <s v="M001"/>
    <s v="161204-B/T"/>
    <s v=""/>
    <s v="15:46:48"/>
    <s v="JURASDOK"/>
    <s v="0001"/>
    <s v=""/>
    <s v="0000"/>
    <s v=""/>
    <s v="0000000000"/>
    <s v=""/>
    <s v=""/>
    <s v=""/>
    <s v="51003100"/>
    <s v=""/>
    <s v=""/>
    <s v=""/>
    <s v="2000110617"/>
    <m/>
    <s v="BOX"/>
    <n v="-1505"/>
    <n v="-1568511"/>
    <d v="2025-12-25T00:00:00"/>
    <d v="2025-12-25T00:00:00"/>
    <m/>
    <d v="2025-12-25T00:00:00"/>
    <n v="-4515000"/>
    <s v=""/>
    <x v="0"/>
    <s v="ต้นทุนขาย"/>
    <m/>
    <n v="1042.2"/>
  </r>
  <r>
    <x v="28"/>
    <x v="27"/>
    <s v="0328"/>
    <x v="10"/>
    <s v="GR phys.inv.: whse"/>
    <s v="4924910793"/>
    <s v="P002"/>
    <s v="3093010BBB"/>
    <s v=""/>
    <s v="15:55:48"/>
    <s v="WANNENUA"/>
    <s v="0001"/>
    <s v=""/>
    <s v="0000"/>
    <s v=""/>
    <s v="0000000000"/>
    <s v=""/>
    <s v=""/>
    <s v="601028"/>
    <s v="68901000"/>
    <s v=""/>
    <s v=""/>
    <s v=""/>
    <s v=""/>
    <m/>
    <s v="G"/>
    <n v="3679880"/>
    <n v="981865.58"/>
    <d v="2025-12-25T00:00:00"/>
    <d v="2025-12-25T00:00:00"/>
    <m/>
    <d v="2025-12-25T00:00:00"/>
    <n v="3679880"/>
    <s v=""/>
    <x v="4"/>
    <e v="#N/A"/>
    <m/>
    <n v="0.26681999956520319"/>
  </r>
  <r>
    <x v="11"/>
    <x v="11"/>
    <s v="0328"/>
    <x v="13"/>
    <s v="GI phys.inv.: whse"/>
    <s v="4924910860"/>
    <s v="P001"/>
    <s v="300925-BBB"/>
    <s v=""/>
    <s v="15:59:57"/>
    <s v="WANNENUA"/>
    <s v="0001"/>
    <s v=""/>
    <s v="0000"/>
    <s v=""/>
    <s v="0000000000"/>
    <s v=""/>
    <s v=""/>
    <s v=""/>
    <s v="51004001"/>
    <s v=""/>
    <s v=""/>
    <s v=""/>
    <s v=""/>
    <m/>
    <s v="G"/>
    <n v="-6149360"/>
    <n v="-1564410.63"/>
    <d v="2025-12-25T00:00:00"/>
    <d v="2025-12-25T00:00:00"/>
    <m/>
    <d v="2025-12-25T00:00:00"/>
    <n v="-6149360"/>
    <s v=""/>
    <x v="3"/>
    <e v="#N/A"/>
    <m/>
    <n v="0.25440218656900881"/>
  </r>
  <r>
    <x v="12"/>
    <x v="12"/>
    <s v="0328"/>
    <x v="13"/>
    <s v="GI phys.inv.: whse"/>
    <s v="4924910860"/>
    <s v="P001"/>
    <s v="160925-BBB"/>
    <s v=""/>
    <s v="15:59:57"/>
    <s v="WANNENUA"/>
    <s v="0002"/>
    <s v=""/>
    <s v="0000"/>
    <s v=""/>
    <s v="0000000000"/>
    <s v=""/>
    <s v=""/>
    <s v=""/>
    <s v="51004001"/>
    <s v=""/>
    <s v=""/>
    <s v=""/>
    <s v=""/>
    <m/>
    <s v="G"/>
    <n v="-261650"/>
    <n v="-51153.8"/>
    <d v="2025-12-25T00:00:00"/>
    <d v="2025-12-25T00:00:00"/>
    <m/>
    <d v="2025-12-25T00:00:00"/>
    <n v="-261650"/>
    <s v=""/>
    <x v="3"/>
    <e v="#N/A"/>
    <m/>
    <n v="0.19550468182686798"/>
  </r>
  <r>
    <x v="13"/>
    <x v="13"/>
    <s v="0328"/>
    <x v="13"/>
    <s v="GI phys.inv.: whse"/>
    <s v="4924911162"/>
    <s v="P002"/>
    <s v="3093010BBB"/>
    <s v=""/>
    <s v="16:05:38"/>
    <s v="WANNENUA"/>
    <s v="0001"/>
    <s v=""/>
    <s v="0000"/>
    <s v=""/>
    <s v="0000000000"/>
    <s v=""/>
    <s v=""/>
    <s v="601028"/>
    <s v="68901000"/>
    <s v=""/>
    <s v=""/>
    <s v=""/>
    <s v=""/>
    <m/>
    <s v="G"/>
    <n v="-84"/>
    <n v="-22.41"/>
    <d v="2025-12-25T00:00:00"/>
    <d v="2025-12-25T00:00:00"/>
    <m/>
    <d v="2025-12-25T00:00:00"/>
    <n v="-84"/>
    <s v=""/>
    <x v="4"/>
    <e v="#N/A"/>
    <m/>
    <n v="0.26678571428571429"/>
  </r>
  <r>
    <x v="14"/>
    <x v="14"/>
    <s v="0328"/>
    <x v="13"/>
    <s v="GI phys.inv.: whse"/>
    <s v="4924911162"/>
    <s v="P002"/>
    <s v="3093010BBB"/>
    <s v=""/>
    <s v="16:05:38"/>
    <s v="WANNENUA"/>
    <s v="0002"/>
    <s v=""/>
    <s v="0000"/>
    <s v=""/>
    <s v="0000000000"/>
    <s v=""/>
    <s v=""/>
    <s v="601028"/>
    <s v="68901000"/>
    <s v=""/>
    <s v=""/>
    <s v=""/>
    <s v=""/>
    <m/>
    <s v="G"/>
    <n v="-20"/>
    <n v="-5.34"/>
    <d v="2025-12-25T00:00:00"/>
    <d v="2025-12-25T00:00:00"/>
    <m/>
    <d v="2025-12-25T00:00:00"/>
    <n v="-20"/>
    <s v=""/>
    <x v="4"/>
    <e v="#N/A"/>
    <m/>
    <n v="0.26700000000000002"/>
  </r>
  <r>
    <x v="15"/>
    <x v="15"/>
    <s v="0328"/>
    <x v="13"/>
    <s v="GI phys.inv.: whse"/>
    <s v="4924911162"/>
    <s v="P002"/>
    <s v="251202-TTW"/>
    <s v=""/>
    <s v="16:05:38"/>
    <s v="WANNENUA"/>
    <s v="0003"/>
    <s v=""/>
    <s v="0000"/>
    <s v=""/>
    <s v="0000000000"/>
    <s v=""/>
    <s v=""/>
    <s v="601028"/>
    <s v="68901000"/>
    <s v=""/>
    <s v=""/>
    <s v=""/>
    <s v=""/>
    <m/>
    <s v="G"/>
    <n v="-90"/>
    <n v="-18.43"/>
    <d v="2025-12-25T00:00:00"/>
    <d v="2025-12-25T00:00:00"/>
    <m/>
    <d v="2025-12-25T00:00:00"/>
    <n v="-90"/>
    <s v=""/>
    <x v="4"/>
    <e v="#N/A"/>
    <m/>
    <n v="0.20477777777777778"/>
  </r>
  <r>
    <x v="31"/>
    <x v="30"/>
    <s v="0328"/>
    <x v="13"/>
    <s v="GI phys.inv.: whse"/>
    <s v="4924911162"/>
    <s v="P002"/>
    <s v="250829PNK"/>
    <s v=""/>
    <s v="16:05:38"/>
    <s v="WANNENUA"/>
    <s v="0004"/>
    <s v=""/>
    <s v="0000"/>
    <s v=""/>
    <s v="0000000000"/>
    <s v=""/>
    <s v=""/>
    <s v="601028"/>
    <s v="68901000"/>
    <s v=""/>
    <s v=""/>
    <s v=""/>
    <s v=""/>
    <m/>
    <s v="G"/>
    <n v="-228180"/>
    <n v="-46738.11"/>
    <d v="2025-12-25T00:00:00"/>
    <d v="2025-12-25T00:00:00"/>
    <m/>
    <d v="2025-12-25T00:00:00"/>
    <n v="-228180"/>
    <s v=""/>
    <x v="4"/>
    <e v="#N/A"/>
    <m/>
    <n v="0.20483000262950302"/>
  </r>
  <r>
    <x v="17"/>
    <x v="17"/>
    <s v="0328"/>
    <x v="13"/>
    <s v="GI phys.inv.: whse"/>
    <s v="4924911353"/>
    <s v="P003"/>
    <s v="20250915"/>
    <s v=""/>
    <s v="16:09:24"/>
    <s v="WANNENUA"/>
    <s v="0001"/>
    <s v=""/>
    <s v="0000"/>
    <s v=""/>
    <s v="0000000000"/>
    <s v=""/>
    <s v=""/>
    <s v="601028"/>
    <s v="68901000"/>
    <s v=""/>
    <s v=""/>
    <s v=""/>
    <s v=""/>
    <m/>
    <s v="PC"/>
    <n v="-26"/>
    <n v="-44.96"/>
    <d v="2025-12-25T00:00:00"/>
    <d v="2025-12-25T00:00:00"/>
    <m/>
    <d v="2025-12-25T00:00:00"/>
    <n v="-26"/>
    <s v=""/>
    <x v="2"/>
    <e v="#N/A"/>
    <m/>
    <n v="1.7292307692307693"/>
  </r>
  <r>
    <x v="20"/>
    <x v="20"/>
    <s v="0328"/>
    <x v="13"/>
    <s v="GI phys.inv.: whse"/>
    <s v="4924911353"/>
    <s v="P003"/>
    <s v="11072025"/>
    <s v=""/>
    <s v="16:09:24"/>
    <s v="WANNENUA"/>
    <s v="0003"/>
    <s v=""/>
    <s v="0000"/>
    <s v=""/>
    <s v="0000000000"/>
    <s v=""/>
    <s v=""/>
    <s v="601028"/>
    <s v="68901000"/>
    <s v=""/>
    <s v=""/>
    <s v=""/>
    <s v=""/>
    <m/>
    <s v="EA"/>
    <n v="-17"/>
    <n v="-60.86"/>
    <d v="2025-12-25T00:00:00"/>
    <d v="2025-12-25T00:00:00"/>
    <m/>
    <d v="2025-12-25T00:00:00"/>
    <n v="-17"/>
    <s v=""/>
    <x v="2"/>
    <e v="#N/A"/>
    <m/>
    <n v="3.58"/>
  </r>
  <r>
    <x v="22"/>
    <x v="22"/>
    <s v="0328"/>
    <x v="13"/>
    <s v="GI phys.inv.: whse"/>
    <s v="4924911353"/>
    <s v="P003"/>
    <s v="20250915"/>
    <s v=""/>
    <s v="16:09:24"/>
    <s v="WANNENUA"/>
    <s v="0002"/>
    <s v=""/>
    <s v="0000"/>
    <s v=""/>
    <s v="0000000000"/>
    <s v=""/>
    <s v=""/>
    <s v="601028"/>
    <s v="68901000"/>
    <s v=""/>
    <s v=""/>
    <s v=""/>
    <s v=""/>
    <m/>
    <s v="PC"/>
    <n v="-1358"/>
    <n v="-2331.23"/>
    <d v="2025-12-25T00:00:00"/>
    <d v="2025-12-25T00:00:00"/>
    <m/>
    <d v="2025-12-25T00:00:00"/>
    <n v="-1358"/>
    <s v=""/>
    <x v="2"/>
    <e v="#N/A"/>
    <m/>
    <n v="1.7166642120765832"/>
  </r>
  <r>
    <x v="2"/>
    <x v="2"/>
    <s v="0328"/>
    <x v="8"/>
    <s v="GR for order"/>
    <s v="4924911476"/>
    <s v="M001"/>
    <s v="201201-B/T"/>
    <s v="303000000156"/>
    <s v="16:13:00"/>
    <s v="JURASDOK"/>
    <s v="0001"/>
    <s v=""/>
    <s v="0000"/>
    <s v=""/>
    <s v="0000000000"/>
    <s v=""/>
    <s v=""/>
    <s v=""/>
    <s v="53001001"/>
    <s v=""/>
    <s v=""/>
    <s v=""/>
    <s v=""/>
    <m/>
    <s v="BAG"/>
    <n v="20564"/>
    <n v="3571966.8"/>
    <d v="2025-12-25T00:00:00"/>
    <d v="2025-12-20T00:00:00"/>
    <m/>
    <d v="2025-12-25T00:00:00"/>
    <n v="10282000"/>
    <s v="303"/>
    <x v="0"/>
    <s v="ต้นทุนผลิตโอน F/G"/>
    <m/>
    <n v="173.7"/>
  </r>
  <r>
    <x v="32"/>
    <x v="31"/>
    <s v="0321"/>
    <x v="13"/>
    <s v="GI phys.inv.: whse"/>
    <s v="4924911696"/>
    <s v="P009"/>
    <s v="24042023"/>
    <s v=""/>
    <s v="16:15:59"/>
    <s v="WANNENUA"/>
    <s v="0001"/>
    <s v=""/>
    <s v="0000"/>
    <s v=""/>
    <s v="0000000000"/>
    <s v=""/>
    <s v=""/>
    <s v=""/>
    <s v="51004001"/>
    <s v=""/>
    <s v=""/>
    <s v=""/>
    <s v=""/>
    <m/>
    <s v="PC"/>
    <n v="-1"/>
    <n v="-4.5"/>
    <d v="2025-12-25T00:00:00"/>
    <d v="2025-12-25T00:00:00"/>
    <m/>
    <d v="2025-12-25T00:00:00"/>
    <n v="-1"/>
    <s v=""/>
    <x v="3"/>
    <e v="#N/A"/>
    <m/>
    <n v="4.5"/>
  </r>
  <r>
    <x v="33"/>
    <x v="32"/>
    <s v="0321"/>
    <x v="13"/>
    <s v="GI phys.inv.: whse"/>
    <s v="4924911696"/>
    <s v="P009"/>
    <s v="26112024"/>
    <s v=""/>
    <s v="16:15:59"/>
    <s v="WANNENUA"/>
    <s v="0002"/>
    <s v=""/>
    <s v="0000"/>
    <s v=""/>
    <s v="0000000000"/>
    <s v=""/>
    <s v=""/>
    <s v=""/>
    <s v="51004001"/>
    <s v=""/>
    <s v=""/>
    <s v=""/>
    <s v=""/>
    <m/>
    <s v="G"/>
    <n v="-11340"/>
    <n v="-2149.5100000000002"/>
    <d v="2025-12-25T00:00:00"/>
    <d v="2025-12-25T00:00:00"/>
    <m/>
    <d v="2025-12-25T00:00:00"/>
    <n v="-11340"/>
    <s v=""/>
    <x v="3"/>
    <e v="#N/A"/>
    <m/>
    <n v="0.18955114638447973"/>
  </r>
  <r>
    <x v="34"/>
    <x v="33"/>
    <s v="0321"/>
    <x v="13"/>
    <s v="GI phys.inv.: whse"/>
    <s v="4924911696"/>
    <s v="P009"/>
    <s v="12-24"/>
    <s v=""/>
    <s v="16:15:59"/>
    <s v="WANNENUA"/>
    <s v="0003"/>
    <s v=""/>
    <s v="0000"/>
    <s v=""/>
    <s v="0000000000"/>
    <s v=""/>
    <s v=""/>
    <s v=""/>
    <s v="51004001"/>
    <s v=""/>
    <s v=""/>
    <s v=""/>
    <s v=""/>
    <m/>
    <s v="PC"/>
    <n v="-68"/>
    <n v="-282.2"/>
    <d v="2025-12-25T00:00:00"/>
    <d v="2025-12-25T00:00:00"/>
    <m/>
    <d v="2025-12-25T00:00:00"/>
    <n v="-68"/>
    <s v=""/>
    <x v="3"/>
    <e v="#N/A"/>
    <m/>
    <n v="4.1499999999999995"/>
  </r>
  <r>
    <x v="35"/>
    <x v="34"/>
    <s v="0321"/>
    <x v="13"/>
    <s v="GI phys.inv.: whse"/>
    <s v="4924911696"/>
    <s v="P009"/>
    <s v="4/2/21"/>
    <s v=""/>
    <s v="16:15:59"/>
    <s v="WANNENUA"/>
    <s v="0004"/>
    <s v=""/>
    <s v="0000"/>
    <s v=""/>
    <s v="0000000000"/>
    <s v=""/>
    <s v=""/>
    <s v=""/>
    <s v="51004001"/>
    <s v=""/>
    <s v=""/>
    <s v=""/>
    <s v=""/>
    <m/>
    <s v="EA"/>
    <n v="-28"/>
    <n v="-24.08"/>
    <d v="2025-12-25T00:00:00"/>
    <d v="2025-12-25T00:00:00"/>
    <m/>
    <d v="2025-12-25T00:00:00"/>
    <n v="-28"/>
    <s v=""/>
    <x v="3"/>
    <e v="#N/A"/>
    <m/>
    <n v="0.86"/>
  </r>
  <r>
    <x v="2"/>
    <x v="2"/>
    <s v="0328"/>
    <x v="8"/>
    <s v="GR for order"/>
    <s v="4924911752"/>
    <s v="M001"/>
    <s v="201202-B/B"/>
    <s v="303000000157"/>
    <s v="16:16:23"/>
    <s v="JURASDOK"/>
    <s v="0001"/>
    <s v=""/>
    <s v="0000"/>
    <s v=""/>
    <s v="0000000000"/>
    <s v=""/>
    <s v=""/>
    <s v=""/>
    <s v="53001001"/>
    <s v=""/>
    <s v=""/>
    <s v=""/>
    <s v=""/>
    <m/>
    <s v="BAG"/>
    <n v="19296"/>
    <n v="3351715.2"/>
    <d v="2025-12-25T00:00:00"/>
    <d v="2025-12-22T00:00:00"/>
    <m/>
    <d v="2025-12-25T00:00:00"/>
    <n v="9648000"/>
    <s v="303"/>
    <x v="0"/>
    <s v="ต้นทุนผลิตโอน F/G"/>
    <m/>
    <n v="173.70000000000002"/>
  </r>
  <r>
    <x v="2"/>
    <x v="2"/>
    <s v="0328"/>
    <x v="5"/>
    <s v="GI ค่าวิจัยและพัฒนา"/>
    <s v="4924912585"/>
    <s v="M001"/>
    <s v="011203-B/T"/>
    <s v=""/>
    <s v="16:39:31"/>
    <s v="RAPEESAN01"/>
    <s v="0002"/>
    <s v=""/>
    <s v="0000"/>
    <s v=""/>
    <s v="0142817049"/>
    <s v=""/>
    <s v="Retain 16.12.25.3 R2-10"/>
    <s v="405053"/>
    <s v="67501001"/>
    <s v=""/>
    <s v=""/>
    <s v=""/>
    <s v=""/>
    <m/>
    <s v="BAG"/>
    <n v="-6"/>
    <n v="-1042.2"/>
    <d v="2025-12-18T00:00:00"/>
    <d v="2025-12-18T00:00:00"/>
    <m/>
    <d v="2025-12-25T00:00:00"/>
    <n v="-30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4912585"/>
    <s v="M001"/>
    <s v="011203-B/T"/>
    <s v=""/>
    <s v="16:39:31"/>
    <s v="RAPEESAN01"/>
    <s v="0001"/>
    <s v=""/>
    <s v="0000"/>
    <s v=""/>
    <s v="0142817049"/>
    <s v=""/>
    <s v="Routine 16.12.25.3 R2-10"/>
    <s v="405053"/>
    <s v="67501001"/>
    <s v=""/>
    <s v=""/>
    <s v=""/>
    <s v=""/>
    <m/>
    <s v="BAG"/>
    <n v="-6"/>
    <n v="-1042.2"/>
    <d v="2025-12-18T00:00:00"/>
    <d v="2025-12-18T00:00:00"/>
    <m/>
    <d v="2025-12-25T00:00:00"/>
    <n v="-30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4912741"/>
    <s v="M001"/>
    <s v="011203-B/T"/>
    <s v=""/>
    <s v="16:42:32"/>
    <s v="RAPEESAN01"/>
    <s v="0003"/>
    <s v=""/>
    <s v="0000"/>
    <s v=""/>
    <s v="0142817128"/>
    <s v=""/>
    <s v="ตรวจเพิ่ม 16.12.25.3 P.1 R2-10"/>
    <s v="405053"/>
    <s v="67501001"/>
    <s v=""/>
    <s v=""/>
    <s v=""/>
    <s v=""/>
    <m/>
    <s v="BAG"/>
    <n v="-2"/>
    <n v="-347.4"/>
    <d v="2025-12-18T00:00:00"/>
    <d v="2025-12-18T00:00:00"/>
    <m/>
    <d v="2025-12-25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2741"/>
    <s v="M001"/>
    <s v="011203-B/T"/>
    <s v=""/>
    <s v="16:42:32"/>
    <s v="RAPEESAN01"/>
    <s v="0002"/>
    <s v=""/>
    <s v="0000"/>
    <s v=""/>
    <s v="0142817128"/>
    <s v=""/>
    <s v="ตรวจเพิ่ม 16.12.25.1 R2-10 P.7"/>
    <s v="405053"/>
    <s v="67501001"/>
    <s v=""/>
    <s v=""/>
    <s v=""/>
    <s v=""/>
    <m/>
    <s v="BAG"/>
    <n v="-2"/>
    <n v="-347.4"/>
    <d v="2025-12-18T00:00:00"/>
    <d v="2025-12-18T00:00:00"/>
    <m/>
    <d v="2025-12-25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2741"/>
    <s v="M001"/>
    <s v="011203-B/T"/>
    <s v=""/>
    <s v="16:42:32"/>
    <s v="RAPEESAN01"/>
    <s v="0001"/>
    <s v=""/>
    <s v="0000"/>
    <s v=""/>
    <s v="0142817128"/>
    <s v=""/>
    <s v="ตรวจเพิ่ม 08.12.25.4 R2-9 P.4"/>
    <s v="405053"/>
    <s v="67501001"/>
    <s v=""/>
    <s v=""/>
    <s v=""/>
    <s v=""/>
    <m/>
    <s v="BAG"/>
    <n v="-3"/>
    <n v="-521.1"/>
    <d v="2025-12-18T00:00:00"/>
    <d v="2025-12-18T00:00:00"/>
    <m/>
    <d v="2025-12-25T00:00:00"/>
    <n v="-15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4912882"/>
    <s v="M001"/>
    <s v="011203-B/T"/>
    <s v=""/>
    <s v="16:45:45"/>
    <s v="RAPEESAN01"/>
    <s v="0015"/>
    <s v=""/>
    <s v="0000"/>
    <s v=""/>
    <s v="0142899628"/>
    <s v=""/>
    <s v="ตรวจเพิ่ม 16.12.25.1 R2-10 P.30"/>
    <s v="405053"/>
    <s v="67501001"/>
    <s v=""/>
    <s v=""/>
    <s v=""/>
    <s v=""/>
    <m/>
    <s v="BAG"/>
    <n v="-2"/>
    <n v="-347.4"/>
    <d v="2025-12-20T00:00:00"/>
    <d v="2025-12-20T00:00:00"/>
    <m/>
    <d v="2025-12-25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2882"/>
    <s v="M001"/>
    <s v="011203-B/T"/>
    <s v=""/>
    <s v="16:45:45"/>
    <s v="RAPEESAN01"/>
    <s v="0014"/>
    <s v=""/>
    <s v="0000"/>
    <s v=""/>
    <s v="0142899628"/>
    <s v=""/>
    <s v="ตรวจเพิ่ม 16.12.25.2 R2-10 P.28"/>
    <s v="405053"/>
    <s v="67501001"/>
    <s v=""/>
    <s v=""/>
    <s v=""/>
    <s v=""/>
    <m/>
    <s v="BAG"/>
    <n v="-2"/>
    <n v="-347.4"/>
    <d v="2025-12-20T00:00:00"/>
    <d v="2025-12-20T00:00:00"/>
    <m/>
    <d v="2025-12-25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2882"/>
    <s v="M001"/>
    <s v="011203-B/T"/>
    <s v=""/>
    <s v="16:45:45"/>
    <s v="RAPEESAN01"/>
    <s v="0013"/>
    <s v=""/>
    <s v="0000"/>
    <s v=""/>
    <s v="0142899628"/>
    <s v=""/>
    <s v="ตรวจเพิ่ม 16.12.25.2 R2-10 P.25"/>
    <s v="405053"/>
    <s v="67501001"/>
    <s v=""/>
    <s v=""/>
    <s v=""/>
    <s v=""/>
    <m/>
    <s v="BAG"/>
    <n v="-2"/>
    <n v="-347.4"/>
    <d v="2025-12-20T00:00:00"/>
    <d v="2025-12-20T00:00:00"/>
    <m/>
    <d v="2025-12-25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2882"/>
    <s v="M001"/>
    <s v="011203-B/T"/>
    <s v=""/>
    <s v="16:45:45"/>
    <s v="RAPEESAN01"/>
    <s v="0012"/>
    <s v=""/>
    <s v="0000"/>
    <s v=""/>
    <s v="0142899628"/>
    <s v=""/>
    <s v="ตรวจเพิ่ม 16.12.25.2 R2-10 P.16"/>
    <s v="405053"/>
    <s v="67501001"/>
    <s v=""/>
    <s v=""/>
    <s v=""/>
    <s v=""/>
    <m/>
    <s v="BAG"/>
    <n v="-2"/>
    <n v="-347.4"/>
    <d v="2025-12-20T00:00:00"/>
    <d v="2025-12-20T00:00:00"/>
    <m/>
    <d v="2025-12-25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2882"/>
    <s v="M001"/>
    <s v="011203-B/T"/>
    <s v=""/>
    <s v="16:45:45"/>
    <s v="RAPEESAN01"/>
    <s v="0011"/>
    <s v=""/>
    <s v="0000"/>
    <s v=""/>
    <s v="0142899628"/>
    <s v=""/>
    <s v="ตรวจเพิ่ม 16.12.25.2 R2-10 P.7"/>
    <s v="405053"/>
    <s v="67501001"/>
    <s v=""/>
    <s v=""/>
    <s v=""/>
    <s v=""/>
    <m/>
    <s v="BAG"/>
    <n v="-2"/>
    <n v="-347.4"/>
    <d v="2025-12-20T00:00:00"/>
    <d v="2025-12-20T00:00:00"/>
    <m/>
    <d v="2025-12-25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2882"/>
    <s v="M001"/>
    <s v="011203-B/T"/>
    <s v=""/>
    <s v="16:45:45"/>
    <s v="RAPEESAN01"/>
    <s v="0010"/>
    <s v=""/>
    <s v="0000"/>
    <s v=""/>
    <s v="0142899628"/>
    <s v=""/>
    <s v="ตรวจเพิ่ม 20.12.25.1 R2-10 P.1"/>
    <s v="405053"/>
    <s v="67501001"/>
    <s v=""/>
    <s v=""/>
    <s v=""/>
    <s v=""/>
    <m/>
    <s v="BAG"/>
    <n v="-2"/>
    <n v="-347.4"/>
    <d v="2025-12-20T00:00:00"/>
    <d v="2025-12-20T00:00:00"/>
    <m/>
    <d v="2025-12-25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2882"/>
    <s v="M001"/>
    <s v="011203-B/T"/>
    <s v=""/>
    <s v="16:45:45"/>
    <s v="RAPEESAN01"/>
    <s v="0009"/>
    <s v=""/>
    <s v="0000"/>
    <s v=""/>
    <s v="0142899628"/>
    <s v=""/>
    <s v="ตรวจเพิ่ม 16.12.25.1 R2-10 P.33"/>
    <s v="405053"/>
    <s v="67501001"/>
    <s v=""/>
    <s v=""/>
    <s v=""/>
    <s v=""/>
    <m/>
    <s v="BAG"/>
    <n v="-1"/>
    <n v="-173.7"/>
    <d v="2025-12-20T00:00:00"/>
    <d v="2025-12-20T00:00:00"/>
    <m/>
    <d v="2025-12-25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2882"/>
    <s v="M001"/>
    <s v="011203-B/T"/>
    <s v=""/>
    <s v="16:45:45"/>
    <s v="RAPEESAN01"/>
    <s v="0008"/>
    <s v=""/>
    <s v="0000"/>
    <s v=""/>
    <s v="0142899628"/>
    <s v=""/>
    <s v="ตรวจเพิ่ม 16.12.25.1 R2-10 P.30"/>
    <s v="405053"/>
    <s v="67501001"/>
    <s v=""/>
    <s v=""/>
    <s v=""/>
    <s v=""/>
    <m/>
    <s v="BAG"/>
    <n v="-1"/>
    <n v="-173.7"/>
    <d v="2025-12-20T00:00:00"/>
    <d v="2025-12-20T00:00:00"/>
    <m/>
    <d v="2025-12-25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2882"/>
    <s v="M001"/>
    <s v="011203-B/T"/>
    <s v=""/>
    <s v="16:45:45"/>
    <s v="RAPEESAN01"/>
    <s v="0007"/>
    <s v=""/>
    <s v="0000"/>
    <s v=""/>
    <s v="0142899628"/>
    <s v=""/>
    <s v="ตรวจเพิ่ม 16.12.25.1 R2-10 P.29"/>
    <s v="405053"/>
    <s v="67501001"/>
    <s v=""/>
    <s v=""/>
    <s v=""/>
    <s v=""/>
    <m/>
    <s v="BAG"/>
    <n v="-2"/>
    <n v="-347.4"/>
    <d v="2025-12-20T00:00:00"/>
    <d v="2025-12-20T00:00:00"/>
    <m/>
    <d v="2025-12-25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2882"/>
    <s v="M001"/>
    <s v="011203-B/T"/>
    <s v=""/>
    <s v="16:45:45"/>
    <s v="RAPEESAN01"/>
    <s v="0006"/>
    <s v=""/>
    <s v="0000"/>
    <s v=""/>
    <s v="0142899628"/>
    <s v=""/>
    <s v="ตรวจเพิ่ม 16.12.25.1 R2-10 P.15"/>
    <s v="405053"/>
    <s v="67501001"/>
    <s v=""/>
    <s v=""/>
    <s v=""/>
    <s v=""/>
    <m/>
    <s v="BAG"/>
    <n v="-2"/>
    <n v="-347.4"/>
    <d v="2025-12-20T00:00:00"/>
    <d v="2025-12-20T00:00:00"/>
    <m/>
    <d v="2025-12-25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2882"/>
    <s v="M001"/>
    <s v="011203-B/T"/>
    <s v=""/>
    <s v="16:45:45"/>
    <s v="RAPEESAN01"/>
    <s v="0005"/>
    <s v=""/>
    <s v="0000"/>
    <s v=""/>
    <s v="0142899628"/>
    <s v=""/>
    <s v="Repack 08.12.25.4 P.31 R2-10"/>
    <s v="405053"/>
    <s v="67501001"/>
    <s v=""/>
    <s v=""/>
    <s v=""/>
    <s v=""/>
    <m/>
    <s v="BAG"/>
    <n v="-1"/>
    <n v="-173.7"/>
    <d v="2025-12-20T00:00:00"/>
    <d v="2025-12-20T00:00:00"/>
    <m/>
    <d v="2025-12-25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2882"/>
    <s v="M001"/>
    <s v="011203-B/T"/>
    <s v=""/>
    <s v="16:45:45"/>
    <s v="RAPEESAN01"/>
    <s v="0004"/>
    <s v=""/>
    <s v="0000"/>
    <s v=""/>
    <s v="0142899628"/>
    <s v=""/>
    <s v="Repack 08.12.25.4 P.4 R2-10"/>
    <s v="405053"/>
    <s v="67501001"/>
    <s v=""/>
    <s v=""/>
    <s v=""/>
    <s v=""/>
    <m/>
    <s v="BAG"/>
    <n v="-1"/>
    <n v="-173.7"/>
    <d v="2025-12-20T00:00:00"/>
    <d v="2025-12-20T00:00:00"/>
    <m/>
    <d v="2025-12-25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2882"/>
    <s v="M001"/>
    <s v="011203-B/T"/>
    <s v=""/>
    <s v="16:45:45"/>
    <s v="RAPEESAN01"/>
    <s v="0003"/>
    <s v=""/>
    <s v="0000"/>
    <s v=""/>
    <s v="0142899628"/>
    <s v=""/>
    <s v="Repack 08.12.25.4 P.3 R2-10"/>
    <s v="405053"/>
    <s v="67501001"/>
    <s v=""/>
    <s v=""/>
    <s v=""/>
    <s v=""/>
    <m/>
    <s v="BAG"/>
    <n v="-1"/>
    <n v="-173.7"/>
    <d v="2025-12-20T00:00:00"/>
    <d v="2025-12-20T00:00:00"/>
    <m/>
    <d v="2025-12-25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2882"/>
    <s v="M001"/>
    <s v="011203-B/T"/>
    <s v=""/>
    <s v="16:45:45"/>
    <s v="RAPEESAN01"/>
    <s v="0002"/>
    <s v=""/>
    <s v="0000"/>
    <s v=""/>
    <s v="0142899628"/>
    <s v=""/>
    <s v="Repack 08.12.25.4 P.2 R2-10"/>
    <s v="405053"/>
    <s v="67501001"/>
    <s v=""/>
    <s v=""/>
    <s v=""/>
    <s v=""/>
    <m/>
    <s v="BAG"/>
    <n v="-1"/>
    <n v="-173.7"/>
    <d v="2025-12-20T00:00:00"/>
    <d v="2025-12-20T00:00:00"/>
    <m/>
    <d v="2025-12-25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2882"/>
    <s v="M001"/>
    <s v="011203-B/T"/>
    <s v=""/>
    <s v="16:45:45"/>
    <s v="RAPEESAN01"/>
    <s v="0001"/>
    <s v=""/>
    <s v="0000"/>
    <s v=""/>
    <s v="0142899628"/>
    <s v=""/>
    <s v="Repack 08.12.25.3 P.7 R2-9"/>
    <s v="405053"/>
    <s v="67501001"/>
    <s v=""/>
    <s v=""/>
    <s v=""/>
    <s v=""/>
    <m/>
    <s v="BAG"/>
    <n v="-1"/>
    <n v="-173.7"/>
    <d v="2025-12-20T00:00:00"/>
    <d v="2025-12-20T00:00:00"/>
    <m/>
    <d v="2025-12-25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2905"/>
    <s v="M001"/>
    <s v="011203-B/T"/>
    <s v=""/>
    <s v="16:48:08"/>
    <s v="RAPEESAN01"/>
    <s v="0002"/>
    <s v=""/>
    <s v="0000"/>
    <s v=""/>
    <s v="0142899548"/>
    <s v=""/>
    <s v="Retain 20.12.25.1 R2-10"/>
    <s v="405053"/>
    <s v="67501001"/>
    <s v=""/>
    <s v=""/>
    <s v=""/>
    <s v=""/>
    <m/>
    <s v="BAG"/>
    <n v="-6"/>
    <n v="-1042.2"/>
    <d v="2025-12-20T00:00:00"/>
    <d v="2025-12-20T00:00:00"/>
    <m/>
    <d v="2025-12-25T00:00:00"/>
    <n v="-30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4912905"/>
    <s v="M001"/>
    <s v="011203-B/T"/>
    <s v=""/>
    <s v="16:48:08"/>
    <s v="RAPEESAN01"/>
    <s v="0001"/>
    <s v=""/>
    <s v="0000"/>
    <s v=""/>
    <s v="0142899548"/>
    <s v=""/>
    <s v="Routine 20.12.25.1 R2-10"/>
    <s v="405053"/>
    <s v="67501001"/>
    <s v=""/>
    <s v=""/>
    <s v=""/>
    <s v=""/>
    <m/>
    <s v="BAG"/>
    <n v="-6"/>
    <n v="-1042.2"/>
    <d v="2025-12-20T00:00:00"/>
    <d v="2025-12-20T00:00:00"/>
    <m/>
    <d v="2025-12-25T00:00:00"/>
    <n v="-3000"/>
    <s v=""/>
    <x v="0"/>
    <s v="ค่าวิจัยคุณภาพสินค้า"/>
    <m/>
    <n v="173.70000000000002"/>
  </r>
  <r>
    <x v="13"/>
    <x v="13"/>
    <s v="0328"/>
    <x v="7"/>
    <s v="GI for order"/>
    <s v="4924912939"/>
    <s v="P002"/>
    <s v="251202-BBB"/>
    <s v="302000000152"/>
    <s v="16:50:58"/>
    <s v="JURASDOK"/>
    <s v="0002"/>
    <s v=""/>
    <s v="0000"/>
    <s v=""/>
    <s v="0143068732"/>
    <s v=""/>
    <s v=""/>
    <s v=""/>
    <s v="53001003"/>
    <s v=""/>
    <s v=""/>
    <s v=""/>
    <s v=""/>
    <m/>
    <s v="KG"/>
    <n v="-92.6"/>
    <n v="-24707.53"/>
    <d v="2025-12-25T00:00:00"/>
    <d v="2025-12-12T00:00:00"/>
    <m/>
    <d v="2025-12-25T00:00:00"/>
    <n v="-92600"/>
    <s v="302"/>
    <x v="4"/>
    <s v="ต้นทุนผลิตกึ่งสำเร็จ"/>
    <m/>
    <n v="266.81997840172784"/>
  </r>
  <r>
    <x v="28"/>
    <x v="27"/>
    <s v="0328"/>
    <x v="7"/>
    <s v="GI for order"/>
    <s v="4924912939"/>
    <s v="P002"/>
    <s v="250825-TTW"/>
    <s v="302000000152"/>
    <s v="16:50:58"/>
    <s v="JURASDOK"/>
    <s v="0005"/>
    <s v=""/>
    <s v="0000"/>
    <s v=""/>
    <s v="0000000000"/>
    <s v=""/>
    <s v="เมล็ดกาแฟ Clean Arabica Size ต่ำกว่า S&amp;M"/>
    <s v=""/>
    <s v="53001003"/>
    <s v=""/>
    <s v=""/>
    <s v=""/>
    <s v=""/>
    <m/>
    <s v="KG"/>
    <n v="-1217.2"/>
    <n v="-324773.3"/>
    <d v="2025-12-25T00:00:00"/>
    <d v="2025-12-12T00:00:00"/>
    <m/>
    <d v="2025-12-25T00:00:00"/>
    <n v="-1217200"/>
    <s v="302"/>
    <x v="4"/>
    <s v="ต้นทุนผลิตกึ่งสำเร็จ"/>
    <m/>
    <n v="266.81999671376929"/>
  </r>
  <r>
    <x v="28"/>
    <x v="27"/>
    <s v="0328"/>
    <x v="7"/>
    <s v="GI for order"/>
    <s v="4924912939"/>
    <s v="P002"/>
    <s v="250827-BBB"/>
    <s v="302000000152"/>
    <s v="16:50:58"/>
    <s v="JURASDOK"/>
    <s v="0006"/>
    <s v=""/>
    <s v="0000"/>
    <s v=""/>
    <s v="0000000000"/>
    <s v=""/>
    <s v="เมล็ดกาแฟ Clean Arabica Size ต่ำกว่า S&amp;M"/>
    <s v=""/>
    <s v="53001003"/>
    <s v=""/>
    <s v=""/>
    <s v=""/>
    <s v=""/>
    <m/>
    <s v="KG"/>
    <n v="-180.11"/>
    <n v="-48056.95"/>
    <d v="2025-12-25T00:00:00"/>
    <d v="2025-12-12T00:00:00"/>
    <m/>
    <d v="2025-12-25T00:00:00"/>
    <n v="-180110"/>
    <s v="302"/>
    <x v="4"/>
    <s v="ต้นทุนผลิตกึ่งสำเร็จ"/>
    <m/>
    <n v="266.81999888956744"/>
  </r>
  <r>
    <x v="28"/>
    <x v="27"/>
    <s v="0328"/>
    <x v="7"/>
    <s v="GI for order"/>
    <s v="4924912939"/>
    <s v="P002"/>
    <s v="250828-TTW"/>
    <s v="302000000152"/>
    <s v="16:50:58"/>
    <s v="JURASDOK"/>
    <s v="0007"/>
    <s v=""/>
    <s v="0000"/>
    <s v=""/>
    <s v="0000000000"/>
    <s v=""/>
    <s v="เมล็ดกาแฟ Clean Arabica Size ต่ำกว่า S&amp;M"/>
    <s v=""/>
    <s v="53001003"/>
    <s v=""/>
    <s v=""/>
    <s v=""/>
    <s v=""/>
    <m/>
    <s v="KG"/>
    <n v="-1113.28"/>
    <n v="-297045.37"/>
    <d v="2025-12-25T00:00:00"/>
    <d v="2025-12-12T00:00:00"/>
    <m/>
    <d v="2025-12-25T00:00:00"/>
    <n v="-1113280"/>
    <s v="302"/>
    <x v="4"/>
    <s v="ต้นทุนผลิตกึ่งสำเร็จ"/>
    <m/>
    <n v="266.82000035929866"/>
  </r>
  <r>
    <x v="28"/>
    <x v="27"/>
    <s v="0328"/>
    <x v="7"/>
    <s v="GI for order"/>
    <s v="4924912939"/>
    <s v="P002"/>
    <s v="250820-TTW"/>
    <s v="302000000152"/>
    <s v="16:50:58"/>
    <s v="JURASDOK"/>
    <s v="0004"/>
    <s v=""/>
    <s v="0000"/>
    <s v=""/>
    <s v="0000000000"/>
    <s v=""/>
    <s v="เมล็ดกาแฟ Clean Arabica Size ต่ำกว่า S&amp;M"/>
    <s v=""/>
    <s v="53001003"/>
    <s v=""/>
    <s v=""/>
    <s v=""/>
    <s v=""/>
    <m/>
    <s v="KG"/>
    <n v="-1428.81"/>
    <n v="-381235.08"/>
    <d v="2025-12-25T00:00:00"/>
    <d v="2025-12-12T00:00:00"/>
    <m/>
    <d v="2025-12-25T00:00:00"/>
    <n v="-1428810"/>
    <s v="302"/>
    <x v="4"/>
    <s v="ต้นทุนผลิตกึ่งสำเร็จ"/>
    <m/>
    <n v="266.81999706049089"/>
  </r>
  <r>
    <x v="15"/>
    <x v="15"/>
    <s v="0328"/>
    <x v="7"/>
    <s v="GI for order"/>
    <s v="4924912939"/>
    <s v="P002"/>
    <s v="250815-TTW"/>
    <s v="302000000152"/>
    <s v="16:50:58"/>
    <s v="JURASDOK"/>
    <s v="0003"/>
    <s v=""/>
    <s v="0000"/>
    <s v=""/>
    <s v="0143068732"/>
    <s v=""/>
    <s v=""/>
    <s v=""/>
    <s v="53001003"/>
    <s v=""/>
    <s v=""/>
    <s v=""/>
    <s v=""/>
    <m/>
    <s v="KG"/>
    <n v="-1012.02"/>
    <n v="-207292.06"/>
    <d v="2025-12-25T00:00:00"/>
    <d v="2025-12-12T00:00:00"/>
    <m/>
    <d v="2025-12-25T00:00:00"/>
    <n v="-1012020"/>
    <s v="302"/>
    <x v="4"/>
    <s v="ต้นทุนผลิตกึ่งสำเร็จ"/>
    <m/>
    <n v="204.83000335961739"/>
  </r>
  <r>
    <x v="36"/>
    <x v="35"/>
    <s v="0328"/>
    <x v="8"/>
    <s v="GR for order"/>
    <s v="4924912939"/>
    <s v="P003"/>
    <s v="121225-B"/>
    <s v="302000000152"/>
    <s v="16:50:58"/>
    <s v="JURASDOK"/>
    <s v="0001"/>
    <s v=""/>
    <s v="0000"/>
    <s v=""/>
    <s v="0000000000"/>
    <s v=""/>
    <s v=""/>
    <s v=""/>
    <s v="53001004"/>
    <s v=""/>
    <s v=""/>
    <s v=""/>
    <s v=""/>
    <m/>
    <s v="KG"/>
    <n v="4057.68"/>
    <n v="1353155.13"/>
    <d v="2025-12-25T00:00:00"/>
    <d v="2025-12-12T00:00:00"/>
    <m/>
    <d v="2025-12-25T00:00:00"/>
    <n v="4057680"/>
    <s v="302"/>
    <x v="4"/>
    <s v="ต้นทุนผลิตโอน Semi"/>
    <m/>
    <n v="333.48000088720647"/>
  </r>
  <r>
    <x v="2"/>
    <x v="2"/>
    <s v="0328"/>
    <x v="5"/>
    <s v="GI ค่าวิจัยและพัฒนา"/>
    <s v="4924912955"/>
    <s v="M001"/>
    <s v="011203-B/T"/>
    <s v=""/>
    <s v="16:49:58"/>
    <s v="RAPEESAN01"/>
    <s v="0001"/>
    <s v=""/>
    <s v="0000"/>
    <s v=""/>
    <s v="0142954472"/>
    <s v=""/>
    <s v="ตรวจเพิ่ม 16.12.25.2R210 P.15"/>
    <s v="405053"/>
    <s v="67501001"/>
    <s v=""/>
    <s v=""/>
    <s v=""/>
    <s v=""/>
    <m/>
    <s v="BAG"/>
    <n v="-1"/>
    <n v="-173.7"/>
    <d v="2025-12-22T00:00:00"/>
    <d v="2025-12-22T00:00:00"/>
    <m/>
    <d v="2025-12-25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2955"/>
    <s v="M001"/>
    <s v="011203-B/T"/>
    <s v=""/>
    <s v="16:49:58"/>
    <s v="RAPEESAN01"/>
    <s v="0002"/>
    <s v=""/>
    <s v="0000"/>
    <s v=""/>
    <s v="0142954472"/>
    <s v=""/>
    <s v="ตรวจเพิ่ม 20.12.25.1R210 P.30"/>
    <s v="405053"/>
    <s v="67501001"/>
    <s v=""/>
    <s v=""/>
    <s v=""/>
    <s v=""/>
    <m/>
    <s v="BAG"/>
    <n v="-2"/>
    <n v="-347.4"/>
    <d v="2025-12-22T00:00:00"/>
    <d v="2025-12-22T00:00:00"/>
    <m/>
    <d v="2025-12-25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2955"/>
    <s v="M001"/>
    <s v="011203-B/T"/>
    <s v=""/>
    <s v="16:49:58"/>
    <s v="RAPEESAN01"/>
    <s v="0003"/>
    <s v=""/>
    <s v="0000"/>
    <s v=""/>
    <s v="0142954472"/>
    <s v=""/>
    <s v="ตรวจเพิ่ม 16.12.25.2R210 P.28"/>
    <s v="405053"/>
    <s v="67501001"/>
    <s v=""/>
    <s v=""/>
    <s v=""/>
    <s v=""/>
    <m/>
    <s v="BAG"/>
    <n v="-1"/>
    <n v="-173.7"/>
    <d v="2025-12-22T00:00:00"/>
    <d v="2025-12-22T00:00:00"/>
    <m/>
    <d v="2025-12-25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2955"/>
    <s v="M001"/>
    <s v="011203-B/T"/>
    <s v=""/>
    <s v="16:49:58"/>
    <s v="RAPEESAN01"/>
    <s v="0004"/>
    <s v=""/>
    <s v="0000"/>
    <s v=""/>
    <s v="0142954472"/>
    <s v=""/>
    <s v="ตรวจเพิ่ม 16.12.25.3R210 P.15"/>
    <s v="405053"/>
    <s v="67501001"/>
    <s v=""/>
    <s v=""/>
    <s v=""/>
    <s v=""/>
    <m/>
    <s v="BAG"/>
    <n v="-2"/>
    <n v="-347.4"/>
    <d v="2025-12-22T00:00:00"/>
    <d v="2025-12-22T00:00:00"/>
    <m/>
    <d v="2025-12-25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2955"/>
    <s v="M001"/>
    <s v="011203-B/T"/>
    <s v=""/>
    <s v="16:49:58"/>
    <s v="RAPEESAN01"/>
    <s v="0005"/>
    <s v=""/>
    <s v="0000"/>
    <s v=""/>
    <s v="0142954472"/>
    <s v=""/>
    <s v="ตรวจเพิ่ม 16.12.25.3R210 P.23"/>
    <s v="405053"/>
    <s v="67501001"/>
    <s v=""/>
    <s v=""/>
    <s v=""/>
    <s v=""/>
    <m/>
    <s v="BAG"/>
    <n v="-2"/>
    <n v="-347.4"/>
    <d v="2025-12-22T00:00:00"/>
    <d v="2025-12-22T00:00:00"/>
    <m/>
    <d v="2025-12-25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3121"/>
    <s v="M001"/>
    <s v="011203-B/T"/>
    <s v=""/>
    <s v="16:54:18"/>
    <s v="RAPEESAN01"/>
    <s v="0001"/>
    <s v=""/>
    <s v="0000"/>
    <s v=""/>
    <s v="0142954413"/>
    <s v=""/>
    <s v="Routine 20.12.25.2 R2-10"/>
    <s v="405053"/>
    <s v="67501001"/>
    <s v=""/>
    <s v=""/>
    <s v=""/>
    <s v=""/>
    <m/>
    <s v="BAG"/>
    <n v="-6"/>
    <n v="-1042.2"/>
    <d v="2025-12-22T00:00:00"/>
    <d v="2025-12-22T00:00:00"/>
    <m/>
    <d v="2025-12-25T00:00:00"/>
    <n v="-30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4913121"/>
    <s v="M001"/>
    <s v="011203-B/T"/>
    <s v=""/>
    <s v="16:54:18"/>
    <s v="RAPEESAN01"/>
    <s v="0002"/>
    <s v=""/>
    <s v="0000"/>
    <s v=""/>
    <s v="0142954413"/>
    <s v=""/>
    <s v="Retain 20.12.25.1 R2-10"/>
    <s v="405053"/>
    <s v="67501001"/>
    <s v=""/>
    <s v=""/>
    <s v=""/>
    <s v=""/>
    <m/>
    <s v="BAG"/>
    <n v="-6"/>
    <n v="-1042.2"/>
    <d v="2025-12-22T00:00:00"/>
    <d v="2025-12-22T00:00:00"/>
    <m/>
    <d v="2025-12-25T00:00:00"/>
    <n v="-30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4913126"/>
    <s v="M001"/>
    <s v="011203-B/T"/>
    <s v=""/>
    <s v="16:55:41"/>
    <s v="RAPEESAN01"/>
    <s v="0002"/>
    <s v=""/>
    <s v="0000"/>
    <s v=""/>
    <s v="0142991250"/>
    <s v=""/>
    <s v="Retain 20.12.25.3 R2-10"/>
    <s v="405053"/>
    <s v="67501001"/>
    <s v=""/>
    <s v=""/>
    <s v=""/>
    <s v=""/>
    <m/>
    <s v="G"/>
    <n v="-6"/>
    <n v="-2.08"/>
    <d v="2025-12-23T00:00:00"/>
    <d v="2025-12-23T00:00:00"/>
    <m/>
    <d v="2025-12-25T00:00:00"/>
    <n v="-6"/>
    <s v=""/>
    <x v="0"/>
    <s v="ค่าวิจัยคุณภาพสินค้า"/>
    <m/>
    <n v="0.34666666666666668"/>
  </r>
  <r>
    <x v="2"/>
    <x v="2"/>
    <s v="0328"/>
    <x v="5"/>
    <s v="GI ค่าวิจัยและพัฒนา"/>
    <s v="4924913126"/>
    <s v="M001"/>
    <s v="011203-B/T"/>
    <s v=""/>
    <s v="16:55:41"/>
    <s v="RAPEESAN01"/>
    <s v="0001"/>
    <s v=""/>
    <s v="0000"/>
    <s v=""/>
    <s v="0142991250"/>
    <s v=""/>
    <s v="Routine 20.12.25.3 R2-10"/>
    <s v="405053"/>
    <s v="67501001"/>
    <s v=""/>
    <s v=""/>
    <s v=""/>
    <s v=""/>
    <m/>
    <s v="G"/>
    <n v="-6"/>
    <n v="-2.08"/>
    <d v="2025-12-23T00:00:00"/>
    <d v="2025-12-23T00:00:00"/>
    <m/>
    <d v="2025-12-25T00:00:00"/>
    <n v="-6"/>
    <s v=""/>
    <x v="0"/>
    <s v="ค่าวิจัยคุณภาพสินค้า"/>
    <m/>
    <n v="0.34666666666666668"/>
  </r>
  <r>
    <x v="2"/>
    <x v="2"/>
    <s v="0328"/>
    <x v="5"/>
    <s v="GI ค่าวิจัยและพัฒนา"/>
    <s v="4924913234"/>
    <s v="M001"/>
    <s v="011203-B/T"/>
    <s v=""/>
    <s v="16:57:03"/>
    <s v="RAPEESAN01"/>
    <s v="0003"/>
    <s v=""/>
    <s v="0000"/>
    <s v=""/>
    <s v="0142992403"/>
    <s v=""/>
    <s v="Repack 16.12.25.2 R2-10 P.16"/>
    <s v="405053"/>
    <s v="67501001"/>
    <s v=""/>
    <s v=""/>
    <s v=""/>
    <s v=""/>
    <m/>
    <s v="BAG"/>
    <n v="-1"/>
    <n v="-173.7"/>
    <d v="2025-12-23T00:00:00"/>
    <d v="2025-12-23T00:00:00"/>
    <m/>
    <d v="2025-12-25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3234"/>
    <s v="M001"/>
    <s v="011203-B/T"/>
    <s v=""/>
    <s v="16:57:03"/>
    <s v="RAPEESAN01"/>
    <s v="0002"/>
    <s v=""/>
    <s v="0000"/>
    <s v=""/>
    <s v="0142992403"/>
    <s v=""/>
    <s v="Repack 16.12.25.1 R2-10 P.7"/>
    <s v="405053"/>
    <s v="67501001"/>
    <s v=""/>
    <s v=""/>
    <s v=""/>
    <s v=""/>
    <m/>
    <s v="BAG"/>
    <n v="-1"/>
    <n v="-173.7"/>
    <d v="2025-12-23T00:00:00"/>
    <d v="2025-12-23T00:00:00"/>
    <m/>
    <d v="2025-12-25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3234"/>
    <s v="M001"/>
    <s v="011203-B/T"/>
    <s v=""/>
    <s v="16:57:03"/>
    <s v="RAPEESAN01"/>
    <s v="0001"/>
    <s v=""/>
    <s v="0000"/>
    <s v=""/>
    <s v="0142992403"/>
    <s v=""/>
    <s v="Repack 16.12.25.1 R2-10 P.1"/>
    <s v="405053"/>
    <s v="67501001"/>
    <s v=""/>
    <s v=""/>
    <s v=""/>
    <s v=""/>
    <m/>
    <s v="BAG"/>
    <n v="-1"/>
    <n v="-173.7"/>
    <d v="2025-12-23T00:00:00"/>
    <d v="2025-12-23T00:00:00"/>
    <m/>
    <d v="2025-12-25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3234"/>
    <s v="M001"/>
    <s v="011203-B/T"/>
    <s v=""/>
    <s v="16:57:03"/>
    <s v="RAPEESAN01"/>
    <s v="0004"/>
    <s v=""/>
    <s v="0000"/>
    <s v=""/>
    <s v="0142992403"/>
    <s v=""/>
    <s v="Repack 16.12.25.2 R2-10 P.25"/>
    <s v="405053"/>
    <s v="67501001"/>
    <s v=""/>
    <s v=""/>
    <s v=""/>
    <s v=""/>
    <m/>
    <s v="BAG"/>
    <n v="-1"/>
    <n v="-173.7"/>
    <d v="2025-12-23T00:00:00"/>
    <d v="2025-12-23T00:00:00"/>
    <m/>
    <d v="2025-12-25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3234"/>
    <s v="M001"/>
    <s v="011203-B/T"/>
    <s v=""/>
    <s v="16:57:03"/>
    <s v="RAPEESAN01"/>
    <s v="0005"/>
    <s v=""/>
    <s v="0000"/>
    <s v=""/>
    <s v="0142992403"/>
    <s v=""/>
    <s v="Repack 16.12.25.2 R2-10 P.28"/>
    <s v="405053"/>
    <s v="67501001"/>
    <s v=""/>
    <s v=""/>
    <s v=""/>
    <s v=""/>
    <m/>
    <s v="BAG"/>
    <n v="-1"/>
    <n v="-173.7"/>
    <d v="2025-12-23T00:00:00"/>
    <d v="2025-12-23T00:00:00"/>
    <m/>
    <d v="2025-12-25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3234"/>
    <s v="M001"/>
    <s v="011203-B/T"/>
    <s v=""/>
    <s v="16:57:03"/>
    <s v="RAPEESAN01"/>
    <s v="0006"/>
    <s v=""/>
    <s v="0000"/>
    <s v=""/>
    <s v="0142992403"/>
    <s v=""/>
    <s v="Repack 16.12.25.2 R2-10 P.35"/>
    <s v="405053"/>
    <s v="67501001"/>
    <s v=""/>
    <s v=""/>
    <s v=""/>
    <s v=""/>
    <m/>
    <s v="BAG"/>
    <n v="-1"/>
    <n v="-173.7"/>
    <d v="2025-12-23T00:00:00"/>
    <d v="2025-12-23T00:00:00"/>
    <m/>
    <d v="2025-12-25T00:00:00"/>
    <n v="-500"/>
    <s v=""/>
    <x v="0"/>
    <s v="ค่าวิจัยคุณภาพสินค้า"/>
    <m/>
    <n v="173.7"/>
  </r>
  <r>
    <x v="18"/>
    <x v="18"/>
    <s v="0328"/>
    <x v="2"/>
    <s v="TF trfr within plant"/>
    <s v="4924913397"/>
    <s v="M003"/>
    <s v="20251222"/>
    <s v=""/>
    <s v="17:02:21"/>
    <s v="JURASDOK"/>
    <s v="0001"/>
    <s v=""/>
    <s v="0000"/>
    <s v=""/>
    <s v="0000000000"/>
    <s v=""/>
    <s v=""/>
    <s v=""/>
    <s v=""/>
    <s v=""/>
    <s v=""/>
    <s v=""/>
    <s v=""/>
    <m/>
    <s v="PC"/>
    <n v="-630"/>
    <n v="0"/>
    <d v="2025-12-12T00:00:00"/>
    <d v="2025-12-12T00:00:00"/>
    <m/>
    <d v="2025-12-25T00:00:00"/>
    <n v="-630"/>
    <s v=""/>
    <x v="2"/>
    <e v="#N/A"/>
    <m/>
    <n v="0"/>
  </r>
  <r>
    <x v="18"/>
    <x v="18"/>
    <s v="0328"/>
    <x v="2"/>
    <s v="TF trfr within plant"/>
    <s v="4924913397"/>
    <s v="P003"/>
    <s v="20251222"/>
    <s v=""/>
    <s v="17:02:21"/>
    <s v="JURASDOK"/>
    <s v="0002"/>
    <s v=""/>
    <s v="0000"/>
    <s v=""/>
    <s v="0000000000"/>
    <s v=""/>
    <s v=""/>
    <s v=""/>
    <s v=""/>
    <s v=""/>
    <s v=""/>
    <s v=""/>
    <s v=""/>
    <m/>
    <s v="PC"/>
    <n v="630"/>
    <n v="0"/>
    <d v="2025-12-12T00:00:00"/>
    <d v="2025-12-12T00:00:00"/>
    <m/>
    <d v="2025-12-25T00:00:00"/>
    <n v="630"/>
    <s v=""/>
    <x v="2"/>
    <e v="#N/A"/>
    <m/>
    <n v="0"/>
  </r>
  <r>
    <x v="36"/>
    <x v="35"/>
    <s v="0328"/>
    <x v="7"/>
    <s v="GI for order"/>
    <s v="4924913516"/>
    <s v="P003"/>
    <s v="121225-B"/>
    <s v="303000000158"/>
    <s v="17:03:57"/>
    <s v="JURASDOK"/>
    <s v="0002"/>
    <s v=""/>
    <s v="0000"/>
    <s v=""/>
    <s v="0143070399"/>
    <s v=""/>
    <s v=""/>
    <s v=""/>
    <s v="53001003"/>
    <s v=""/>
    <s v=""/>
    <s v=""/>
    <s v=""/>
    <m/>
    <s v="KG"/>
    <n v="-4057.68"/>
    <n v="-1353155.13"/>
    <d v="2025-12-25T00:00:00"/>
    <d v="2025-12-12T00:00:00"/>
    <m/>
    <d v="2025-12-25T00:00:00"/>
    <n v="-4057680"/>
    <s v="303"/>
    <x v="4"/>
    <s v="ต้นทุนผลิตกึ่งสำเร็จ"/>
    <m/>
    <n v="333.48000088720647"/>
  </r>
  <r>
    <x v="5"/>
    <x v="5"/>
    <s v="0328"/>
    <x v="7"/>
    <s v="GI for order"/>
    <s v="4924913516"/>
    <s v="P003"/>
    <s v="04062025"/>
    <s v="303000000158"/>
    <s v="17:03:57"/>
    <s v="JURASDOK"/>
    <s v="0003"/>
    <s v=""/>
    <s v="0000"/>
    <s v=""/>
    <s v="0143070399"/>
    <s v=""/>
    <s v=""/>
    <s v=""/>
    <s v="53003000"/>
    <s v=""/>
    <s v=""/>
    <s v=""/>
    <s v=""/>
    <m/>
    <s v="PC"/>
    <n v="-8308"/>
    <n v="-7601.24"/>
    <d v="2025-12-25T00:00:00"/>
    <d v="2025-12-12T00:00:00"/>
    <m/>
    <d v="2025-12-25T00:00:00"/>
    <n v="-8308"/>
    <s v="303"/>
    <x v="2"/>
    <s v="ต้นทุนผลิตหีบห่อ"/>
    <m/>
    <n v="0.91493018777082324"/>
  </r>
  <r>
    <x v="17"/>
    <x v="17"/>
    <s v="0328"/>
    <x v="7"/>
    <s v="GI for order"/>
    <s v="4924913516"/>
    <s v="P003"/>
    <s v="20250915"/>
    <s v="303000000158"/>
    <s v="17:03:57"/>
    <s v="JURASDOK"/>
    <s v="0005"/>
    <s v=""/>
    <s v="0000"/>
    <s v=""/>
    <s v="0000000000"/>
    <s v=""/>
    <s v="Film roll Gold blend 420mm*900m"/>
    <s v=""/>
    <s v="53003000"/>
    <s v=""/>
    <s v=""/>
    <s v=""/>
    <s v=""/>
    <m/>
    <s v="PC"/>
    <n v="-8308"/>
    <n v="-14366.31"/>
    <d v="2025-12-25T00:00:00"/>
    <d v="2025-12-12T00:00:00"/>
    <m/>
    <d v="2025-12-25T00:00:00"/>
    <n v="-8308"/>
    <s v="303"/>
    <x v="2"/>
    <s v="ต้นทุนผลิตหีบห่อ"/>
    <m/>
    <n v="1.7292140105922003"/>
  </r>
  <r>
    <x v="18"/>
    <x v="18"/>
    <s v="0328"/>
    <x v="7"/>
    <s v="GI for order"/>
    <s v="4924913516"/>
    <s v="P003"/>
    <s v="19092025"/>
    <s v="303000000158"/>
    <s v="17:03:57"/>
    <s v="JURASDOK"/>
    <s v="0004"/>
    <s v=""/>
    <s v="0000"/>
    <s v=""/>
    <s v="0143070399"/>
    <s v=""/>
    <s v=""/>
    <s v=""/>
    <s v="53003000"/>
    <s v=""/>
    <s v=""/>
    <s v=""/>
    <s v=""/>
    <m/>
    <s v="PC"/>
    <n v="-721"/>
    <n v="-3605"/>
    <d v="2025-12-25T00:00:00"/>
    <d v="2025-12-12T00:00:00"/>
    <m/>
    <d v="2025-12-25T00:00:00"/>
    <n v="-721"/>
    <s v="303"/>
    <x v="2"/>
    <s v="ต้นทุนผลิตหีบห่อ"/>
    <m/>
    <n v="5"/>
  </r>
  <r>
    <x v="18"/>
    <x v="18"/>
    <s v="0328"/>
    <x v="7"/>
    <s v="GI for order"/>
    <s v="4924913516"/>
    <s v="P003"/>
    <s v="20251222"/>
    <s v="303000000158"/>
    <s v="17:03:57"/>
    <s v="JURASDOK"/>
    <s v="0006"/>
    <s v=""/>
    <s v="0000"/>
    <s v=""/>
    <s v="0000000000"/>
    <s v=""/>
    <s v="ลังกระดาษ 3กก. 287*240*177 mm. (No Logo)"/>
    <s v=""/>
    <s v="53003000"/>
    <s v=""/>
    <s v=""/>
    <s v=""/>
    <s v=""/>
    <m/>
    <s v="PC"/>
    <n v="-630"/>
    <n v="-3150"/>
    <d v="2025-12-25T00:00:00"/>
    <d v="2025-12-12T00:00:00"/>
    <m/>
    <d v="2025-12-25T00:00:00"/>
    <n v="-630"/>
    <s v="303"/>
    <x v="2"/>
    <s v="ต้นทุนผลิตหีบห่อ"/>
    <m/>
    <n v="5"/>
  </r>
  <r>
    <x v="10"/>
    <x v="10"/>
    <s v="0328"/>
    <x v="8"/>
    <s v="GR for order"/>
    <s v="4924913516"/>
    <s v="M001"/>
    <s v="121225-B"/>
    <s v="303000000158"/>
    <s v="17:03:57"/>
    <s v="JURASDOK"/>
    <s v="0001"/>
    <s v=""/>
    <s v="0000"/>
    <s v=""/>
    <s v="0000000000"/>
    <s v=""/>
    <s v=""/>
    <s v=""/>
    <s v="53001001"/>
    <s v=""/>
    <s v=""/>
    <s v=""/>
    <s v=""/>
    <m/>
    <s v="BAG"/>
    <n v="8107"/>
    <n v="1410780.14"/>
    <d v="2025-12-25T00:00:00"/>
    <d v="2025-12-12T00:00:00"/>
    <m/>
    <d v="2025-12-25T00:00:00"/>
    <n v="4053500"/>
    <s v="303"/>
    <x v="0"/>
    <s v="ต้นทุนผลิตโอน F/G"/>
    <m/>
    <n v="174.01999999999998"/>
  </r>
  <r>
    <x v="5"/>
    <x v="5"/>
    <s v="0328"/>
    <x v="2"/>
    <s v="TF trfr within plant"/>
    <s v="4924913631"/>
    <s v="P003"/>
    <s v="04062025"/>
    <s v=""/>
    <s v="17:07:12"/>
    <s v="RAPEESAN01"/>
    <s v="0002"/>
    <s v=""/>
    <s v="0000"/>
    <s v=""/>
    <s v="0000000000"/>
    <s v=""/>
    <s v=""/>
    <s v=""/>
    <s v=""/>
    <s v=""/>
    <s v=""/>
    <s v=""/>
    <s v=""/>
    <m/>
    <s v="PC"/>
    <n v="20000"/>
    <n v="0"/>
    <d v="2025-12-25T00:00:00"/>
    <d v="2025-12-25T00:00:00"/>
    <m/>
    <d v="2025-12-25T00:00:00"/>
    <n v="20000"/>
    <s v=""/>
    <x v="2"/>
    <e v="#N/A"/>
    <m/>
    <n v="0"/>
  </r>
  <r>
    <x v="5"/>
    <x v="5"/>
    <s v="0328"/>
    <x v="2"/>
    <s v="TF trfr within plant"/>
    <s v="4924913631"/>
    <s v="M003"/>
    <s v="04062025"/>
    <s v=""/>
    <s v="17:07:12"/>
    <s v="RAPEESAN01"/>
    <s v="0001"/>
    <s v=""/>
    <s v="0000"/>
    <s v=""/>
    <s v="0000000000"/>
    <s v=""/>
    <s v=""/>
    <s v=""/>
    <s v=""/>
    <s v=""/>
    <s v=""/>
    <s v=""/>
    <s v=""/>
    <m/>
    <s v="PC"/>
    <n v="-20000"/>
    <n v="0"/>
    <d v="2025-12-25T00:00:00"/>
    <d v="2025-12-25T00:00:00"/>
    <m/>
    <d v="2025-12-25T00:00:00"/>
    <n v="-20000"/>
    <s v=""/>
    <x v="2"/>
    <e v="#N/A"/>
    <m/>
    <n v="0"/>
  </r>
  <r>
    <x v="6"/>
    <x v="6"/>
    <s v="0328"/>
    <x v="2"/>
    <s v="TF trfr within plant"/>
    <s v="4924913631"/>
    <s v="P003"/>
    <s v="20251212"/>
    <s v=""/>
    <s v="17:07:12"/>
    <s v="RAPEESAN01"/>
    <s v="0004"/>
    <s v=""/>
    <s v="0000"/>
    <s v=""/>
    <s v="0000000000"/>
    <s v=""/>
    <s v=""/>
    <s v=""/>
    <s v=""/>
    <s v=""/>
    <s v=""/>
    <s v=""/>
    <s v=""/>
    <m/>
    <s v="PC"/>
    <n v="18000"/>
    <n v="0"/>
    <d v="2025-12-25T00:00:00"/>
    <d v="2025-12-25T00:00:00"/>
    <m/>
    <d v="2025-12-25T00:00:00"/>
    <n v="18000"/>
    <s v=""/>
    <x v="2"/>
    <e v="#N/A"/>
    <m/>
    <n v="0"/>
  </r>
  <r>
    <x v="6"/>
    <x v="6"/>
    <s v="0328"/>
    <x v="2"/>
    <s v="TF trfr within plant"/>
    <s v="4924913631"/>
    <s v="M003"/>
    <s v="20251212"/>
    <s v=""/>
    <s v="17:07:12"/>
    <s v="RAPEESAN01"/>
    <s v="0003"/>
    <s v=""/>
    <s v="0000"/>
    <s v=""/>
    <s v="0000000000"/>
    <s v=""/>
    <s v=""/>
    <s v=""/>
    <s v=""/>
    <s v=""/>
    <s v=""/>
    <s v=""/>
    <s v=""/>
    <m/>
    <s v="PC"/>
    <n v="-18000"/>
    <n v="0"/>
    <d v="2025-12-25T00:00:00"/>
    <d v="2025-12-25T00:00:00"/>
    <m/>
    <d v="2025-12-25T00:00:00"/>
    <n v="-18000"/>
    <s v=""/>
    <x v="2"/>
    <e v="#N/A"/>
    <m/>
    <n v="0"/>
  </r>
  <r>
    <x v="7"/>
    <x v="7"/>
    <s v="0328"/>
    <x v="2"/>
    <s v="TF trfr within plant"/>
    <s v="4924913631"/>
    <s v="M003"/>
    <s v="20251206"/>
    <s v=""/>
    <s v="17:07:12"/>
    <s v="RAPEESAN01"/>
    <s v="0005"/>
    <s v=""/>
    <s v="0000"/>
    <s v=""/>
    <s v="0000000000"/>
    <s v=""/>
    <s v=""/>
    <s v=""/>
    <s v=""/>
    <s v=""/>
    <s v=""/>
    <s v=""/>
    <s v=""/>
    <m/>
    <s v="PC"/>
    <n v="-1185"/>
    <n v="0"/>
    <d v="2025-12-25T00:00:00"/>
    <d v="2025-12-25T00:00:00"/>
    <m/>
    <d v="2025-12-25T00:00:00"/>
    <n v="-1185"/>
    <s v=""/>
    <x v="2"/>
    <e v="#N/A"/>
    <m/>
    <n v="0"/>
  </r>
  <r>
    <x v="7"/>
    <x v="7"/>
    <s v="0328"/>
    <x v="2"/>
    <s v="TF trfr within plant"/>
    <s v="4924913631"/>
    <s v="P003"/>
    <s v="20251206"/>
    <s v=""/>
    <s v="17:07:12"/>
    <s v="RAPEESAN01"/>
    <s v="0006"/>
    <s v=""/>
    <s v="0000"/>
    <s v=""/>
    <s v="0000000000"/>
    <s v=""/>
    <s v=""/>
    <s v=""/>
    <s v=""/>
    <s v=""/>
    <s v=""/>
    <s v=""/>
    <s v=""/>
    <m/>
    <s v="PC"/>
    <n v="1185"/>
    <n v="0"/>
    <d v="2025-12-25T00:00:00"/>
    <d v="2025-12-25T00:00:00"/>
    <m/>
    <d v="2025-12-25T00:00:00"/>
    <n v="1185"/>
    <s v=""/>
    <x v="2"/>
    <e v="#N/A"/>
    <m/>
    <n v="0"/>
  </r>
  <r>
    <x v="7"/>
    <x v="7"/>
    <s v="0328"/>
    <x v="2"/>
    <s v="TF trfr within plant"/>
    <s v="4924913631"/>
    <s v="M003"/>
    <s v="20251222"/>
    <s v=""/>
    <s v="17:07:12"/>
    <s v="RAPEESAN01"/>
    <s v="0007"/>
    <s v=""/>
    <s v="0000"/>
    <s v=""/>
    <s v="0000000000"/>
    <s v=""/>
    <s v=""/>
    <s v=""/>
    <s v=""/>
    <s v=""/>
    <s v=""/>
    <s v=""/>
    <s v=""/>
    <m/>
    <s v="PC"/>
    <n v="-1815"/>
    <n v="0"/>
    <d v="2025-12-25T00:00:00"/>
    <d v="2025-12-25T00:00:00"/>
    <m/>
    <d v="2025-12-25T00:00:00"/>
    <n v="-1815"/>
    <s v=""/>
    <x v="2"/>
    <e v="#N/A"/>
    <m/>
    <n v="0"/>
  </r>
  <r>
    <x v="7"/>
    <x v="7"/>
    <s v="0328"/>
    <x v="2"/>
    <s v="TF trfr within plant"/>
    <s v="4924913631"/>
    <s v="P003"/>
    <s v="20251222"/>
    <s v=""/>
    <s v="17:07:12"/>
    <s v="RAPEESAN01"/>
    <s v="0008"/>
    <s v=""/>
    <s v="0000"/>
    <s v=""/>
    <s v="0000000000"/>
    <s v=""/>
    <s v=""/>
    <s v=""/>
    <s v=""/>
    <s v=""/>
    <s v=""/>
    <s v=""/>
    <s v=""/>
    <m/>
    <s v="PC"/>
    <n v="1815"/>
    <n v="0"/>
    <d v="2025-12-25T00:00:00"/>
    <d v="2025-12-25T00:00:00"/>
    <m/>
    <d v="2025-12-25T00:00:00"/>
    <n v="1815"/>
    <s v=""/>
    <x v="2"/>
    <e v="#N/A"/>
    <m/>
    <n v="0"/>
  </r>
  <r>
    <x v="28"/>
    <x v="27"/>
    <s v="0328"/>
    <x v="7"/>
    <s v="GI for order"/>
    <s v="4924913937"/>
    <s v="P002"/>
    <s v="250828-TTW"/>
    <s v="302000000153"/>
    <s v="17:19:31"/>
    <s v="JURASDOK"/>
    <s v="0003"/>
    <s v=""/>
    <s v="0000"/>
    <s v=""/>
    <s v="0000000000"/>
    <s v=""/>
    <s v="เมล็ดกาแฟ Clean Arabica Size ต่ำกว่า S&amp;M"/>
    <s v=""/>
    <s v="53001003"/>
    <s v=""/>
    <s v=""/>
    <s v=""/>
    <s v=""/>
    <m/>
    <s v="KG"/>
    <n v="-845"/>
    <n v="-225462.9"/>
    <d v="2025-12-25T00:00:00"/>
    <d v="2025-12-12T00:00:00"/>
    <m/>
    <d v="2025-12-25T00:00:00"/>
    <n v="-845000"/>
    <s v="302"/>
    <x v="4"/>
    <s v="ต้นทุนผลิตกึ่งสำเร็จ"/>
    <m/>
    <n v="266.82"/>
  </r>
  <r>
    <x v="15"/>
    <x v="15"/>
    <s v="0328"/>
    <x v="7"/>
    <s v="GI for order"/>
    <s v="4924913937"/>
    <s v="P002"/>
    <s v="250815-TTW"/>
    <s v="302000000153"/>
    <s v="17:19:31"/>
    <s v="JURASDOK"/>
    <s v="0002"/>
    <s v=""/>
    <s v="0000"/>
    <s v=""/>
    <s v="0143071902"/>
    <s v=""/>
    <s v=""/>
    <s v=""/>
    <s v="53001003"/>
    <s v=""/>
    <s v=""/>
    <s v=""/>
    <s v=""/>
    <m/>
    <s v="KG"/>
    <n v="-211"/>
    <n v="-43219.13"/>
    <d v="2025-12-25T00:00:00"/>
    <d v="2025-12-12T00:00:00"/>
    <m/>
    <d v="2025-12-25T00:00:00"/>
    <n v="-211000"/>
    <s v="302"/>
    <x v="4"/>
    <s v="ต้นทุนผลิตกึ่งสำเร็จ"/>
    <m/>
    <n v="204.82999999999998"/>
  </r>
  <r>
    <x v="36"/>
    <x v="35"/>
    <s v="0328"/>
    <x v="8"/>
    <s v="GR for order"/>
    <s v="4924913937"/>
    <s v="P003"/>
    <s v="121225-B"/>
    <s v="302000000153"/>
    <s v="17:19:31"/>
    <s v="JURASDOK"/>
    <s v="0001"/>
    <s v=""/>
    <s v="0000"/>
    <s v=""/>
    <s v="0000000000"/>
    <s v=""/>
    <s v=""/>
    <s v=""/>
    <s v="53001004"/>
    <s v=""/>
    <s v=""/>
    <s v=""/>
    <s v=""/>
    <m/>
    <s v="KG"/>
    <n v="900"/>
    <n v="300132"/>
    <d v="2025-12-25T00:00:00"/>
    <d v="2025-12-12T00:00:00"/>
    <m/>
    <d v="2025-12-25T00:00:00"/>
    <n v="900000"/>
    <s v="302"/>
    <x v="4"/>
    <s v="ต้นทุนผลิตโอน Semi"/>
    <m/>
    <n v="333.48"/>
  </r>
  <r>
    <x v="3"/>
    <x v="3"/>
    <s v="0328"/>
    <x v="2"/>
    <s v="TF trfr within plant"/>
    <s v="4924914154"/>
    <s v="M001"/>
    <s v="121225-B"/>
    <s v=""/>
    <s v="17:23:14"/>
    <s v="JURASDOK"/>
    <s v="0001"/>
    <s v=""/>
    <s v="0000"/>
    <s v=""/>
    <s v="0000000000"/>
    <s v=""/>
    <s v=""/>
    <s v=""/>
    <s v=""/>
    <s v=""/>
    <s v=""/>
    <s v=""/>
    <s v=""/>
    <m/>
    <s v="BAG"/>
    <n v="-599"/>
    <n v="0"/>
    <d v="2025-12-25T00:00:00"/>
    <d v="2025-12-25T00:00:00"/>
    <m/>
    <d v="2025-12-25T00:00:00"/>
    <n v="-299500"/>
    <s v=""/>
    <x v="0"/>
    <e v="#N/A"/>
    <m/>
    <n v="0"/>
  </r>
  <r>
    <x v="3"/>
    <x v="3"/>
    <s v="0328"/>
    <x v="2"/>
    <s v="TF trfr within plant"/>
    <s v="4924914154"/>
    <s v="P004"/>
    <s v="121225-B"/>
    <s v=""/>
    <s v="17:23:14"/>
    <s v="JURASDOK"/>
    <s v="0002"/>
    <s v=""/>
    <s v="0000"/>
    <s v=""/>
    <s v="0000000000"/>
    <s v=""/>
    <s v=""/>
    <s v=""/>
    <s v=""/>
    <s v=""/>
    <s v=""/>
    <s v=""/>
    <s v=""/>
    <m/>
    <s v="BAG"/>
    <n v="599"/>
    <n v="0"/>
    <d v="2025-12-25T00:00:00"/>
    <d v="2025-12-25T00:00:00"/>
    <m/>
    <d v="2025-12-25T00:00:00"/>
    <n v="299500"/>
    <s v=""/>
    <x v="0"/>
    <e v="#N/A"/>
    <m/>
    <n v="0"/>
  </r>
  <r>
    <x v="2"/>
    <x v="2"/>
    <s v="0328"/>
    <x v="5"/>
    <s v="GI ค่าวิจัยและพัฒนา"/>
    <s v="4924914166"/>
    <s v="M001"/>
    <s v="011203-B/T"/>
    <s v=""/>
    <s v="17:23:22"/>
    <s v="RAPEESAN01"/>
    <s v="0001"/>
    <s v=""/>
    <s v="0000"/>
    <s v=""/>
    <s v="0143071916"/>
    <s v=""/>
    <s v="Routine MFG 25.12.25 Lot.1 R2-1"/>
    <s v="405053"/>
    <s v="67501001"/>
    <s v=""/>
    <s v=""/>
    <s v=""/>
    <s v=""/>
    <m/>
    <s v="BAG"/>
    <n v="-5"/>
    <n v="-868.5"/>
    <d v="2025-12-25T00:00:00"/>
    <d v="2025-12-25T00:00:00"/>
    <m/>
    <d v="2025-12-25T00:00:00"/>
    <n v="-2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4166"/>
    <s v="M001"/>
    <s v="011203-B/T"/>
    <s v=""/>
    <s v="17:23:22"/>
    <s v="RAPEESAN01"/>
    <s v="0002"/>
    <s v=""/>
    <s v="0000"/>
    <s v=""/>
    <s v="0143071916"/>
    <s v=""/>
    <s v="Retain 25.12.25 Lot.1 R2-1"/>
    <s v="405053"/>
    <s v="67501001"/>
    <s v=""/>
    <s v=""/>
    <s v=""/>
    <s v=""/>
    <m/>
    <s v="BAG"/>
    <n v="-5"/>
    <n v="-868.5"/>
    <d v="2025-12-25T00:00:00"/>
    <d v="2025-12-25T00:00:00"/>
    <m/>
    <d v="2025-12-25T00:00:00"/>
    <n v="-2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4298"/>
    <s v="M001"/>
    <s v="011203-B/T"/>
    <s v=""/>
    <s v="17:25:39"/>
    <s v="RAPEESAN01"/>
    <s v="0001"/>
    <s v=""/>
    <s v="0000"/>
    <s v=""/>
    <s v="0143071966"/>
    <s v=""/>
    <s v="ตรวจเพิ่ม 25.12.25 Lot.1 R2-1 P.1"/>
    <s v="405053"/>
    <s v="67501001"/>
    <s v=""/>
    <s v=""/>
    <s v=""/>
    <s v=""/>
    <m/>
    <s v="BAG"/>
    <n v="-2"/>
    <n v="-347.4"/>
    <d v="2025-12-25T00:00:00"/>
    <d v="2025-12-25T00:00:00"/>
    <m/>
    <d v="2025-12-25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4298"/>
    <s v="M001"/>
    <s v="011203-B/T"/>
    <s v=""/>
    <s v="17:25:39"/>
    <s v="RAPEESAN01"/>
    <s v="0002"/>
    <s v=""/>
    <s v="0000"/>
    <s v=""/>
    <s v="0143071966"/>
    <s v=""/>
    <s v="Repack 16.12.25 Lot.3 R210 P.15"/>
    <s v="405053"/>
    <s v="67501001"/>
    <s v=""/>
    <s v=""/>
    <s v=""/>
    <s v=""/>
    <m/>
    <s v="BAG"/>
    <n v="-1"/>
    <n v="-173.7"/>
    <d v="2025-12-25T00:00:00"/>
    <d v="2025-12-25T00:00:00"/>
    <m/>
    <d v="2025-12-25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4298"/>
    <s v="M001"/>
    <s v="011203-B/T"/>
    <s v=""/>
    <s v="17:25:39"/>
    <s v="RAPEESAN01"/>
    <s v="0003"/>
    <s v=""/>
    <s v="0000"/>
    <s v=""/>
    <s v="0143071966"/>
    <s v=""/>
    <s v="Repack 16.12.25 Lot.3 R210 P.23"/>
    <s v="405053"/>
    <s v="67501001"/>
    <s v=""/>
    <s v=""/>
    <s v=""/>
    <s v=""/>
    <m/>
    <s v="BAG"/>
    <n v="-1"/>
    <n v="-173.7"/>
    <d v="2025-12-25T00:00:00"/>
    <d v="2025-12-25T00:00:00"/>
    <m/>
    <d v="2025-12-25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4914298"/>
    <s v="M001"/>
    <s v="011203-B/T"/>
    <s v=""/>
    <s v="17:25:39"/>
    <s v="RAPEESAN01"/>
    <s v="0004"/>
    <s v=""/>
    <s v="0000"/>
    <s v=""/>
    <s v="0143071966"/>
    <s v=""/>
    <s v="ตรวจเพิ่ม 20.12.25 Lot.4 R2-1 ต้น,ท้าย Sam2"/>
    <s v="405053"/>
    <s v="67501001"/>
    <s v=""/>
    <s v=""/>
    <s v=""/>
    <s v=""/>
    <m/>
    <s v="BAG"/>
    <n v="-2"/>
    <n v="-347.4"/>
    <d v="2025-12-25T00:00:00"/>
    <d v="2025-12-25T00:00:00"/>
    <m/>
    <d v="2025-12-25T00:00:00"/>
    <n v="-1000"/>
    <s v=""/>
    <x v="0"/>
    <s v="ค่าวิจัยคุณภาพสินค้า"/>
    <m/>
    <n v="173.7"/>
  </r>
  <r>
    <x v="11"/>
    <x v="11"/>
    <s v="0328"/>
    <x v="5"/>
    <s v="GI ค่าวิจัยและพัฒนา"/>
    <s v="4924914466"/>
    <s v="M002"/>
    <s v="251209-TTW"/>
    <s v=""/>
    <s v="17:29:24"/>
    <s v="RAPEESAN01"/>
    <s v="0001"/>
    <s v=""/>
    <s v="0000"/>
    <s v=""/>
    <s v="0143029164"/>
    <s v=""/>
    <s v="RD เบิกคั่วทดสอบรสชาติก่อนผลิตจริง"/>
    <s v="405053"/>
    <s v="67501001"/>
    <s v=""/>
    <s v=""/>
    <s v=""/>
    <s v=""/>
    <m/>
    <s v="KG"/>
    <n v="-19.2"/>
    <n v="-4884.5200000000004"/>
    <d v="2025-12-24T00:00:00"/>
    <d v="2025-12-24T00:00:00"/>
    <m/>
    <d v="2025-12-25T00:00:00"/>
    <n v="-19200"/>
    <s v=""/>
    <x v="3"/>
    <s v="ค่าวิจัยคุณภาพสินค้า"/>
    <m/>
    <n v="254.40208333333337"/>
  </r>
  <r>
    <x v="12"/>
    <x v="12"/>
    <s v="0328"/>
    <x v="5"/>
    <s v="GI ค่าวิจัยและพัฒนา"/>
    <s v="4924914466"/>
    <s v="M002"/>
    <s v="251127-BBB"/>
    <s v=""/>
    <s v="17:29:24"/>
    <s v="RAPEESAN01"/>
    <s v="0002"/>
    <s v=""/>
    <s v="0000"/>
    <s v=""/>
    <s v="0143029164"/>
    <s v=""/>
    <s v="RD เบิกคั่วทดสอบรสชาติก่อนผลิตจริง"/>
    <s v="405053"/>
    <s v="67501001"/>
    <s v=""/>
    <s v=""/>
    <s v=""/>
    <s v=""/>
    <m/>
    <s v="KG"/>
    <n v="-4.8"/>
    <n v="-938.42"/>
    <d v="2025-12-24T00:00:00"/>
    <d v="2025-12-24T00:00:00"/>
    <m/>
    <d v="2025-12-25T00:00:00"/>
    <n v="-4800"/>
    <s v=""/>
    <x v="3"/>
    <s v="ค่าวิจัยคุณภาพสินค้า"/>
    <m/>
    <n v="195.50416666666666"/>
  </r>
  <r>
    <x v="2"/>
    <x v="2"/>
    <s v="0328"/>
    <x v="5"/>
    <s v="GI ค่าวิจัยและพัฒนา"/>
    <s v="4924914659"/>
    <s v="M001"/>
    <s v="011203-B/T"/>
    <s v=""/>
    <s v="17:35:35"/>
    <s v="RAPEESAN01"/>
    <s v="0001"/>
    <s v=""/>
    <s v="0000"/>
    <s v=""/>
    <s v="0143072406"/>
    <s v=""/>
    <s v="RD เบิกทดสอบรสชาติ 11.10.2025 Lot.1"/>
    <s v="405053"/>
    <s v="67501001"/>
    <s v=""/>
    <s v=""/>
    <s v=""/>
    <s v=""/>
    <m/>
    <s v="BAG"/>
    <n v="-1"/>
    <n v="-173.7"/>
    <d v="2025-12-25T00:00:00"/>
    <d v="2025-12-25T00:00:00"/>
    <m/>
    <d v="2025-12-25T00:00:00"/>
    <n v="-500"/>
    <s v=""/>
    <x v="0"/>
    <s v="ค่าวิจัยคุณภาพสินค้า"/>
    <m/>
    <n v="173.7"/>
  </r>
  <r>
    <x v="36"/>
    <x v="35"/>
    <s v="0328"/>
    <x v="7"/>
    <s v="GI for order"/>
    <s v="4924914663"/>
    <s v="P003"/>
    <s v="121225-B"/>
    <s v="303000000159"/>
    <s v="17:34:11"/>
    <s v="JURASDOK"/>
    <s v="0002"/>
    <s v=""/>
    <s v="0000"/>
    <s v=""/>
    <s v="0143072614"/>
    <s v=""/>
    <s v=""/>
    <s v=""/>
    <s v="53001003"/>
    <s v=""/>
    <s v=""/>
    <s v=""/>
    <s v=""/>
    <m/>
    <s v="KG"/>
    <n v="-900"/>
    <n v="-300132"/>
    <d v="2025-12-25T00:00:00"/>
    <d v="2025-12-12T00:00:00"/>
    <m/>
    <d v="2025-12-25T00:00:00"/>
    <n v="-900000"/>
    <s v="303"/>
    <x v="4"/>
    <s v="ต้นทุนผลิตกึ่งสำเร็จ"/>
    <m/>
    <n v="333.48"/>
  </r>
  <r>
    <x v="5"/>
    <x v="5"/>
    <s v="0328"/>
    <x v="7"/>
    <s v="GI for order"/>
    <s v="4924914663"/>
    <s v="P003"/>
    <s v="04062025"/>
    <s v="303000000159"/>
    <s v="17:34:11"/>
    <s v="JURASDOK"/>
    <s v="0003"/>
    <s v=""/>
    <s v="0000"/>
    <s v=""/>
    <s v="0143072614"/>
    <s v=""/>
    <s v=""/>
    <s v=""/>
    <s v="53003000"/>
    <s v=""/>
    <s v=""/>
    <s v=""/>
    <s v=""/>
    <m/>
    <s v="PC"/>
    <n v="-1800"/>
    <n v="-1646.87"/>
    <d v="2025-12-25T00:00:00"/>
    <d v="2025-12-12T00:00:00"/>
    <m/>
    <d v="2025-12-25T00:00:00"/>
    <n v="-1800"/>
    <s v="303"/>
    <x v="2"/>
    <s v="ต้นทุนผลิตหีบห่อ"/>
    <m/>
    <n v="0.91492777777777767"/>
  </r>
  <r>
    <x v="17"/>
    <x v="17"/>
    <s v="0328"/>
    <x v="7"/>
    <s v="GI for order"/>
    <s v="4924914663"/>
    <s v="P003"/>
    <s v="20250915"/>
    <s v="303000000159"/>
    <s v="17:34:11"/>
    <s v="JURASDOK"/>
    <s v="0005"/>
    <s v=""/>
    <s v="0000"/>
    <s v=""/>
    <s v="0000000000"/>
    <s v=""/>
    <s v="Film roll Gold blend 420mm*900m"/>
    <s v=""/>
    <s v="53003000"/>
    <s v=""/>
    <s v=""/>
    <s v=""/>
    <s v=""/>
    <m/>
    <s v="PC"/>
    <n v="-1800"/>
    <n v="-3112.58"/>
    <d v="2025-12-25T00:00:00"/>
    <d v="2025-12-12T00:00:00"/>
    <m/>
    <d v="2025-12-25T00:00:00"/>
    <n v="-1800"/>
    <s v="303"/>
    <x v="2"/>
    <s v="ต้นทุนผลิตหีบห่อ"/>
    <m/>
    <n v="1.729211111111111"/>
  </r>
  <r>
    <x v="18"/>
    <x v="18"/>
    <s v="0328"/>
    <x v="7"/>
    <s v="GI for order"/>
    <s v="4924914663"/>
    <s v="P003"/>
    <s v="20251222"/>
    <s v="303000000159"/>
    <s v="17:34:11"/>
    <s v="JURASDOK"/>
    <s v="0004"/>
    <s v=""/>
    <s v="0000"/>
    <s v=""/>
    <s v="0143072614"/>
    <s v=""/>
    <s v=""/>
    <s v=""/>
    <s v="53003000"/>
    <s v=""/>
    <s v=""/>
    <s v=""/>
    <s v=""/>
    <m/>
    <s v="PC"/>
    <n v="-300"/>
    <n v="-1500"/>
    <d v="2025-12-25T00:00:00"/>
    <d v="2025-12-12T00:00:00"/>
    <m/>
    <d v="2025-12-25T00:00:00"/>
    <n v="-300"/>
    <s v="303"/>
    <x v="2"/>
    <s v="ต้นทุนผลิตหีบห่อ"/>
    <m/>
    <n v="5"/>
  </r>
  <r>
    <x v="1"/>
    <x v="1"/>
    <s v="0328"/>
    <x v="8"/>
    <s v="GR for order"/>
    <s v="4924914663"/>
    <s v="M001"/>
    <s v="121225-B"/>
    <s v="303000000159"/>
    <s v="17:34:11"/>
    <s v="JURASDOK"/>
    <s v="0001"/>
    <s v=""/>
    <s v="0000"/>
    <s v=""/>
    <s v="0000000000"/>
    <s v=""/>
    <s v=""/>
    <s v=""/>
    <s v="53001001"/>
    <s v=""/>
    <s v=""/>
    <s v=""/>
    <s v=""/>
    <m/>
    <s v="BAG"/>
    <n v="1800"/>
    <n v="313236"/>
    <d v="2025-12-25T00:00:00"/>
    <d v="2025-12-12T00:00:00"/>
    <m/>
    <d v="2025-12-25T00:00:00"/>
    <n v="900000"/>
    <s v="303"/>
    <x v="0"/>
    <s v="ต้นทุนผลิตโอน F/G"/>
    <m/>
    <n v="174.02"/>
  </r>
  <r>
    <x v="3"/>
    <x v="3"/>
    <s v="0328"/>
    <x v="0"/>
    <s v="GD goods issue:delvy"/>
    <s v="4924914932"/>
    <s v="P004"/>
    <s v="121225-B"/>
    <s v=""/>
    <s v="17:39:21"/>
    <s v="THANAWIS"/>
    <s v="0002"/>
    <s v=""/>
    <s v="0000"/>
    <s v=""/>
    <s v="0000000000"/>
    <s v=""/>
    <s v=""/>
    <s v=""/>
    <s v="51003100"/>
    <s v=""/>
    <s v=""/>
    <s v=""/>
    <s v="2000110618"/>
    <m/>
    <s v="BAG"/>
    <n v="-42"/>
    <n v="-7609.56"/>
    <d v="2025-12-25T00:00:00"/>
    <d v="2025-12-25T00:00:00"/>
    <m/>
    <d v="2025-12-25T00:00:00"/>
    <n v="-21000"/>
    <s v=""/>
    <x v="0"/>
    <s v="ต้นทุนขาย"/>
    <m/>
    <n v="181.18"/>
  </r>
  <r>
    <x v="14"/>
    <x v="14"/>
    <s v="0328"/>
    <x v="7"/>
    <s v="GI for order"/>
    <s v="4924914936"/>
    <s v="P002"/>
    <s v="251209-BBB"/>
    <s v="302000000148"/>
    <s v="17:40:15"/>
    <s v="JURASDOK"/>
    <s v="0004"/>
    <s v=""/>
    <s v="0000"/>
    <s v=""/>
    <s v="0000000000"/>
    <s v=""/>
    <s v="เมล็ดกาแฟ Clean Arabica Size L"/>
    <s v=""/>
    <s v="53001003"/>
    <s v=""/>
    <s v=""/>
    <s v=""/>
    <s v=""/>
    <m/>
    <s v="KG"/>
    <n v="-1338.1"/>
    <n v="-357031.84"/>
    <d v="2025-12-25T00:00:00"/>
    <d v="2025-12-15T00:00:00"/>
    <m/>
    <d v="2025-12-25T00:00:00"/>
    <n v="-1338100"/>
    <s v="302"/>
    <x v="4"/>
    <s v="ต้นทุนผลิตกึ่งสำเร็จ"/>
    <m/>
    <n v="266.81999850534345"/>
  </r>
  <r>
    <x v="14"/>
    <x v="14"/>
    <s v="0328"/>
    <x v="7"/>
    <s v="GI for order"/>
    <s v="4924914936"/>
    <s v="P002"/>
    <s v="250925-BBB"/>
    <s v="302000000148"/>
    <s v="17:40:15"/>
    <s v="JURASDOK"/>
    <s v="0002"/>
    <s v=""/>
    <s v="0000"/>
    <s v=""/>
    <s v="0142833259"/>
    <s v=""/>
    <s v=""/>
    <s v=""/>
    <s v="53001003"/>
    <s v=""/>
    <s v=""/>
    <s v=""/>
    <s v=""/>
    <m/>
    <s v="KG"/>
    <n v="-7502.1"/>
    <n v="-2001710.32"/>
    <d v="2025-12-25T00:00:00"/>
    <d v="2025-12-15T00:00:00"/>
    <m/>
    <d v="2025-12-25T00:00:00"/>
    <n v="-7502100"/>
    <s v="302"/>
    <x v="4"/>
    <s v="ต้นทุนผลิตกึ่งสำเร็จ"/>
    <m/>
    <n v="266.819999733408"/>
  </r>
  <r>
    <x v="15"/>
    <x v="15"/>
    <s v="0328"/>
    <x v="7"/>
    <s v="GI for order"/>
    <s v="4924914936"/>
    <s v="P002"/>
    <s v="250815-TTW"/>
    <s v="302000000148"/>
    <s v="17:40:15"/>
    <s v="JURASDOK"/>
    <s v="0003"/>
    <s v=""/>
    <s v="0000"/>
    <s v=""/>
    <s v="0142833259"/>
    <s v=""/>
    <s v=""/>
    <s v=""/>
    <s v="53001003"/>
    <s v=""/>
    <s v=""/>
    <s v=""/>
    <s v=""/>
    <m/>
    <s v="KG"/>
    <n v="-2213.27"/>
    <n v="-453344.09"/>
    <d v="2025-12-25T00:00:00"/>
    <d v="2025-12-15T00:00:00"/>
    <m/>
    <d v="2025-12-25T00:00:00"/>
    <n v="-2213270"/>
    <s v="302"/>
    <x v="4"/>
    <s v="ต้นทุนผลิตกึ่งสำเร็จ"/>
    <m/>
    <n v="204.82999814753737"/>
  </r>
  <r>
    <x v="16"/>
    <x v="16"/>
    <s v="0328"/>
    <x v="8"/>
    <s v="GR for order"/>
    <s v="4924914936"/>
    <s v="P003"/>
    <s v="151225-B/T"/>
    <s v="302000000148"/>
    <s v="17:40:15"/>
    <s v="JURASDOK"/>
    <s v="0001"/>
    <s v=""/>
    <s v="0000"/>
    <s v=""/>
    <s v="0000000000"/>
    <s v=""/>
    <s v=""/>
    <s v=""/>
    <s v="53001004"/>
    <s v=""/>
    <s v=""/>
    <s v=""/>
    <s v=""/>
    <m/>
    <s v="KG"/>
    <n v="8909.51"/>
    <n v="2971143.39"/>
    <d v="2025-12-25T00:00:00"/>
    <d v="2025-12-15T00:00:00"/>
    <m/>
    <d v="2025-12-25T00:00:00"/>
    <n v="8909510"/>
    <s v="302"/>
    <x v="4"/>
    <s v="ต้นทุนผลิตโอน Semi"/>
    <m/>
    <n v="333.47999946124986"/>
  </r>
  <r>
    <x v="3"/>
    <x v="3"/>
    <s v="0328"/>
    <x v="1"/>
    <s v="GIส่งเสริมการขายอื่น"/>
    <s v="4924915172"/>
    <s v="P004"/>
    <s v="121225-B"/>
    <s v=""/>
    <s v="17:45:31"/>
    <s v="THANAWIS"/>
    <s v="0003"/>
    <s v=""/>
    <s v="0000"/>
    <s v=""/>
    <s v="0143072715"/>
    <s v=""/>
    <s v=""/>
    <s v="405004"/>
    <s v="65109000"/>
    <s v=""/>
    <s v=""/>
    <s v=""/>
    <s v=""/>
    <m/>
    <s v="BAG"/>
    <n v="-291"/>
    <n v="-52723.38"/>
    <d v="2025-12-25T00:00:00"/>
    <d v="2025-12-25T00:00:00"/>
    <m/>
    <d v="2025-12-25T00:00:00"/>
    <n v="-145500"/>
    <s v=""/>
    <x v="0"/>
    <s v="ส่งเสริมฯ อื่น"/>
    <m/>
    <n v="181.17999999999998"/>
  </r>
  <r>
    <x v="3"/>
    <x v="3"/>
    <s v="0328"/>
    <x v="1"/>
    <s v="GIส่งเสริมการขายอื่น"/>
    <s v="4924915172"/>
    <s v="P004"/>
    <s v="1"/>
    <s v=""/>
    <s v="17:45:31"/>
    <s v="THANAWIS"/>
    <s v="0001"/>
    <s v=""/>
    <s v="0000"/>
    <s v=""/>
    <s v="0143072715"/>
    <s v=""/>
    <s v=""/>
    <s v="405004"/>
    <s v="65109000"/>
    <s v=""/>
    <s v=""/>
    <s v=""/>
    <s v=""/>
    <m/>
    <s v="BAG"/>
    <n v="-26"/>
    <n v="-4710.68"/>
    <d v="2025-12-25T00:00:00"/>
    <d v="2025-12-25T00:00:00"/>
    <m/>
    <d v="2025-12-25T00:00:00"/>
    <n v="-13000"/>
    <s v=""/>
    <x v="0"/>
    <s v="ส่งเสริมฯ อื่น"/>
    <m/>
    <n v="181.18"/>
  </r>
  <r>
    <x v="3"/>
    <x v="3"/>
    <s v="0328"/>
    <x v="1"/>
    <s v="GIส่งเสริมการขายอื่น"/>
    <s v="4924915172"/>
    <s v="P004"/>
    <s v="160701-RE"/>
    <s v=""/>
    <s v="17:45:31"/>
    <s v="THANAWIS"/>
    <s v="0002"/>
    <s v=""/>
    <s v="0000"/>
    <s v=""/>
    <s v="0143072715"/>
    <s v=""/>
    <s v=""/>
    <s v="405004"/>
    <s v="65109000"/>
    <s v=""/>
    <s v=""/>
    <s v=""/>
    <s v=""/>
    <m/>
    <s v="BAG"/>
    <n v="-6"/>
    <n v="-1087.08"/>
    <d v="2025-12-25T00:00:00"/>
    <d v="2025-12-25T00:00:00"/>
    <m/>
    <d v="2025-12-25T00:00:00"/>
    <n v="-3000"/>
    <s v=""/>
    <x v="0"/>
    <s v="ส่งเสริมฯ อื่น"/>
    <m/>
    <n v="181.17999999999998"/>
  </r>
  <r>
    <x v="16"/>
    <x v="16"/>
    <s v="0328"/>
    <x v="7"/>
    <s v="GI for order"/>
    <s v="4924915676"/>
    <s v="P003"/>
    <s v="151225-B/T"/>
    <s v="303000000149"/>
    <s v="18:04:21"/>
    <s v="JURASDOK"/>
    <s v="0001"/>
    <s v=""/>
    <s v="0000"/>
    <s v=""/>
    <s v="0142833345"/>
    <s v=""/>
    <s v=""/>
    <s v=""/>
    <s v="53001003"/>
    <s v=""/>
    <s v=""/>
    <s v=""/>
    <s v=""/>
    <m/>
    <s v="KG"/>
    <n v="-8909.51"/>
    <n v="-2971143.39"/>
    <d v="2025-12-25T00:00:00"/>
    <d v="2025-12-15T00:00:00"/>
    <m/>
    <d v="2025-12-25T00:00:00"/>
    <n v="-8909510"/>
    <s v="303"/>
    <x v="4"/>
    <s v="ต้นทุนผลิตกึ่งสำเร็จ"/>
    <m/>
    <n v="333.47999946124986"/>
  </r>
  <r>
    <x v="5"/>
    <x v="5"/>
    <s v="0328"/>
    <x v="7"/>
    <s v="GI for order"/>
    <s v="4924915676"/>
    <s v="P003"/>
    <s v="04062025"/>
    <s v="303000000149"/>
    <s v="18:04:21"/>
    <s v="JURASDOK"/>
    <s v="0002"/>
    <s v=""/>
    <s v="0000"/>
    <s v=""/>
    <s v="0142833345"/>
    <s v=""/>
    <s v=""/>
    <s v=""/>
    <s v="53003000"/>
    <s v=""/>
    <s v=""/>
    <s v=""/>
    <s v=""/>
    <m/>
    <s v="PC"/>
    <n v="-18108"/>
    <n v="-16567.560000000001"/>
    <d v="2025-12-25T00:00:00"/>
    <d v="2025-12-15T00:00:00"/>
    <m/>
    <d v="2025-12-25T00:00:00"/>
    <n v="-18108"/>
    <s v="303"/>
    <x v="2"/>
    <s v="ต้นทุนผลิตหีบห่อ"/>
    <m/>
    <n v="0.9149304174950299"/>
  </r>
  <r>
    <x v="6"/>
    <x v="6"/>
    <s v="0328"/>
    <x v="7"/>
    <s v="GI for order"/>
    <s v="4924915676"/>
    <s v="P003"/>
    <s v="20251201"/>
    <s v="303000000149"/>
    <s v="18:04:21"/>
    <s v="JURASDOK"/>
    <s v="0003"/>
    <s v=""/>
    <s v="0000"/>
    <s v=""/>
    <s v="0142833345"/>
    <s v=""/>
    <s v=""/>
    <s v=""/>
    <s v="53003000"/>
    <s v=""/>
    <s v=""/>
    <s v=""/>
    <s v=""/>
    <m/>
    <s v="PC"/>
    <n v="-18108"/>
    <n v="-31085.4"/>
    <d v="2025-12-25T00:00:00"/>
    <d v="2025-12-15T00:00:00"/>
    <m/>
    <d v="2025-12-25T00:00:00"/>
    <n v="-18108"/>
    <s v="303"/>
    <x v="2"/>
    <s v="ต้นทุนผลิตหีบห่อ"/>
    <m/>
    <n v="1.7166666666666668"/>
  </r>
  <r>
    <x v="7"/>
    <x v="7"/>
    <s v="0328"/>
    <x v="7"/>
    <s v="GI for order"/>
    <s v="4924915676"/>
    <s v="P003"/>
    <s v="20251121"/>
    <s v="303000000149"/>
    <s v="18:04:21"/>
    <s v="JURASDOK"/>
    <s v="0004"/>
    <s v=""/>
    <s v="0000"/>
    <s v=""/>
    <s v="0142833345"/>
    <s v=""/>
    <s v=""/>
    <s v=""/>
    <s v="53003000"/>
    <s v=""/>
    <s v=""/>
    <s v=""/>
    <s v=""/>
    <m/>
    <s v="PC"/>
    <n v="-1692"/>
    <n v="-8460"/>
    <d v="2025-12-25T00:00:00"/>
    <d v="2025-12-15T00:00:00"/>
    <m/>
    <d v="2025-12-25T00:00:00"/>
    <n v="-1692"/>
    <s v="303"/>
    <x v="2"/>
    <s v="ต้นทุนผลิตหีบห่อ"/>
    <m/>
    <n v="5"/>
  </r>
  <r>
    <x v="7"/>
    <x v="7"/>
    <s v="0328"/>
    <x v="7"/>
    <s v="GI for order"/>
    <s v="4924915676"/>
    <s v="P003"/>
    <s v="20251201"/>
    <s v="303000000149"/>
    <s v="18:04:21"/>
    <s v="JURASDOK"/>
    <s v="0005"/>
    <s v=""/>
    <s v="0000"/>
    <s v=""/>
    <s v="0000000000"/>
    <s v=""/>
    <s v="All Cafe ลังกระดาษ (287*240*177 mm.)"/>
    <s v=""/>
    <s v="53003000"/>
    <s v=""/>
    <s v=""/>
    <s v=""/>
    <s v=""/>
    <m/>
    <s v="PC"/>
    <n v="-1303"/>
    <n v="-6515"/>
    <d v="2025-12-25T00:00:00"/>
    <d v="2025-12-15T00:00:00"/>
    <m/>
    <d v="2025-12-25T00:00:00"/>
    <n v="-1303"/>
    <s v="303"/>
    <x v="2"/>
    <s v="ต้นทุนผลิตหีบห่อ"/>
    <m/>
    <n v="5"/>
  </r>
  <r>
    <x v="14"/>
    <x v="14"/>
    <s v="0328"/>
    <x v="7"/>
    <s v="GI for order"/>
    <s v="4924917435"/>
    <s v="P002"/>
    <s v="3092611BBB"/>
    <s v="302000000149"/>
    <s v="18:30:11"/>
    <s v="JURASDOK"/>
    <s v="0004"/>
    <s v=""/>
    <s v="0000"/>
    <s v=""/>
    <s v="0000000000"/>
    <s v=""/>
    <s v="เมล็ดกาแฟ Clean Arabica Size L"/>
    <s v=""/>
    <s v="53001003"/>
    <s v=""/>
    <s v=""/>
    <s v=""/>
    <s v=""/>
    <m/>
    <s v="KG"/>
    <n v="-7931.26"/>
    <n v="-2116218.79"/>
    <d v="2025-12-25T00:00:00"/>
    <d v="2025-12-16T00:00:00"/>
    <m/>
    <d v="2025-12-25T00:00:00"/>
    <n v="-7931260"/>
    <s v="302"/>
    <x v="4"/>
    <s v="ต้นทุนผลิตกึ่งสำเร็จ"/>
    <m/>
    <n v="266.81999959653319"/>
  </r>
  <r>
    <x v="14"/>
    <x v="14"/>
    <s v="0328"/>
    <x v="7"/>
    <s v="GI for order"/>
    <s v="4924917435"/>
    <s v="P002"/>
    <s v="251209-BBB"/>
    <s v="302000000149"/>
    <s v="18:30:11"/>
    <s v="JURASDOK"/>
    <s v="0002"/>
    <s v=""/>
    <s v="0000"/>
    <s v=""/>
    <s v="0142853338"/>
    <s v=""/>
    <s v=""/>
    <s v=""/>
    <s v="53001003"/>
    <s v=""/>
    <s v=""/>
    <s v=""/>
    <s v=""/>
    <m/>
    <s v="KG"/>
    <n v="-1669.82"/>
    <n v="-445541.37"/>
    <d v="2025-12-25T00:00:00"/>
    <d v="2025-12-16T00:00:00"/>
    <m/>
    <d v="2025-12-25T00:00:00"/>
    <n v="-1669820"/>
    <s v="302"/>
    <x v="4"/>
    <s v="ต้นทุนผลิตกึ่งสำเร็จ"/>
    <m/>
    <n v="266.81999856271932"/>
  </r>
  <r>
    <x v="15"/>
    <x v="15"/>
    <s v="0328"/>
    <x v="7"/>
    <s v="GI for order"/>
    <s v="4924917435"/>
    <s v="P002"/>
    <s v="160925-BBB"/>
    <s v="302000000149"/>
    <s v="18:30:11"/>
    <s v="JURASDOK"/>
    <s v="0005"/>
    <s v=""/>
    <s v="0000"/>
    <s v=""/>
    <s v="0000000000"/>
    <s v=""/>
    <s v="เมล็ดกาแฟ Clean Robusta Size mix"/>
    <s v=""/>
    <s v="53001003"/>
    <s v=""/>
    <s v=""/>
    <s v=""/>
    <s v=""/>
    <m/>
    <s v="KG"/>
    <n v="-258.13"/>
    <n v="-52872.77"/>
    <d v="2025-12-25T00:00:00"/>
    <d v="2025-12-16T00:00:00"/>
    <m/>
    <d v="2025-12-25T00:00:00"/>
    <n v="-258130"/>
    <s v="302"/>
    <x v="4"/>
    <s v="ต้นทุนผลิตกึ่งสำเร็จ"/>
    <m/>
    <n v="204.83000813543563"/>
  </r>
  <r>
    <x v="15"/>
    <x v="15"/>
    <s v="0328"/>
    <x v="7"/>
    <s v="GI for order"/>
    <s v="4924917435"/>
    <s v="P002"/>
    <s v="250815-TTW"/>
    <s v="302000000149"/>
    <s v="18:30:11"/>
    <s v="JURASDOK"/>
    <s v="0003"/>
    <s v=""/>
    <s v="0000"/>
    <s v=""/>
    <s v="0142853338"/>
    <s v=""/>
    <s v=""/>
    <s v=""/>
    <s v="53001003"/>
    <s v=""/>
    <s v=""/>
    <s v=""/>
    <s v=""/>
    <m/>
    <s v="KG"/>
    <n v="-2146.63"/>
    <n v="-439694.22"/>
    <d v="2025-12-25T00:00:00"/>
    <d v="2025-12-16T00:00:00"/>
    <m/>
    <d v="2025-12-25T00:00:00"/>
    <n v="-2146630"/>
    <s v="302"/>
    <x v="4"/>
    <s v="ต้นทุนผลิตกึ่งสำเร็จ"/>
    <m/>
    <n v="204.82999864904522"/>
  </r>
  <r>
    <x v="16"/>
    <x v="16"/>
    <s v="0328"/>
    <x v="8"/>
    <s v="GR for order"/>
    <s v="4924917435"/>
    <s v="P003"/>
    <s v="161225-B/T"/>
    <s v="302000000149"/>
    <s v="18:30:11"/>
    <s v="JURASDOK"/>
    <s v="0001"/>
    <s v=""/>
    <s v="0000"/>
    <s v=""/>
    <s v="0000000000"/>
    <s v=""/>
    <s v=""/>
    <s v=""/>
    <s v="53001004"/>
    <s v=""/>
    <s v=""/>
    <s v=""/>
    <s v=""/>
    <m/>
    <s v="KG"/>
    <n v="9696.6299999999992"/>
    <n v="3233632.17"/>
    <d v="2025-12-25T00:00:00"/>
    <d v="2025-12-16T00:00:00"/>
    <m/>
    <d v="2025-12-25T00:00:00"/>
    <n v="9696630"/>
    <s v="302"/>
    <x v="4"/>
    <s v="ต้นทุนผลิตโอน Semi"/>
    <m/>
    <n v="333.47999975249132"/>
  </r>
  <r>
    <x v="16"/>
    <x v="16"/>
    <s v="0328"/>
    <x v="7"/>
    <s v="GI for order"/>
    <s v="4924917738"/>
    <s v="P003"/>
    <s v="161225-B/T"/>
    <s v="303000000150"/>
    <s v="18:41:08"/>
    <s v="JURASDOK"/>
    <s v="0001"/>
    <s v=""/>
    <s v="0000"/>
    <s v=""/>
    <s v="0142853348"/>
    <s v=""/>
    <s v=""/>
    <s v=""/>
    <s v="53001003"/>
    <s v=""/>
    <s v=""/>
    <s v=""/>
    <s v=""/>
    <m/>
    <s v="KG"/>
    <n v="-9696.6299999999992"/>
    <n v="-3233632.17"/>
    <d v="2025-12-25T00:00:00"/>
    <d v="2025-12-16T00:00:00"/>
    <m/>
    <d v="2025-12-25T00:00:00"/>
    <n v="-9696630"/>
    <s v="303"/>
    <x v="4"/>
    <s v="ต้นทุนผลิตกึ่งสำเร็จ"/>
    <m/>
    <n v="333.47999975249132"/>
  </r>
  <r>
    <x v="5"/>
    <x v="5"/>
    <s v="0328"/>
    <x v="7"/>
    <s v="GI for order"/>
    <s v="4924917738"/>
    <s v="P003"/>
    <s v="04062025"/>
    <s v="303000000150"/>
    <s v="18:41:08"/>
    <s v="JURASDOK"/>
    <s v="0002"/>
    <s v=""/>
    <s v="0000"/>
    <s v=""/>
    <s v="0142853348"/>
    <s v=""/>
    <s v=""/>
    <s v=""/>
    <s v="53003000"/>
    <s v=""/>
    <s v=""/>
    <s v=""/>
    <s v=""/>
    <m/>
    <s v="PC"/>
    <n v="-19548"/>
    <n v="-17885.060000000001"/>
    <d v="2025-12-25T00:00:00"/>
    <d v="2025-12-16T00:00:00"/>
    <m/>
    <d v="2025-12-25T00:00:00"/>
    <n v="-19548"/>
    <s v="303"/>
    <x v="2"/>
    <s v="ต้นทุนผลิตหีบห่อ"/>
    <m/>
    <n v="0.91493042766523436"/>
  </r>
  <r>
    <x v="6"/>
    <x v="6"/>
    <s v="0328"/>
    <x v="7"/>
    <s v="GI for order"/>
    <s v="4924917738"/>
    <s v="P003"/>
    <s v="20251201"/>
    <s v="303000000150"/>
    <s v="18:41:08"/>
    <s v="JURASDOK"/>
    <s v="0003"/>
    <s v=""/>
    <s v="0000"/>
    <s v=""/>
    <s v="0142853348"/>
    <s v=""/>
    <s v=""/>
    <s v=""/>
    <s v="53003000"/>
    <s v=""/>
    <s v=""/>
    <s v=""/>
    <s v=""/>
    <m/>
    <s v="PC"/>
    <n v="-19548"/>
    <n v="-33557.4"/>
    <d v="2025-12-25T00:00:00"/>
    <d v="2025-12-16T00:00:00"/>
    <m/>
    <d v="2025-12-25T00:00:00"/>
    <n v="-19548"/>
    <s v="303"/>
    <x v="2"/>
    <s v="ต้นทุนผลิตหีบห่อ"/>
    <m/>
    <n v="1.7166666666666668"/>
  </r>
  <r>
    <x v="7"/>
    <x v="7"/>
    <s v="0328"/>
    <x v="7"/>
    <s v="GI for order"/>
    <s v="4924917738"/>
    <s v="P003"/>
    <s v="20251201"/>
    <s v="303000000150"/>
    <s v="18:41:08"/>
    <s v="JURASDOK"/>
    <s v="0004"/>
    <s v=""/>
    <s v="0000"/>
    <s v=""/>
    <s v="0142853348"/>
    <s v=""/>
    <s v=""/>
    <s v=""/>
    <s v="53003000"/>
    <s v=""/>
    <s v=""/>
    <s v=""/>
    <s v=""/>
    <m/>
    <s v="PC"/>
    <n v="-3255"/>
    <n v="-16275"/>
    <d v="2025-12-25T00:00:00"/>
    <d v="2025-12-16T00:00:00"/>
    <m/>
    <d v="2025-12-25T00:00:00"/>
    <n v="-3255"/>
    <s v="303"/>
    <x v="2"/>
    <s v="ต้นทุนผลิตหีบห่อ"/>
    <m/>
    <n v="5"/>
  </r>
  <r>
    <x v="13"/>
    <x v="13"/>
    <s v="0328"/>
    <x v="7"/>
    <s v="GI for order"/>
    <s v="4924918376"/>
    <s v="P002"/>
    <s v="3093010BBB"/>
    <s v="302000000154"/>
    <s v="19:02:53"/>
    <s v="JURASDOK"/>
    <s v="0006"/>
    <s v=""/>
    <s v="0000"/>
    <s v=""/>
    <s v="0000000000"/>
    <s v=""/>
    <s v="เมล็ดกาแฟ Clean Arabica Size S&amp;M"/>
    <s v=""/>
    <s v="53001003"/>
    <s v=""/>
    <s v=""/>
    <s v=""/>
    <s v=""/>
    <m/>
    <s v="KG"/>
    <n v="-71.516000000000005"/>
    <n v="-19081.900000000001"/>
    <d v="2025-12-25T00:00:00"/>
    <d v="2025-12-17T00:00:00"/>
    <m/>
    <d v="2025-12-25T00:00:00"/>
    <n v="-71516"/>
    <s v="302"/>
    <x v="4"/>
    <s v="ต้นทุนผลิตกึ่งสำเร็จ"/>
    <m/>
    <n v="266.82001230493876"/>
  </r>
  <r>
    <x v="13"/>
    <x v="13"/>
    <s v="0328"/>
    <x v="7"/>
    <s v="GI for order"/>
    <s v="4924918376"/>
    <s v="P002"/>
    <s v="251209-BBB"/>
    <s v="302000000154"/>
    <s v="19:02:53"/>
    <s v="JURASDOK"/>
    <s v="0005"/>
    <s v=""/>
    <s v="0000"/>
    <s v=""/>
    <s v="0000000000"/>
    <s v=""/>
    <s v="เมล็ดกาแฟ Clean Arabica Size S&amp;M"/>
    <s v=""/>
    <s v="53001003"/>
    <s v=""/>
    <s v=""/>
    <s v=""/>
    <s v=""/>
    <m/>
    <s v="KG"/>
    <n v="-1855.38"/>
    <n v="-495052.49"/>
    <d v="2025-12-25T00:00:00"/>
    <d v="2025-12-17T00:00:00"/>
    <m/>
    <d v="2025-12-25T00:00:00"/>
    <n v="-1855380"/>
    <s v="302"/>
    <x v="4"/>
    <s v="ต้นทุนผลิตกึ่งสำเร็จ"/>
    <m/>
    <n v="266.81999913764292"/>
  </r>
  <r>
    <x v="13"/>
    <x v="13"/>
    <s v="0328"/>
    <x v="7"/>
    <s v="GI for order"/>
    <s v="4924918376"/>
    <s v="P002"/>
    <s v="251202-BBB"/>
    <s v="302000000154"/>
    <s v="19:02:53"/>
    <s v="JURASDOK"/>
    <s v="0002"/>
    <s v=""/>
    <s v="0000"/>
    <s v=""/>
    <s v="0143072892"/>
    <s v=""/>
    <s v=""/>
    <s v=""/>
    <s v="53001003"/>
    <s v=""/>
    <s v=""/>
    <s v=""/>
    <s v=""/>
    <m/>
    <s v="KG"/>
    <n v="-22.324000000000002"/>
    <n v="-5956.49"/>
    <d v="2025-12-25T00:00:00"/>
    <d v="2025-12-17T00:00:00"/>
    <m/>
    <d v="2025-12-25T00:00:00"/>
    <n v="-22324"/>
    <s v="302"/>
    <x v="4"/>
    <s v="ต้นทุนผลิตกึ่งสำเร็จ"/>
    <m/>
    <n v="266.82001433434863"/>
  </r>
  <r>
    <x v="14"/>
    <x v="14"/>
    <s v="0328"/>
    <x v="7"/>
    <s v="GI for order"/>
    <s v="4924918376"/>
    <s v="P002"/>
    <s v="3093010BBB"/>
    <s v="302000000154"/>
    <s v="19:02:53"/>
    <s v="JURASDOK"/>
    <s v="0003"/>
    <s v=""/>
    <s v="0000"/>
    <s v=""/>
    <s v="0143072892"/>
    <s v=""/>
    <s v=""/>
    <s v=""/>
    <s v="53001003"/>
    <s v=""/>
    <s v=""/>
    <s v=""/>
    <s v=""/>
    <m/>
    <s v="KG"/>
    <n v="-7864.12"/>
    <n v="-2098304.5"/>
    <d v="2025-12-25T00:00:00"/>
    <d v="2025-12-17T00:00:00"/>
    <m/>
    <d v="2025-12-25T00:00:00"/>
    <n v="-7864120"/>
    <s v="302"/>
    <x v="4"/>
    <s v="ต้นทุนผลิตกึ่งสำเร็จ"/>
    <m/>
    <n v="266.82000020345572"/>
  </r>
  <r>
    <x v="15"/>
    <x v="15"/>
    <s v="0328"/>
    <x v="7"/>
    <s v="GI for order"/>
    <s v="4924918376"/>
    <s v="P002"/>
    <s v="160925-BBB"/>
    <s v="302000000154"/>
    <s v="19:02:53"/>
    <s v="JURASDOK"/>
    <s v="0004"/>
    <s v=""/>
    <s v="0000"/>
    <s v=""/>
    <s v="0143072892"/>
    <s v=""/>
    <s v=""/>
    <s v=""/>
    <s v="53001003"/>
    <s v=""/>
    <s v=""/>
    <s v=""/>
    <s v=""/>
    <m/>
    <s v="KG"/>
    <n v="-2451.7399999999998"/>
    <n v="-502189.91"/>
    <d v="2025-12-25T00:00:00"/>
    <d v="2025-12-17T00:00:00"/>
    <m/>
    <d v="2025-12-25T00:00:00"/>
    <n v="-2451740"/>
    <s v="302"/>
    <x v="4"/>
    <s v="ต้นทุนผลิตกึ่งสำเร็จ"/>
    <m/>
    <n v="204.83000236566684"/>
  </r>
  <r>
    <x v="16"/>
    <x v="16"/>
    <s v="0328"/>
    <x v="8"/>
    <s v="GR for order"/>
    <s v="4924918376"/>
    <s v="P003"/>
    <s v="171225-B/T"/>
    <s v="302000000154"/>
    <s v="19:02:53"/>
    <s v="JURASDOK"/>
    <s v="0001"/>
    <s v=""/>
    <s v="0000"/>
    <s v=""/>
    <s v="0000000000"/>
    <s v=""/>
    <s v=""/>
    <s v=""/>
    <s v="53001004"/>
    <s v=""/>
    <s v=""/>
    <s v=""/>
    <s v=""/>
    <m/>
    <s v="KG"/>
    <n v="9888.98"/>
    <n v="3297777.05"/>
    <d v="2025-12-25T00:00:00"/>
    <d v="2025-12-17T00:00:00"/>
    <m/>
    <d v="2025-12-25T00:00:00"/>
    <n v="9888980"/>
    <s v="302"/>
    <x v="4"/>
    <s v="ต้นทุนผลิตโอน Semi"/>
    <m/>
    <n v="333.47999995955092"/>
  </r>
  <r>
    <x v="16"/>
    <x v="16"/>
    <s v="0328"/>
    <x v="7"/>
    <s v="GI for order"/>
    <s v="4924918921"/>
    <s v="P003"/>
    <s v="171225-B/T"/>
    <s v="303000000151"/>
    <s v="19:05:55"/>
    <s v="JURASDOK"/>
    <s v="0001"/>
    <s v=""/>
    <s v="0000"/>
    <s v=""/>
    <s v="0142968182"/>
    <s v=""/>
    <s v=""/>
    <s v=""/>
    <s v="53001003"/>
    <s v=""/>
    <s v=""/>
    <s v=""/>
    <s v=""/>
    <m/>
    <s v="KG"/>
    <n v="-9888.98"/>
    <n v="-3297777.05"/>
    <d v="2025-12-25T00:00:00"/>
    <d v="2025-12-17T00:00:00"/>
    <m/>
    <d v="2025-12-25T00:00:00"/>
    <n v="-9888980"/>
    <s v="303"/>
    <x v="4"/>
    <s v="ต้นทุนผลิตกึ่งสำเร็จ"/>
    <m/>
    <n v="333.47999995955092"/>
  </r>
  <r>
    <x v="5"/>
    <x v="5"/>
    <s v="0328"/>
    <x v="7"/>
    <s v="GI for order"/>
    <s v="4924918921"/>
    <s v="P003"/>
    <s v="04062025"/>
    <s v="303000000151"/>
    <s v="19:05:55"/>
    <s v="JURASDOK"/>
    <s v="0002"/>
    <s v=""/>
    <s v="0000"/>
    <s v=""/>
    <s v="0142968182"/>
    <s v=""/>
    <s v=""/>
    <s v=""/>
    <s v="53003000"/>
    <s v=""/>
    <s v=""/>
    <s v=""/>
    <s v=""/>
    <m/>
    <s v="PC"/>
    <n v="-19865"/>
    <n v="-18175.09"/>
    <d v="2025-12-25T00:00:00"/>
    <d v="2025-12-17T00:00:00"/>
    <m/>
    <d v="2025-12-25T00:00:00"/>
    <n v="-19865"/>
    <s v="303"/>
    <x v="2"/>
    <s v="ต้นทุนผลิตหีบห่อ"/>
    <m/>
    <n v="0.91493027938585447"/>
  </r>
  <r>
    <x v="6"/>
    <x v="6"/>
    <s v="0328"/>
    <x v="7"/>
    <s v="GI for order"/>
    <s v="4924918921"/>
    <s v="P003"/>
    <s v="20251202"/>
    <s v="303000000151"/>
    <s v="19:05:55"/>
    <s v="JURASDOK"/>
    <s v="0005"/>
    <s v=""/>
    <s v="0000"/>
    <s v=""/>
    <s v="0000000000"/>
    <s v=""/>
    <s v="Film roll All cafe500g.420mm*900m"/>
    <s v=""/>
    <s v="53003000"/>
    <s v=""/>
    <s v=""/>
    <s v=""/>
    <s v=""/>
    <m/>
    <s v="PC"/>
    <n v="-17431"/>
    <n v="-29923.22"/>
    <d v="2025-12-25T00:00:00"/>
    <d v="2025-12-17T00:00:00"/>
    <m/>
    <d v="2025-12-25T00:00:00"/>
    <n v="-17431"/>
    <s v="303"/>
    <x v="2"/>
    <s v="ต้นทุนผลิตหีบห่อ"/>
    <m/>
    <n v="1.7166668578968505"/>
  </r>
  <r>
    <x v="6"/>
    <x v="6"/>
    <s v="0328"/>
    <x v="7"/>
    <s v="GI for order"/>
    <s v="4924918921"/>
    <s v="P003"/>
    <s v="20251201"/>
    <s v="303000000151"/>
    <s v="19:05:55"/>
    <s v="JURASDOK"/>
    <s v="0003"/>
    <s v=""/>
    <s v="0000"/>
    <s v=""/>
    <s v="0142968182"/>
    <s v=""/>
    <s v=""/>
    <s v=""/>
    <s v="53003000"/>
    <s v=""/>
    <s v=""/>
    <s v=""/>
    <s v=""/>
    <m/>
    <s v="PC"/>
    <n v="-2434"/>
    <n v="-4178.37"/>
    <d v="2025-12-25T00:00:00"/>
    <d v="2025-12-17T00:00:00"/>
    <m/>
    <d v="2025-12-25T00:00:00"/>
    <n v="-2434"/>
    <s v="303"/>
    <x v="2"/>
    <s v="ต้นทุนผลิตหีบห่อ"/>
    <m/>
    <n v="1.7166680361544782"/>
  </r>
  <r>
    <x v="7"/>
    <x v="7"/>
    <s v="0328"/>
    <x v="7"/>
    <s v="GI for order"/>
    <s v="4924918921"/>
    <s v="P003"/>
    <s v="20251201"/>
    <s v="303000000151"/>
    <s v="19:05:55"/>
    <s v="JURASDOK"/>
    <s v="0004"/>
    <s v=""/>
    <s v="0000"/>
    <s v=""/>
    <s v="0142968182"/>
    <s v=""/>
    <s v=""/>
    <s v=""/>
    <s v="53003000"/>
    <s v=""/>
    <s v=""/>
    <s v=""/>
    <s v=""/>
    <m/>
    <s v="PC"/>
    <n v="-3326"/>
    <n v="-16630"/>
    <d v="2025-12-25T00:00:00"/>
    <d v="2025-12-17T00:00:00"/>
    <m/>
    <d v="2025-12-25T00:00:00"/>
    <n v="-3326"/>
    <s v="303"/>
    <x v="2"/>
    <s v="ต้นทุนผลิตหีบห่อ"/>
    <m/>
    <n v="5"/>
  </r>
  <r>
    <x v="13"/>
    <x v="13"/>
    <s v="0328"/>
    <x v="7"/>
    <s v="GI for order"/>
    <s v="4924961676"/>
    <s v="P002"/>
    <s v="3093010BBB"/>
    <s v="302000000155"/>
    <s v="11:12:04"/>
    <s v="JURASDOK"/>
    <s v="0002"/>
    <s v=""/>
    <s v="0000"/>
    <s v=""/>
    <s v="0143089677"/>
    <s v=""/>
    <s v=""/>
    <s v=""/>
    <s v="53001003"/>
    <s v=""/>
    <s v=""/>
    <s v=""/>
    <s v=""/>
    <m/>
    <s v="KG"/>
    <n v="-669.56"/>
    <n v="-178652"/>
    <d v="2025-12-26T00:00:00"/>
    <d v="2025-12-18T00:00:00"/>
    <m/>
    <d v="2025-12-26T00:00:00"/>
    <n v="-669560"/>
    <s v="302"/>
    <x v="4"/>
    <s v="ต้นทุนผลิตกึ่งสำเร็จ"/>
    <m/>
    <n v="266.82000119481455"/>
  </r>
  <r>
    <x v="14"/>
    <x v="14"/>
    <s v="0328"/>
    <x v="7"/>
    <s v="GI for order"/>
    <s v="4924961676"/>
    <s v="P002"/>
    <s v="3093010BBB"/>
    <s v="302000000155"/>
    <s v="11:12:04"/>
    <s v="JURASDOK"/>
    <s v="0003"/>
    <s v=""/>
    <s v="0000"/>
    <s v=""/>
    <s v="0143089677"/>
    <s v=""/>
    <s v=""/>
    <s v=""/>
    <s v="53001003"/>
    <s v=""/>
    <s v=""/>
    <s v=""/>
    <s v=""/>
    <m/>
    <s v="KG"/>
    <n v="-8938.9599999999991"/>
    <n v="-2385093.31"/>
    <d v="2025-12-26T00:00:00"/>
    <d v="2025-12-18T00:00:00"/>
    <m/>
    <d v="2025-12-26T00:00:00"/>
    <n v="-8938960"/>
    <s v="302"/>
    <x v="4"/>
    <s v="ต้นทุนผลิตกึ่งสำเร็จ"/>
    <m/>
    <n v="266.8200003132356"/>
  </r>
  <r>
    <x v="15"/>
    <x v="15"/>
    <s v="0328"/>
    <x v="7"/>
    <s v="GI for order"/>
    <s v="4924961676"/>
    <s v="P002"/>
    <s v="160925-BBB"/>
    <s v="302000000155"/>
    <s v="11:12:04"/>
    <s v="JURASDOK"/>
    <s v="0004"/>
    <s v=""/>
    <s v="0000"/>
    <s v=""/>
    <s v="0143089677"/>
    <s v=""/>
    <s v=""/>
    <s v=""/>
    <s v="53001003"/>
    <s v=""/>
    <s v=""/>
    <s v=""/>
    <s v=""/>
    <m/>
    <s v="KG"/>
    <n v="-2403.14"/>
    <n v="-492235.17"/>
    <d v="2025-12-26T00:00:00"/>
    <d v="2025-12-18T00:00:00"/>
    <m/>
    <d v="2025-12-26T00:00:00"/>
    <n v="-2403140"/>
    <s v="302"/>
    <x v="4"/>
    <s v="ต้นทุนผลิตกึ่งสำเร็จ"/>
    <m/>
    <n v="204.83000158126453"/>
  </r>
  <r>
    <x v="16"/>
    <x v="16"/>
    <s v="0328"/>
    <x v="8"/>
    <s v="GR for order"/>
    <s v="4924961676"/>
    <s v="P003"/>
    <s v="181225-B/T"/>
    <s v="302000000155"/>
    <s v="11:12:04"/>
    <s v="JURASDOK"/>
    <s v="0001"/>
    <s v=""/>
    <s v="0000"/>
    <s v=""/>
    <s v="0000000000"/>
    <s v=""/>
    <s v=""/>
    <s v=""/>
    <s v="53001004"/>
    <s v=""/>
    <s v=""/>
    <s v=""/>
    <s v=""/>
    <m/>
    <s v="KG"/>
    <n v="9658.7099999999991"/>
    <n v="3220986.61"/>
    <d v="2025-12-26T00:00:00"/>
    <d v="2025-12-18T00:00:00"/>
    <m/>
    <d v="2025-12-26T00:00:00"/>
    <n v="9658710"/>
    <s v="302"/>
    <x v="4"/>
    <s v="ต้นทุนผลิตโอน Semi"/>
    <m/>
    <n v="333.47999991717325"/>
  </r>
  <r>
    <x v="16"/>
    <x v="16"/>
    <s v="0328"/>
    <x v="7"/>
    <s v="GI for order"/>
    <s v="4924961728"/>
    <s v="P003"/>
    <s v="181225-B/T"/>
    <s v="303000000152"/>
    <s v="11:13:46"/>
    <s v="JURASDOK"/>
    <s v="0001"/>
    <s v=""/>
    <s v="0000"/>
    <s v=""/>
    <s v="0142968284"/>
    <s v=""/>
    <s v=""/>
    <s v=""/>
    <s v="53001003"/>
    <s v=""/>
    <s v=""/>
    <s v=""/>
    <s v=""/>
    <m/>
    <s v="KG"/>
    <n v="-9658.7099999999991"/>
    <n v="-3220986.61"/>
    <d v="2025-12-26T00:00:00"/>
    <d v="2025-12-18T00:00:00"/>
    <m/>
    <d v="2025-12-26T00:00:00"/>
    <n v="-9658710"/>
    <s v="303"/>
    <x v="4"/>
    <s v="ต้นทุนผลิตกึ่งสำเร็จ"/>
    <m/>
    <n v="333.47999991717325"/>
  </r>
  <r>
    <x v="5"/>
    <x v="5"/>
    <s v="0328"/>
    <x v="7"/>
    <s v="GI for order"/>
    <s v="4924961728"/>
    <s v="P003"/>
    <s v="04062025"/>
    <s v="303000000152"/>
    <s v="11:13:46"/>
    <s v="JURASDOK"/>
    <s v="0002"/>
    <s v=""/>
    <s v="0000"/>
    <s v=""/>
    <s v="0142968284"/>
    <s v=""/>
    <s v=""/>
    <s v=""/>
    <s v="53003000"/>
    <s v=""/>
    <s v=""/>
    <s v=""/>
    <s v=""/>
    <m/>
    <s v="PC"/>
    <n v="-19477"/>
    <n v="-17820.099999999999"/>
    <d v="2025-12-26T00:00:00"/>
    <d v="2025-12-18T00:00:00"/>
    <m/>
    <d v="2025-12-26T00:00:00"/>
    <n v="-19477"/>
    <s v="303"/>
    <x v="2"/>
    <s v="ต้นทุนผลิตหีบห่อ"/>
    <m/>
    <n v="0.91493043076449143"/>
  </r>
  <r>
    <x v="6"/>
    <x v="6"/>
    <s v="0328"/>
    <x v="7"/>
    <s v="GI for order"/>
    <s v="4924961728"/>
    <s v="P003"/>
    <s v="20251202"/>
    <s v="303000000152"/>
    <s v="11:13:46"/>
    <s v="JURASDOK"/>
    <s v="0003"/>
    <s v=""/>
    <s v="0000"/>
    <s v=""/>
    <s v="0142968284"/>
    <s v=""/>
    <s v=""/>
    <s v=""/>
    <s v="53003000"/>
    <s v=""/>
    <s v=""/>
    <s v=""/>
    <s v=""/>
    <m/>
    <s v="PC"/>
    <n v="-19477"/>
    <n v="-33435.519999999997"/>
    <d v="2025-12-26T00:00:00"/>
    <d v="2025-12-18T00:00:00"/>
    <m/>
    <d v="2025-12-26T00:00:00"/>
    <n v="-19477"/>
    <s v="303"/>
    <x v="2"/>
    <s v="ต้นทุนผลิตหีบห่อ"/>
    <m/>
    <n v="1.7166668378086973"/>
  </r>
  <r>
    <x v="7"/>
    <x v="7"/>
    <s v="0328"/>
    <x v="7"/>
    <s v="GI for order"/>
    <s v="4924961728"/>
    <s v="P003"/>
    <s v="20251201"/>
    <s v="303000000152"/>
    <s v="11:13:46"/>
    <s v="JURASDOK"/>
    <s v="0004"/>
    <s v=""/>
    <s v="0000"/>
    <s v=""/>
    <s v="0142968284"/>
    <s v=""/>
    <s v=""/>
    <s v=""/>
    <s v="53003000"/>
    <s v=""/>
    <s v=""/>
    <s v=""/>
    <s v=""/>
    <m/>
    <s v="PC"/>
    <n v="-3234"/>
    <n v="-16170"/>
    <d v="2025-12-26T00:00:00"/>
    <d v="2025-12-18T00:00:00"/>
    <m/>
    <d v="2025-12-26T00:00:00"/>
    <n v="-3234"/>
    <s v="303"/>
    <x v="2"/>
    <s v="ต้นทุนผลิตหีบห่อ"/>
    <m/>
    <n v="5"/>
  </r>
  <r>
    <x v="14"/>
    <x v="14"/>
    <s v="0328"/>
    <x v="7"/>
    <s v="GI for order"/>
    <s v="4924961874"/>
    <s v="P002"/>
    <s v="3093010BBB"/>
    <s v="302000000156"/>
    <s v="11:17:09"/>
    <s v="JURASDOK"/>
    <s v="0002"/>
    <s v=""/>
    <s v="0000"/>
    <s v=""/>
    <s v="0143090582"/>
    <s v=""/>
    <s v=""/>
    <s v=""/>
    <s v="53001003"/>
    <s v=""/>
    <s v=""/>
    <s v=""/>
    <s v=""/>
    <m/>
    <s v="KG"/>
    <n v="-9602.76"/>
    <n v="-2562208.42"/>
    <d v="2025-12-26T00:00:00"/>
    <d v="2025-12-19T00:00:00"/>
    <m/>
    <d v="2025-12-26T00:00:00"/>
    <n v="-9602760"/>
    <s v="302"/>
    <x v="4"/>
    <s v="ต้นทุนผลิตกึ่งสำเร็จ"/>
    <m/>
    <n v="266.81999966676244"/>
  </r>
  <r>
    <x v="15"/>
    <x v="15"/>
    <s v="0328"/>
    <x v="7"/>
    <s v="GI for order"/>
    <s v="4924961874"/>
    <s v="P002"/>
    <s v="160925-BBB"/>
    <s v="302000000156"/>
    <s v="11:17:09"/>
    <s v="JURASDOK"/>
    <s v="0003"/>
    <s v=""/>
    <s v="0000"/>
    <s v=""/>
    <s v="0143090582"/>
    <s v=""/>
    <s v=""/>
    <s v=""/>
    <s v="53001003"/>
    <s v=""/>
    <s v=""/>
    <s v=""/>
    <s v=""/>
    <m/>
    <s v="KG"/>
    <n v="-2406.58"/>
    <n v="-492939.78"/>
    <d v="2025-12-26T00:00:00"/>
    <d v="2025-12-19T00:00:00"/>
    <m/>
    <d v="2025-12-26T00:00:00"/>
    <n v="-2406580"/>
    <s v="302"/>
    <x v="4"/>
    <s v="ต้นทุนผลิตกึ่งสำเร็จ"/>
    <m/>
    <n v="204.82999941826162"/>
  </r>
  <r>
    <x v="16"/>
    <x v="16"/>
    <s v="0328"/>
    <x v="8"/>
    <s v="GR for order"/>
    <s v="4924961874"/>
    <s v="P003"/>
    <s v="191225-B/T"/>
    <s v="302000000156"/>
    <s v="11:17:09"/>
    <s v="JURASDOK"/>
    <s v="0001"/>
    <s v=""/>
    <s v="0000"/>
    <s v=""/>
    <s v="0000000000"/>
    <s v=""/>
    <s v=""/>
    <s v=""/>
    <s v="53001004"/>
    <s v=""/>
    <s v=""/>
    <s v=""/>
    <s v=""/>
    <m/>
    <s v="KG"/>
    <n v="9652.99"/>
    <n v="3219079.11"/>
    <d v="2025-12-26T00:00:00"/>
    <d v="2025-12-19T00:00:00"/>
    <m/>
    <d v="2025-12-26T00:00:00"/>
    <n v="9652990"/>
    <s v="302"/>
    <x v="4"/>
    <s v="ต้นทุนผลิตโอน Semi"/>
    <m/>
    <n v="333.48000049725528"/>
  </r>
  <r>
    <x v="16"/>
    <x v="16"/>
    <s v="0328"/>
    <x v="7"/>
    <s v="GI for order"/>
    <s v="4924961878"/>
    <s v="P003"/>
    <s v="191225-B/T"/>
    <s v="303000000155"/>
    <s v="11:19:12"/>
    <s v="JURASDOK"/>
    <s v="0001"/>
    <s v=""/>
    <s v="0000"/>
    <s v=""/>
    <s v="0143065576"/>
    <s v=""/>
    <s v=""/>
    <s v=""/>
    <s v="53001003"/>
    <s v=""/>
    <s v=""/>
    <s v=""/>
    <s v=""/>
    <m/>
    <s v="KG"/>
    <n v="-9652.99"/>
    <n v="-3219079.11"/>
    <d v="2025-12-26T00:00:00"/>
    <d v="2025-12-19T00:00:00"/>
    <m/>
    <d v="2025-12-26T00:00:00"/>
    <n v="-9652990"/>
    <s v="303"/>
    <x v="4"/>
    <s v="ต้นทุนผลิตกึ่งสำเร็จ"/>
    <m/>
    <n v="333.48000049725528"/>
  </r>
  <r>
    <x v="5"/>
    <x v="5"/>
    <s v="0328"/>
    <x v="7"/>
    <s v="GI for order"/>
    <s v="4924961878"/>
    <s v="P003"/>
    <s v="04062025"/>
    <s v="303000000155"/>
    <s v="11:19:12"/>
    <s v="JURASDOK"/>
    <s v="0002"/>
    <s v=""/>
    <s v="0000"/>
    <s v=""/>
    <s v="0143065576"/>
    <s v=""/>
    <s v=""/>
    <s v=""/>
    <s v="53003000"/>
    <s v=""/>
    <s v=""/>
    <s v=""/>
    <s v=""/>
    <m/>
    <s v="PC"/>
    <n v="-20800"/>
    <n v="-19030.55"/>
    <d v="2025-12-26T00:00:00"/>
    <d v="2025-12-19T00:00:00"/>
    <m/>
    <d v="2025-12-26T00:00:00"/>
    <n v="-20800"/>
    <s v="303"/>
    <x v="2"/>
    <s v="ต้นทุนผลิตหีบห่อ"/>
    <m/>
    <n v="0.91493028846153845"/>
  </r>
  <r>
    <x v="6"/>
    <x v="6"/>
    <s v="0328"/>
    <x v="7"/>
    <s v="GI for order"/>
    <s v="4924961878"/>
    <s v="P003"/>
    <s v="20251202"/>
    <s v="303000000155"/>
    <s v="11:19:12"/>
    <s v="JURASDOK"/>
    <s v="0003"/>
    <s v=""/>
    <s v="0000"/>
    <s v=""/>
    <s v="0143065576"/>
    <s v=""/>
    <s v=""/>
    <s v=""/>
    <s v="53003000"/>
    <s v=""/>
    <s v=""/>
    <s v=""/>
    <s v=""/>
    <m/>
    <s v="PC"/>
    <n v="-20300"/>
    <n v="-34848.33"/>
    <d v="2025-12-26T00:00:00"/>
    <d v="2025-12-19T00:00:00"/>
    <m/>
    <d v="2025-12-26T00:00:00"/>
    <n v="-20300"/>
    <s v="303"/>
    <x v="2"/>
    <s v="ต้นทุนผลิตหีบห่อ"/>
    <m/>
    <n v="1.7166665024630543"/>
  </r>
  <r>
    <x v="7"/>
    <x v="7"/>
    <s v="0328"/>
    <x v="7"/>
    <s v="GI for order"/>
    <s v="4924961878"/>
    <s v="P003"/>
    <s v="20251201"/>
    <s v="303000000155"/>
    <s v="11:19:12"/>
    <s v="JURASDOK"/>
    <s v="0004"/>
    <s v=""/>
    <s v="0000"/>
    <s v=""/>
    <s v="0143065576"/>
    <s v=""/>
    <s v=""/>
    <s v=""/>
    <s v="53003000"/>
    <s v=""/>
    <s v=""/>
    <s v=""/>
    <s v=""/>
    <m/>
    <s v="PC"/>
    <n v="-3225"/>
    <n v="-16125"/>
    <d v="2025-12-26T00:00:00"/>
    <d v="2025-12-19T00:00:00"/>
    <m/>
    <d v="2025-12-26T00:00:00"/>
    <n v="-3225"/>
    <s v="303"/>
    <x v="2"/>
    <s v="ต้นทุนผลิตหีบห่อ"/>
    <m/>
    <n v="5"/>
  </r>
  <r>
    <x v="13"/>
    <x v="13"/>
    <s v="0328"/>
    <x v="7"/>
    <s v="GI for order"/>
    <s v="4924962109"/>
    <s v="P002"/>
    <s v="3092611BBB"/>
    <s v="302000000157"/>
    <s v="11:24:37"/>
    <s v="JURASDOK"/>
    <s v="0002"/>
    <s v=""/>
    <s v="0000"/>
    <s v=""/>
    <s v="0143090731"/>
    <s v=""/>
    <s v=""/>
    <s v=""/>
    <s v="53001003"/>
    <s v=""/>
    <s v=""/>
    <s v=""/>
    <s v=""/>
    <m/>
    <s v="KG"/>
    <n v="-2019.56"/>
    <n v="-538859"/>
    <d v="2025-12-26T00:00:00"/>
    <d v="2025-12-20T00:00:00"/>
    <m/>
    <d v="2025-12-26T00:00:00"/>
    <n v="-2019560"/>
    <s v="302"/>
    <x v="4"/>
    <s v="ต้นทุนผลิตกึ่งสำเร็จ"/>
    <m/>
    <n v="266.82000039612592"/>
  </r>
  <r>
    <x v="14"/>
    <x v="14"/>
    <s v="0328"/>
    <x v="7"/>
    <s v="GI for order"/>
    <s v="4924962109"/>
    <s v="P002"/>
    <s v="3093010BBB"/>
    <s v="302000000157"/>
    <s v="11:24:37"/>
    <s v="JURASDOK"/>
    <s v="0003"/>
    <s v=""/>
    <s v="0000"/>
    <s v=""/>
    <s v="0143090731"/>
    <s v=""/>
    <s v=""/>
    <s v=""/>
    <s v="53001003"/>
    <s v=""/>
    <s v=""/>
    <s v=""/>
    <s v=""/>
    <m/>
    <s v="KG"/>
    <n v="-1626.78"/>
    <n v="-434057.44"/>
    <d v="2025-12-26T00:00:00"/>
    <d v="2025-12-20T00:00:00"/>
    <m/>
    <d v="2025-12-26T00:00:00"/>
    <n v="-1626780"/>
    <s v="302"/>
    <x v="4"/>
    <s v="ต้นทุนผลิตกึ่งสำเร็จ"/>
    <m/>
    <n v="266.8200002458845"/>
  </r>
  <r>
    <x v="14"/>
    <x v="14"/>
    <s v="0328"/>
    <x v="7"/>
    <s v="GI for order"/>
    <s v="4924962109"/>
    <s v="P002"/>
    <s v="3092611BBB"/>
    <s v="302000000157"/>
    <s v="11:24:37"/>
    <s v="JURASDOK"/>
    <s v="0005"/>
    <s v=""/>
    <s v="0000"/>
    <s v=""/>
    <s v="0000000000"/>
    <s v=""/>
    <s v="เมล็ดกาแฟ Clean Arabica Size L"/>
    <s v=""/>
    <s v="53001003"/>
    <s v=""/>
    <s v=""/>
    <s v=""/>
    <s v=""/>
    <m/>
    <s v="KG"/>
    <n v="-6539.72"/>
    <n v="-1744928.09"/>
    <d v="2025-12-26T00:00:00"/>
    <d v="2025-12-20T00:00:00"/>
    <m/>
    <d v="2025-12-26T00:00:00"/>
    <n v="-6539720"/>
    <s v="302"/>
    <x v="4"/>
    <s v="ต้นทุนผลิตกึ่งสำเร็จ"/>
    <m/>
    <n v="266.81999993883528"/>
  </r>
  <r>
    <x v="15"/>
    <x v="15"/>
    <s v="0328"/>
    <x v="7"/>
    <s v="GI for order"/>
    <s v="4924962109"/>
    <s v="P002"/>
    <s v="160925-BBB"/>
    <s v="302000000157"/>
    <s v="11:24:37"/>
    <s v="JURASDOK"/>
    <s v="0004"/>
    <s v=""/>
    <s v="0000"/>
    <s v=""/>
    <s v="0143090731"/>
    <s v=""/>
    <s v=""/>
    <s v=""/>
    <s v="53001003"/>
    <s v=""/>
    <s v=""/>
    <s v=""/>
    <s v=""/>
    <m/>
    <s v="KG"/>
    <n v="-2549.04"/>
    <n v="-522119.86"/>
    <d v="2025-12-26T00:00:00"/>
    <d v="2025-12-20T00:00:00"/>
    <m/>
    <d v="2025-12-26T00:00:00"/>
    <n v="-2549040"/>
    <s v="302"/>
    <x v="4"/>
    <s v="ต้นทุนผลิตกึ่งสำเร็จ"/>
    <m/>
    <n v="204.82999874462541"/>
  </r>
  <r>
    <x v="16"/>
    <x v="16"/>
    <s v="0328"/>
    <x v="8"/>
    <s v="GR for order"/>
    <s v="4924962109"/>
    <s v="P003"/>
    <s v="201225-B/B"/>
    <s v="302000000157"/>
    <s v="11:24:37"/>
    <s v="JURASDOK"/>
    <s v="0001"/>
    <s v=""/>
    <s v="0000"/>
    <s v=""/>
    <s v="0000000000"/>
    <s v=""/>
    <s v=""/>
    <s v=""/>
    <s v="53001004"/>
    <s v=""/>
    <s v=""/>
    <s v=""/>
    <s v=""/>
    <m/>
    <s v="KG"/>
    <n v="10291.469999999999"/>
    <n v="3431999.42"/>
    <d v="2025-12-26T00:00:00"/>
    <d v="2025-12-20T00:00:00"/>
    <m/>
    <d v="2025-12-26T00:00:00"/>
    <n v="10291470"/>
    <s v="302"/>
    <x v="4"/>
    <s v="ต้นทุนผลิตโอน Semi"/>
    <m/>
    <n v="333.48000042753853"/>
  </r>
  <r>
    <x v="3"/>
    <x v="3"/>
    <s v="0328"/>
    <x v="0"/>
    <s v="GD goods issue:delvy"/>
    <s v="4924962127"/>
    <s v="P004"/>
    <s v="121225-B"/>
    <s v=""/>
    <s v="11:25:44"/>
    <s v="SONGPCHI"/>
    <s v="0001"/>
    <s v=""/>
    <s v="0000"/>
    <s v=""/>
    <s v="0000000000"/>
    <s v=""/>
    <s v=""/>
    <s v=""/>
    <s v="51003100"/>
    <s v=""/>
    <s v=""/>
    <s v=""/>
    <s v="2000110718"/>
    <m/>
    <s v="BAG"/>
    <n v="-1"/>
    <n v="-181.18"/>
    <d v="2025-12-26T00:00:00"/>
    <d v="2025-12-26T00:00:00"/>
    <m/>
    <d v="2025-12-26T00:00:00"/>
    <n v="-500"/>
    <s v=""/>
    <x v="0"/>
    <s v="ต้นทุนขาย"/>
    <m/>
    <n v="181.18"/>
  </r>
  <r>
    <x v="16"/>
    <x v="16"/>
    <s v="0328"/>
    <x v="7"/>
    <s v="GI for order"/>
    <s v="4924962252"/>
    <s v="P003"/>
    <s v="201225-B/B"/>
    <s v="303000000156"/>
    <s v="11:28:01"/>
    <s v="JURASDOK"/>
    <s v="0001"/>
    <s v=""/>
    <s v="0000"/>
    <s v=""/>
    <s v="0143067023"/>
    <s v=""/>
    <s v=""/>
    <s v=""/>
    <s v="53001003"/>
    <s v=""/>
    <s v=""/>
    <s v=""/>
    <s v=""/>
    <m/>
    <s v="KG"/>
    <n v="-10291.469999999999"/>
    <n v="-3431999.42"/>
    <d v="2025-12-26T00:00:00"/>
    <d v="2025-12-20T00:00:00"/>
    <m/>
    <d v="2025-12-26T00:00:00"/>
    <n v="-10291470"/>
    <s v="303"/>
    <x v="4"/>
    <s v="ต้นทุนผลิตกึ่งสำเร็จ"/>
    <m/>
    <n v="333.48000042753853"/>
  </r>
  <r>
    <x v="5"/>
    <x v="5"/>
    <s v="0328"/>
    <x v="7"/>
    <s v="GI for order"/>
    <s v="4924962252"/>
    <s v="P003"/>
    <s v="04062025"/>
    <s v="303000000156"/>
    <s v="11:28:01"/>
    <s v="JURASDOK"/>
    <s v="0002"/>
    <s v=""/>
    <s v="0000"/>
    <s v=""/>
    <s v="0143067023"/>
    <s v=""/>
    <s v=""/>
    <s v=""/>
    <s v="53003000"/>
    <s v=""/>
    <s v=""/>
    <s v=""/>
    <s v=""/>
    <m/>
    <s v="PC"/>
    <n v="-20859"/>
    <n v="-19084.53"/>
    <d v="2025-12-26T00:00:00"/>
    <d v="2025-12-20T00:00:00"/>
    <m/>
    <d v="2025-12-26T00:00:00"/>
    <n v="-20859"/>
    <s v="303"/>
    <x v="2"/>
    <s v="ต้นทุนผลิตหีบห่อ"/>
    <m/>
    <n v="0.91493024593700556"/>
  </r>
  <r>
    <x v="6"/>
    <x v="6"/>
    <s v="0328"/>
    <x v="7"/>
    <s v="GI for order"/>
    <s v="4924962252"/>
    <s v="P003"/>
    <s v="20251212"/>
    <s v="303000000156"/>
    <s v="11:28:01"/>
    <s v="JURASDOK"/>
    <s v="0005"/>
    <s v=""/>
    <s v="0000"/>
    <s v=""/>
    <s v="0000000000"/>
    <s v=""/>
    <s v="Film roll All cafe500g.420mm*900m"/>
    <s v=""/>
    <s v="53003000"/>
    <s v=""/>
    <s v=""/>
    <s v=""/>
    <s v=""/>
    <m/>
    <s v="PC"/>
    <n v="-17626"/>
    <n v="-30257.97"/>
    <d v="2025-12-26T00:00:00"/>
    <d v="2025-12-20T00:00:00"/>
    <m/>
    <d v="2025-12-26T00:00:00"/>
    <n v="-17626"/>
    <s v="303"/>
    <x v="2"/>
    <s v="ต้นทุนผลิตหีบห่อ"/>
    <m/>
    <n v="1.7166668557812323"/>
  </r>
  <r>
    <x v="6"/>
    <x v="6"/>
    <s v="0328"/>
    <x v="7"/>
    <s v="GI for order"/>
    <s v="4924962252"/>
    <s v="P003"/>
    <s v="20251202"/>
    <s v="303000000156"/>
    <s v="11:28:01"/>
    <s v="JURASDOK"/>
    <s v="0003"/>
    <s v=""/>
    <s v="0000"/>
    <s v=""/>
    <s v="0143067023"/>
    <s v=""/>
    <s v=""/>
    <s v=""/>
    <s v="53003000"/>
    <s v=""/>
    <s v=""/>
    <s v=""/>
    <s v=""/>
    <m/>
    <s v="PC"/>
    <n v="-3233"/>
    <n v="-5549.98"/>
    <d v="2025-12-26T00:00:00"/>
    <d v="2025-12-20T00:00:00"/>
    <m/>
    <d v="2025-12-26T00:00:00"/>
    <n v="-3233"/>
    <s v="303"/>
    <x v="2"/>
    <s v="ต้นทุนผลิตหีบห่อ"/>
    <m/>
    <n v="1.7166656356325394"/>
  </r>
  <r>
    <x v="7"/>
    <x v="7"/>
    <s v="0328"/>
    <x v="7"/>
    <s v="GI for order"/>
    <s v="4924962252"/>
    <s v="P003"/>
    <s v="20251201"/>
    <s v="303000000156"/>
    <s v="11:28:01"/>
    <s v="JURASDOK"/>
    <s v="0004"/>
    <s v=""/>
    <s v="0000"/>
    <s v=""/>
    <s v="0143067023"/>
    <s v=""/>
    <s v=""/>
    <s v=""/>
    <s v="53003000"/>
    <s v=""/>
    <s v=""/>
    <s v=""/>
    <s v=""/>
    <m/>
    <s v="PC"/>
    <n v="-657"/>
    <n v="-3285"/>
    <d v="2025-12-26T00:00:00"/>
    <d v="2025-12-20T00:00:00"/>
    <m/>
    <d v="2025-12-26T00:00:00"/>
    <n v="-657"/>
    <s v="303"/>
    <x v="2"/>
    <s v="ต้นทุนผลิตหีบห่อ"/>
    <m/>
    <n v="5"/>
  </r>
  <r>
    <x v="7"/>
    <x v="7"/>
    <s v="0328"/>
    <x v="7"/>
    <s v="GI for order"/>
    <s v="4924962252"/>
    <s v="P003"/>
    <s v="20251206"/>
    <s v="303000000156"/>
    <s v="11:28:01"/>
    <s v="JURASDOK"/>
    <s v="0006"/>
    <s v=""/>
    <s v="0000"/>
    <s v=""/>
    <s v="0000000000"/>
    <s v=""/>
    <s v="All Cafe ลังกระดาษ (287*240*177 mm.)"/>
    <s v=""/>
    <s v="53003000"/>
    <s v=""/>
    <s v=""/>
    <s v=""/>
    <s v=""/>
    <m/>
    <s v="PC"/>
    <n v="-2815"/>
    <n v="-14075"/>
    <d v="2025-12-26T00:00:00"/>
    <d v="2025-12-20T00:00:00"/>
    <m/>
    <d v="2025-12-26T00:00:00"/>
    <n v="-2815"/>
    <s v="303"/>
    <x v="2"/>
    <s v="ต้นทุนผลิตหีบห่อ"/>
    <m/>
    <n v="5"/>
  </r>
  <r>
    <x v="14"/>
    <x v="14"/>
    <s v="0328"/>
    <x v="7"/>
    <s v="GI for order"/>
    <s v="4924962362"/>
    <s v="P002"/>
    <s v="3092611BBB"/>
    <s v="302000000158"/>
    <s v="11:30:58"/>
    <s v="JURASDOK"/>
    <s v="0002"/>
    <s v=""/>
    <s v="0000"/>
    <s v=""/>
    <s v="0143090806"/>
    <s v=""/>
    <s v=""/>
    <s v=""/>
    <s v="53001003"/>
    <s v=""/>
    <s v=""/>
    <s v=""/>
    <s v=""/>
    <m/>
    <s v="KG"/>
    <n v="-9605"/>
    <n v="-2562806.1"/>
    <d v="2025-12-26T00:00:00"/>
    <d v="2025-12-22T00:00:00"/>
    <m/>
    <d v="2025-12-26T00:00:00"/>
    <n v="-9605000"/>
    <s v="302"/>
    <x v="4"/>
    <s v="ต้นทุนผลิตกึ่งสำเร็จ"/>
    <m/>
    <n v="266.82"/>
  </r>
  <r>
    <x v="15"/>
    <x v="15"/>
    <s v="0328"/>
    <x v="7"/>
    <s v="GI for order"/>
    <s v="4924962362"/>
    <s v="P002"/>
    <s v="160925-BBB"/>
    <s v="302000000158"/>
    <s v="11:30:58"/>
    <s v="JURASDOK"/>
    <s v="0003"/>
    <s v=""/>
    <s v="0000"/>
    <s v=""/>
    <s v="0143090806"/>
    <s v=""/>
    <s v=""/>
    <s v=""/>
    <s v="53001003"/>
    <s v=""/>
    <s v=""/>
    <s v=""/>
    <s v=""/>
    <m/>
    <s v="KG"/>
    <n v="-2404.42"/>
    <n v="-492497.35"/>
    <d v="2025-12-26T00:00:00"/>
    <d v="2025-12-22T00:00:00"/>
    <m/>
    <d v="2025-12-26T00:00:00"/>
    <n v="-2404420"/>
    <s v="302"/>
    <x v="4"/>
    <s v="ต้นทุนผลิตกึ่งสำเร็จ"/>
    <m/>
    <n v="204.83000058226099"/>
  </r>
  <r>
    <x v="16"/>
    <x v="16"/>
    <s v="0328"/>
    <x v="8"/>
    <s v="GR for order"/>
    <s v="4924962362"/>
    <s v="P003"/>
    <s v="221225-B/B"/>
    <s v="302000000158"/>
    <s v="11:30:58"/>
    <s v="JURASDOK"/>
    <s v="0001"/>
    <s v=""/>
    <s v="0000"/>
    <s v=""/>
    <s v="0000000000"/>
    <s v=""/>
    <s v=""/>
    <s v=""/>
    <s v="53001004"/>
    <s v=""/>
    <s v=""/>
    <s v=""/>
    <s v=""/>
    <m/>
    <s v="KG"/>
    <n v="9659.42"/>
    <n v="3221223.38"/>
    <d v="2025-12-26T00:00:00"/>
    <d v="2025-12-22T00:00:00"/>
    <m/>
    <d v="2025-12-26T00:00:00"/>
    <n v="9659420"/>
    <s v="302"/>
    <x v="4"/>
    <s v="ต้นทุนผลิตโอน Semi"/>
    <m/>
    <n v="333.47999983435858"/>
  </r>
  <r>
    <x v="16"/>
    <x v="16"/>
    <s v="0328"/>
    <x v="7"/>
    <s v="GI for order"/>
    <s v="4924962365"/>
    <s v="P003"/>
    <s v="221225-B/B"/>
    <s v="303000000157"/>
    <s v="11:32:48"/>
    <s v="JURASDOK"/>
    <s v="0001"/>
    <s v=""/>
    <s v="0000"/>
    <s v=""/>
    <s v="0143067526"/>
    <s v=""/>
    <s v=""/>
    <s v=""/>
    <s v="53001003"/>
    <s v=""/>
    <s v=""/>
    <s v=""/>
    <s v=""/>
    <m/>
    <s v="KG"/>
    <n v="-9659.42"/>
    <n v="-3221223.38"/>
    <d v="2025-12-26T00:00:00"/>
    <d v="2025-12-22T00:00:00"/>
    <m/>
    <d v="2025-12-26T00:00:00"/>
    <n v="-9659420"/>
    <s v="303"/>
    <x v="4"/>
    <s v="ต้นทุนผลิตกึ่งสำเร็จ"/>
    <m/>
    <n v="333.47999983435858"/>
  </r>
  <r>
    <x v="5"/>
    <x v="5"/>
    <s v="0328"/>
    <x v="7"/>
    <s v="GI for order"/>
    <s v="4924962365"/>
    <s v="P003"/>
    <s v="04062025"/>
    <s v="303000000157"/>
    <s v="11:32:48"/>
    <s v="JURASDOK"/>
    <s v="0002"/>
    <s v=""/>
    <s v="0000"/>
    <s v=""/>
    <s v="0143067526"/>
    <s v=""/>
    <s v=""/>
    <s v=""/>
    <s v="53003000"/>
    <s v=""/>
    <s v=""/>
    <s v=""/>
    <s v=""/>
    <m/>
    <s v="PC"/>
    <n v="-20873"/>
    <n v="-19097.34"/>
    <d v="2025-12-26T00:00:00"/>
    <d v="2025-12-22T00:00:00"/>
    <m/>
    <d v="2025-12-26T00:00:00"/>
    <n v="-20873"/>
    <s v="303"/>
    <x v="2"/>
    <s v="ต้นทุนผลิตหีบห่อ"/>
    <m/>
    <n v="0.91493029272265602"/>
  </r>
  <r>
    <x v="6"/>
    <x v="6"/>
    <s v="0328"/>
    <x v="7"/>
    <s v="GI for order"/>
    <s v="4924962365"/>
    <s v="P003"/>
    <s v="20251212"/>
    <s v="303000000157"/>
    <s v="11:32:48"/>
    <s v="JURASDOK"/>
    <s v="0003"/>
    <s v=""/>
    <s v="0000"/>
    <s v=""/>
    <s v="0143067526"/>
    <s v=""/>
    <s v=""/>
    <s v=""/>
    <s v="53003000"/>
    <s v=""/>
    <s v=""/>
    <s v=""/>
    <s v=""/>
    <m/>
    <s v="PC"/>
    <n v="-20649"/>
    <n v="-35447.449999999997"/>
    <d v="2025-12-26T00:00:00"/>
    <d v="2025-12-22T00:00:00"/>
    <m/>
    <d v="2025-12-26T00:00:00"/>
    <n v="-20649"/>
    <s v="303"/>
    <x v="2"/>
    <s v="ต้นทุนผลิตหีบห่อ"/>
    <m/>
    <n v="1.7166666666666666"/>
  </r>
  <r>
    <x v="7"/>
    <x v="7"/>
    <s v="0328"/>
    <x v="7"/>
    <s v="GI for order"/>
    <s v="4924962365"/>
    <s v="P003"/>
    <s v="20251206"/>
    <s v="303000000157"/>
    <s v="11:32:48"/>
    <s v="JURASDOK"/>
    <s v="0004"/>
    <s v=""/>
    <s v="0000"/>
    <s v=""/>
    <s v="0143067526"/>
    <s v=""/>
    <s v=""/>
    <s v=""/>
    <s v="53003000"/>
    <s v=""/>
    <s v=""/>
    <s v=""/>
    <s v=""/>
    <m/>
    <s v="PC"/>
    <n v="-3268"/>
    <n v="-16340"/>
    <d v="2025-12-26T00:00:00"/>
    <d v="2025-12-22T00:00:00"/>
    <m/>
    <d v="2025-12-26T00:00:00"/>
    <n v="-3268"/>
    <s v="303"/>
    <x v="2"/>
    <s v="ต้นทุนผลิตหีบห่อ"/>
    <m/>
    <n v="5"/>
  </r>
  <r>
    <x v="13"/>
    <x v="13"/>
    <s v="0328"/>
    <x v="7"/>
    <s v="GI for order"/>
    <s v="4924962578"/>
    <s v="P002"/>
    <s v="3092611BBB"/>
    <s v="302000000159"/>
    <s v="11:38:06"/>
    <s v="JURASDOK"/>
    <s v="0005"/>
    <s v=""/>
    <s v="0000"/>
    <s v=""/>
    <s v="0000000000"/>
    <s v=""/>
    <s v="เมล็ดกาแฟ Clean Arabica Size S&amp;M"/>
    <s v=""/>
    <s v="53001003"/>
    <s v=""/>
    <s v=""/>
    <s v=""/>
    <s v=""/>
    <m/>
    <s v="KG"/>
    <n v="-399.8"/>
    <n v="-106674.64"/>
    <d v="2025-12-26T00:00:00"/>
    <d v="2025-12-23T00:00:00"/>
    <m/>
    <d v="2025-12-26T00:00:00"/>
    <n v="-399800"/>
    <s v="302"/>
    <x v="4"/>
    <s v="ต้นทุนผลิตกึ่งสำเร็จ"/>
    <m/>
    <n v="266.82001000500247"/>
  </r>
  <r>
    <x v="13"/>
    <x v="13"/>
    <s v="0328"/>
    <x v="7"/>
    <s v="GI for order"/>
    <s v="4924962578"/>
    <s v="P002"/>
    <s v="3093010BBB"/>
    <s v="302000000159"/>
    <s v="11:38:06"/>
    <s v="JURASDOK"/>
    <s v="0002"/>
    <s v=""/>
    <s v="0000"/>
    <s v=""/>
    <s v="0143090855"/>
    <s v=""/>
    <s v=""/>
    <s v=""/>
    <s v="53001003"/>
    <s v=""/>
    <s v=""/>
    <s v=""/>
    <s v=""/>
    <m/>
    <s v="KG"/>
    <n v="-1577.92"/>
    <n v="-421020.62"/>
    <d v="2025-12-26T00:00:00"/>
    <d v="2025-12-23T00:00:00"/>
    <m/>
    <d v="2025-12-26T00:00:00"/>
    <n v="-1577920"/>
    <s v="302"/>
    <x v="4"/>
    <s v="ต้นทุนผลิตกึ่งสำเร็จ"/>
    <m/>
    <n v="266.82000354897588"/>
  </r>
  <r>
    <x v="14"/>
    <x v="14"/>
    <s v="0328"/>
    <x v="7"/>
    <s v="GI for order"/>
    <s v="4924962578"/>
    <s v="P002"/>
    <s v="3092611BBB"/>
    <s v="302000000159"/>
    <s v="11:38:06"/>
    <s v="JURASDOK"/>
    <s v="0003"/>
    <s v=""/>
    <s v="0000"/>
    <s v=""/>
    <s v="0143090855"/>
    <s v=""/>
    <s v=""/>
    <s v=""/>
    <s v="53001003"/>
    <s v=""/>
    <s v=""/>
    <s v=""/>
    <s v=""/>
    <m/>
    <s v="KG"/>
    <n v="-8010.24"/>
    <n v="-2137292.2400000002"/>
    <d v="2025-12-26T00:00:00"/>
    <d v="2025-12-23T00:00:00"/>
    <m/>
    <d v="2025-12-26T00:00:00"/>
    <n v="-8010240"/>
    <s v="302"/>
    <x v="4"/>
    <s v="ต้นทุนผลิตกึ่งสำเร็จ"/>
    <m/>
    <n v="266.82000039948866"/>
  </r>
  <r>
    <x v="15"/>
    <x v="15"/>
    <s v="0328"/>
    <x v="7"/>
    <s v="GI for order"/>
    <s v="4924962578"/>
    <s v="P002"/>
    <s v="251202-TTW"/>
    <s v="302000000159"/>
    <s v="11:38:06"/>
    <s v="JURASDOK"/>
    <s v="0004"/>
    <s v=""/>
    <s v="0000"/>
    <s v=""/>
    <s v="0143090855"/>
    <s v=""/>
    <s v=""/>
    <s v=""/>
    <s v="53001003"/>
    <s v=""/>
    <s v=""/>
    <s v=""/>
    <s v=""/>
    <m/>
    <s v="KG"/>
    <n v="-1310.75"/>
    <n v="-268480.92"/>
    <d v="2025-12-26T00:00:00"/>
    <d v="2025-12-23T00:00:00"/>
    <m/>
    <d v="2025-12-26T00:00:00"/>
    <n v="-1310750"/>
    <s v="302"/>
    <x v="4"/>
    <s v="ต้นทุนผลิตกึ่งสำเร็จ"/>
    <m/>
    <n v="204.82999809269501"/>
  </r>
  <r>
    <x v="15"/>
    <x v="15"/>
    <s v="0328"/>
    <x v="7"/>
    <s v="GI for order"/>
    <s v="4924962578"/>
    <s v="P002"/>
    <s v="160925-BBB"/>
    <s v="302000000159"/>
    <s v="11:38:06"/>
    <s v="JURASDOK"/>
    <s v="0006"/>
    <s v=""/>
    <s v="0000"/>
    <s v=""/>
    <s v="0000000000"/>
    <s v=""/>
    <s v="เมล็ดกาแฟ Clean Robusta Size mix"/>
    <s v=""/>
    <s v="53001003"/>
    <s v=""/>
    <s v=""/>
    <s v=""/>
    <s v=""/>
    <m/>
    <s v="KG"/>
    <n v="-1188.3900000000001"/>
    <n v="-243417.92"/>
    <d v="2025-12-26T00:00:00"/>
    <d v="2025-12-23T00:00:00"/>
    <m/>
    <d v="2025-12-26T00:00:00"/>
    <n v="-1188390"/>
    <s v="302"/>
    <x v="4"/>
    <s v="ต้นทุนผลิตกึ่งสำเร็จ"/>
    <m/>
    <n v="204.82999688654397"/>
  </r>
  <r>
    <x v="16"/>
    <x v="16"/>
    <s v="0328"/>
    <x v="8"/>
    <s v="GR for order"/>
    <s v="4924962578"/>
    <s v="P003"/>
    <s v="231225-B/B"/>
    <s v="302000000159"/>
    <s v="11:38:06"/>
    <s v="JURASDOK"/>
    <s v="0001"/>
    <s v=""/>
    <s v="0000"/>
    <s v=""/>
    <s v="0000000000"/>
    <s v=""/>
    <s v=""/>
    <s v=""/>
    <s v="53001004"/>
    <s v=""/>
    <s v=""/>
    <s v=""/>
    <s v=""/>
    <m/>
    <s v="KG"/>
    <n v="10076.69"/>
    <n v="3360374.58"/>
    <d v="2025-12-26T00:00:00"/>
    <d v="2025-12-23T00:00:00"/>
    <m/>
    <d v="2025-12-26T00:00:00"/>
    <n v="10076690"/>
    <s v="302"/>
    <x v="4"/>
    <s v="ต้นทุนผลิตโอน Semi"/>
    <m/>
    <n v="333.47999988091328"/>
  </r>
  <r>
    <x v="18"/>
    <x v="18"/>
    <s v="0328"/>
    <x v="2"/>
    <s v="TF trfr within plant"/>
    <s v="4924962626"/>
    <s v="M003"/>
    <s v="20251222"/>
    <s v=""/>
    <s v="11:37:54"/>
    <s v="SUTTISIT02"/>
    <s v="0001"/>
    <s v=""/>
    <s v="0000"/>
    <s v=""/>
    <s v="0000000000"/>
    <s v=""/>
    <s v=""/>
    <s v=""/>
    <s v=""/>
    <s v=""/>
    <s v=""/>
    <s v=""/>
    <s v=""/>
    <m/>
    <s v="PC"/>
    <n v="-200"/>
    <n v="0"/>
    <d v="2025-12-26T00:00:00"/>
    <d v="2025-12-26T00:00:00"/>
    <m/>
    <d v="2025-12-26T00:00:00"/>
    <n v="-200"/>
    <s v=""/>
    <x v="2"/>
    <e v="#N/A"/>
    <m/>
    <n v="0"/>
  </r>
  <r>
    <x v="18"/>
    <x v="18"/>
    <s v="0328"/>
    <x v="2"/>
    <s v="TF trfr within plant"/>
    <s v="4924962626"/>
    <s v="P003"/>
    <s v="20251222"/>
    <s v=""/>
    <s v="11:37:54"/>
    <s v="SUTTISIT02"/>
    <s v="0002"/>
    <s v=""/>
    <s v="0000"/>
    <s v=""/>
    <s v="0000000000"/>
    <s v=""/>
    <s v=""/>
    <s v=""/>
    <s v=""/>
    <s v=""/>
    <s v=""/>
    <s v=""/>
    <s v=""/>
    <m/>
    <s v="PC"/>
    <n v="200"/>
    <n v="0"/>
    <d v="2025-12-26T00:00:00"/>
    <d v="2025-12-26T00:00:00"/>
    <m/>
    <d v="2025-12-26T00:00:00"/>
    <n v="200"/>
    <s v=""/>
    <x v="2"/>
    <e v="#N/A"/>
    <m/>
    <n v="0"/>
  </r>
  <r>
    <x v="16"/>
    <x v="16"/>
    <s v="0328"/>
    <x v="7"/>
    <s v="GI for order"/>
    <s v="4924962676"/>
    <s v="P003"/>
    <s v="231225-B/B"/>
    <s v="303000000160"/>
    <s v="11:41:44"/>
    <s v="JURASDOK"/>
    <s v="0002"/>
    <s v=""/>
    <s v="0000"/>
    <s v=""/>
    <s v="0143090906"/>
    <s v=""/>
    <s v=""/>
    <s v=""/>
    <s v="53001003"/>
    <s v=""/>
    <s v=""/>
    <s v=""/>
    <s v=""/>
    <m/>
    <s v="KG"/>
    <n v="-10076.69"/>
    <n v="-3360374.58"/>
    <d v="2025-12-26T00:00:00"/>
    <d v="2025-12-23T00:00:00"/>
    <m/>
    <d v="2025-12-26T00:00:00"/>
    <n v="-10076690"/>
    <s v="303"/>
    <x v="4"/>
    <s v="ต้นทุนผลิตกึ่งสำเร็จ"/>
    <m/>
    <n v="333.47999988091328"/>
  </r>
  <r>
    <x v="5"/>
    <x v="5"/>
    <s v="0328"/>
    <x v="7"/>
    <s v="GI for order"/>
    <s v="4924962676"/>
    <s v="P003"/>
    <s v="04062025"/>
    <s v="303000000160"/>
    <s v="11:41:44"/>
    <s v="JURASDOK"/>
    <s v="0003"/>
    <s v=""/>
    <s v="0000"/>
    <s v=""/>
    <s v="0143090906"/>
    <s v=""/>
    <s v=""/>
    <s v=""/>
    <s v="53003000"/>
    <s v=""/>
    <s v=""/>
    <s v=""/>
    <s v=""/>
    <m/>
    <s v="PC"/>
    <n v="-20414"/>
    <n v="-18677.39"/>
    <d v="2025-12-26T00:00:00"/>
    <d v="2025-12-23T00:00:00"/>
    <m/>
    <d v="2025-12-26T00:00:00"/>
    <n v="-20414"/>
    <s v="303"/>
    <x v="2"/>
    <s v="ต้นทุนผลิตหีบห่อ"/>
    <m/>
    <n v="0.91493043989419021"/>
  </r>
  <r>
    <x v="6"/>
    <x v="6"/>
    <s v="0328"/>
    <x v="7"/>
    <s v="GI for order"/>
    <s v="4924962676"/>
    <s v="P003"/>
    <s v="20251212"/>
    <s v="303000000160"/>
    <s v="11:41:44"/>
    <s v="JURASDOK"/>
    <s v="0004"/>
    <s v=""/>
    <s v="0000"/>
    <s v=""/>
    <s v="0143090906"/>
    <s v=""/>
    <s v=""/>
    <s v=""/>
    <s v="53003000"/>
    <s v=""/>
    <s v=""/>
    <s v=""/>
    <s v=""/>
    <m/>
    <s v="PC"/>
    <n v="-20414"/>
    <n v="-35044.03"/>
    <d v="2025-12-26T00:00:00"/>
    <d v="2025-12-23T00:00:00"/>
    <m/>
    <d v="2025-12-26T00:00:00"/>
    <n v="-20414"/>
    <s v="303"/>
    <x v="2"/>
    <s v="ต้นทุนผลิตหีบห่อ"/>
    <m/>
    <n v="1.7166665033800332"/>
  </r>
  <r>
    <x v="7"/>
    <x v="7"/>
    <s v="0328"/>
    <x v="7"/>
    <s v="GI for order"/>
    <s v="4924962676"/>
    <s v="P003"/>
    <s v="20251206"/>
    <s v="303000000160"/>
    <s v="11:41:44"/>
    <s v="JURASDOK"/>
    <s v="0005"/>
    <s v=""/>
    <s v="0000"/>
    <s v=""/>
    <s v="0143090906"/>
    <s v=""/>
    <s v=""/>
    <s v=""/>
    <s v="53003000"/>
    <s v=""/>
    <s v=""/>
    <s v=""/>
    <s v=""/>
    <m/>
    <s v="PC"/>
    <n v="-3359"/>
    <n v="-16795"/>
    <d v="2025-12-26T00:00:00"/>
    <d v="2025-12-23T00:00:00"/>
    <m/>
    <d v="2025-12-26T00:00:00"/>
    <n v="-3359"/>
    <s v="303"/>
    <x v="2"/>
    <s v="ต้นทุนผลิตหีบห่อ"/>
    <m/>
    <n v="5"/>
  </r>
  <r>
    <x v="2"/>
    <x v="2"/>
    <s v="0328"/>
    <x v="8"/>
    <s v="GR for order"/>
    <s v="4924962676"/>
    <s v="M001"/>
    <s v="201203-B/B"/>
    <s v="303000000160"/>
    <s v="11:41:44"/>
    <s v="JURASDOK"/>
    <s v="0001"/>
    <s v=""/>
    <s v="0000"/>
    <s v=""/>
    <s v="0000000000"/>
    <s v=""/>
    <s v=""/>
    <s v=""/>
    <s v="53001001"/>
    <s v=""/>
    <s v=""/>
    <s v=""/>
    <s v=""/>
    <m/>
    <s v="BAG"/>
    <n v="20136"/>
    <n v="3497623.2"/>
    <d v="2025-12-26T00:00:00"/>
    <d v="2025-12-23T00:00:00"/>
    <m/>
    <d v="2025-12-26T00:00:00"/>
    <n v="10068000"/>
    <s v="303"/>
    <x v="0"/>
    <s v="ต้นทุนผลิตโอน F/G"/>
    <m/>
    <n v="173.70000000000002"/>
  </r>
  <r>
    <x v="2"/>
    <x v="2"/>
    <s v="0328"/>
    <x v="0"/>
    <s v="GD goods issue:delvy"/>
    <s v="4924962933"/>
    <s v="M001"/>
    <s v="161204-B/T"/>
    <s v=""/>
    <s v="11:48:12"/>
    <s v="JURASDOK"/>
    <s v="0002"/>
    <s v=""/>
    <s v="0000"/>
    <s v=""/>
    <s v="0000000000"/>
    <s v=""/>
    <s v=""/>
    <s v=""/>
    <s v="51003100"/>
    <s v=""/>
    <s v=""/>
    <s v=""/>
    <s v="2000110720"/>
    <m/>
    <s v="BOX"/>
    <n v="-1053"/>
    <n v="-1097436.6000000001"/>
    <d v="2025-12-26T00:00:00"/>
    <d v="2025-12-26T00:00:00"/>
    <m/>
    <d v="2025-12-26T00:00:00"/>
    <n v="-3159000"/>
    <s v=""/>
    <x v="0"/>
    <s v="ต้นทุนขาย"/>
    <m/>
    <n v="1042.2"/>
  </r>
  <r>
    <x v="2"/>
    <x v="2"/>
    <s v="0328"/>
    <x v="0"/>
    <s v="GD goods issue:delvy"/>
    <s v="4924962933"/>
    <s v="M001"/>
    <s v="201201-B/T"/>
    <s v=""/>
    <s v="11:48:12"/>
    <s v="JURASDOK"/>
    <s v="0001"/>
    <s v=""/>
    <s v="0000"/>
    <s v=""/>
    <s v="0000000000"/>
    <s v=""/>
    <s v=""/>
    <s v=""/>
    <s v="51003100"/>
    <s v=""/>
    <s v=""/>
    <s v=""/>
    <s v="2000110720"/>
    <m/>
    <s v="BOX"/>
    <n v="-1827"/>
    <n v="-1904099.4"/>
    <d v="2025-12-26T00:00:00"/>
    <d v="2025-12-26T00:00:00"/>
    <m/>
    <d v="2025-12-26T00:00:00"/>
    <n v="-5481000"/>
    <s v=""/>
    <x v="0"/>
    <s v="ต้นทุนขาย"/>
    <m/>
    <n v="1042.2"/>
  </r>
  <r>
    <x v="2"/>
    <x v="2"/>
    <s v="0328"/>
    <x v="2"/>
    <s v="TF trfr within plant"/>
    <s v="4924964484"/>
    <s v="M001"/>
    <s v="201104-B/T"/>
    <s v=""/>
    <s v="12:06:43"/>
    <s v="JURASDOK"/>
    <s v="0002"/>
    <s v=""/>
    <s v="0000"/>
    <s v=""/>
    <s v="0000000000"/>
    <s v=""/>
    <s v=""/>
    <s v=""/>
    <s v=""/>
    <s v=""/>
    <s v=""/>
    <s v=""/>
    <s v=""/>
    <m/>
    <s v="BAG"/>
    <n v="26"/>
    <n v="0"/>
    <d v="2025-12-12T00:00:00"/>
    <d v="2025-12-12T00:00:00"/>
    <m/>
    <d v="2025-12-26T00:00:00"/>
    <n v="13000"/>
    <s v=""/>
    <x v="0"/>
    <e v="#N/A"/>
    <m/>
    <n v="0"/>
  </r>
  <r>
    <x v="2"/>
    <x v="2"/>
    <s v="0328"/>
    <x v="2"/>
    <s v="TF trfr within plant"/>
    <s v="4924964484"/>
    <s v="M001"/>
    <s v="201104-B/T"/>
    <s v=""/>
    <s v="12:06:43"/>
    <s v="JURASDOK"/>
    <s v="0001"/>
    <s v=""/>
    <s v="0000"/>
    <s v=""/>
    <s v="0000000000"/>
    <s v=""/>
    <s v=""/>
    <s v=""/>
    <s v=""/>
    <s v=""/>
    <s v=""/>
    <s v=""/>
    <s v=""/>
    <m/>
    <s v="BAG"/>
    <n v="-26"/>
    <n v="0"/>
    <d v="2025-12-12T00:00:00"/>
    <d v="2025-12-12T00:00:00"/>
    <m/>
    <d v="2025-12-26T00:00:00"/>
    <n v="-13000"/>
    <s v=""/>
    <x v="0"/>
    <e v="#N/A"/>
    <m/>
    <n v="0"/>
  </r>
  <r>
    <x v="2"/>
    <x v="2"/>
    <s v="0328"/>
    <x v="14"/>
    <s v="TR transfer in plant"/>
    <s v="4924964487"/>
    <s v="M001"/>
    <s v="201104-B/T"/>
    <s v=""/>
    <s v="12:08:55"/>
    <s v="JURASDOK"/>
    <s v="0002"/>
    <s v=""/>
    <s v="0000"/>
    <s v=""/>
    <s v="0000000000"/>
    <s v="CC Batch ผิด"/>
    <s v="CC Batch ผิด DOC 4924964484"/>
    <s v=""/>
    <s v=""/>
    <s v=""/>
    <s v=""/>
    <s v=""/>
    <s v=""/>
    <m/>
    <s v="BAG"/>
    <n v="-26"/>
    <n v="0"/>
    <d v="2025-12-12T00:00:00"/>
    <d v="2025-12-12T00:00:00"/>
    <m/>
    <d v="2025-12-26T00:00:00"/>
    <n v="-13000"/>
    <s v=""/>
    <x v="0"/>
    <e v="#N/A"/>
    <m/>
    <n v="0"/>
  </r>
  <r>
    <x v="2"/>
    <x v="2"/>
    <s v="0328"/>
    <x v="14"/>
    <s v="TR transfer in plant"/>
    <s v="4924964487"/>
    <s v="M001"/>
    <s v="201104-B/T"/>
    <s v=""/>
    <s v="12:08:55"/>
    <s v="JURASDOK"/>
    <s v="0001"/>
    <s v=""/>
    <s v="0000"/>
    <s v=""/>
    <s v="0000000000"/>
    <s v="CC Batch ผิด"/>
    <s v="CC Batch ผิด DOC 4924964484"/>
    <s v=""/>
    <s v=""/>
    <s v=""/>
    <s v=""/>
    <s v=""/>
    <s v=""/>
    <m/>
    <s v="BAG"/>
    <n v="26"/>
    <n v="0"/>
    <d v="2025-12-12T00:00:00"/>
    <d v="2025-12-12T00:00:00"/>
    <m/>
    <d v="2025-12-26T00:00:00"/>
    <n v="13000"/>
    <s v=""/>
    <x v="0"/>
    <e v="#N/A"/>
    <m/>
    <n v="0"/>
  </r>
  <r>
    <x v="2"/>
    <x v="2"/>
    <s v="0328"/>
    <x v="2"/>
    <s v="TF trfr within plant"/>
    <s v="4924965314"/>
    <s v="M001"/>
    <s v="070804-B/P"/>
    <s v=""/>
    <s v="12:11:51"/>
    <s v="JURASDOK"/>
    <s v="0004"/>
    <s v=""/>
    <s v="0000"/>
    <s v=""/>
    <s v="0000000000"/>
    <s v=""/>
    <s v=""/>
    <s v=""/>
    <s v=""/>
    <s v=""/>
    <s v=""/>
    <s v=""/>
    <s v=""/>
    <m/>
    <s v="BAG"/>
    <n v="16"/>
    <n v="0"/>
    <d v="2025-12-12T00:00:00"/>
    <d v="2025-12-12T00:00:00"/>
    <m/>
    <d v="2025-12-26T00:00:00"/>
    <n v="8000"/>
    <s v=""/>
    <x v="0"/>
    <e v="#N/A"/>
    <m/>
    <n v="0"/>
  </r>
  <r>
    <x v="2"/>
    <x v="2"/>
    <s v="0328"/>
    <x v="2"/>
    <s v="TF trfr within plant"/>
    <s v="4924965314"/>
    <s v="M001"/>
    <s v="011203-B/T"/>
    <s v=""/>
    <s v="12:11:51"/>
    <s v="JURASDOK"/>
    <s v="0003"/>
    <s v=""/>
    <s v="0000"/>
    <s v=""/>
    <s v="0000000000"/>
    <s v=""/>
    <s v=""/>
    <s v=""/>
    <s v=""/>
    <s v=""/>
    <s v=""/>
    <s v=""/>
    <s v=""/>
    <m/>
    <s v="BAG"/>
    <n v="-16"/>
    <n v="0"/>
    <d v="2025-12-12T00:00:00"/>
    <d v="2025-12-12T00:00:00"/>
    <m/>
    <d v="2025-12-26T00:00:00"/>
    <n v="-8000"/>
    <s v=""/>
    <x v="0"/>
    <e v="#N/A"/>
    <m/>
    <n v="0"/>
  </r>
  <r>
    <x v="2"/>
    <x v="2"/>
    <s v="0328"/>
    <x v="2"/>
    <s v="TF trfr within plant"/>
    <s v="4924965314"/>
    <s v="M001"/>
    <s v="070804-B/P"/>
    <s v=""/>
    <s v="12:11:51"/>
    <s v="JURASDOK"/>
    <s v="0002"/>
    <s v=""/>
    <s v="0000"/>
    <s v=""/>
    <s v="0000000000"/>
    <s v=""/>
    <s v=""/>
    <s v=""/>
    <s v=""/>
    <s v=""/>
    <s v=""/>
    <s v=""/>
    <s v=""/>
    <m/>
    <s v="BAG"/>
    <n v="10"/>
    <n v="0"/>
    <d v="2025-12-12T00:00:00"/>
    <d v="2025-12-12T00:00:00"/>
    <m/>
    <d v="2025-12-26T00:00:00"/>
    <n v="5000"/>
    <s v=""/>
    <x v="0"/>
    <e v="#N/A"/>
    <m/>
    <n v="0"/>
  </r>
  <r>
    <x v="2"/>
    <x v="2"/>
    <s v="0328"/>
    <x v="2"/>
    <s v="TF trfr within plant"/>
    <s v="4924965314"/>
    <s v="M001"/>
    <s v="201104-B/T"/>
    <s v=""/>
    <s v="12:11:51"/>
    <s v="JURASDOK"/>
    <s v="0001"/>
    <s v=""/>
    <s v="0000"/>
    <s v=""/>
    <s v="0000000000"/>
    <s v=""/>
    <s v=""/>
    <s v=""/>
    <s v=""/>
    <s v=""/>
    <s v=""/>
    <s v=""/>
    <s v=""/>
    <m/>
    <s v="BAG"/>
    <n v="-10"/>
    <n v="0"/>
    <d v="2025-12-12T00:00:00"/>
    <d v="2025-12-12T00:00:00"/>
    <m/>
    <d v="2025-12-26T00:00:00"/>
    <n v="-5000"/>
    <s v=""/>
    <x v="0"/>
    <e v="#N/A"/>
    <m/>
    <n v="0"/>
  </r>
  <r>
    <x v="5"/>
    <x v="5"/>
    <s v="0328"/>
    <x v="7"/>
    <s v="GI for order"/>
    <s v="4924965315"/>
    <s v="P003"/>
    <s v="04062025"/>
    <s v="305000000016"/>
    <s v="12:12:25"/>
    <s v="JURASDOK"/>
    <s v="0002"/>
    <s v=""/>
    <s v="0000"/>
    <s v=""/>
    <s v="0143091010"/>
    <s v=""/>
    <s v=""/>
    <s v=""/>
    <s v="53003000"/>
    <s v=""/>
    <s v=""/>
    <s v=""/>
    <s v=""/>
    <m/>
    <s v="PC"/>
    <n v="-2"/>
    <n v="-1.83"/>
    <d v="2025-12-26T00:00:00"/>
    <d v="2025-12-12T00:00:00"/>
    <m/>
    <d v="2025-12-26T00:00:00"/>
    <n v="-2"/>
    <s v="305"/>
    <x v="2"/>
    <s v="ต้นทุนผลิตหีบห่อ"/>
    <m/>
    <n v="0.91500000000000004"/>
  </r>
  <r>
    <x v="20"/>
    <x v="20"/>
    <s v="0328"/>
    <x v="7"/>
    <s v="GI for order"/>
    <s v="4924965315"/>
    <s v="P003"/>
    <s v="11072025"/>
    <s v="305000000016"/>
    <s v="12:12:25"/>
    <s v="JURASDOK"/>
    <s v="0003"/>
    <s v=""/>
    <s v="0000"/>
    <s v=""/>
    <s v="0143091010"/>
    <s v=""/>
    <s v=""/>
    <s v=""/>
    <s v="53003000"/>
    <s v=""/>
    <s v=""/>
    <s v=""/>
    <s v=""/>
    <m/>
    <s v="EA"/>
    <n v="-2"/>
    <n v="-7.16"/>
    <d v="2025-12-26T00:00:00"/>
    <d v="2025-12-12T00:00:00"/>
    <m/>
    <d v="2025-12-26T00:00:00"/>
    <n v="-2"/>
    <s v="305"/>
    <x v="2"/>
    <s v="ต้นทุนผลิตหีบห่อ"/>
    <m/>
    <n v="3.58"/>
  </r>
  <r>
    <x v="21"/>
    <x v="21"/>
    <s v="0328"/>
    <x v="7"/>
    <s v="GI for order"/>
    <s v="4924965315"/>
    <s v="P003"/>
    <s v="11072025"/>
    <s v="305000000016"/>
    <s v="12:12:25"/>
    <s v="JURASDOK"/>
    <s v="0004"/>
    <s v=""/>
    <s v="0000"/>
    <s v=""/>
    <s v="0143091010"/>
    <s v=""/>
    <s v=""/>
    <s v=""/>
    <s v="53003000"/>
    <s v=""/>
    <s v=""/>
    <s v=""/>
    <s v=""/>
    <m/>
    <s v="EA"/>
    <n v="-2"/>
    <n v="-3.12"/>
    <d v="2025-12-26T00:00:00"/>
    <d v="2025-12-12T00:00:00"/>
    <m/>
    <d v="2025-12-26T00:00:00"/>
    <n v="-2"/>
    <s v="305"/>
    <x v="2"/>
    <s v="ต้นทุนผลิตหีบห่อ"/>
    <m/>
    <n v="1.56"/>
  </r>
  <r>
    <x v="22"/>
    <x v="22"/>
    <s v="0328"/>
    <x v="7"/>
    <s v="GI for order"/>
    <s v="4924965315"/>
    <s v="P003"/>
    <s v="20250915"/>
    <s v="305000000016"/>
    <s v="12:12:25"/>
    <s v="JURASDOK"/>
    <s v="0006"/>
    <s v=""/>
    <s v="0000"/>
    <s v=""/>
    <s v="0000000000"/>
    <s v=""/>
    <s v="Film roll Nologo 500g.420mm*900m"/>
    <s v=""/>
    <s v="53003000"/>
    <s v=""/>
    <s v=""/>
    <s v=""/>
    <s v=""/>
    <m/>
    <s v="PC"/>
    <n v="-2"/>
    <n v="-3.43"/>
    <d v="2025-12-26T00:00:00"/>
    <d v="2025-12-12T00:00:00"/>
    <m/>
    <d v="2025-12-26T00:00:00"/>
    <n v="-2"/>
    <s v="305"/>
    <x v="2"/>
    <s v="ต้นทุนผลิตหีบห่อ"/>
    <m/>
    <n v="1.7150000000000001"/>
  </r>
  <r>
    <x v="2"/>
    <x v="2"/>
    <s v="0328"/>
    <x v="7"/>
    <s v="GI for order"/>
    <s v="4924965315"/>
    <s v="M001"/>
    <s v="070804-B/P"/>
    <s v="305000000016"/>
    <s v="12:12:25"/>
    <s v="JURASDOK"/>
    <s v="0005"/>
    <s v=""/>
    <s v="0000"/>
    <s v=""/>
    <s v="0000000000"/>
    <s v=""/>
    <s v="GOLD BLEND ALL CAFE'  ขนาด 500 G."/>
    <s v=""/>
    <s v="53001000"/>
    <s v=""/>
    <s v=""/>
    <s v=""/>
    <s v=""/>
    <m/>
    <s v="BAG"/>
    <n v="-602"/>
    <n v="-104567.4"/>
    <d v="2025-12-26T00:00:00"/>
    <d v="2025-12-12T00:00:00"/>
    <m/>
    <d v="2025-12-26T00:00:00"/>
    <n v="-301000"/>
    <s v="305"/>
    <x v="0"/>
    <s v="ต้นทุนผลิต-สินค้าสำเร็จรูป"/>
    <m/>
    <n v="173.7"/>
  </r>
  <r>
    <x v="3"/>
    <x v="3"/>
    <s v="0328"/>
    <x v="8"/>
    <s v="GR for order"/>
    <s v="4924965315"/>
    <s v="M001"/>
    <s v="121225-B"/>
    <s v="305000000016"/>
    <s v="12:12:25"/>
    <s v="JURASDOK"/>
    <s v="0001"/>
    <s v=""/>
    <s v="0000"/>
    <s v=""/>
    <s v="0000000000"/>
    <s v=""/>
    <s v=""/>
    <s v=""/>
    <s v="53001001"/>
    <s v=""/>
    <s v=""/>
    <s v=""/>
    <s v=""/>
    <m/>
    <s v="BAG"/>
    <n v="2"/>
    <n v="362.36"/>
    <d v="2025-12-26T00:00:00"/>
    <d v="2025-12-12T00:00:00"/>
    <m/>
    <d v="2025-12-26T00:00:00"/>
    <n v="1000"/>
    <s v="305"/>
    <x v="0"/>
    <s v="ต้นทุนผลิตโอน F/G"/>
    <m/>
    <n v="181.18"/>
  </r>
  <r>
    <x v="3"/>
    <x v="3"/>
    <s v="0328"/>
    <x v="0"/>
    <s v="GD goods issue:delvy"/>
    <s v="4924969940"/>
    <s v="P004"/>
    <s v="121225-B"/>
    <s v=""/>
    <s v="13:58:16"/>
    <s v="SONGPCHI"/>
    <s v="0001"/>
    <s v=""/>
    <s v="0000"/>
    <s v=""/>
    <s v="0000000000"/>
    <s v=""/>
    <s v=""/>
    <s v=""/>
    <s v="51003100"/>
    <s v=""/>
    <s v=""/>
    <s v=""/>
    <s v="2000110721"/>
    <m/>
    <s v="BAG"/>
    <n v="-4"/>
    <n v="-724.72"/>
    <d v="2025-12-26T00:00:00"/>
    <d v="2025-12-26T00:00:00"/>
    <m/>
    <d v="2025-12-26T00:00:00"/>
    <n v="-2000"/>
    <s v=""/>
    <x v="0"/>
    <s v="ต้นทุนขาย"/>
    <m/>
    <n v="181.18"/>
  </r>
  <r>
    <x v="3"/>
    <x v="3"/>
    <s v="0328"/>
    <x v="0"/>
    <s v="GD goods issue:delvy"/>
    <s v="4924975876"/>
    <s v="P004"/>
    <s v="121225-B"/>
    <s v=""/>
    <s v="14:21:52"/>
    <s v="THANAWIS"/>
    <s v="0001"/>
    <s v=""/>
    <s v="0000"/>
    <s v=""/>
    <s v="0000000000"/>
    <s v=""/>
    <s v=""/>
    <s v=""/>
    <s v="51003100"/>
    <s v=""/>
    <s v=""/>
    <s v=""/>
    <s v="2000110726"/>
    <m/>
    <s v="BAG"/>
    <n v="-60"/>
    <n v="-10870.8"/>
    <d v="2025-12-26T00:00:00"/>
    <d v="2025-12-26T00:00:00"/>
    <m/>
    <d v="2025-12-26T00:00:00"/>
    <n v="-30000"/>
    <s v=""/>
    <x v="0"/>
    <s v="ต้นทุนขาย"/>
    <m/>
    <n v="181.17999999999998"/>
  </r>
  <r>
    <x v="5"/>
    <x v="5"/>
    <s v="0328"/>
    <x v="2"/>
    <s v="TF trfr within plant"/>
    <s v="4924983924"/>
    <s v="P003"/>
    <s v="04062025"/>
    <s v=""/>
    <s v="15:51:14"/>
    <s v="SUTTISIT02"/>
    <s v="0006"/>
    <s v=""/>
    <s v="0000"/>
    <s v=""/>
    <s v="0000000000"/>
    <s v=""/>
    <s v=""/>
    <s v=""/>
    <s v=""/>
    <s v=""/>
    <s v=""/>
    <s v=""/>
    <s v=""/>
    <m/>
    <s v="PC"/>
    <n v="30000"/>
    <n v="0"/>
    <d v="2025-12-26T00:00:00"/>
    <d v="2025-12-26T00:00:00"/>
    <m/>
    <d v="2025-12-26T00:00:00"/>
    <n v="30000"/>
    <s v=""/>
    <x v="2"/>
    <e v="#N/A"/>
    <m/>
    <n v="0"/>
  </r>
  <r>
    <x v="5"/>
    <x v="5"/>
    <s v="0328"/>
    <x v="2"/>
    <s v="TF trfr within plant"/>
    <s v="4924983924"/>
    <s v="M003"/>
    <s v="04062025"/>
    <s v=""/>
    <s v="15:51:14"/>
    <s v="SUTTISIT02"/>
    <s v="0005"/>
    <s v=""/>
    <s v="0000"/>
    <s v=""/>
    <s v="0000000000"/>
    <s v=""/>
    <s v=""/>
    <s v=""/>
    <s v=""/>
    <s v=""/>
    <s v=""/>
    <s v=""/>
    <s v=""/>
    <m/>
    <s v="PC"/>
    <n v="-30000"/>
    <n v="0"/>
    <d v="2025-12-26T00:00:00"/>
    <d v="2025-12-26T00:00:00"/>
    <m/>
    <d v="2025-12-26T00:00:00"/>
    <n v="-30000"/>
    <s v=""/>
    <x v="2"/>
    <e v="#N/A"/>
    <m/>
    <n v="0"/>
  </r>
  <r>
    <x v="6"/>
    <x v="6"/>
    <s v="0328"/>
    <x v="2"/>
    <s v="TF trfr within plant"/>
    <s v="4924983924"/>
    <s v="P003"/>
    <s v="20251212"/>
    <s v=""/>
    <s v="15:51:14"/>
    <s v="SUTTISIT02"/>
    <s v="0004"/>
    <s v=""/>
    <s v="0000"/>
    <s v=""/>
    <s v="0000000000"/>
    <s v=""/>
    <s v=""/>
    <s v=""/>
    <s v=""/>
    <s v=""/>
    <s v=""/>
    <s v=""/>
    <s v=""/>
    <m/>
    <s v="PC"/>
    <n v="18000"/>
    <n v="0"/>
    <d v="2025-12-26T00:00:00"/>
    <d v="2025-12-26T00:00:00"/>
    <m/>
    <d v="2025-12-26T00:00:00"/>
    <n v="18000"/>
    <s v=""/>
    <x v="2"/>
    <e v="#N/A"/>
    <m/>
    <n v="0"/>
  </r>
  <r>
    <x v="6"/>
    <x v="6"/>
    <s v="0328"/>
    <x v="2"/>
    <s v="TF trfr within plant"/>
    <s v="4924983924"/>
    <s v="M003"/>
    <s v="20251212"/>
    <s v=""/>
    <s v="15:51:14"/>
    <s v="SUTTISIT02"/>
    <s v="0003"/>
    <s v=""/>
    <s v="0000"/>
    <s v=""/>
    <s v="0000000000"/>
    <s v=""/>
    <s v=""/>
    <s v=""/>
    <s v=""/>
    <s v=""/>
    <s v=""/>
    <s v=""/>
    <s v=""/>
    <m/>
    <s v="PC"/>
    <n v="-18000"/>
    <n v="0"/>
    <d v="2025-12-26T00:00:00"/>
    <d v="2025-12-26T00:00:00"/>
    <m/>
    <d v="2025-12-26T00:00:00"/>
    <n v="-18000"/>
    <s v=""/>
    <x v="2"/>
    <e v="#N/A"/>
    <m/>
    <n v="0"/>
  </r>
  <r>
    <x v="7"/>
    <x v="7"/>
    <s v="0328"/>
    <x v="2"/>
    <s v="TF trfr within plant"/>
    <s v="4924983924"/>
    <s v="M003"/>
    <s v="20251222"/>
    <s v=""/>
    <s v="15:51:14"/>
    <s v="SUTTISIT02"/>
    <s v="0001"/>
    <s v=""/>
    <s v="0000"/>
    <s v=""/>
    <s v="0000000000"/>
    <s v=""/>
    <s v=""/>
    <s v=""/>
    <s v=""/>
    <s v=""/>
    <s v=""/>
    <s v=""/>
    <s v=""/>
    <m/>
    <s v="PC"/>
    <n v="-3000"/>
    <n v="0"/>
    <d v="2025-12-26T00:00:00"/>
    <d v="2025-12-26T00:00:00"/>
    <m/>
    <d v="2025-12-26T00:00:00"/>
    <n v="-3000"/>
    <s v=""/>
    <x v="2"/>
    <e v="#N/A"/>
    <m/>
    <n v="0"/>
  </r>
  <r>
    <x v="7"/>
    <x v="7"/>
    <s v="0328"/>
    <x v="2"/>
    <s v="TF trfr within plant"/>
    <s v="4924983924"/>
    <s v="P003"/>
    <s v="20251222"/>
    <s v=""/>
    <s v="15:51:14"/>
    <s v="SUTTISIT02"/>
    <s v="0002"/>
    <s v=""/>
    <s v="0000"/>
    <s v=""/>
    <s v="0000000000"/>
    <s v=""/>
    <s v=""/>
    <s v=""/>
    <s v=""/>
    <s v=""/>
    <s v=""/>
    <s v=""/>
    <s v=""/>
    <m/>
    <s v="PC"/>
    <n v="3000"/>
    <n v="0"/>
    <d v="2025-12-26T00:00:00"/>
    <d v="2025-12-26T00:00:00"/>
    <m/>
    <d v="2025-12-26T00:00:00"/>
    <n v="3000"/>
    <s v=""/>
    <x v="2"/>
    <e v="#N/A"/>
    <m/>
    <n v="0"/>
  </r>
  <r>
    <x v="5"/>
    <x v="5"/>
    <s v="0328"/>
    <x v="7"/>
    <s v="GI for order"/>
    <s v="4924984456"/>
    <s v="P003"/>
    <s v="04062025"/>
    <s v="305000000017"/>
    <s v="16:04:02"/>
    <s v="JURASDOK"/>
    <s v="0002"/>
    <s v=""/>
    <s v="0000"/>
    <s v=""/>
    <s v="0143101076"/>
    <s v=""/>
    <s v=""/>
    <s v=""/>
    <s v="53003000"/>
    <s v=""/>
    <s v=""/>
    <s v=""/>
    <s v=""/>
    <m/>
    <s v="PC"/>
    <n v="-1073"/>
    <n v="-981.72"/>
    <d v="2025-12-26T00:00:00"/>
    <d v="2025-12-12T00:00:00"/>
    <m/>
    <d v="2025-12-26T00:00:00"/>
    <n v="-1073"/>
    <s v="305"/>
    <x v="2"/>
    <s v="ต้นทุนผลิตหีบห่อ"/>
    <m/>
    <n v="0.91493010251630946"/>
  </r>
  <r>
    <x v="17"/>
    <x v="17"/>
    <s v="0328"/>
    <x v="7"/>
    <s v="GI for order"/>
    <s v="4924984456"/>
    <s v="P003"/>
    <s v="20250915"/>
    <s v="305000000017"/>
    <s v="16:04:02"/>
    <s v="JURASDOK"/>
    <s v="0004"/>
    <s v=""/>
    <s v="0000"/>
    <s v=""/>
    <s v="0000000000"/>
    <s v=""/>
    <s v="Film roll Gold blend 420mm*900m"/>
    <s v=""/>
    <s v="53003000"/>
    <s v=""/>
    <s v=""/>
    <s v=""/>
    <s v=""/>
    <m/>
    <s v="PC"/>
    <n v="-1073"/>
    <n v="-1855.45"/>
    <d v="2025-12-26T00:00:00"/>
    <d v="2025-12-12T00:00:00"/>
    <m/>
    <d v="2025-12-26T00:00:00"/>
    <n v="-1073"/>
    <s v="305"/>
    <x v="2"/>
    <s v="ต้นทุนผลิตหีบห่อ"/>
    <m/>
    <n v="1.7292171481826655"/>
  </r>
  <r>
    <x v="18"/>
    <x v="18"/>
    <s v="0328"/>
    <x v="7"/>
    <s v="GI for order"/>
    <s v="4924984456"/>
    <s v="P003"/>
    <s v="20251222"/>
    <s v="305000000017"/>
    <s v="16:04:02"/>
    <s v="JURASDOK"/>
    <s v="0003"/>
    <s v=""/>
    <s v="0000"/>
    <s v=""/>
    <s v="0143101076"/>
    <s v=""/>
    <s v=""/>
    <s v=""/>
    <s v="53003000"/>
    <s v=""/>
    <s v=""/>
    <s v=""/>
    <s v=""/>
    <m/>
    <s v="PC"/>
    <n v="-143"/>
    <n v="-715"/>
    <d v="2025-12-26T00:00:00"/>
    <d v="2025-12-12T00:00:00"/>
    <m/>
    <d v="2025-12-26T00:00:00"/>
    <n v="-143"/>
    <s v="305"/>
    <x v="2"/>
    <s v="ต้นทุนผลิตหีบห่อ"/>
    <m/>
    <n v="5"/>
  </r>
  <r>
    <x v="2"/>
    <x v="2"/>
    <s v="0328"/>
    <x v="7"/>
    <s v="GI for order"/>
    <s v="4924984456"/>
    <s v="M001"/>
    <s v="REMC-1806"/>
    <s v="305000000017"/>
    <s v="16:04:02"/>
    <s v="JURASDOK"/>
    <s v="0007"/>
    <s v=""/>
    <s v="0000"/>
    <s v=""/>
    <s v="0000000000"/>
    <s v=""/>
    <s v="GOLD BLEND ALL CAFE'  ขนาด 500 G."/>
    <s v=""/>
    <s v="53001000"/>
    <s v=""/>
    <s v=""/>
    <s v=""/>
    <s v=""/>
    <m/>
    <s v="BAG"/>
    <n v="-175"/>
    <n v="-30397.5"/>
    <d v="2025-12-26T00:00:00"/>
    <d v="2025-12-12T00:00:00"/>
    <m/>
    <d v="2025-12-26T00:00:00"/>
    <n v="-87500"/>
    <s v="305"/>
    <x v="0"/>
    <s v="ต้นทุนผลิต-สินค้าสำเร็จรูป"/>
    <m/>
    <n v="173.7"/>
  </r>
  <r>
    <x v="2"/>
    <x v="2"/>
    <s v="0328"/>
    <x v="7"/>
    <s v="GI for order"/>
    <s v="4924984456"/>
    <s v="M001"/>
    <s v="011204-B/T"/>
    <s v="305000000017"/>
    <s v="16:04:02"/>
    <s v="JURASDOK"/>
    <s v="0006"/>
    <s v=""/>
    <s v="0000"/>
    <s v=""/>
    <s v="0000000000"/>
    <s v=""/>
    <s v="GOLD BLEND ALL CAFE'  ขนาด 500 G."/>
    <s v=""/>
    <s v="53001000"/>
    <s v=""/>
    <s v=""/>
    <s v=""/>
    <s v=""/>
    <m/>
    <s v="BAG"/>
    <n v="-571"/>
    <n v="-99182.7"/>
    <d v="2025-12-26T00:00:00"/>
    <d v="2025-12-12T00:00:00"/>
    <m/>
    <d v="2025-12-26T00:00:00"/>
    <n v="-285500"/>
    <s v="305"/>
    <x v="0"/>
    <s v="ต้นทุนผลิต-สินค้าสำเร็จรูป"/>
    <m/>
    <n v="173.7"/>
  </r>
  <r>
    <x v="2"/>
    <x v="2"/>
    <s v="0328"/>
    <x v="7"/>
    <s v="GI for order"/>
    <s v="4924984456"/>
    <s v="M001"/>
    <s v="011203-B/T"/>
    <s v="305000000017"/>
    <s v="16:04:02"/>
    <s v="JURASDOK"/>
    <s v="0005"/>
    <s v=""/>
    <s v="0000"/>
    <s v=""/>
    <s v="0000000000"/>
    <s v=""/>
    <s v="GOLD BLEND ALL CAFE'  ขนาด 500 G."/>
    <s v=""/>
    <s v="53001000"/>
    <s v=""/>
    <s v=""/>
    <s v=""/>
    <s v=""/>
    <m/>
    <s v="BAG"/>
    <n v="-112"/>
    <n v="-19454.400000000001"/>
    <d v="2025-12-26T00:00:00"/>
    <d v="2025-12-12T00:00:00"/>
    <m/>
    <d v="2025-12-26T00:00:00"/>
    <n v="-56000"/>
    <s v="305"/>
    <x v="0"/>
    <s v="ต้นทุนผลิต-สินค้าสำเร็จรูป"/>
    <m/>
    <n v="173.70000000000002"/>
  </r>
  <r>
    <x v="10"/>
    <x v="10"/>
    <s v="0328"/>
    <x v="8"/>
    <s v="GR for order"/>
    <s v="4924984456"/>
    <s v="M001"/>
    <s v="011225-RE"/>
    <s v="305000000017"/>
    <s v="16:04:02"/>
    <s v="JURASDOK"/>
    <s v="0001"/>
    <s v=""/>
    <s v="0000"/>
    <s v=""/>
    <s v="0000000000"/>
    <s v=""/>
    <s v=""/>
    <s v=""/>
    <s v="53001001"/>
    <s v=""/>
    <s v=""/>
    <s v=""/>
    <s v=""/>
    <m/>
    <s v="BAG"/>
    <n v="858"/>
    <n v="149309.16"/>
    <d v="2025-12-26T00:00:00"/>
    <d v="2025-12-12T00:00:00"/>
    <m/>
    <d v="2025-12-26T00:00:00"/>
    <n v="429000"/>
    <s v="305"/>
    <x v="0"/>
    <s v="ต้นทุนผลิตโอน F/G"/>
    <m/>
    <n v="174.02"/>
  </r>
  <r>
    <x v="2"/>
    <x v="2"/>
    <s v="0328"/>
    <x v="5"/>
    <s v="GI ค่าวิจัยและพัฒนา"/>
    <s v="4925036489"/>
    <s v="M001"/>
    <s v="081201-B/T"/>
    <s v=""/>
    <s v="10:21:49"/>
    <s v="RAPEESAN01"/>
    <s v="0001"/>
    <s v=""/>
    <s v="0000"/>
    <s v=""/>
    <s v="0143112450"/>
    <s v=""/>
    <s v="Routine 25.12.25.2 R2-1"/>
    <s v="405053"/>
    <s v="67501001"/>
    <s v=""/>
    <s v=""/>
    <s v=""/>
    <s v=""/>
    <m/>
    <s v="BAG"/>
    <n v="-4"/>
    <n v="-694.8"/>
    <d v="2025-12-26T00:00:00"/>
    <d v="2025-12-26T00:00:00"/>
    <m/>
    <d v="2025-12-27T00:00:00"/>
    <n v="-2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36489"/>
    <s v="M001"/>
    <s v="161201-B/T"/>
    <s v=""/>
    <s v="10:21:49"/>
    <s v="RAPEESAN01"/>
    <s v="0002"/>
    <s v=""/>
    <s v="0000"/>
    <s v=""/>
    <s v="0143112450"/>
    <s v=""/>
    <s v="Routine 25.12.25.2 R2-1"/>
    <s v="405053"/>
    <s v="67501001"/>
    <s v=""/>
    <s v=""/>
    <s v=""/>
    <s v=""/>
    <m/>
    <s v="BAG"/>
    <n v="-2"/>
    <n v="-347.4"/>
    <d v="2025-12-26T00:00:00"/>
    <d v="2025-12-26T00:00:00"/>
    <m/>
    <d v="2025-12-27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36489"/>
    <s v="M001"/>
    <s v="161202-B/T"/>
    <s v=""/>
    <s v="10:21:49"/>
    <s v="RAPEESAN01"/>
    <s v="0003"/>
    <s v=""/>
    <s v="0000"/>
    <s v=""/>
    <s v="0143112450"/>
    <s v=""/>
    <s v="Retain 25.12.25.2 R2-1"/>
    <s v="405053"/>
    <s v="67501001"/>
    <s v=""/>
    <s v=""/>
    <s v=""/>
    <s v=""/>
    <m/>
    <s v="BAG"/>
    <n v="-2"/>
    <n v="-347.4"/>
    <d v="2025-12-26T00:00:00"/>
    <d v="2025-12-26T00:00:00"/>
    <m/>
    <d v="2025-12-27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36489"/>
    <s v="M001"/>
    <s v="161203-B/T"/>
    <s v=""/>
    <s v="10:21:49"/>
    <s v="RAPEESAN01"/>
    <s v="0004"/>
    <s v=""/>
    <s v="0000"/>
    <s v=""/>
    <s v="0143112450"/>
    <s v=""/>
    <s v="Retain 25.12.25.2 R2-1"/>
    <s v="405053"/>
    <s v="67501001"/>
    <s v=""/>
    <s v=""/>
    <s v=""/>
    <s v=""/>
    <m/>
    <s v="BAG"/>
    <n v="-2"/>
    <n v="-347.4"/>
    <d v="2025-12-26T00:00:00"/>
    <d v="2025-12-26T00:00:00"/>
    <m/>
    <d v="2025-12-27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36489"/>
    <s v="M001"/>
    <s v="161204-B/T"/>
    <s v=""/>
    <s v="10:21:49"/>
    <s v="RAPEESAN01"/>
    <s v="0005"/>
    <s v=""/>
    <s v="0000"/>
    <s v=""/>
    <s v="0143112450"/>
    <s v=""/>
    <s v="Retain 25.12.25.2 R2-1"/>
    <s v="405053"/>
    <s v="67501001"/>
    <s v=""/>
    <s v=""/>
    <s v=""/>
    <s v=""/>
    <m/>
    <s v="BAG"/>
    <n v="-2"/>
    <n v="-347.4"/>
    <d v="2025-12-26T00:00:00"/>
    <d v="2025-12-26T00:00:00"/>
    <m/>
    <d v="2025-12-27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36724"/>
    <s v="M001"/>
    <s v="161204-B/T"/>
    <s v=""/>
    <s v="10:25:06"/>
    <s v="RAPEESAN01"/>
    <s v="0001"/>
    <s v=""/>
    <s v="0000"/>
    <s v=""/>
    <s v="0143112498"/>
    <s v=""/>
    <s v="ตรวจเพิ่ม 20.12.25.4 R2-1 P.16"/>
    <s v="405053"/>
    <s v="67501001"/>
    <s v=""/>
    <s v=""/>
    <s v=""/>
    <s v=""/>
    <m/>
    <s v="BAG"/>
    <n v="-2"/>
    <n v="-347.4"/>
    <d v="2025-12-26T00:00:00"/>
    <d v="2025-12-26T00:00:00"/>
    <m/>
    <d v="2025-12-27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36724"/>
    <s v="M001"/>
    <s v="161204-B/T"/>
    <s v=""/>
    <s v="10:25:06"/>
    <s v="RAPEESAN01"/>
    <s v="0002"/>
    <s v=""/>
    <s v="0000"/>
    <s v=""/>
    <s v="0143112498"/>
    <s v=""/>
    <s v="ตรวจเพิ่ม 20.12.25.4 R2-1 P.24"/>
    <s v="405053"/>
    <s v="67501001"/>
    <s v=""/>
    <s v=""/>
    <s v=""/>
    <s v=""/>
    <m/>
    <s v="BAG"/>
    <n v="-2"/>
    <n v="-347.4"/>
    <d v="2025-12-26T00:00:00"/>
    <d v="2025-12-26T00:00:00"/>
    <m/>
    <d v="2025-12-27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36724"/>
    <s v="M001"/>
    <s v="161204-B/T"/>
    <s v=""/>
    <s v="10:25:06"/>
    <s v="RAPEESAN01"/>
    <s v="0003"/>
    <s v=""/>
    <s v="0000"/>
    <s v=""/>
    <s v="0143112498"/>
    <s v=""/>
    <s v="ตรวจเพิ่ม 20.12.25.4 R2-1 P.31"/>
    <s v="405053"/>
    <s v="67501001"/>
    <s v=""/>
    <s v=""/>
    <s v=""/>
    <s v=""/>
    <m/>
    <s v="BAG"/>
    <n v="-2"/>
    <n v="-347.4"/>
    <d v="2025-12-26T00:00:00"/>
    <d v="2025-12-26T00:00:00"/>
    <m/>
    <d v="2025-12-27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36724"/>
    <s v="M001"/>
    <s v="161204-B/T"/>
    <s v=""/>
    <s v="10:25:06"/>
    <s v="RAPEESAN01"/>
    <s v="0004"/>
    <s v=""/>
    <s v="0000"/>
    <s v=""/>
    <s v="0143112498"/>
    <s v=""/>
    <s v="ตรวจเพิ่ม 25.12.25.1 R2-1 P.24"/>
    <s v="405053"/>
    <s v="67501001"/>
    <s v=""/>
    <s v=""/>
    <s v=""/>
    <s v=""/>
    <m/>
    <s v="BAG"/>
    <n v="-1"/>
    <n v="-173.7"/>
    <d v="2025-12-26T00:00:00"/>
    <d v="2025-12-26T00:00:00"/>
    <m/>
    <d v="2025-12-27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36724"/>
    <s v="M001"/>
    <s v="161204-B/T"/>
    <s v=""/>
    <s v="10:25:06"/>
    <s v="RAPEESAN01"/>
    <s v="0005"/>
    <s v=""/>
    <s v="0000"/>
    <s v=""/>
    <s v="0143112498"/>
    <s v=""/>
    <s v="ตรวจเพิ่ม 25.12.25.1 R2-1 P.15"/>
    <s v="405053"/>
    <s v="67501001"/>
    <s v=""/>
    <s v=""/>
    <s v=""/>
    <s v=""/>
    <m/>
    <s v="BAG"/>
    <n v="-2"/>
    <n v="-347.4"/>
    <d v="2025-12-26T00:00:00"/>
    <d v="2025-12-26T00:00:00"/>
    <m/>
    <d v="2025-12-27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36724"/>
    <s v="M001"/>
    <s v="161204-B/T"/>
    <s v=""/>
    <s v="10:25:06"/>
    <s v="RAPEESAN01"/>
    <s v="0006"/>
    <s v=""/>
    <s v="0000"/>
    <s v=""/>
    <s v="0143112498"/>
    <s v=""/>
    <s v="ตรวจเพิ่ม 25.12.25.1 R2-1 P.20"/>
    <s v="405053"/>
    <s v="67501001"/>
    <s v=""/>
    <s v=""/>
    <s v=""/>
    <s v=""/>
    <m/>
    <s v="BAG"/>
    <n v="-1"/>
    <n v="-173.7"/>
    <d v="2025-12-26T00:00:00"/>
    <d v="2025-12-26T00:00:00"/>
    <m/>
    <d v="2025-12-27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36724"/>
    <s v="M001"/>
    <s v="161204-B/T"/>
    <s v=""/>
    <s v="10:25:06"/>
    <s v="RAPEESAN01"/>
    <s v="0007"/>
    <s v=""/>
    <s v="0000"/>
    <s v=""/>
    <s v="0143112498"/>
    <s v=""/>
    <s v="ตรวจเพิ่ม 20.12.25.4 R2-1 P.36"/>
    <s v="405053"/>
    <s v="67501001"/>
    <s v=""/>
    <s v=""/>
    <s v=""/>
    <s v=""/>
    <m/>
    <s v="BAG"/>
    <n v="-1"/>
    <n v="-173.7"/>
    <d v="2025-12-26T00:00:00"/>
    <d v="2025-12-26T00:00:00"/>
    <m/>
    <d v="2025-12-27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36724"/>
    <s v="M001"/>
    <s v="161204-B/T"/>
    <s v=""/>
    <s v="10:25:06"/>
    <s v="RAPEESAN01"/>
    <s v="0008"/>
    <s v=""/>
    <s v="0000"/>
    <s v=""/>
    <s v="0143112498"/>
    <s v=""/>
    <s v="ตรวจเพิ่ม 20.12.25.4 R2-1 P.17"/>
    <s v="405053"/>
    <s v="67501001"/>
    <s v=""/>
    <s v=""/>
    <s v=""/>
    <s v=""/>
    <m/>
    <s v="BAG"/>
    <n v="-1"/>
    <n v="-173.7"/>
    <d v="2025-12-26T00:00:00"/>
    <d v="2025-12-26T00:00:00"/>
    <m/>
    <d v="2025-12-27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36724"/>
    <s v="M001"/>
    <s v="161204-B/T"/>
    <s v=""/>
    <s v="10:25:06"/>
    <s v="RAPEESAN01"/>
    <s v="0009"/>
    <s v=""/>
    <s v="0000"/>
    <s v=""/>
    <s v="0143112498"/>
    <s v=""/>
    <s v="ตรวจเพิ่ม 20.12.25.4 R2-1 P.30"/>
    <s v="405053"/>
    <s v="67501001"/>
    <s v=""/>
    <s v=""/>
    <s v=""/>
    <s v=""/>
    <m/>
    <s v="BAG"/>
    <n v="-1"/>
    <n v="-173.7"/>
    <d v="2025-12-26T00:00:00"/>
    <d v="2025-12-26T00:00:00"/>
    <m/>
    <d v="2025-12-27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36724"/>
    <s v="M001"/>
    <s v="161204-B/T"/>
    <s v=""/>
    <s v="10:25:06"/>
    <s v="RAPEESAN01"/>
    <s v="0010"/>
    <s v=""/>
    <s v="0000"/>
    <s v=""/>
    <s v="0143112498"/>
    <s v=""/>
    <s v="ตรวจเพิ่ม 25.12.25.1 R2-1 P.14"/>
    <s v="405053"/>
    <s v="67501001"/>
    <s v=""/>
    <s v=""/>
    <s v=""/>
    <s v=""/>
    <m/>
    <s v="BAG"/>
    <n v="-1"/>
    <n v="-173.7"/>
    <d v="2025-12-26T00:00:00"/>
    <d v="2025-12-26T00:00:00"/>
    <m/>
    <d v="2025-12-27T00:00:00"/>
    <n v="-500"/>
    <s v=""/>
    <x v="0"/>
    <s v="ค่าวิจัยคุณภาพสินค้า"/>
    <m/>
    <n v="173.7"/>
  </r>
  <r>
    <x v="6"/>
    <x v="6"/>
    <s v="0328"/>
    <x v="2"/>
    <s v="TF trfr within plant"/>
    <s v="4925062682"/>
    <s v="P003"/>
    <s v="20251212"/>
    <s v=""/>
    <s v="16:10:46"/>
    <s v="RAPEESAN01"/>
    <s v="0002"/>
    <s v=""/>
    <s v="0000"/>
    <s v=""/>
    <s v="0000000000"/>
    <s v=""/>
    <s v=""/>
    <s v=""/>
    <s v=""/>
    <s v=""/>
    <s v=""/>
    <s v=""/>
    <s v=""/>
    <m/>
    <s v="PC"/>
    <n v="18000"/>
    <n v="0"/>
    <d v="2025-12-27T00:00:00"/>
    <d v="2025-12-27T00:00:00"/>
    <m/>
    <d v="2025-12-27T00:00:00"/>
    <n v="18000"/>
    <s v=""/>
    <x v="2"/>
    <e v="#N/A"/>
    <m/>
    <n v="0"/>
  </r>
  <r>
    <x v="6"/>
    <x v="6"/>
    <s v="0328"/>
    <x v="2"/>
    <s v="TF trfr within plant"/>
    <s v="4925062682"/>
    <s v="M003"/>
    <s v="20251212"/>
    <s v=""/>
    <s v="16:10:46"/>
    <s v="RAPEESAN01"/>
    <s v="0001"/>
    <s v=""/>
    <s v="0000"/>
    <s v=""/>
    <s v="0000000000"/>
    <s v=""/>
    <s v=""/>
    <s v=""/>
    <s v=""/>
    <s v=""/>
    <s v=""/>
    <s v=""/>
    <s v=""/>
    <m/>
    <s v="PC"/>
    <n v="-18000"/>
    <n v="0"/>
    <d v="2025-12-27T00:00:00"/>
    <d v="2025-12-27T00:00:00"/>
    <m/>
    <d v="2025-12-27T00:00:00"/>
    <n v="-18000"/>
    <s v=""/>
    <x v="2"/>
    <e v="#N/A"/>
    <m/>
    <n v="0"/>
  </r>
  <r>
    <x v="7"/>
    <x v="7"/>
    <s v="0328"/>
    <x v="2"/>
    <s v="TF trfr within plant"/>
    <s v="4925062682"/>
    <s v="M003"/>
    <s v="20251222"/>
    <s v=""/>
    <s v="16:10:46"/>
    <s v="RAPEESAN01"/>
    <s v="0003"/>
    <s v=""/>
    <s v="0000"/>
    <s v=""/>
    <s v="0000000000"/>
    <s v=""/>
    <s v=""/>
    <s v=""/>
    <s v=""/>
    <s v=""/>
    <s v=""/>
    <s v=""/>
    <s v=""/>
    <m/>
    <s v="PC"/>
    <n v="-3000"/>
    <n v="0"/>
    <d v="2025-12-27T00:00:00"/>
    <d v="2025-12-27T00:00:00"/>
    <m/>
    <d v="2025-12-27T00:00:00"/>
    <n v="-3000"/>
    <s v=""/>
    <x v="2"/>
    <e v="#N/A"/>
    <m/>
    <n v="0"/>
  </r>
  <r>
    <x v="7"/>
    <x v="7"/>
    <s v="0328"/>
    <x v="2"/>
    <s v="TF trfr within plant"/>
    <s v="4925062682"/>
    <s v="P003"/>
    <s v="20251222"/>
    <s v=""/>
    <s v="16:10:46"/>
    <s v="RAPEESAN01"/>
    <s v="0004"/>
    <s v=""/>
    <s v="0000"/>
    <s v=""/>
    <s v="0000000000"/>
    <s v=""/>
    <s v=""/>
    <s v=""/>
    <s v=""/>
    <s v=""/>
    <s v=""/>
    <s v=""/>
    <s v=""/>
    <m/>
    <s v="PC"/>
    <n v="3000"/>
    <n v="0"/>
    <d v="2025-12-27T00:00:00"/>
    <d v="2025-12-27T00:00:00"/>
    <m/>
    <d v="2025-12-27T00:00:00"/>
    <n v="3000"/>
    <s v=""/>
    <x v="2"/>
    <e v="#N/A"/>
    <m/>
    <n v="0"/>
  </r>
  <r>
    <x v="2"/>
    <x v="2"/>
    <s v="0328"/>
    <x v="5"/>
    <s v="GI ค่าวิจัยและพัฒนา"/>
    <s v="4925066096"/>
    <s v="M001"/>
    <s v="161204-B/T"/>
    <s v=""/>
    <s v="17:39:24"/>
    <s v="RAPEESAN01"/>
    <s v="0002"/>
    <s v=""/>
    <s v="0000"/>
    <s v=""/>
    <s v="0143153666"/>
    <s v=""/>
    <s v="Retain 25.12.25 Lot.3R2-1"/>
    <s v="405053"/>
    <s v="67501001"/>
    <s v=""/>
    <s v=""/>
    <s v=""/>
    <s v=""/>
    <m/>
    <s v="BAG"/>
    <n v="-6"/>
    <n v="-1042.2"/>
    <d v="2025-12-27T00:00:00"/>
    <d v="2025-12-27T00:00:00"/>
    <m/>
    <d v="2025-12-27T00:00:00"/>
    <n v="-30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5066096"/>
    <s v="M001"/>
    <s v="161204-B/T"/>
    <s v=""/>
    <s v="17:39:24"/>
    <s v="RAPEESAN01"/>
    <s v="0001"/>
    <s v=""/>
    <s v="0000"/>
    <s v=""/>
    <s v="0143153666"/>
    <s v=""/>
    <s v="เบิกตรวจ 25.12.25.3R2-1"/>
    <s v="405053"/>
    <s v="67501001"/>
    <s v=""/>
    <s v=""/>
    <s v=""/>
    <s v=""/>
    <m/>
    <s v="BAG"/>
    <n v="-6"/>
    <n v="-1042.2"/>
    <d v="2025-12-27T00:00:00"/>
    <d v="2025-12-27T00:00:00"/>
    <m/>
    <d v="2025-12-27T00:00:00"/>
    <n v="-3000"/>
    <s v=""/>
    <x v="0"/>
    <s v="ค่าวิจัยคุณภาพสินค้า"/>
    <m/>
    <n v="173.70000000000002"/>
  </r>
  <r>
    <x v="2"/>
    <x v="2"/>
    <s v="0328"/>
    <x v="5"/>
    <s v="GI ค่าวิจัยและพัฒนา"/>
    <s v="4925066181"/>
    <s v="M001"/>
    <s v="161204-B/T"/>
    <s v=""/>
    <s v="17:42:11"/>
    <s v="RAPEESAN01"/>
    <s v="0011"/>
    <s v=""/>
    <s v="0000"/>
    <s v=""/>
    <s v="0143153688"/>
    <s v=""/>
    <s v="ตรวจเพิ่ม 25.12.25.3 R2-8 P.1 กลาง,ท้าย"/>
    <s v="405053"/>
    <s v="67501001"/>
    <s v=""/>
    <s v=""/>
    <s v=""/>
    <s v=""/>
    <m/>
    <s v="BAG"/>
    <n v="-2"/>
    <n v="-347.4"/>
    <d v="2025-12-27T00:00:00"/>
    <d v="2025-12-27T00:00:00"/>
    <m/>
    <d v="2025-12-27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66181"/>
    <s v="M001"/>
    <s v="161204-B/T"/>
    <s v=""/>
    <s v="17:42:11"/>
    <s v="RAPEESAN01"/>
    <s v="0010"/>
    <s v=""/>
    <s v="0000"/>
    <s v=""/>
    <s v="0143153688"/>
    <s v=""/>
    <s v="ตรวจเพิ่ม 25.12.25.2 R2-1 P.14 ต้น,กลาง"/>
    <s v="405053"/>
    <s v="67501001"/>
    <s v=""/>
    <s v=""/>
    <s v=""/>
    <s v=""/>
    <m/>
    <s v="BAG"/>
    <n v="-2"/>
    <n v="-347.4"/>
    <d v="2025-12-27T00:00:00"/>
    <d v="2025-12-27T00:00:00"/>
    <m/>
    <d v="2025-12-27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66181"/>
    <s v="M001"/>
    <s v="161204-B/T"/>
    <s v=""/>
    <s v="17:42:11"/>
    <s v="RAPEESAN01"/>
    <s v="0009"/>
    <s v=""/>
    <s v="0000"/>
    <s v=""/>
    <s v="0143153688"/>
    <s v=""/>
    <s v="ตรวจเพิ่ม 25.12.25.2 R2-1 P.7 ต้น,ท้าย"/>
    <s v="405053"/>
    <s v="67501001"/>
    <s v=""/>
    <s v=""/>
    <s v=""/>
    <s v=""/>
    <m/>
    <s v="BAG"/>
    <n v="-2"/>
    <n v="-347.4"/>
    <d v="2025-12-27T00:00:00"/>
    <d v="2025-12-27T00:00:00"/>
    <m/>
    <d v="2025-12-27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66181"/>
    <s v="M001"/>
    <s v="161204-B/T"/>
    <s v=""/>
    <s v="17:42:11"/>
    <s v="RAPEESAN01"/>
    <s v="0008"/>
    <s v=""/>
    <s v="0000"/>
    <s v=""/>
    <s v="0143153688"/>
    <s v=""/>
    <s v="ตรวจเพิ่ม 25.12.25.2 R2-1 P.1 กลาง,ท้าย"/>
    <s v="405053"/>
    <s v="67501001"/>
    <s v=""/>
    <s v=""/>
    <s v=""/>
    <s v=""/>
    <m/>
    <s v="BAG"/>
    <n v="-2"/>
    <n v="-347.4"/>
    <d v="2025-12-27T00:00:00"/>
    <d v="2025-12-27T00:00:00"/>
    <m/>
    <d v="2025-12-27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66181"/>
    <s v="M001"/>
    <s v="161204-B/T"/>
    <s v=""/>
    <s v="17:42:11"/>
    <s v="RAPEESAN01"/>
    <s v="0007"/>
    <s v=""/>
    <s v="0000"/>
    <s v=""/>
    <s v="0143153688"/>
    <s v=""/>
    <s v="ตรวจเพิ่ม 25.12.25.1 R2-1 P.22 ท้าย"/>
    <s v="405053"/>
    <s v="67501001"/>
    <s v=""/>
    <s v=""/>
    <s v=""/>
    <s v=""/>
    <m/>
    <s v="BAG"/>
    <n v="-1"/>
    <n v="-173.7"/>
    <d v="2025-12-27T00:00:00"/>
    <d v="2025-12-27T00:00:00"/>
    <m/>
    <d v="2025-12-27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66181"/>
    <s v="M001"/>
    <s v="161204-B/T"/>
    <s v=""/>
    <s v="17:42:11"/>
    <s v="RAPEESAN01"/>
    <s v="0006"/>
    <s v=""/>
    <s v="0000"/>
    <s v=""/>
    <s v="0143153688"/>
    <s v=""/>
    <s v="ตรวจเพิ่ม 25.12.25.1 R2-1 P.17 ท้าย"/>
    <s v="405053"/>
    <s v="67501001"/>
    <s v=""/>
    <s v=""/>
    <s v=""/>
    <s v=""/>
    <m/>
    <s v="BAG"/>
    <n v="-1"/>
    <n v="-173.7"/>
    <d v="2025-12-27T00:00:00"/>
    <d v="2025-12-27T00:00:00"/>
    <m/>
    <d v="2025-12-27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66181"/>
    <s v="M001"/>
    <s v="161204-B/T"/>
    <s v=""/>
    <s v="17:42:11"/>
    <s v="RAPEESAN01"/>
    <s v="0005"/>
    <s v=""/>
    <s v="0000"/>
    <s v=""/>
    <s v="0143153688"/>
    <s v=""/>
    <s v="ตรวจเพิ่ม 25.12.25.1 R2-1 P.16 ต้น,กลาง"/>
    <s v="405053"/>
    <s v="67501001"/>
    <s v=""/>
    <s v=""/>
    <s v=""/>
    <s v=""/>
    <m/>
    <s v="BAG"/>
    <n v="-2"/>
    <n v="-347.4"/>
    <d v="2025-12-27T00:00:00"/>
    <d v="2025-12-27T00:00:00"/>
    <m/>
    <d v="2025-12-27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66181"/>
    <s v="M001"/>
    <s v="161204-B/T"/>
    <s v=""/>
    <s v="17:42:11"/>
    <s v="RAPEESAN01"/>
    <s v="0004"/>
    <s v=""/>
    <s v="0000"/>
    <s v=""/>
    <s v="0143153688"/>
    <s v=""/>
    <s v="ตรวจเพิ่ม 20.12.25.4 R2-1 P.35 ท้าย"/>
    <s v="405053"/>
    <s v="67501001"/>
    <s v=""/>
    <s v=""/>
    <s v=""/>
    <s v=""/>
    <m/>
    <s v="BAG"/>
    <n v="-1"/>
    <n v="-173.7"/>
    <d v="2025-12-27T00:00:00"/>
    <d v="2025-12-27T00:00:00"/>
    <m/>
    <d v="2025-12-27T00:00:00"/>
    <n v="-5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66181"/>
    <s v="M001"/>
    <s v="161204-B/T"/>
    <s v=""/>
    <s v="17:42:11"/>
    <s v="RAPEESAN01"/>
    <s v="0003"/>
    <s v=""/>
    <s v="0000"/>
    <s v=""/>
    <s v="0143153688"/>
    <s v=""/>
    <s v="ตรวจเพิ่ม 20.12.25.4 R2-1 P.32 ต้น,กลาง"/>
    <s v="405053"/>
    <s v="67501001"/>
    <s v=""/>
    <s v=""/>
    <s v=""/>
    <s v=""/>
    <m/>
    <s v="BAG"/>
    <n v="-2"/>
    <n v="-347.4"/>
    <d v="2025-12-27T00:00:00"/>
    <d v="2025-12-27T00:00:00"/>
    <m/>
    <d v="2025-12-27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66181"/>
    <s v="M001"/>
    <s v="161204-B/T"/>
    <s v=""/>
    <s v="17:42:11"/>
    <s v="RAPEESAN01"/>
    <s v="0002"/>
    <s v=""/>
    <s v="0000"/>
    <s v=""/>
    <s v="0143153688"/>
    <s v=""/>
    <s v="ตรวจเพิ่ม 20.12.25.4 R2-1 P.25 ต้น,กลาง"/>
    <s v="405053"/>
    <s v="67501001"/>
    <s v=""/>
    <s v=""/>
    <s v=""/>
    <s v=""/>
    <m/>
    <s v="BAG"/>
    <n v="-2"/>
    <n v="-347.4"/>
    <d v="2025-12-27T00:00:00"/>
    <d v="2025-12-27T00:00:00"/>
    <m/>
    <d v="2025-12-27T00:00:00"/>
    <n v="-1000"/>
    <s v=""/>
    <x v="0"/>
    <s v="ค่าวิจัยคุณภาพสินค้า"/>
    <m/>
    <n v="173.7"/>
  </r>
  <r>
    <x v="2"/>
    <x v="2"/>
    <s v="0328"/>
    <x v="5"/>
    <s v="GI ค่าวิจัยและพัฒนา"/>
    <s v="4925066181"/>
    <s v="M001"/>
    <s v="161204-B/T"/>
    <s v=""/>
    <s v="17:42:11"/>
    <s v="RAPEESAN01"/>
    <s v="0001"/>
    <s v=""/>
    <s v="0000"/>
    <s v=""/>
    <s v="0143153688"/>
    <s v=""/>
    <s v="ตรวจเพิ่ม 20.12.25.4 R2-1 P.19"/>
    <s v="405053"/>
    <s v="67501001"/>
    <s v=""/>
    <s v=""/>
    <s v=""/>
    <s v=""/>
    <m/>
    <s v="BAG"/>
    <n v="-1"/>
    <n v="-173.7"/>
    <d v="2025-12-27T00:00:00"/>
    <d v="2025-12-27T00:00:00"/>
    <m/>
    <d v="2025-12-27T00:00:00"/>
    <n v="-500"/>
    <s v=""/>
    <x v="0"/>
    <s v="ค่าวิจัยคุณภาพสินค้า"/>
    <m/>
    <n v="173.7"/>
  </r>
  <r>
    <x v="37"/>
    <x v="36"/>
    <s v="0328"/>
    <x v="8"/>
    <s v="GR goods receipt"/>
    <s v="5010562610"/>
    <s v="M004"/>
    <s v="12-25"/>
    <s v=""/>
    <s v="17:38:59"/>
    <s v="WANTILER"/>
    <s v="0001"/>
    <s v="IVV0052511303861"/>
    <s v="0000"/>
    <s v=""/>
    <s v="0000000000"/>
    <s v="305050157"/>
    <s v=""/>
    <s v=""/>
    <s v=""/>
    <s v="305050157"/>
    <s v="2048975"/>
    <s v=""/>
    <s v="IVV0052511303861"/>
    <m/>
    <s v="PC"/>
    <n v="10"/>
    <n v="10350"/>
    <d v="2025-12-01T00:00:00"/>
    <d v="2025-12-01T00:00:00"/>
    <m/>
    <d v="2025-12-01T00:00:00"/>
    <n v="10"/>
    <s v=""/>
    <x v="3"/>
    <e v="#N/A"/>
    <m/>
    <n v="1035"/>
  </r>
  <r>
    <x v="6"/>
    <x v="6"/>
    <s v="0328"/>
    <x v="8"/>
    <s v="GR goods receipt"/>
    <s v="5010563206"/>
    <s v="M003"/>
    <s v="20251201"/>
    <s v=""/>
    <s v="18:19:59"/>
    <s v="JURASDOK"/>
    <s v="0001"/>
    <s v="IV6812003"/>
    <s v="0000"/>
    <s v=""/>
    <s v="0000000000"/>
    <s v="305050732"/>
    <s v=""/>
    <s v=""/>
    <s v=""/>
    <s v="305050732"/>
    <s v="2043579"/>
    <s v=""/>
    <s v="IV6812003"/>
    <m/>
    <s v="ROL"/>
    <n v="24"/>
    <n v="123600"/>
    <d v="2025-12-01T00:00:00"/>
    <d v="2025-12-01T00:00:00"/>
    <m/>
    <d v="2025-12-01T00:00:00"/>
    <n v="72000"/>
    <s v=""/>
    <x v="2"/>
    <e v="#N/A"/>
    <m/>
    <n v="5150"/>
  </r>
  <r>
    <x v="7"/>
    <x v="7"/>
    <s v="0328"/>
    <x v="8"/>
    <s v="GR goods receipt"/>
    <s v="5010563209"/>
    <s v="M003"/>
    <s v="20251201"/>
    <s v=""/>
    <s v="18:20:49"/>
    <s v="JURASDOK"/>
    <s v="0001"/>
    <s v="6802327"/>
    <s v="0000"/>
    <s v=""/>
    <s v="0000000000"/>
    <s v="305050314"/>
    <s v=""/>
    <s v=""/>
    <s v=""/>
    <s v="305050314"/>
    <s v="2024222"/>
    <s v=""/>
    <s v="6802327"/>
    <m/>
    <s v="PC"/>
    <n v="15000"/>
    <n v="75000"/>
    <d v="2025-12-01T00:00:00"/>
    <d v="2025-12-01T00:00:00"/>
    <m/>
    <d v="2025-12-01T00:00:00"/>
    <n v="15000"/>
    <s v=""/>
    <x v="2"/>
    <e v="#N/A"/>
    <m/>
    <n v="5"/>
  </r>
  <r>
    <x v="37"/>
    <x v="36"/>
    <s v="0328"/>
    <x v="8"/>
    <s v="GR goods receipt"/>
    <s v="5010596287"/>
    <s v="M004"/>
    <s v="12-25"/>
    <s v=""/>
    <s v="18:52:31"/>
    <s v="WANTILER"/>
    <s v="0001"/>
    <s v="IVV0052512010052"/>
    <s v="0000"/>
    <s v=""/>
    <s v="0000000000"/>
    <s v="305050157"/>
    <s v=""/>
    <s v=""/>
    <s v=""/>
    <s v="305050157"/>
    <s v="2048975"/>
    <s v=""/>
    <s v="IVV0052512010052"/>
    <m/>
    <s v="PC"/>
    <n v="5"/>
    <n v="5175"/>
    <d v="2025-12-02T00:00:00"/>
    <d v="2025-12-02T00:00:00"/>
    <m/>
    <d v="2025-12-02T00:00:00"/>
    <n v="5"/>
    <s v=""/>
    <x v="3"/>
    <e v="#N/A"/>
    <m/>
    <n v="1035"/>
  </r>
  <r>
    <x v="6"/>
    <x v="6"/>
    <s v="0328"/>
    <x v="8"/>
    <s v="GR goods receipt"/>
    <s v="5010620546"/>
    <s v="M003"/>
    <s v="20251202"/>
    <s v=""/>
    <s v="09:22:08"/>
    <s v="JURASDOK"/>
    <s v="0001"/>
    <s v="IV6812026"/>
    <s v="0000"/>
    <s v=""/>
    <s v="0000000000"/>
    <s v="305050732"/>
    <s v=""/>
    <s v=""/>
    <s v=""/>
    <s v="305050732"/>
    <s v="2043579"/>
    <s v=""/>
    <s v="IV6812026"/>
    <m/>
    <s v="ROL"/>
    <n v="20"/>
    <n v="103000"/>
    <d v="2025-12-02T00:00:00"/>
    <d v="2025-12-03T00:00:00"/>
    <m/>
    <d v="2025-12-03T00:00:00"/>
    <n v="60000"/>
    <s v=""/>
    <x v="2"/>
    <e v="#N/A"/>
    <m/>
    <n v="5150"/>
  </r>
  <r>
    <x v="37"/>
    <x v="36"/>
    <s v="0328"/>
    <x v="8"/>
    <s v="GR goods receipt"/>
    <s v="5010665476"/>
    <s v="M004"/>
    <s v="12-25"/>
    <s v=""/>
    <s v="19:32:22"/>
    <s v="WANTILER"/>
    <s v="0001"/>
    <s v="IVV0052512020200"/>
    <s v="0000"/>
    <s v=""/>
    <s v="0000000000"/>
    <s v="305050157"/>
    <s v=""/>
    <s v=""/>
    <s v=""/>
    <s v="305050157"/>
    <s v="2048975"/>
    <s v=""/>
    <s v="IVV0052512020200"/>
    <m/>
    <s v="PC"/>
    <n v="15"/>
    <n v="15525"/>
    <d v="2025-12-03T00:00:00"/>
    <d v="2025-12-04T00:00:00"/>
    <m/>
    <d v="2025-12-04T00:00:00"/>
    <n v="15"/>
    <s v=""/>
    <x v="3"/>
    <e v="#N/A"/>
    <m/>
    <n v="1035"/>
  </r>
  <r>
    <x v="37"/>
    <x v="36"/>
    <s v="0328"/>
    <x v="8"/>
    <s v="GR goods receipt"/>
    <s v="5010665581"/>
    <s v="M004"/>
    <s v="12-25"/>
    <s v=""/>
    <s v="19:34:05"/>
    <s v="WANTILER"/>
    <s v="0001"/>
    <s v="IVV0052512030298"/>
    <s v="0000"/>
    <s v=""/>
    <s v="0000000000"/>
    <s v="305050157"/>
    <s v=""/>
    <s v=""/>
    <s v=""/>
    <s v="305050157"/>
    <s v="2048975"/>
    <s v=""/>
    <s v="IVV0052512030298"/>
    <m/>
    <s v="PC"/>
    <n v="15"/>
    <n v="15525"/>
    <d v="2025-12-04T00:00:00"/>
    <d v="2025-12-04T00:00:00"/>
    <m/>
    <d v="2025-12-04T00:00:00"/>
    <n v="15"/>
    <s v=""/>
    <x v="3"/>
    <e v="#N/A"/>
    <m/>
    <n v="1035"/>
  </r>
  <r>
    <x v="37"/>
    <x v="36"/>
    <s v="0328"/>
    <x v="8"/>
    <s v="GR goods receipt"/>
    <s v="5010795190"/>
    <s v="M004"/>
    <s v="12-25"/>
    <s v=""/>
    <s v="17:16:37"/>
    <s v="WANTILER"/>
    <s v="0001"/>
    <s v="IVV0052512070695"/>
    <s v="0000"/>
    <s v=""/>
    <s v="0000000000"/>
    <s v="305050157"/>
    <s v=""/>
    <s v=""/>
    <s v=""/>
    <s v="305050157"/>
    <s v="2048975"/>
    <s v=""/>
    <s v="IVV0052512070695"/>
    <m/>
    <s v="PC"/>
    <n v="15"/>
    <n v="15525"/>
    <d v="2025-12-08T00:00:00"/>
    <d v="2025-12-08T00:00:00"/>
    <m/>
    <d v="2025-12-08T00:00:00"/>
    <n v="15"/>
    <s v=""/>
    <x v="3"/>
    <e v="#N/A"/>
    <m/>
    <n v="1035"/>
  </r>
  <r>
    <x v="7"/>
    <x v="7"/>
    <s v="0328"/>
    <x v="8"/>
    <s v="GR goods receipt"/>
    <s v="5010820799"/>
    <s v="M003"/>
    <s v="20251206"/>
    <s v=""/>
    <s v="10:29:23"/>
    <s v="JURASDOK"/>
    <s v="0001"/>
    <s v="6802361"/>
    <s v="0000"/>
    <s v=""/>
    <s v="0000000000"/>
    <s v="305050315"/>
    <s v=""/>
    <s v=""/>
    <s v=""/>
    <s v="305050315"/>
    <s v="2024222"/>
    <s v=""/>
    <s v="6802361"/>
    <m/>
    <s v="PC"/>
    <n v="15000"/>
    <n v="75000"/>
    <d v="2025-12-06T00:00:00"/>
    <d v="2025-12-09T00:00:00"/>
    <m/>
    <d v="2025-12-09T00:00:00"/>
    <n v="15000"/>
    <s v=""/>
    <x v="2"/>
    <e v="#N/A"/>
    <m/>
    <n v="5"/>
  </r>
  <r>
    <x v="11"/>
    <x v="11"/>
    <s v="0328"/>
    <x v="8"/>
    <s v="GR goods receipt"/>
    <s v="5010821063"/>
    <s v="M002"/>
    <s v="251203-TTW"/>
    <s v=""/>
    <s v="10:36:40"/>
    <s v="JURASDOK"/>
    <s v="0002"/>
    <s v="I12512001"/>
    <s v="0000"/>
    <s v=""/>
    <s v="0000000000"/>
    <s v="305051366,367"/>
    <s v=""/>
    <s v=""/>
    <s v=""/>
    <s v="305051367"/>
    <s v="2020836"/>
    <s v=""/>
    <s v="I12512001"/>
    <m/>
    <s v="KG"/>
    <n v="14994.3"/>
    <n v="3448689"/>
    <d v="2025-12-03T00:00:00"/>
    <d v="2025-12-09T00:00:00"/>
    <m/>
    <d v="2025-12-09T00:00:00"/>
    <n v="14994300"/>
    <s v=""/>
    <x v="3"/>
    <e v="#N/A"/>
    <m/>
    <n v="230"/>
  </r>
  <r>
    <x v="11"/>
    <x v="11"/>
    <s v="0328"/>
    <x v="8"/>
    <s v="GR goods receipt"/>
    <s v="5010821063"/>
    <s v="M002"/>
    <s v="251203-TTW"/>
    <s v=""/>
    <s v="10:36:40"/>
    <s v="JURASDOK"/>
    <s v="0001"/>
    <s v="I12512001"/>
    <s v="0000"/>
    <s v=""/>
    <s v="0000000000"/>
    <s v="305051366,367"/>
    <s v=""/>
    <s v=""/>
    <s v=""/>
    <s v="305051366"/>
    <s v="2020836"/>
    <s v=""/>
    <s v="I12512001"/>
    <m/>
    <s v="KG"/>
    <n v="15000"/>
    <n v="3450000"/>
    <d v="2025-12-03T00:00:00"/>
    <d v="2025-12-09T00:00:00"/>
    <m/>
    <d v="2025-12-09T00:00:00"/>
    <n v="15000000"/>
    <s v=""/>
    <x v="3"/>
    <e v="#N/A"/>
    <m/>
    <n v="230"/>
  </r>
  <r>
    <x v="13"/>
    <x v="13"/>
    <s v="0328"/>
    <x v="8"/>
    <s v="GR for order"/>
    <s v="5010828518"/>
    <s v="P002"/>
    <s v="251202-BBB"/>
    <s v="301000000089"/>
    <s v="17:20:01"/>
    <s v="PANUPWAI"/>
    <s v="0002"/>
    <s v=""/>
    <s v="0000"/>
    <s v=""/>
    <s v="0000000000"/>
    <s v=""/>
    <s v=""/>
    <s v=""/>
    <s v="53001004"/>
    <s v=""/>
    <s v=""/>
    <s v=""/>
    <s v="A.BBB1-2/12/25"/>
    <m/>
    <s v="KG"/>
    <n v="1001.94"/>
    <n v="267337.63"/>
    <d v="2025-12-02T00:00:00"/>
    <d v="2025-12-02T00:00:00"/>
    <m/>
    <d v="2025-12-09T00:00:00"/>
    <n v="1001940"/>
    <s v="301"/>
    <x v="4"/>
    <s v="ต้นทุนผลิตโอน Semi"/>
    <m/>
    <n v="266.81999920154897"/>
  </r>
  <r>
    <x v="14"/>
    <x v="14"/>
    <s v="0328"/>
    <x v="8"/>
    <s v="GR for order"/>
    <s v="5010828518"/>
    <s v="P002"/>
    <s v="251202-BBB"/>
    <s v="301000000089"/>
    <s v="17:20:01"/>
    <s v="PANUPWAI"/>
    <s v="0001"/>
    <s v=""/>
    <s v="0000"/>
    <s v=""/>
    <s v="0000000000"/>
    <s v=""/>
    <s v=""/>
    <s v=""/>
    <s v="53001004"/>
    <s v=""/>
    <s v=""/>
    <s v=""/>
    <s v="A.BBB1-2/12/25"/>
    <m/>
    <s v="KG"/>
    <n v="8751.58"/>
    <n v="2335096.58"/>
    <d v="2025-12-02T00:00:00"/>
    <d v="2025-12-02T00:00:00"/>
    <m/>
    <d v="2025-12-09T00:00:00"/>
    <n v="8751580"/>
    <s v="301"/>
    <x v="4"/>
    <s v="ต้นทุนผลิตโอน Semi"/>
    <m/>
    <n v="266.82000050276639"/>
  </r>
  <r>
    <x v="28"/>
    <x v="27"/>
    <s v="0328"/>
    <x v="8"/>
    <s v="GR for order"/>
    <s v="5010828518"/>
    <s v="P002"/>
    <s v="251202-BBB"/>
    <s v="301000000089"/>
    <s v="17:20:01"/>
    <s v="PANUPWAI"/>
    <s v="0003"/>
    <s v=""/>
    <s v="0000"/>
    <s v=""/>
    <s v="0000000000"/>
    <s v=""/>
    <s v=""/>
    <s v=""/>
    <s v="53001004"/>
    <s v=""/>
    <s v=""/>
    <s v=""/>
    <s v="A.BBB1-2/12/25"/>
    <m/>
    <s v="KG"/>
    <n v="265.60000000000002"/>
    <n v="70867.39"/>
    <d v="2025-12-02T00:00:00"/>
    <d v="2025-12-02T00:00:00"/>
    <m/>
    <d v="2025-12-09T00:00:00"/>
    <n v="265600"/>
    <s v="301"/>
    <x v="4"/>
    <s v="ต้นทุนผลิตโอน Semi"/>
    <m/>
    <n v="266.81999246987948"/>
  </r>
  <r>
    <x v="15"/>
    <x v="15"/>
    <s v="0328"/>
    <x v="8"/>
    <s v="GR for order"/>
    <s v="5010828908"/>
    <s v="P002"/>
    <s v="251202-TTW"/>
    <s v="301000000090"/>
    <s v="17:37:38"/>
    <s v="PANUPWAI"/>
    <s v="0001"/>
    <s v=""/>
    <s v="0000"/>
    <s v=""/>
    <s v="0000000000"/>
    <s v=""/>
    <s v=""/>
    <s v=""/>
    <s v="53001004"/>
    <s v=""/>
    <s v=""/>
    <s v=""/>
    <s v="R.TTW2/12/25"/>
    <m/>
    <s v="KG"/>
    <n v="6842.18"/>
    <n v="1401483.73"/>
    <d v="2025-12-09T00:00:00"/>
    <d v="2025-12-09T00:00:00"/>
    <m/>
    <d v="2025-12-09T00:00:00"/>
    <n v="6842180"/>
    <s v="301"/>
    <x v="4"/>
    <s v="ต้นทุนผลิตโอน Semi"/>
    <m/>
    <n v="204.83000008769133"/>
  </r>
  <r>
    <x v="31"/>
    <x v="30"/>
    <s v="0328"/>
    <x v="8"/>
    <s v="GR for order"/>
    <s v="5010828908"/>
    <s v="P002"/>
    <s v="251202-TTW"/>
    <s v="301000000090"/>
    <s v="17:37:38"/>
    <s v="PANUPWAI"/>
    <s v="0002"/>
    <s v=""/>
    <s v="0000"/>
    <s v=""/>
    <s v="0000000000"/>
    <s v=""/>
    <s v=""/>
    <s v=""/>
    <s v="53001004"/>
    <s v=""/>
    <s v=""/>
    <s v=""/>
    <s v="R.TTW2/12/25"/>
    <m/>
    <s v="KG"/>
    <n v="181.2"/>
    <n v="37115.199999999997"/>
    <d v="2025-12-09T00:00:00"/>
    <d v="2025-12-09T00:00:00"/>
    <m/>
    <d v="2025-12-09T00:00:00"/>
    <n v="181200"/>
    <s v="301"/>
    <x v="4"/>
    <s v="ต้นทุนผลิตโอน Semi"/>
    <m/>
    <n v="204.83002207505518"/>
  </r>
  <r>
    <x v="13"/>
    <x v="13"/>
    <s v="0328"/>
    <x v="8"/>
    <s v="GR for order"/>
    <s v="5010829459"/>
    <s v="P002"/>
    <s v="251209-BBB"/>
    <s v="301000000091"/>
    <s v="18:02:51"/>
    <s v="PANUPWAI"/>
    <s v="0002"/>
    <s v=""/>
    <s v="0000"/>
    <s v=""/>
    <s v="0000000000"/>
    <s v=""/>
    <s v=""/>
    <s v=""/>
    <s v="53001004"/>
    <s v=""/>
    <s v=""/>
    <s v=""/>
    <s v="A.BBB2-9/12/25"/>
    <m/>
    <s v="KG"/>
    <n v="1855.38"/>
    <n v="495052.49"/>
    <d v="2025-12-09T00:00:00"/>
    <d v="2025-12-09T00:00:00"/>
    <m/>
    <d v="2025-12-09T00:00:00"/>
    <n v="1855380"/>
    <s v="301"/>
    <x v="4"/>
    <s v="ต้นทุนผลิตโอน Semi"/>
    <m/>
    <n v="266.81999913764292"/>
  </r>
  <r>
    <x v="14"/>
    <x v="14"/>
    <s v="0328"/>
    <x v="8"/>
    <s v="GR for order"/>
    <s v="5010829459"/>
    <s v="P002"/>
    <s v="251209-BBB"/>
    <s v="301000000091"/>
    <s v="18:02:51"/>
    <s v="PANUPWAI"/>
    <s v="0001"/>
    <s v=""/>
    <s v="0000"/>
    <s v=""/>
    <s v="0000000000"/>
    <s v=""/>
    <s v=""/>
    <s v=""/>
    <s v="53001004"/>
    <s v=""/>
    <s v=""/>
    <s v=""/>
    <s v="A.BBB2-9/12/25"/>
    <m/>
    <s v="KG"/>
    <n v="32603.24"/>
    <n v="8699196.5"/>
    <d v="2025-12-09T00:00:00"/>
    <d v="2025-12-09T00:00:00"/>
    <m/>
    <d v="2025-12-09T00:00:00"/>
    <n v="32603240"/>
    <s v="301"/>
    <x v="4"/>
    <s v="ต้นทุนผลิตโอน Semi"/>
    <m/>
    <n v="266.82000009814976"/>
  </r>
  <r>
    <x v="28"/>
    <x v="27"/>
    <s v="0328"/>
    <x v="8"/>
    <s v="GR for order"/>
    <s v="5010829459"/>
    <s v="P002"/>
    <s v="251209-BBB"/>
    <s v="301000000091"/>
    <s v="18:02:51"/>
    <s v="PANUPWAI"/>
    <s v="0003"/>
    <s v=""/>
    <s v="0000"/>
    <s v=""/>
    <s v="0000000000"/>
    <s v=""/>
    <s v=""/>
    <s v=""/>
    <s v="53001004"/>
    <s v=""/>
    <s v=""/>
    <s v=""/>
    <s v="A.BBB2-9/12/25"/>
    <m/>
    <s v="KG"/>
    <n v="2434.41"/>
    <n v="649549.28"/>
    <d v="2025-12-09T00:00:00"/>
    <d v="2025-12-09T00:00:00"/>
    <m/>
    <d v="2025-12-09T00:00:00"/>
    <n v="2434410"/>
    <s v="301"/>
    <x v="4"/>
    <s v="ต้นทุนผลิตโอน Semi"/>
    <m/>
    <n v="266.82000156095319"/>
  </r>
  <r>
    <x v="11"/>
    <x v="11"/>
    <s v="0328"/>
    <x v="8"/>
    <s v="GR goods receipt"/>
    <s v="5010898968"/>
    <s v="M002"/>
    <s v="251209-TTW"/>
    <s v=""/>
    <s v="17:37:30"/>
    <s v="JURASDOK"/>
    <s v="0002"/>
    <s v="I12512005"/>
    <s v="0000"/>
    <s v=""/>
    <s v="0000000000"/>
    <s v="305051369,372"/>
    <s v=""/>
    <s v=""/>
    <s v=""/>
    <s v="305051372"/>
    <s v="2020836"/>
    <s v=""/>
    <s v="I12512005"/>
    <m/>
    <s v="KG"/>
    <n v="9000"/>
    <n v="2070000"/>
    <d v="2025-11-09T00:00:00"/>
    <d v="2025-12-11T00:00:00"/>
    <m/>
    <d v="2025-12-11T00:00:00"/>
    <n v="9000000"/>
    <s v=""/>
    <x v="3"/>
    <e v="#N/A"/>
    <m/>
    <n v="230"/>
  </r>
  <r>
    <x v="11"/>
    <x v="11"/>
    <s v="0328"/>
    <x v="8"/>
    <s v="GR goods receipt"/>
    <s v="5010898968"/>
    <s v="M002"/>
    <s v="251209-TTW"/>
    <s v=""/>
    <s v="17:37:30"/>
    <s v="JURASDOK"/>
    <s v="0001"/>
    <s v="I12512005"/>
    <s v="0000"/>
    <s v=""/>
    <s v="0000000000"/>
    <s v="305051369,372"/>
    <s v=""/>
    <s v=""/>
    <s v=""/>
    <s v="305051369"/>
    <s v="2020836"/>
    <s v=""/>
    <s v="I12512005"/>
    <m/>
    <s v="KG"/>
    <n v="21000"/>
    <n v="4830000"/>
    <d v="2025-11-09T00:00:00"/>
    <d v="2025-12-11T00:00:00"/>
    <m/>
    <d v="2025-12-11T00:00:00"/>
    <n v="21000000"/>
    <s v=""/>
    <x v="3"/>
    <e v="#N/A"/>
    <m/>
    <n v="230"/>
  </r>
  <r>
    <x v="11"/>
    <x v="11"/>
    <s v="0328"/>
    <x v="8"/>
    <s v="GR goods receipt"/>
    <s v="5010899203"/>
    <s v="M002"/>
    <s v="251209-TTW"/>
    <s v=""/>
    <s v="17:42:25"/>
    <s v="JURASDOK"/>
    <s v="0002"/>
    <s v="I12512006"/>
    <s v="0000"/>
    <s v=""/>
    <s v="0000000000"/>
    <s v="305051372,371"/>
    <s v=""/>
    <s v=""/>
    <s v=""/>
    <s v="305051371"/>
    <s v="2020836"/>
    <s v=""/>
    <s v="I12512006"/>
    <m/>
    <s v="KG"/>
    <n v="18183.54"/>
    <n v="4182214.2"/>
    <d v="2025-11-09T00:00:00"/>
    <d v="2025-12-11T00:00:00"/>
    <m/>
    <d v="2025-12-11T00:00:00"/>
    <n v="18183540"/>
    <s v=""/>
    <x v="3"/>
    <e v="#N/A"/>
    <m/>
    <n v="230"/>
  </r>
  <r>
    <x v="11"/>
    <x v="11"/>
    <s v="0328"/>
    <x v="8"/>
    <s v="GR goods receipt"/>
    <s v="5010899203"/>
    <s v="M002"/>
    <s v="251209TTW"/>
    <s v=""/>
    <s v="17:42:25"/>
    <s v="JURASDOK"/>
    <s v="0001"/>
    <s v="I12512006"/>
    <s v="0000"/>
    <s v=""/>
    <s v="0000000000"/>
    <s v="305051372,371"/>
    <s v=""/>
    <s v=""/>
    <s v=""/>
    <s v="305051372"/>
    <s v="2020836"/>
    <s v=""/>
    <s v="I12512006"/>
    <m/>
    <s v="KG"/>
    <n v="11000"/>
    <n v="2530000"/>
    <d v="2025-11-09T00:00:00"/>
    <d v="2025-12-11T00:00:00"/>
    <m/>
    <d v="2025-12-11T00:00:00"/>
    <n v="11000000"/>
    <s v=""/>
    <x v="3"/>
    <e v="#N/A"/>
    <m/>
    <n v="230"/>
  </r>
  <r>
    <x v="11"/>
    <x v="11"/>
    <s v="0328"/>
    <x v="8"/>
    <s v="GR goods receipt"/>
    <s v="5010899205"/>
    <s v="M002"/>
    <s v="251211-TTW"/>
    <s v=""/>
    <s v="17:45:05"/>
    <s v="JURASDOK"/>
    <s v="0002"/>
    <s v="I12512008"/>
    <s v="0000"/>
    <s v=""/>
    <s v="0000000000"/>
    <s v="305051376,374"/>
    <s v=""/>
    <s v=""/>
    <s v=""/>
    <s v="305051376"/>
    <s v="2020836"/>
    <s v=""/>
    <s v="I12512008"/>
    <m/>
    <s v="KG"/>
    <n v="13324"/>
    <n v="3064520"/>
    <d v="2025-12-11T00:00:00"/>
    <d v="2025-12-11T00:00:00"/>
    <m/>
    <d v="2025-12-11T00:00:00"/>
    <n v="13324000"/>
    <s v=""/>
    <x v="3"/>
    <e v="#N/A"/>
    <m/>
    <n v="230"/>
  </r>
  <r>
    <x v="11"/>
    <x v="11"/>
    <s v="0328"/>
    <x v="8"/>
    <s v="GR goods receipt"/>
    <s v="5010899205"/>
    <s v="M002"/>
    <s v="251211-TTW"/>
    <s v=""/>
    <s v="17:45:05"/>
    <s v="JURASDOK"/>
    <s v="0001"/>
    <s v="I12512008"/>
    <s v="0000"/>
    <s v=""/>
    <s v="0000000000"/>
    <s v="305051376,374"/>
    <s v=""/>
    <s v=""/>
    <s v=""/>
    <s v="305051374"/>
    <s v="2020836"/>
    <s v=""/>
    <s v="I12512008"/>
    <m/>
    <s v="KG"/>
    <n v="20000"/>
    <n v="4600000"/>
    <d v="2025-12-11T00:00:00"/>
    <d v="2025-12-11T00:00:00"/>
    <m/>
    <d v="2025-12-11T00:00:00"/>
    <n v="20000000"/>
    <s v=""/>
    <x v="3"/>
    <e v="#N/A"/>
    <m/>
    <n v="230"/>
  </r>
  <r>
    <x v="37"/>
    <x v="36"/>
    <s v="0328"/>
    <x v="8"/>
    <s v="GR goods receipt"/>
    <s v="5010900338"/>
    <s v="M004"/>
    <s v="12-25"/>
    <s v=""/>
    <s v="19:16:45"/>
    <s v="WANTILER"/>
    <s v="0001"/>
    <s v="IVV0052512091043"/>
    <s v="0000"/>
    <s v=""/>
    <s v="0000000000"/>
    <s v="305050157"/>
    <s v=""/>
    <s v=""/>
    <s v=""/>
    <s v="305050157"/>
    <s v="2048975"/>
    <s v=""/>
    <s v="IVV0052512091043"/>
    <m/>
    <s v="PC"/>
    <n v="10"/>
    <n v="10350"/>
    <d v="2025-12-09T00:00:00"/>
    <d v="2025-12-11T00:00:00"/>
    <m/>
    <d v="2025-12-11T00:00:00"/>
    <n v="10"/>
    <s v=""/>
    <x v="3"/>
    <e v="#N/A"/>
    <m/>
    <n v="1035"/>
  </r>
  <r>
    <x v="37"/>
    <x v="36"/>
    <s v="0328"/>
    <x v="8"/>
    <s v="GR goods receipt"/>
    <s v="5010900339"/>
    <s v="M004"/>
    <s v="12-25"/>
    <s v=""/>
    <s v="19:24:34"/>
    <s v="WANTILER"/>
    <s v="0001"/>
    <s v="IVV0052512101047"/>
    <s v="0000"/>
    <s v=""/>
    <s v="0000000000"/>
    <s v="305050157"/>
    <s v=""/>
    <s v=""/>
    <s v=""/>
    <s v="305050157"/>
    <s v="2048975"/>
    <s v=""/>
    <s v="IVV0052512101047"/>
    <m/>
    <s v="PC"/>
    <n v="15"/>
    <n v="15525"/>
    <d v="2025-12-11T00:00:00"/>
    <d v="2025-12-11T00:00:00"/>
    <m/>
    <d v="2025-12-11T00:00:00"/>
    <n v="15"/>
    <s v=""/>
    <x v="3"/>
    <e v="#N/A"/>
    <m/>
    <n v="1035"/>
  </r>
  <r>
    <x v="37"/>
    <x v="36"/>
    <s v="0328"/>
    <x v="8"/>
    <s v="GR goods receipt"/>
    <s v="5010931602"/>
    <s v="M004"/>
    <s v="12-25"/>
    <s v=""/>
    <s v="14:57:32"/>
    <s v="WANTILER"/>
    <s v="0001"/>
    <s v="IVV0052512111260"/>
    <s v="0000"/>
    <s v=""/>
    <s v="0000000000"/>
    <s v="305050157"/>
    <s v=""/>
    <s v=""/>
    <s v=""/>
    <s v="305050157"/>
    <s v="2048975"/>
    <s v=""/>
    <s v="IVV0052512111260"/>
    <m/>
    <s v="PC"/>
    <n v="10"/>
    <n v="10350"/>
    <d v="2025-12-12T00:00:00"/>
    <d v="2025-12-12T00:00:00"/>
    <m/>
    <d v="2025-12-12T00:00:00"/>
    <n v="10"/>
    <s v=""/>
    <x v="3"/>
    <e v="#N/A"/>
    <m/>
    <n v="1035"/>
  </r>
  <r>
    <x v="6"/>
    <x v="6"/>
    <s v="0328"/>
    <x v="8"/>
    <s v="GR goods receipt"/>
    <s v="5011026387"/>
    <s v="M003"/>
    <s v="20251212"/>
    <s v=""/>
    <s v="12:23:51"/>
    <s v="JURASDOK"/>
    <s v="0001"/>
    <s v="IV6812126"/>
    <s v="0000"/>
    <s v=""/>
    <s v="0000000000"/>
    <s v="305050734"/>
    <s v=""/>
    <s v=""/>
    <s v=""/>
    <s v="305050734"/>
    <s v="2043579"/>
    <s v=""/>
    <s v="IV6812126"/>
    <m/>
    <s v="ROL"/>
    <n v="70"/>
    <n v="360500"/>
    <d v="2025-12-12T00:00:00"/>
    <d v="2025-12-15T00:00:00"/>
    <m/>
    <d v="2025-12-15T00:00:00"/>
    <n v="210000"/>
    <s v=""/>
    <x v="2"/>
    <e v="#N/A"/>
    <m/>
    <n v="5150"/>
  </r>
  <r>
    <x v="37"/>
    <x v="36"/>
    <s v="0328"/>
    <x v="8"/>
    <s v="GR goods receipt"/>
    <s v="5011034883"/>
    <s v="M004"/>
    <s v="12-25"/>
    <s v=""/>
    <s v="19:15:52"/>
    <s v="WANTILER"/>
    <s v="0001"/>
    <s v="IVV0052512141533"/>
    <s v="0000"/>
    <s v=""/>
    <s v="0000000000"/>
    <s v="305050157"/>
    <s v=""/>
    <s v=""/>
    <s v=""/>
    <s v="305050157"/>
    <s v="2048975"/>
    <s v=""/>
    <s v="IVV0052512141533"/>
    <m/>
    <s v="PC"/>
    <n v="20"/>
    <n v="20700"/>
    <d v="2025-12-15T00:00:00"/>
    <d v="2025-12-15T00:00:00"/>
    <m/>
    <d v="2025-12-15T00:00:00"/>
    <n v="20"/>
    <s v=""/>
    <x v="3"/>
    <e v="#N/A"/>
    <m/>
    <n v="1035"/>
  </r>
  <r>
    <x v="37"/>
    <x v="36"/>
    <s v="0328"/>
    <x v="8"/>
    <s v="GR goods receipt"/>
    <s v="5011065834"/>
    <s v="M004"/>
    <s v="12-25"/>
    <s v=""/>
    <s v="17:07:24"/>
    <s v="WANTILER"/>
    <s v="0001"/>
    <s v="IVV0052512151681"/>
    <s v="0000"/>
    <s v=""/>
    <s v="0000000000"/>
    <s v="305050157"/>
    <s v=""/>
    <s v=""/>
    <s v=""/>
    <s v="305050157"/>
    <s v="2048975"/>
    <s v=""/>
    <s v="IVV0052512151681"/>
    <m/>
    <s v="PC"/>
    <n v="10"/>
    <n v="10350"/>
    <d v="2025-12-16T00:00:00"/>
    <d v="2025-12-16T00:00:00"/>
    <m/>
    <d v="2025-12-16T00:00:00"/>
    <n v="10"/>
    <s v=""/>
    <x v="3"/>
    <e v="#N/A"/>
    <m/>
    <n v="1035"/>
  </r>
  <r>
    <x v="37"/>
    <x v="36"/>
    <s v="0328"/>
    <x v="8"/>
    <s v="GR goods receipt"/>
    <s v="5011138229"/>
    <s v="M004"/>
    <s v="12-25"/>
    <s v=""/>
    <s v="17:34:55"/>
    <s v="WANTILER"/>
    <s v="0001"/>
    <s v="IVV0052512161875"/>
    <s v="0000"/>
    <s v=""/>
    <s v="0000000000"/>
    <s v="305050157"/>
    <s v=""/>
    <s v=""/>
    <s v=""/>
    <s v="305050157"/>
    <s v="2048975"/>
    <s v=""/>
    <s v="IVV0052512161875"/>
    <m/>
    <s v="PC"/>
    <n v="10"/>
    <n v="10350"/>
    <d v="2025-12-17T00:00:00"/>
    <d v="2025-12-18T00:00:00"/>
    <m/>
    <d v="2025-12-18T00:00:00"/>
    <n v="10"/>
    <s v=""/>
    <x v="3"/>
    <e v="#N/A"/>
    <m/>
    <n v="1035"/>
  </r>
  <r>
    <x v="37"/>
    <x v="36"/>
    <s v="0328"/>
    <x v="8"/>
    <s v="GR goods receipt"/>
    <s v="5011138394"/>
    <s v="M004"/>
    <s v="12-25"/>
    <s v=""/>
    <s v="17:36:40"/>
    <s v="WANTILER"/>
    <s v="0001"/>
    <s v="IVV0052512172001"/>
    <s v="0000"/>
    <s v=""/>
    <s v="0000000000"/>
    <s v="305050157"/>
    <s v=""/>
    <s v=""/>
    <s v=""/>
    <s v="305050157"/>
    <s v="2048975"/>
    <s v=""/>
    <s v="IVV0052512172001"/>
    <m/>
    <s v="PC"/>
    <n v="20"/>
    <n v="20700"/>
    <d v="2025-12-18T00:00:00"/>
    <d v="2025-12-18T00:00:00"/>
    <m/>
    <d v="2025-12-18T00:00:00"/>
    <n v="20"/>
    <s v=""/>
    <x v="3"/>
    <e v="#N/A"/>
    <m/>
    <n v="1035"/>
  </r>
  <r>
    <x v="11"/>
    <x v="11"/>
    <s v="0328"/>
    <x v="8"/>
    <s v="GR goods receipt"/>
    <s v="5011166382"/>
    <s v="M002"/>
    <s v="251217-BBB"/>
    <s v=""/>
    <s v="10:02:51"/>
    <s v="JURASDOK"/>
    <s v="0004"/>
    <s v="TIB681217001"/>
    <s v="0000"/>
    <s v=""/>
    <s v="0000000000"/>
    <s v="305051358,361,360,868"/>
    <s v=""/>
    <s v=""/>
    <s v=""/>
    <s v="305051868"/>
    <s v="2039123"/>
    <s v=""/>
    <s v="TIB681217001"/>
    <m/>
    <s v="KG"/>
    <n v="242.8"/>
    <n v="68348.2"/>
    <d v="2025-12-17T00:00:00"/>
    <d v="2025-12-19T00:00:00"/>
    <m/>
    <d v="2025-12-19T00:00:00"/>
    <n v="242800"/>
    <s v=""/>
    <x v="3"/>
    <e v="#N/A"/>
    <m/>
    <n v="281.5"/>
  </r>
  <r>
    <x v="11"/>
    <x v="11"/>
    <s v="0328"/>
    <x v="8"/>
    <s v="GR goods receipt"/>
    <s v="5011166382"/>
    <s v="M002"/>
    <s v="251217-BBB"/>
    <s v=""/>
    <s v="10:02:51"/>
    <s v="JURASDOK"/>
    <s v="0003"/>
    <s v="TIB681217001"/>
    <s v="0000"/>
    <s v=""/>
    <s v="0000000000"/>
    <s v="305051358,361,360,868"/>
    <s v=""/>
    <s v=""/>
    <s v=""/>
    <s v="305051360"/>
    <s v="2039123"/>
    <s v=""/>
    <s v="TIB681217001"/>
    <m/>
    <s v="KG"/>
    <n v="17000"/>
    <n v="4785500"/>
    <d v="2025-12-17T00:00:00"/>
    <d v="2025-12-19T00:00:00"/>
    <m/>
    <d v="2025-12-19T00:00:00"/>
    <n v="17000000"/>
    <s v=""/>
    <x v="3"/>
    <e v="#N/A"/>
    <m/>
    <n v="281.5"/>
  </r>
  <r>
    <x v="11"/>
    <x v="11"/>
    <s v="0328"/>
    <x v="8"/>
    <s v="GR goods receipt"/>
    <s v="5011166382"/>
    <s v="M002"/>
    <s v="251217-BBB"/>
    <s v=""/>
    <s v="10:02:51"/>
    <s v="JURASDOK"/>
    <s v="0002"/>
    <s v="TIB681217001"/>
    <s v="0000"/>
    <s v=""/>
    <s v="0000000000"/>
    <s v="305051358,361,360,868"/>
    <s v=""/>
    <s v=""/>
    <s v=""/>
    <s v="305051361"/>
    <s v="2039123"/>
    <s v=""/>
    <s v="TIB681217001"/>
    <m/>
    <s v="KG"/>
    <n v="16000"/>
    <n v="4504000"/>
    <d v="2025-12-17T00:00:00"/>
    <d v="2025-12-19T00:00:00"/>
    <m/>
    <d v="2025-12-19T00:00:00"/>
    <n v="16000000"/>
    <s v=""/>
    <x v="3"/>
    <e v="#N/A"/>
    <m/>
    <n v="281.5"/>
  </r>
  <r>
    <x v="11"/>
    <x v="11"/>
    <s v="0328"/>
    <x v="8"/>
    <s v="GR goods receipt"/>
    <s v="5011166382"/>
    <s v="M002"/>
    <s v="251217-BBB"/>
    <s v=""/>
    <s v="10:02:51"/>
    <s v="JURASDOK"/>
    <s v="0001"/>
    <s v="TIB681217001"/>
    <s v="0000"/>
    <s v=""/>
    <s v="0000000000"/>
    <s v="305051358,361,360,868"/>
    <s v=""/>
    <s v=""/>
    <s v=""/>
    <s v="305051358"/>
    <s v="2039123"/>
    <s v=""/>
    <s v="TIB681217001"/>
    <m/>
    <s v="KG"/>
    <n v="17000"/>
    <n v="4785500"/>
    <d v="2025-12-17T00:00:00"/>
    <d v="2025-12-19T00:00:00"/>
    <m/>
    <d v="2025-12-19T00:00:00"/>
    <n v="17000000"/>
    <s v=""/>
    <x v="3"/>
    <e v="#N/A"/>
    <m/>
    <n v="281.5"/>
  </r>
  <r>
    <x v="37"/>
    <x v="36"/>
    <s v="0328"/>
    <x v="8"/>
    <s v="GR goods receipt"/>
    <s v="5011265786"/>
    <s v="M004"/>
    <s v="12-25"/>
    <s v=""/>
    <s v="08:24:35"/>
    <s v="WANTILER"/>
    <s v="0001"/>
    <s v="IVV0052512182087"/>
    <s v="0000"/>
    <s v=""/>
    <s v="0000000000"/>
    <s v="305050157"/>
    <s v=""/>
    <s v=""/>
    <s v=""/>
    <s v="305050157"/>
    <s v="2048975"/>
    <s v=""/>
    <s v="IVV0052512182087"/>
    <m/>
    <s v="PC"/>
    <n v="20"/>
    <n v="20700"/>
    <d v="2025-12-19T00:00:00"/>
    <d v="2025-12-22T00:00:00"/>
    <m/>
    <d v="2025-12-22T00:00:00"/>
    <n v="20"/>
    <s v=""/>
    <x v="3"/>
    <e v="#N/A"/>
    <m/>
    <n v="1035"/>
  </r>
  <r>
    <x v="37"/>
    <x v="36"/>
    <s v="0328"/>
    <x v="8"/>
    <s v="GR goods receipt"/>
    <s v="5011270627"/>
    <s v="M004"/>
    <s v="12-25"/>
    <s v=""/>
    <s v="12:05:54"/>
    <s v="WANTILER"/>
    <s v="0001"/>
    <s v="IVV0052512192209"/>
    <s v="0000"/>
    <s v=""/>
    <s v="0000000000"/>
    <s v="305050157"/>
    <s v=""/>
    <s v=""/>
    <s v=""/>
    <s v="305050157"/>
    <s v="2048975"/>
    <s v=""/>
    <s v="IVV0052512192209"/>
    <m/>
    <s v="PC"/>
    <n v="10"/>
    <n v="10350"/>
    <d v="2025-12-20T00:00:00"/>
    <d v="2025-12-22T00:00:00"/>
    <m/>
    <d v="2025-12-22T00:00:00"/>
    <n v="10"/>
    <s v=""/>
    <x v="3"/>
    <e v="#N/A"/>
    <m/>
    <n v="1035"/>
  </r>
  <r>
    <x v="37"/>
    <x v="36"/>
    <s v="0328"/>
    <x v="8"/>
    <s v="GR goods receipt"/>
    <s v="5011270630"/>
    <s v="M004"/>
    <s v="12-25"/>
    <s v=""/>
    <s v="12:07:58"/>
    <s v="WANTILER"/>
    <s v="0001"/>
    <s v="IVV0052512192210"/>
    <s v="0000"/>
    <s v=""/>
    <s v="0000000000"/>
    <s v="305051851"/>
    <s v=""/>
    <s v=""/>
    <s v=""/>
    <s v="305051851"/>
    <s v="2048975"/>
    <s v=""/>
    <s v="IVV0052512192210"/>
    <m/>
    <s v="PC"/>
    <n v="5"/>
    <n v="5175"/>
    <d v="2025-12-20T00:00:00"/>
    <d v="2025-12-22T00:00:00"/>
    <m/>
    <d v="2025-12-22T00:00:00"/>
    <n v="5"/>
    <s v=""/>
    <x v="3"/>
    <e v="#N/A"/>
    <m/>
    <n v="1035"/>
  </r>
  <r>
    <x v="37"/>
    <x v="36"/>
    <s v="0328"/>
    <x v="8"/>
    <s v="GR goods receipt"/>
    <s v="5011275723"/>
    <s v="M004"/>
    <s v="12-25"/>
    <s v=""/>
    <s v="16:32:55"/>
    <s v="WANTILER"/>
    <s v="0001"/>
    <s v="IVV0052512212393"/>
    <s v="0000"/>
    <s v=""/>
    <s v="0000000000"/>
    <s v="305051851"/>
    <s v=""/>
    <s v=""/>
    <s v=""/>
    <s v="305051851"/>
    <s v="2048975"/>
    <s v=""/>
    <s v="IVV0052512212393"/>
    <m/>
    <s v="PC"/>
    <n v="15"/>
    <n v="15525"/>
    <d v="2025-12-22T00:00:00"/>
    <d v="2025-12-22T00:00:00"/>
    <m/>
    <d v="2025-12-22T00:00:00"/>
    <n v="15"/>
    <s v=""/>
    <x v="3"/>
    <e v="#N/A"/>
    <m/>
    <n v="1035"/>
  </r>
  <r>
    <x v="15"/>
    <x v="15"/>
    <s v="0328"/>
    <x v="8"/>
    <s v="GR for order"/>
    <s v="5011275942"/>
    <s v="P002"/>
    <s v="250815-TTW"/>
    <s v="301000000092"/>
    <s v="16:49:25"/>
    <s v="PANUPWAI"/>
    <s v="0001"/>
    <s v=""/>
    <s v="0000"/>
    <s v=""/>
    <s v="0000000000"/>
    <s v=""/>
    <s v=""/>
    <s v=""/>
    <s v="53001004"/>
    <s v=""/>
    <s v=""/>
    <s v=""/>
    <s v="R.TTW9-11/12/25"/>
    <m/>
    <s v="KG"/>
    <n v="8783.42"/>
    <n v="1799107.92"/>
    <d v="2025-12-11T00:00:00"/>
    <d v="2025-12-11T00:00:00"/>
    <m/>
    <d v="2025-12-22T00:00:00"/>
    <n v="8783420"/>
    <s v="301"/>
    <x v="4"/>
    <s v="ต้นทุนผลิตโอน Semi"/>
    <m/>
    <n v="204.8300001593912"/>
  </r>
  <r>
    <x v="31"/>
    <x v="30"/>
    <s v="0328"/>
    <x v="8"/>
    <s v="GR for order"/>
    <s v="5011275942"/>
    <s v="P002"/>
    <s v="250815-TTW"/>
    <s v="301000000092"/>
    <s v="16:49:25"/>
    <s v="PANUPWAI"/>
    <s v="0002"/>
    <s v=""/>
    <s v="0000"/>
    <s v=""/>
    <s v="0000000000"/>
    <s v=""/>
    <s v=""/>
    <s v=""/>
    <s v="53001004"/>
    <s v=""/>
    <s v=""/>
    <s v=""/>
    <s v="R.TTW9-11/12/25"/>
    <m/>
    <s v="KG"/>
    <n v="244.8"/>
    <n v="50142.38"/>
    <d v="2025-12-11T00:00:00"/>
    <d v="2025-12-11T00:00:00"/>
    <m/>
    <d v="2025-12-22T00:00:00"/>
    <n v="244800"/>
    <s v="301"/>
    <x v="4"/>
    <s v="ต้นทุนผลิตโอน Semi"/>
    <m/>
    <n v="204.82998366013069"/>
  </r>
  <r>
    <x v="13"/>
    <x v="13"/>
    <s v="0328"/>
    <x v="8"/>
    <s v="GR for order"/>
    <s v="5011277062"/>
    <s v="P002"/>
    <s v="250925-BBB"/>
    <s v="301000000093"/>
    <s v="17:41:07"/>
    <s v="PANUPWAI"/>
    <s v="0002"/>
    <s v=""/>
    <s v="0000"/>
    <s v=""/>
    <s v="0000000000"/>
    <s v=""/>
    <s v=""/>
    <s v=""/>
    <s v="53001004"/>
    <s v=""/>
    <s v=""/>
    <s v=""/>
    <s v="A.BBB12-15/12/25"/>
    <m/>
    <s v="KG"/>
    <n v="528.41999999999996"/>
    <n v="140993.01999999999"/>
    <d v="2025-12-15T00:00:00"/>
    <d v="2025-12-15T00:00:00"/>
    <m/>
    <d v="2025-12-22T00:00:00"/>
    <n v="528420"/>
    <s v="301"/>
    <x v="4"/>
    <s v="ต้นทุนผลิตโอน Semi"/>
    <m/>
    <n v="266.81999167329019"/>
  </r>
  <r>
    <x v="14"/>
    <x v="14"/>
    <s v="0328"/>
    <x v="8"/>
    <s v="GR for order"/>
    <s v="5011277062"/>
    <s v="P002"/>
    <s v="250925-BBB"/>
    <s v="301000000093"/>
    <s v="17:41:07"/>
    <s v="PANUPWAI"/>
    <s v="0001"/>
    <s v=""/>
    <s v="0000"/>
    <s v=""/>
    <s v="0000000000"/>
    <s v=""/>
    <s v=""/>
    <s v=""/>
    <s v="53001004"/>
    <s v=""/>
    <s v=""/>
    <s v=""/>
    <s v="A.BBB12-15/12/25"/>
    <m/>
    <s v="KG"/>
    <n v="10430"/>
    <n v="2782932.6"/>
    <d v="2025-12-15T00:00:00"/>
    <d v="2025-12-15T00:00:00"/>
    <m/>
    <d v="2025-12-22T00:00:00"/>
    <n v="10430000"/>
    <s v="301"/>
    <x v="4"/>
    <s v="ต้นทุนผลิตโอน Semi"/>
    <m/>
    <n v="266.82"/>
  </r>
  <r>
    <x v="28"/>
    <x v="27"/>
    <s v="0328"/>
    <x v="8"/>
    <s v="GR for order"/>
    <s v="5011277062"/>
    <s v="P002"/>
    <s v="250925-BBB"/>
    <s v="301000000093"/>
    <s v="17:41:07"/>
    <s v="PANUPWAI"/>
    <s v="0003"/>
    <s v=""/>
    <s v="0000"/>
    <s v=""/>
    <s v="0000000000"/>
    <s v=""/>
    <s v=""/>
    <s v=""/>
    <s v="53001004"/>
    <s v=""/>
    <s v=""/>
    <s v=""/>
    <s v="A.BBB12-15/12/25"/>
    <m/>
    <s v="KG"/>
    <n v="923.4"/>
    <n v="246381.59"/>
    <d v="2025-12-15T00:00:00"/>
    <d v="2025-12-15T00:00:00"/>
    <m/>
    <d v="2025-12-22T00:00:00"/>
    <n v="923400"/>
    <s v="301"/>
    <x v="4"/>
    <s v="ต้นทุนผลิตโอน Semi"/>
    <m/>
    <n v="266.82000216590859"/>
  </r>
  <r>
    <x v="13"/>
    <x v="13"/>
    <s v="0328"/>
    <x v="8"/>
    <s v="GR for order"/>
    <s v="5011305247"/>
    <s v="P002"/>
    <s v="3092611BBB"/>
    <s v="301000000094"/>
    <s v="12:28:10"/>
    <s v="PANUPWAI"/>
    <s v="0002"/>
    <s v=""/>
    <s v="0000"/>
    <s v=""/>
    <s v="0000000000"/>
    <s v=""/>
    <s v="250930-BBB,251126-BBB"/>
    <s v=""/>
    <s v="53001004"/>
    <s v=""/>
    <s v=""/>
    <s v=""/>
    <s v="A.BBB15-17/12/25"/>
    <m/>
    <s v="KG"/>
    <n v="1624.74"/>
    <n v="433513.13"/>
    <d v="2025-12-17T00:00:00"/>
    <d v="2025-12-17T00:00:00"/>
    <m/>
    <d v="2025-12-23T00:00:00"/>
    <n v="1624740"/>
    <s v="301"/>
    <x v="4"/>
    <s v="ต้นทุนผลิตโอน Semi"/>
    <m/>
    <n v="266.8200019695459"/>
  </r>
  <r>
    <x v="14"/>
    <x v="14"/>
    <s v="0328"/>
    <x v="8"/>
    <s v="GR for order"/>
    <s v="5011305247"/>
    <s v="P002"/>
    <s v="3092611BBB"/>
    <s v="301000000094"/>
    <s v="12:28:10"/>
    <s v="PANUPWAI"/>
    <s v="0001"/>
    <s v=""/>
    <s v="0000"/>
    <s v=""/>
    <s v="0000000000"/>
    <s v=""/>
    <s v="250930-BBB,251126-BBB"/>
    <s v=""/>
    <s v="53001004"/>
    <s v=""/>
    <s v=""/>
    <s v=""/>
    <s v="A.BBB15-17/12/25"/>
    <m/>
    <s v="KG"/>
    <n v="13440"/>
    <n v="3586060.8"/>
    <d v="2025-12-17T00:00:00"/>
    <d v="2025-12-17T00:00:00"/>
    <m/>
    <d v="2025-12-23T00:00:00"/>
    <n v="13440000"/>
    <s v="301"/>
    <x v="4"/>
    <s v="ต้นทุนผลิตโอน Semi"/>
    <m/>
    <n v="266.82"/>
  </r>
  <r>
    <x v="28"/>
    <x v="27"/>
    <s v="0328"/>
    <x v="8"/>
    <s v="GR for order"/>
    <s v="5011305247"/>
    <s v="P002"/>
    <s v="3092611BBB"/>
    <s v="301000000094"/>
    <s v="12:28:10"/>
    <s v="PANUPWAI"/>
    <s v="0003"/>
    <s v=""/>
    <s v="0000"/>
    <s v=""/>
    <s v="0000000000"/>
    <s v=""/>
    <s v="250930-BBB,251126-BBB"/>
    <s v=""/>
    <s v="53001004"/>
    <s v=""/>
    <s v=""/>
    <s v=""/>
    <s v="A.BBB15-17/12/25"/>
    <m/>
    <s v="KG"/>
    <n v="2879.2"/>
    <n v="768228.14"/>
    <d v="2025-12-17T00:00:00"/>
    <d v="2025-12-17T00:00:00"/>
    <m/>
    <d v="2025-12-23T00:00:00"/>
    <n v="2879200"/>
    <s v="301"/>
    <x v="4"/>
    <s v="ต้นทุนผลิตโอน Semi"/>
    <m/>
    <n v="266.81999861072524"/>
  </r>
  <r>
    <x v="15"/>
    <x v="15"/>
    <s v="0328"/>
    <x v="8"/>
    <s v="GR for order"/>
    <s v="5011305760"/>
    <s v="P002"/>
    <s v="160925-BBB"/>
    <s v="301000000095"/>
    <s v="12:47:24"/>
    <s v="PANUPWAI"/>
    <s v="0001"/>
    <s v=""/>
    <s v="0000"/>
    <s v=""/>
    <s v="0000000000"/>
    <s v=""/>
    <s v=""/>
    <s v=""/>
    <s v="53001004"/>
    <s v=""/>
    <s v=""/>
    <s v=""/>
    <s v="R.TTW17/12/25"/>
    <m/>
    <s v="KG"/>
    <n v="5825.4"/>
    <n v="1193216.68"/>
    <d v="2025-12-17T00:00:00"/>
    <d v="2025-12-17T00:00:00"/>
    <m/>
    <d v="2025-12-23T00:00:00"/>
    <n v="5825400"/>
    <s v="301"/>
    <x v="4"/>
    <s v="ต้นทุนผลิตโอน Semi"/>
    <m/>
    <n v="204.82999965667594"/>
  </r>
  <r>
    <x v="31"/>
    <x v="30"/>
    <s v="0328"/>
    <x v="8"/>
    <s v="GR for order"/>
    <s v="5011305760"/>
    <s v="P002"/>
    <s v="160925-BBB"/>
    <s v="301000000095"/>
    <s v="12:47:24"/>
    <s v="PANUPWAI"/>
    <s v="0002"/>
    <s v=""/>
    <s v="0000"/>
    <s v=""/>
    <s v="0000000000"/>
    <s v=""/>
    <s v=""/>
    <s v=""/>
    <s v="53001004"/>
    <s v=""/>
    <s v=""/>
    <s v=""/>
    <s v="R.TTW17/12/25"/>
    <m/>
    <s v="KG"/>
    <n v="176.4"/>
    <n v="36132.01"/>
    <d v="2025-12-17T00:00:00"/>
    <d v="2025-12-17T00:00:00"/>
    <m/>
    <d v="2025-12-23T00:00:00"/>
    <n v="176400"/>
    <s v="301"/>
    <x v="4"/>
    <s v="ต้นทุนผลิตโอน Semi"/>
    <m/>
    <n v="204.82998866213151"/>
  </r>
  <r>
    <x v="13"/>
    <x v="13"/>
    <s v="0328"/>
    <x v="8"/>
    <s v="GR for order"/>
    <s v="5011306136"/>
    <s v="P002"/>
    <s v="3092611BBB"/>
    <s v="301000000096"/>
    <s v="13:06:28"/>
    <s v="PANUPWAI"/>
    <s v="0002"/>
    <s v=""/>
    <s v="0000"/>
    <s v=""/>
    <s v="0000000000"/>
    <s v=""/>
    <s v="251126-BBB,300925-BBB,301025-BBB"/>
    <s v=""/>
    <s v="53001004"/>
    <s v=""/>
    <s v=""/>
    <s v=""/>
    <s v="A.BBB17-19/12/25"/>
    <m/>
    <s v="KG"/>
    <n v="2839.68"/>
    <n v="757683.42"/>
    <d v="2025-12-19T00:00:00"/>
    <d v="2025-12-19T00:00:00"/>
    <m/>
    <d v="2025-12-23T00:00:00"/>
    <n v="2839680"/>
    <s v="301"/>
    <x v="4"/>
    <s v="ต้นทุนผลิตโอน Semi"/>
    <m/>
    <n v="266.82000084516568"/>
  </r>
  <r>
    <x v="14"/>
    <x v="14"/>
    <s v="0328"/>
    <x v="8"/>
    <s v="GR for order"/>
    <s v="5011306136"/>
    <s v="P002"/>
    <s v="3092611BBB"/>
    <s v="301000000096"/>
    <s v="13:06:28"/>
    <s v="PANUPWAI"/>
    <s v="0001"/>
    <s v=""/>
    <s v="0000"/>
    <s v=""/>
    <s v="0000000000"/>
    <s v=""/>
    <s v="251126-BBB,300925-BBB,301025-BBB"/>
    <s v=""/>
    <s v="53001004"/>
    <s v=""/>
    <s v=""/>
    <s v=""/>
    <s v="A.BBB17-19/12/25"/>
    <m/>
    <s v="KG"/>
    <n v="22113.58"/>
    <n v="5900345.4199999999"/>
    <d v="2025-12-19T00:00:00"/>
    <d v="2025-12-19T00:00:00"/>
    <m/>
    <d v="2025-12-23T00:00:00"/>
    <n v="22113580"/>
    <s v="301"/>
    <x v="4"/>
    <s v="ต้นทุนผลิตโอน Semi"/>
    <m/>
    <n v="266.82000019897271"/>
  </r>
  <r>
    <x v="28"/>
    <x v="27"/>
    <s v="0328"/>
    <x v="8"/>
    <s v="GR for order"/>
    <s v="5011306136"/>
    <s v="P002"/>
    <s v="3092611BBB"/>
    <s v="301000000096"/>
    <s v="13:06:28"/>
    <s v="PANUPWAI"/>
    <s v="0003"/>
    <s v=""/>
    <s v="0000"/>
    <s v=""/>
    <s v="0000000000"/>
    <s v=""/>
    <s v="251126-BBB,300925-BBB,301025-BBB"/>
    <s v=""/>
    <s v="53001004"/>
    <s v=""/>
    <s v=""/>
    <s v=""/>
    <s v="A.BBB17-19/12/25"/>
    <m/>
    <s v="KG"/>
    <n v="1014.4"/>
    <n v="270662.21000000002"/>
    <d v="2025-12-19T00:00:00"/>
    <d v="2025-12-19T00:00:00"/>
    <m/>
    <d v="2025-12-23T00:00:00"/>
    <n v="1014400"/>
    <s v="301"/>
    <x v="4"/>
    <s v="ต้นทุนผลิตโอน Semi"/>
    <m/>
    <n v="266.82000197160886"/>
  </r>
  <r>
    <x v="15"/>
    <x v="15"/>
    <s v="0328"/>
    <x v="8"/>
    <s v="GR for order"/>
    <s v="5011308284"/>
    <s v="P002"/>
    <s v="160925-BBB"/>
    <s v="301000000097"/>
    <s v="14:36:34"/>
    <s v="PANUPWAI"/>
    <s v="0001"/>
    <s v=""/>
    <s v="0000"/>
    <s v=""/>
    <s v="0000000000"/>
    <s v=""/>
    <s v=""/>
    <s v=""/>
    <s v="53001004"/>
    <s v=""/>
    <s v=""/>
    <s v=""/>
    <s v="R.TTW19/12/25"/>
    <m/>
    <s v="KG"/>
    <n v="7764.74"/>
    <n v="1590451.69"/>
    <d v="2025-12-19T00:00:00"/>
    <d v="2025-12-19T00:00:00"/>
    <m/>
    <d v="2025-12-23T00:00:00"/>
    <n v="7764740"/>
    <s v="301"/>
    <x v="4"/>
    <s v="ต้นทุนผลิตโอน Semi"/>
    <m/>
    <n v="204.82999945909327"/>
  </r>
  <r>
    <x v="31"/>
    <x v="30"/>
    <s v="0328"/>
    <x v="8"/>
    <s v="GR for order"/>
    <s v="5011308284"/>
    <s v="P002"/>
    <s v="160925-BBB"/>
    <s v="301000000097"/>
    <s v="14:36:34"/>
    <s v="PANUPWAI"/>
    <s v="0002"/>
    <s v=""/>
    <s v="0000"/>
    <s v=""/>
    <s v="0000000000"/>
    <s v=""/>
    <s v=""/>
    <s v=""/>
    <s v="53001004"/>
    <s v=""/>
    <s v=""/>
    <s v=""/>
    <s v="R.TTW19/12/25"/>
    <m/>
    <s v="KG"/>
    <n v="238.2"/>
    <n v="48790.51"/>
    <d v="2025-12-19T00:00:00"/>
    <d v="2025-12-19T00:00:00"/>
    <m/>
    <d v="2025-12-23T00:00:00"/>
    <n v="238200"/>
    <s v="301"/>
    <x v="4"/>
    <s v="ต้นทุนผลิตโอน Semi"/>
    <m/>
    <n v="204.83001679261127"/>
  </r>
  <r>
    <x v="37"/>
    <x v="36"/>
    <s v="0328"/>
    <x v="8"/>
    <s v="GR goods receipt"/>
    <s v="5011314654"/>
    <s v="M004"/>
    <s v="12-25"/>
    <s v=""/>
    <s v="19:48:41"/>
    <s v="WANTILER"/>
    <s v="0001"/>
    <s v="IVV0052512222592"/>
    <s v="0000"/>
    <s v=""/>
    <s v="0000000000"/>
    <s v="305051851"/>
    <s v=""/>
    <s v=""/>
    <s v=""/>
    <s v="305051851"/>
    <s v="2048975"/>
    <s v=""/>
    <s v="IVV0052512222592"/>
    <m/>
    <s v="PC"/>
    <n v="10"/>
    <n v="10350"/>
    <d v="2025-12-23T00:00:00"/>
    <d v="2025-12-23T00:00:00"/>
    <m/>
    <d v="2025-12-23T00:00:00"/>
    <n v="10"/>
    <s v=""/>
    <x v="3"/>
    <e v="#N/A"/>
    <m/>
    <n v="1035"/>
  </r>
  <r>
    <x v="7"/>
    <x v="7"/>
    <s v="0328"/>
    <x v="8"/>
    <s v="GR goods receipt"/>
    <s v="5011315387"/>
    <s v="M003"/>
    <s v="20251222"/>
    <s v=""/>
    <s v="20:48:47"/>
    <s v="JURASDOK"/>
    <s v="0001"/>
    <s v="6802484"/>
    <s v="0000"/>
    <s v=""/>
    <s v="0000000000"/>
    <s v="305051940"/>
    <s v=""/>
    <s v=""/>
    <s v=""/>
    <s v="305051940"/>
    <s v="2024222"/>
    <s v=""/>
    <s v="6802484"/>
    <m/>
    <s v="PC"/>
    <n v="15000"/>
    <n v="75000"/>
    <d v="2025-12-22T00:00:00"/>
    <d v="2025-12-23T00:00:00"/>
    <m/>
    <d v="2025-12-23T00:00:00"/>
    <n v="15000"/>
    <s v=""/>
    <x v="2"/>
    <e v="#N/A"/>
    <m/>
    <n v="5"/>
  </r>
  <r>
    <x v="18"/>
    <x v="18"/>
    <s v="0328"/>
    <x v="8"/>
    <s v="GR goods receipt"/>
    <s v="5011315390"/>
    <s v="M003"/>
    <s v="20251222"/>
    <s v=""/>
    <s v="20:49:39"/>
    <s v="JURASDOK"/>
    <s v="0001"/>
    <s v="6802485"/>
    <s v="0000"/>
    <s v=""/>
    <s v="0000000000"/>
    <s v="305051940"/>
    <s v=""/>
    <s v=""/>
    <s v=""/>
    <s v="305051940"/>
    <s v="2024222"/>
    <s v=""/>
    <s v="6802485"/>
    <m/>
    <s v="PC"/>
    <n v="2000"/>
    <n v="10000"/>
    <d v="2025-12-22T00:00:00"/>
    <d v="2025-12-23T00:00:00"/>
    <m/>
    <d v="2025-12-23T00:00:00"/>
    <n v="2000"/>
    <s v=""/>
    <x v="2"/>
    <e v="#N/A"/>
    <m/>
    <n v="5"/>
  </r>
  <r>
    <x v="37"/>
    <x v="36"/>
    <s v="0328"/>
    <x v="8"/>
    <s v="GR goods receipt"/>
    <s v="5011347221"/>
    <s v="M004"/>
    <s v="12-25"/>
    <s v=""/>
    <s v="15:48:46"/>
    <s v="WANTILER"/>
    <s v="0001"/>
    <s v="IVV0052512232662"/>
    <s v="0000"/>
    <s v=""/>
    <s v="0000000000"/>
    <s v="305051851"/>
    <s v=""/>
    <s v=""/>
    <s v=""/>
    <s v="305051851"/>
    <s v="2048975"/>
    <s v=""/>
    <s v="IVV0052512232662"/>
    <m/>
    <s v="PC"/>
    <n v="10"/>
    <n v="10350"/>
    <d v="2025-12-24T00:00:00"/>
    <d v="2025-12-24T00:00:00"/>
    <m/>
    <d v="2025-12-24T00:00:00"/>
    <n v="10"/>
    <s v=""/>
    <x v="3"/>
    <e v="#N/A"/>
    <m/>
    <n v="1035"/>
  </r>
  <r>
    <x v="13"/>
    <x v="13"/>
    <s v="0328"/>
    <x v="8"/>
    <s v="GR for order"/>
    <s v="5011376844"/>
    <s v="P002"/>
    <s v="3093010BBB"/>
    <s v="301000000098"/>
    <s v="10:03:05"/>
    <s v="PANUPWAI"/>
    <s v="0002"/>
    <s v=""/>
    <s v="0000"/>
    <s v=""/>
    <s v="0000000000"/>
    <s v=""/>
    <s v="300925-BBB,301025-BBB"/>
    <s v=""/>
    <s v="53001004"/>
    <s v=""/>
    <s v=""/>
    <s v=""/>
    <s v="A.BBB19-23/12/25"/>
    <m/>
    <s v="KG"/>
    <n v="2319.08"/>
    <n v="618776.93000000005"/>
    <d v="2025-12-23T00:00:00"/>
    <d v="2025-12-23T00:00:00"/>
    <m/>
    <d v="2025-12-25T00:00:00"/>
    <n v="2319080"/>
    <s v="301"/>
    <x v="4"/>
    <s v="ต้นทุนผลิตโอน Semi"/>
    <m/>
    <n v="266.82000189730411"/>
  </r>
  <r>
    <x v="14"/>
    <x v="14"/>
    <s v="0328"/>
    <x v="8"/>
    <s v="GR for order"/>
    <s v="5011376844"/>
    <s v="P002"/>
    <s v="3093010BBB"/>
    <s v="301000000098"/>
    <s v="10:03:05"/>
    <s v="PANUPWAI"/>
    <s v="0001"/>
    <s v=""/>
    <s v="0000"/>
    <s v=""/>
    <s v="0000000000"/>
    <s v=""/>
    <s v="300925-BBB,301025-BBB"/>
    <s v=""/>
    <s v="53001004"/>
    <s v=""/>
    <s v=""/>
    <s v=""/>
    <s v="A.BBB19-23/12/25"/>
    <m/>
    <s v="KG"/>
    <n v="28032.639999999999"/>
    <n v="7479669"/>
    <d v="2025-12-23T00:00:00"/>
    <d v="2025-12-23T00:00:00"/>
    <m/>
    <d v="2025-12-25T00:00:00"/>
    <n v="28032640"/>
    <s v="301"/>
    <x v="4"/>
    <s v="ต้นทุนผลิตโอน Semi"/>
    <m/>
    <n v="266.81999982877102"/>
  </r>
  <r>
    <x v="28"/>
    <x v="27"/>
    <s v="0328"/>
    <x v="8"/>
    <s v="GR for order"/>
    <s v="5011376844"/>
    <s v="P002"/>
    <s v="3093010BBB"/>
    <s v="301000000098"/>
    <s v="10:03:05"/>
    <s v="PANUPWAI"/>
    <s v="0003"/>
    <s v=""/>
    <s v="0000"/>
    <s v=""/>
    <s v="0000000000"/>
    <s v=""/>
    <s v="300925-BBB,301025-BBB"/>
    <s v=""/>
    <s v="53001004"/>
    <s v=""/>
    <s v=""/>
    <s v=""/>
    <s v="A.BBB19-23/12/25"/>
    <m/>
    <s v="KG"/>
    <n v="3774.6"/>
    <n v="1007138.77"/>
    <d v="2025-12-23T00:00:00"/>
    <d v="2025-12-23T00:00:00"/>
    <m/>
    <d v="2025-12-25T00:00:00"/>
    <n v="3774600"/>
    <s v="301"/>
    <x v="4"/>
    <s v="ต้นทุนผลิตโอน Semi"/>
    <m/>
    <n v="266.81999947014253"/>
  </r>
  <r>
    <x v="15"/>
    <x v="15"/>
    <s v="0328"/>
    <x v="8"/>
    <s v="GR for order"/>
    <s v="5011377952"/>
    <s v="P002"/>
    <s v="160925-BBB"/>
    <s v="301000000099"/>
    <s v="10:43:09"/>
    <s v="PANUPWAI"/>
    <s v="0001"/>
    <s v=""/>
    <s v="0000"/>
    <s v=""/>
    <s v="0000000000"/>
    <s v=""/>
    <s v=""/>
    <s v=""/>
    <s v="53001004"/>
    <s v=""/>
    <s v=""/>
    <s v=""/>
    <s v="R.TTW23/12/25"/>
    <m/>
    <s v="KG"/>
    <n v="7791"/>
    <n v="1595830.53"/>
    <d v="2025-12-23T00:00:00"/>
    <d v="2025-12-23T00:00:00"/>
    <m/>
    <d v="2025-12-25T00:00:00"/>
    <n v="7791000"/>
    <s v="301"/>
    <x v="4"/>
    <s v="ต้นทุนผลิตโอน Semi"/>
    <m/>
    <n v="204.83"/>
  </r>
  <r>
    <x v="31"/>
    <x v="30"/>
    <s v="0328"/>
    <x v="8"/>
    <s v="GR for order"/>
    <s v="5011377952"/>
    <s v="P002"/>
    <s v="160925-BBB"/>
    <s v="301000000099"/>
    <s v="10:43:09"/>
    <s v="PANUPWAI"/>
    <s v="0002"/>
    <s v=""/>
    <s v="0000"/>
    <s v=""/>
    <s v="0000000000"/>
    <s v=""/>
    <s v=""/>
    <s v=""/>
    <s v="53001004"/>
    <s v=""/>
    <s v=""/>
    <s v=""/>
    <s v="R.TTW23/12/25"/>
    <m/>
    <s v="KG"/>
    <n v="228.8"/>
    <n v="46865.1"/>
    <d v="2025-12-23T00:00:00"/>
    <d v="2025-12-23T00:00:00"/>
    <m/>
    <d v="2025-12-25T00:00:00"/>
    <n v="228800"/>
    <s v="301"/>
    <x v="4"/>
    <s v="ต้นทุนผลิตโอน Semi"/>
    <m/>
    <n v="204.82998251748251"/>
  </r>
  <r>
    <x v="22"/>
    <x v="22"/>
    <s v="0328"/>
    <x v="8"/>
    <s v="GR goods receipt"/>
    <s v="5011379839"/>
    <s v="M003"/>
    <s v="20251224"/>
    <s v=""/>
    <s v="11:57:02"/>
    <s v="JURASDOK"/>
    <s v="0001"/>
    <s v="IV6812274"/>
    <s v="0000"/>
    <s v=""/>
    <s v="0000000000"/>
    <s v="305050738"/>
    <s v=""/>
    <s v=""/>
    <s v=""/>
    <s v="305050738"/>
    <s v="2043579"/>
    <s v=""/>
    <s v="IV6812274"/>
    <m/>
    <s v="ROL"/>
    <n v="10"/>
    <n v="51500"/>
    <d v="2025-12-24T00:00:00"/>
    <d v="2025-12-25T00:00:00"/>
    <m/>
    <d v="2025-12-25T00:00:00"/>
    <n v="30000"/>
    <s v=""/>
    <x v="2"/>
    <e v="#N/A"/>
    <m/>
    <n v="5150"/>
  </r>
  <r>
    <x v="6"/>
    <x v="6"/>
    <s v="0328"/>
    <x v="8"/>
    <s v="GR goods receipt"/>
    <s v="5011379881"/>
    <s v="M003"/>
    <s v="20251224"/>
    <s v=""/>
    <s v="11:57:50"/>
    <s v="JURASDOK"/>
    <s v="0001"/>
    <s v="IV6812273"/>
    <s v="0000"/>
    <s v=""/>
    <s v="0000000000"/>
    <s v="305050736"/>
    <s v=""/>
    <s v=""/>
    <s v=""/>
    <s v="305050736"/>
    <s v="2043579"/>
    <s v=""/>
    <s v="IV6812273"/>
    <m/>
    <s v="ROL"/>
    <n v="70"/>
    <n v="360500"/>
    <d v="2025-12-24T00:00:00"/>
    <d v="2025-12-25T00:00:00"/>
    <m/>
    <d v="2025-12-25T00:00:00"/>
    <n v="210000"/>
    <s v=""/>
    <x v="2"/>
    <e v="#N/A"/>
    <m/>
    <n v="5150"/>
  </r>
  <r>
    <x v="17"/>
    <x v="17"/>
    <s v="0328"/>
    <x v="8"/>
    <s v="GR goods receipt"/>
    <s v="5011379882"/>
    <s v="M003"/>
    <s v="20251224"/>
    <s v=""/>
    <s v="11:58:36"/>
    <s v="JURASDOK"/>
    <s v="0001"/>
    <s v="IV6812275"/>
    <s v="0000"/>
    <s v=""/>
    <s v="0000000000"/>
    <s v="305050737"/>
    <s v=""/>
    <s v=""/>
    <s v=""/>
    <s v="305050737"/>
    <s v="2043579"/>
    <s v=""/>
    <s v="IV6812275"/>
    <m/>
    <s v="ROL"/>
    <n v="10"/>
    <n v="51500"/>
    <d v="2025-12-24T00:00:00"/>
    <d v="2025-12-25T00:00:00"/>
    <m/>
    <d v="2025-12-25T00:00:00"/>
    <n v="30000"/>
    <s v=""/>
    <x v="2"/>
    <e v="#N/A"/>
    <m/>
    <n v="5150"/>
  </r>
  <r>
    <x v="12"/>
    <x v="12"/>
    <s v="0328"/>
    <x v="8"/>
    <s v="GR goods receipt"/>
    <s v="5011387828"/>
    <s v="M002"/>
    <s v="251225-BBB"/>
    <s v=""/>
    <s v="18:00:39"/>
    <s v="JURASDOK"/>
    <s v="0001"/>
    <s v="TIB681225001"/>
    <s v="0000"/>
    <s v=""/>
    <s v="0000000000"/>
    <s v="305051362,363,364"/>
    <s v=""/>
    <s v=""/>
    <s v=""/>
    <s v="305051362"/>
    <s v="2039123"/>
    <s v=""/>
    <s v="TIB681225001"/>
    <m/>
    <s v="KG"/>
    <n v="20000"/>
    <n v="4100000"/>
    <d v="2025-12-25T00:00:00"/>
    <d v="2025-12-25T00:00:00"/>
    <m/>
    <d v="2025-12-25T00:00:00"/>
    <n v="20000000"/>
    <s v=""/>
    <x v="3"/>
    <e v="#N/A"/>
    <m/>
    <n v="205"/>
  </r>
  <r>
    <x v="12"/>
    <x v="12"/>
    <s v="0328"/>
    <x v="8"/>
    <s v="GR goods receipt"/>
    <s v="5011387828"/>
    <s v="M002"/>
    <s v="251225-BBB"/>
    <s v=""/>
    <s v="18:00:39"/>
    <s v="JURASDOK"/>
    <s v="0002"/>
    <s v="TIB681225001"/>
    <s v="0000"/>
    <s v=""/>
    <s v="0000000000"/>
    <s v="305051362,363,364"/>
    <s v=""/>
    <s v=""/>
    <s v=""/>
    <s v="305051363"/>
    <s v="2039123"/>
    <s v=""/>
    <s v="TIB681225001"/>
    <m/>
    <s v="KG"/>
    <n v="20000"/>
    <n v="4100000"/>
    <d v="2025-12-25T00:00:00"/>
    <d v="2025-12-25T00:00:00"/>
    <m/>
    <d v="2025-12-25T00:00:00"/>
    <n v="20000000"/>
    <s v=""/>
    <x v="3"/>
    <e v="#N/A"/>
    <m/>
    <n v="205"/>
  </r>
  <r>
    <x v="12"/>
    <x v="12"/>
    <s v="0328"/>
    <x v="8"/>
    <s v="GR goods receipt"/>
    <s v="5011387828"/>
    <s v="M002"/>
    <s v="251225-BBB"/>
    <s v=""/>
    <s v="18:00:39"/>
    <s v="JURASDOK"/>
    <s v="0003"/>
    <s v="TIB681225001"/>
    <s v="0000"/>
    <s v=""/>
    <s v="0000000000"/>
    <s v="305051362,363,364"/>
    <s v=""/>
    <s v=""/>
    <s v=""/>
    <s v="305051364"/>
    <s v="2039123"/>
    <s v=""/>
    <s v="TIB681225001"/>
    <m/>
    <s v="KG"/>
    <n v="2031.9"/>
    <n v="416539.5"/>
    <d v="2025-12-25T00:00:00"/>
    <d v="2025-12-25T00:00:00"/>
    <m/>
    <d v="2025-12-25T00:00:00"/>
    <n v="2031900"/>
    <s v=""/>
    <x v="3"/>
    <e v="#N/A"/>
    <m/>
    <n v="205"/>
  </r>
  <r>
    <x v="7"/>
    <x v="7"/>
    <s v="0328"/>
    <x v="8"/>
    <s v="GR goods receipt"/>
    <s v="5011387829"/>
    <s v="M003"/>
    <s v="20251225"/>
    <s v=""/>
    <s v="18:01:43"/>
    <s v="JURASDOK"/>
    <s v="0001"/>
    <s v="6802505"/>
    <s v="0000"/>
    <s v=""/>
    <s v="0000000000"/>
    <s v="305051869"/>
    <s v=""/>
    <s v=""/>
    <s v=""/>
    <s v="305051869"/>
    <s v="2024222"/>
    <s v=""/>
    <s v="6802505"/>
    <m/>
    <s v="PC"/>
    <n v="15000"/>
    <n v="75000"/>
    <d v="2025-12-25T00:00:00"/>
    <d v="2025-12-25T00:00:00"/>
    <m/>
    <d v="2025-12-25T00:00:00"/>
    <n v="15000"/>
    <s v=""/>
    <x v="2"/>
    <e v="#N/A"/>
    <m/>
    <n v="5"/>
  </r>
  <r>
    <x v="19"/>
    <x v="19"/>
    <s v="0328"/>
    <x v="8"/>
    <s v="GR goods receipt"/>
    <s v="5011387830"/>
    <s v="M003"/>
    <s v="20251225"/>
    <s v=""/>
    <s v="18:02:24"/>
    <s v="JURASDOK"/>
    <s v="0001"/>
    <s v="6802507"/>
    <s v="0000"/>
    <s v=""/>
    <s v="0000000000"/>
    <s v="305051940"/>
    <s v=""/>
    <s v=""/>
    <s v=""/>
    <s v="305051940"/>
    <s v="2024222"/>
    <s v=""/>
    <s v="6802507"/>
    <m/>
    <s v="PC"/>
    <n v="500"/>
    <n v="11000"/>
    <d v="2025-12-25T00:00:00"/>
    <d v="2025-12-25T00:00:00"/>
    <m/>
    <d v="2025-12-25T00:00:00"/>
    <n v="500"/>
    <s v=""/>
    <x v="2"/>
    <e v="#N/A"/>
    <m/>
    <n v="22"/>
  </r>
  <r>
    <x v="37"/>
    <x v="36"/>
    <s v="0328"/>
    <x v="8"/>
    <s v="GR goods receipt"/>
    <s v="5011388358"/>
    <s v="M004"/>
    <s v="12-25"/>
    <s v=""/>
    <s v="18:42:19"/>
    <s v="WANTILER"/>
    <s v="0001"/>
    <s v="IVV0052512242810"/>
    <s v="0000"/>
    <s v=""/>
    <s v="0000000000"/>
    <s v="305051851"/>
    <s v=""/>
    <s v=""/>
    <s v=""/>
    <s v="305051851"/>
    <s v="2048975"/>
    <s v=""/>
    <s v="IVV0052512242810"/>
    <m/>
    <s v="PC"/>
    <n v="15"/>
    <n v="15525"/>
    <d v="2025-12-25T00:00:00"/>
    <d v="2025-12-25T00:00:00"/>
    <m/>
    <d v="2025-12-25T00:00:00"/>
    <n v="15"/>
    <s v=""/>
    <x v="3"/>
    <e v="#N/A"/>
    <m/>
    <n v="1035"/>
  </r>
  <r>
    <x v="37"/>
    <x v="36"/>
    <s v="0328"/>
    <x v="8"/>
    <s v="GR goods receipt"/>
    <s v="5011421799"/>
    <s v="M004"/>
    <s v="12-25"/>
    <s v=""/>
    <s v="16:56:59"/>
    <s v="WANTILER"/>
    <s v="0001"/>
    <s v="IVV0052512262935"/>
    <s v="0000"/>
    <s v=""/>
    <s v="0000000000"/>
    <s v="305051851"/>
    <s v=""/>
    <s v=""/>
    <s v=""/>
    <s v="305051851"/>
    <s v="2048975"/>
    <s v=""/>
    <s v="IVV0052512262935"/>
    <m/>
    <s v="PC"/>
    <n v="15"/>
    <n v="15525"/>
    <d v="2025-12-26T00:00:00"/>
    <d v="2025-12-26T00:00:00"/>
    <m/>
    <d v="2025-12-26T00:00:00"/>
    <n v="15"/>
    <s v=""/>
    <x v="3"/>
    <e v="#N/A"/>
    <m/>
    <n v="1035"/>
  </r>
  <r>
    <x v="38"/>
    <x v="37"/>
    <m/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</r>
  <r>
    <x v="38"/>
    <x v="37"/>
    <m/>
    <x v="15"/>
    <m/>
    <m/>
    <m/>
    <m/>
    <m/>
    <m/>
    <m/>
    <m/>
    <m/>
    <m/>
    <m/>
    <m/>
    <m/>
    <m/>
    <m/>
    <m/>
    <m/>
    <m/>
    <m/>
    <m/>
    <m/>
    <m/>
    <n v="-3267425.899999999"/>
    <n v="-6435307.4300002977"/>
    <m/>
    <m/>
    <m/>
    <m/>
    <m/>
    <m/>
    <x v="5"/>
    <m/>
    <m/>
    <m/>
  </r>
  <r>
    <x v="38"/>
    <x v="37"/>
    <m/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8">
  <r>
    <x v="0"/>
    <x v="0"/>
    <s v="0328"/>
    <x v="0"/>
    <s v="TF trfr plnt to plnt"/>
    <s v="4915104153"/>
    <s v="M003"/>
    <x v="0"/>
    <x v="0"/>
    <s v="09:08:37"/>
    <s v="SUTTISIT02"/>
    <s v="0001"/>
    <s v=""/>
    <s v="0000"/>
    <s v=""/>
    <s v="0000000000"/>
    <s v=""/>
    <s v=""/>
    <s v=""/>
    <s v=""/>
    <s v=""/>
    <s v=""/>
    <s v=""/>
    <s v=""/>
    <m/>
    <x v="0"/>
    <n v="-94"/>
    <n v="0"/>
    <d v="2026-07-01T00:00:00"/>
    <d v="2026-07-01T00:00:00"/>
    <m/>
    <d v="2026-07-01T00:00:00"/>
    <n v="-94"/>
    <x v="0"/>
    <s v="58"/>
    <e v="#N/A"/>
    <m/>
    <n v="0"/>
    <e v="#N/A"/>
    <e v="#N/A"/>
  </r>
  <r>
    <x v="0"/>
    <x v="0"/>
    <s v="0328"/>
    <x v="0"/>
    <s v="TF trfr plnt to plnt"/>
    <s v="4915104153"/>
    <s v="P003"/>
    <x v="0"/>
    <x v="0"/>
    <s v="09:08:37"/>
    <s v="SUTTISIT02"/>
    <s v="0002"/>
    <s v=""/>
    <s v="0000"/>
    <s v=""/>
    <s v="0000000000"/>
    <s v=""/>
    <s v=""/>
    <s v=""/>
    <s v=""/>
    <s v=""/>
    <s v=""/>
    <s v=""/>
    <s v=""/>
    <m/>
    <x v="0"/>
    <n v="94"/>
    <n v="0"/>
    <d v="2026-07-01T00:00:00"/>
    <d v="2026-07-01T00:00:00"/>
    <m/>
    <d v="2026-07-01T00:00:00"/>
    <n v="94"/>
    <x v="0"/>
    <s v="58"/>
    <e v="#N/A"/>
    <m/>
    <n v="0"/>
    <e v="#N/A"/>
    <e v="#N/A"/>
  </r>
  <r>
    <x v="1"/>
    <x v="1"/>
    <s v="0328"/>
    <x v="0"/>
    <s v="TF trfr plnt to plnt"/>
    <s v="4915104685"/>
    <s v="M003"/>
    <x v="1"/>
    <x v="0"/>
    <s v="09:20:23"/>
    <s v="SUTTISIT02"/>
    <s v="0001"/>
    <s v=""/>
    <s v="0000"/>
    <s v=""/>
    <s v="0000000000"/>
    <s v=""/>
    <s v=""/>
    <s v=""/>
    <s v=""/>
    <s v=""/>
    <s v=""/>
    <s v=""/>
    <s v=""/>
    <m/>
    <x v="0"/>
    <n v="-6000"/>
    <n v="0"/>
    <d v="2026-07-01T00:00:00"/>
    <d v="2026-07-01T00:00:00"/>
    <m/>
    <d v="2026-07-01T00:00:00"/>
    <n v="-6000"/>
    <x v="0"/>
    <s v="58"/>
    <e v="#N/A"/>
    <m/>
    <n v="0"/>
    <e v="#N/A"/>
    <e v="#N/A"/>
  </r>
  <r>
    <x v="1"/>
    <x v="1"/>
    <s v="0328"/>
    <x v="0"/>
    <s v="TF trfr plnt to plnt"/>
    <s v="4915104685"/>
    <s v="P003"/>
    <x v="1"/>
    <x v="0"/>
    <s v="09:20:23"/>
    <s v="SUTTISIT02"/>
    <s v="0002"/>
    <s v=""/>
    <s v="0000"/>
    <s v=""/>
    <s v="0000000000"/>
    <s v=""/>
    <s v=""/>
    <s v=""/>
    <s v=""/>
    <s v=""/>
    <s v=""/>
    <s v=""/>
    <s v=""/>
    <m/>
    <x v="0"/>
    <n v="6000"/>
    <n v="0"/>
    <d v="2026-07-01T00:00:00"/>
    <d v="2026-07-01T00:00:00"/>
    <m/>
    <d v="2026-07-01T00:00:00"/>
    <n v="6000"/>
    <x v="0"/>
    <s v="58"/>
    <e v="#N/A"/>
    <m/>
    <n v="0"/>
    <e v="#N/A"/>
    <e v="#N/A"/>
  </r>
  <r>
    <x v="2"/>
    <x v="2"/>
    <s v="0328"/>
    <x v="0"/>
    <s v="TF trfr plnt to plnt"/>
    <s v="4915104685"/>
    <s v="M003"/>
    <x v="2"/>
    <x v="0"/>
    <s v="09:20:23"/>
    <s v="SUTTISIT02"/>
    <s v="0005"/>
    <s v=""/>
    <s v="0000"/>
    <s v=""/>
    <s v="0000000000"/>
    <s v=""/>
    <s v=""/>
    <s v=""/>
    <s v=""/>
    <s v=""/>
    <s v=""/>
    <s v=""/>
    <s v=""/>
    <m/>
    <x v="0"/>
    <n v="-75"/>
    <n v="0"/>
    <d v="2026-07-01T00:00:00"/>
    <d v="2026-07-01T00:00:00"/>
    <m/>
    <d v="2026-07-01T00:00:00"/>
    <n v="-75"/>
    <x v="0"/>
    <s v="58"/>
    <e v="#N/A"/>
    <m/>
    <n v="0"/>
    <e v="#N/A"/>
    <e v="#N/A"/>
  </r>
  <r>
    <x v="2"/>
    <x v="2"/>
    <s v="0328"/>
    <x v="0"/>
    <s v="TF trfr plnt to plnt"/>
    <s v="4915104685"/>
    <s v="P003"/>
    <x v="2"/>
    <x v="0"/>
    <s v="09:20:23"/>
    <s v="SUTTISIT02"/>
    <s v="0006"/>
    <s v=""/>
    <s v="0000"/>
    <s v=""/>
    <s v="0000000000"/>
    <s v=""/>
    <s v=""/>
    <s v=""/>
    <s v=""/>
    <s v=""/>
    <s v=""/>
    <s v=""/>
    <s v=""/>
    <m/>
    <x v="0"/>
    <n v="75"/>
    <n v="0"/>
    <d v="2026-07-01T00:00:00"/>
    <d v="2026-07-01T00:00:00"/>
    <m/>
    <d v="2026-07-01T00:00:00"/>
    <n v="75"/>
    <x v="0"/>
    <s v="58"/>
    <e v="#N/A"/>
    <m/>
    <n v="0"/>
    <e v="#N/A"/>
    <e v="#N/A"/>
  </r>
  <r>
    <x v="2"/>
    <x v="2"/>
    <s v="0328"/>
    <x v="0"/>
    <s v="TF trfr plnt to plnt"/>
    <s v="4915104685"/>
    <s v="M003"/>
    <x v="3"/>
    <x v="0"/>
    <s v="09:20:23"/>
    <s v="SUTTISIT02"/>
    <s v="0007"/>
    <s v=""/>
    <s v="0000"/>
    <s v=""/>
    <s v="0000000000"/>
    <s v=""/>
    <s v=""/>
    <s v=""/>
    <s v=""/>
    <s v=""/>
    <s v=""/>
    <s v=""/>
    <s v=""/>
    <m/>
    <x v="0"/>
    <n v="-531"/>
    <n v="0"/>
    <d v="2026-07-01T00:00:00"/>
    <d v="2026-07-01T00:00:00"/>
    <m/>
    <d v="2026-07-01T00:00:00"/>
    <n v="-531"/>
    <x v="0"/>
    <s v="58"/>
    <e v="#N/A"/>
    <m/>
    <n v="0"/>
    <e v="#N/A"/>
    <e v="#N/A"/>
  </r>
  <r>
    <x v="2"/>
    <x v="2"/>
    <s v="0328"/>
    <x v="0"/>
    <s v="TF trfr plnt to plnt"/>
    <s v="4915104685"/>
    <s v="P003"/>
    <x v="3"/>
    <x v="0"/>
    <s v="09:20:23"/>
    <s v="SUTTISIT02"/>
    <s v="0008"/>
    <s v=""/>
    <s v="0000"/>
    <s v=""/>
    <s v="0000000000"/>
    <s v=""/>
    <s v=""/>
    <s v=""/>
    <s v=""/>
    <s v=""/>
    <s v=""/>
    <s v=""/>
    <s v=""/>
    <m/>
    <x v="0"/>
    <n v="531"/>
    <n v="0"/>
    <d v="2026-07-01T00:00:00"/>
    <d v="2026-07-01T00:00:00"/>
    <m/>
    <d v="2026-07-01T00:00:00"/>
    <n v="531"/>
    <x v="0"/>
    <s v="58"/>
    <e v="#N/A"/>
    <m/>
    <n v="0"/>
    <e v="#N/A"/>
    <e v="#N/A"/>
  </r>
  <r>
    <x v="3"/>
    <x v="3"/>
    <s v="0328"/>
    <x v="0"/>
    <s v="TF trfr plnt to plnt"/>
    <s v="4915104685"/>
    <s v="P003"/>
    <x v="4"/>
    <x v="0"/>
    <s v="09:20:23"/>
    <s v="SUTTISIT02"/>
    <s v="0010"/>
    <s v=""/>
    <s v="0000"/>
    <s v=""/>
    <s v="0000000000"/>
    <s v=""/>
    <s v=""/>
    <s v=""/>
    <s v=""/>
    <s v=""/>
    <s v=""/>
    <s v=""/>
    <s v=""/>
    <m/>
    <x v="1"/>
    <n v="99"/>
    <n v="0"/>
    <d v="2026-07-01T00:00:00"/>
    <d v="2026-07-01T00:00:00"/>
    <m/>
    <d v="2026-07-01T00:00:00"/>
    <n v="99"/>
    <x v="0"/>
    <s v="58"/>
    <e v="#N/A"/>
    <m/>
    <n v="0"/>
    <e v="#N/A"/>
    <e v="#N/A"/>
  </r>
  <r>
    <x v="3"/>
    <x v="3"/>
    <s v="0328"/>
    <x v="0"/>
    <s v="TF trfr plnt to plnt"/>
    <s v="4915104685"/>
    <s v="M003"/>
    <x v="4"/>
    <x v="0"/>
    <s v="09:20:23"/>
    <s v="SUTTISIT02"/>
    <s v="0009"/>
    <s v=""/>
    <s v="0000"/>
    <s v=""/>
    <s v="0000000000"/>
    <s v=""/>
    <s v=""/>
    <s v=""/>
    <s v=""/>
    <s v=""/>
    <s v=""/>
    <s v=""/>
    <s v=""/>
    <m/>
    <x v="1"/>
    <n v="-99"/>
    <n v="0"/>
    <d v="2026-07-01T00:00:00"/>
    <d v="2026-07-01T00:00:00"/>
    <m/>
    <d v="2026-07-01T00:00:00"/>
    <n v="-99"/>
    <x v="0"/>
    <s v="58"/>
    <e v="#N/A"/>
    <m/>
    <n v="0"/>
    <e v="#N/A"/>
    <e v="#N/A"/>
  </r>
  <r>
    <x v="4"/>
    <x v="4"/>
    <s v="0328"/>
    <x v="0"/>
    <s v="TF trfr plnt to plnt"/>
    <s v="4915104685"/>
    <s v="P003"/>
    <x v="5"/>
    <x v="0"/>
    <s v="09:20:23"/>
    <s v="SUTTISIT02"/>
    <s v="0004"/>
    <s v=""/>
    <s v="0000"/>
    <s v=""/>
    <s v="0000000000"/>
    <s v=""/>
    <s v=""/>
    <s v=""/>
    <s v=""/>
    <s v=""/>
    <s v=""/>
    <s v=""/>
    <s v=""/>
    <m/>
    <x v="0"/>
    <n v="3000"/>
    <n v="0"/>
    <d v="2026-07-01T00:00:00"/>
    <d v="2026-07-01T00:00:00"/>
    <m/>
    <d v="2026-07-01T00:00:00"/>
    <n v="3000"/>
    <x v="0"/>
    <s v="58"/>
    <e v="#N/A"/>
    <m/>
    <n v="0"/>
    <e v="#N/A"/>
    <e v="#N/A"/>
  </r>
  <r>
    <x v="4"/>
    <x v="4"/>
    <s v="0328"/>
    <x v="0"/>
    <s v="TF trfr plnt to plnt"/>
    <s v="4915104685"/>
    <s v="M003"/>
    <x v="5"/>
    <x v="0"/>
    <s v="09:20:23"/>
    <s v="SUTTISIT02"/>
    <s v="0003"/>
    <s v=""/>
    <s v="0000"/>
    <s v=""/>
    <s v="0000000000"/>
    <s v=""/>
    <s v=""/>
    <s v=""/>
    <s v=""/>
    <s v=""/>
    <s v=""/>
    <s v=""/>
    <s v=""/>
    <m/>
    <x v="0"/>
    <n v="-3000"/>
    <n v="0"/>
    <d v="2026-07-01T00:00:00"/>
    <d v="2026-07-01T00:00:00"/>
    <m/>
    <d v="2026-07-01T00:00:00"/>
    <n v="-3000"/>
    <x v="0"/>
    <s v="58"/>
    <e v="#N/A"/>
    <m/>
    <n v="0"/>
    <e v="#N/A"/>
    <e v="#N/A"/>
  </r>
  <r>
    <x v="5"/>
    <x v="5"/>
    <s v="0328"/>
    <x v="1"/>
    <s v="GI ค่าวิจัยและพัฒนา"/>
    <s v="4915121463"/>
    <s v="M001"/>
    <x v="6"/>
    <x v="0"/>
    <s v="13:58:43"/>
    <s v="RAPEESAN01"/>
    <s v="0001"/>
    <s v=""/>
    <s v="0000"/>
    <s v=""/>
    <s v="0150823831"/>
    <s v=""/>
    <s v="เพื่อส่งให้ RD'QA 7-11 ตรวจสอบ"/>
    <s v="405053"/>
    <s v="67501001"/>
    <s v=""/>
    <s v=""/>
    <s v=""/>
    <s v=""/>
    <m/>
    <x v="2"/>
    <n v="-6"/>
    <n v="-1016.28"/>
    <d v="2026-07-01T00:00:00"/>
    <d v="2026-07-01T00:00:00"/>
    <m/>
    <d v="2026-07-01T00:00:00"/>
    <n v="-3000"/>
    <x v="0"/>
    <s v="59"/>
    <s v="ค่าวิจัยคุณภาพสินค้า"/>
    <m/>
    <n v="169.38"/>
    <e v="#N/A"/>
    <e v="#N/A"/>
  </r>
  <r>
    <x v="6"/>
    <x v="6"/>
    <s v="0328"/>
    <x v="2"/>
    <s v="GD goods issue:delvy"/>
    <s v="4915131741"/>
    <s v="P004"/>
    <x v="7"/>
    <x v="0"/>
    <s v="14:52:54"/>
    <s v="CHONMPRA"/>
    <s v="0001"/>
    <s v=""/>
    <s v="0000"/>
    <s v=""/>
    <s v="0000000000"/>
    <s v=""/>
    <s v=""/>
    <s v=""/>
    <s v="51003100"/>
    <s v=""/>
    <s v=""/>
    <s v=""/>
    <s v="2000124686"/>
    <m/>
    <x v="2"/>
    <n v="-60"/>
    <n v="-10161.6"/>
    <d v="2026-07-01T00:00:00"/>
    <d v="2026-07-01T00:00:00"/>
    <m/>
    <d v="2026-07-01T00:00:00"/>
    <n v="-30000"/>
    <x v="0"/>
    <s v="59"/>
    <s v="ต้นทุนขาย"/>
    <m/>
    <n v="169.36"/>
    <e v="#N/A"/>
    <e v="#N/A"/>
  </r>
  <r>
    <x v="6"/>
    <x v="6"/>
    <s v="0328"/>
    <x v="2"/>
    <s v="GD goods issue:delvy"/>
    <s v="4915141309"/>
    <s v="P004"/>
    <x v="7"/>
    <x v="0"/>
    <s v="16:08:20"/>
    <s v="CHONMPRA"/>
    <s v="0001"/>
    <s v=""/>
    <s v="0000"/>
    <s v=""/>
    <s v="0000000000"/>
    <s v=""/>
    <s v=""/>
    <s v=""/>
    <s v="51003100"/>
    <s v=""/>
    <s v=""/>
    <s v=""/>
    <s v="2000124688"/>
    <m/>
    <x v="2"/>
    <n v="-60"/>
    <n v="-10161.6"/>
    <d v="2026-07-01T00:00:00"/>
    <d v="2026-07-01T00:00:00"/>
    <m/>
    <d v="2026-07-01T00:00:00"/>
    <n v="-30000"/>
    <x v="0"/>
    <s v="59"/>
    <s v="ต้นทุนขาย"/>
    <m/>
    <n v="169.36"/>
    <e v="#N/A"/>
    <e v="#N/A"/>
  </r>
  <r>
    <x v="7"/>
    <x v="7"/>
    <s v="0328"/>
    <x v="3"/>
    <s v="TF trfr within plant"/>
    <s v="4915143133"/>
    <s v="M002"/>
    <x v="8"/>
    <x v="0"/>
    <s v="16:54:39"/>
    <s v="PRONDTAN"/>
    <s v="0001"/>
    <s v=""/>
    <s v="0000"/>
    <s v=""/>
    <s v="0000000000"/>
    <s v=""/>
    <s v=""/>
    <s v=""/>
    <s v=""/>
    <s v=""/>
    <s v=""/>
    <s v=""/>
    <s v=""/>
    <m/>
    <x v="3"/>
    <n v="-6988"/>
    <n v="0"/>
    <d v="2026-07-01T00:00:00"/>
    <d v="2026-07-01T00:00:00"/>
    <m/>
    <d v="2026-07-01T00:00:00"/>
    <n v="-6988000"/>
    <x v="0"/>
    <s v="54"/>
    <e v="#N/A"/>
    <m/>
    <n v="0"/>
    <e v="#N/A"/>
    <e v="#N/A"/>
  </r>
  <r>
    <x v="7"/>
    <x v="7"/>
    <s v="0328"/>
    <x v="3"/>
    <s v="TF trfr within plant"/>
    <s v="4915143133"/>
    <s v="P001"/>
    <x v="8"/>
    <x v="0"/>
    <s v="16:54:39"/>
    <s v="PRONDTAN"/>
    <s v="0002"/>
    <s v=""/>
    <s v="0000"/>
    <s v=""/>
    <s v="0000000000"/>
    <s v=""/>
    <s v=""/>
    <s v=""/>
    <s v=""/>
    <s v=""/>
    <s v=""/>
    <s v=""/>
    <s v=""/>
    <m/>
    <x v="3"/>
    <n v="6988"/>
    <n v="0"/>
    <d v="2026-07-01T00:00:00"/>
    <d v="2026-07-01T00:00:00"/>
    <m/>
    <d v="2026-07-01T00:00:00"/>
    <n v="6988000"/>
    <x v="0"/>
    <s v="54"/>
    <e v="#N/A"/>
    <m/>
    <n v="0"/>
    <e v="#N/A"/>
    <e v="#N/A"/>
  </r>
  <r>
    <x v="5"/>
    <x v="5"/>
    <s v="0328"/>
    <x v="2"/>
    <s v="GD goods issue:delvy"/>
    <s v="4915148334"/>
    <s v="M001"/>
    <x v="6"/>
    <x v="0"/>
    <s v="18:34:46"/>
    <s v="RAPEESAN01"/>
    <s v="0001"/>
    <s v=""/>
    <s v="0000"/>
    <s v=""/>
    <s v="0000000000"/>
    <s v=""/>
    <s v=""/>
    <s v=""/>
    <s v="51003100"/>
    <s v=""/>
    <s v=""/>
    <s v=""/>
    <s v="2000124696"/>
    <m/>
    <x v="4"/>
    <n v="-1920"/>
    <n v="-1951257.6000000001"/>
    <d v="2026-07-01T00:00:00"/>
    <d v="2026-07-01T00:00:00"/>
    <m/>
    <d v="2026-07-01T00:00:00"/>
    <n v="-5760000"/>
    <x v="0"/>
    <s v="59"/>
    <s v="ต้นทุนขาย"/>
    <m/>
    <n v="1016.2800000000001"/>
    <e v="#N/A"/>
    <e v="#N/A"/>
  </r>
  <r>
    <x v="5"/>
    <x v="5"/>
    <s v="0328"/>
    <x v="2"/>
    <s v="GD goods issue:delvy"/>
    <s v="4915148461"/>
    <s v="M001"/>
    <x v="9"/>
    <x v="0"/>
    <s v="18:36:44"/>
    <s v="RAPEESAN01"/>
    <s v="0002"/>
    <s v=""/>
    <s v="0000"/>
    <s v=""/>
    <s v="0000000000"/>
    <s v=""/>
    <s v=""/>
    <s v=""/>
    <s v="51003100"/>
    <s v=""/>
    <s v=""/>
    <s v=""/>
    <s v="2000124697"/>
    <m/>
    <x v="4"/>
    <n v="-149"/>
    <n v="-151425.72"/>
    <d v="2026-07-01T00:00:00"/>
    <d v="2026-07-01T00:00:00"/>
    <m/>
    <d v="2026-07-01T00:00:00"/>
    <n v="-447000"/>
    <x v="0"/>
    <s v="59"/>
    <s v="ต้นทุนขาย"/>
    <m/>
    <n v="1016.28"/>
    <e v="#N/A"/>
    <e v="#N/A"/>
  </r>
  <r>
    <x v="5"/>
    <x v="5"/>
    <s v="0328"/>
    <x v="2"/>
    <s v="GD goods issue:delvy"/>
    <s v="4915148461"/>
    <s v="M001"/>
    <x v="6"/>
    <x v="0"/>
    <s v="18:36:44"/>
    <s v="RAPEESAN01"/>
    <s v="0001"/>
    <s v=""/>
    <s v="0000"/>
    <s v=""/>
    <s v="0000000000"/>
    <s v=""/>
    <s v=""/>
    <s v=""/>
    <s v="51003100"/>
    <s v=""/>
    <s v=""/>
    <s v=""/>
    <s v="2000124697"/>
    <m/>
    <x v="4"/>
    <n v="-811"/>
    <n v="-824203.08"/>
    <d v="2026-07-01T00:00:00"/>
    <d v="2026-07-01T00:00:00"/>
    <m/>
    <d v="2026-07-01T00:00:00"/>
    <n v="-2433000"/>
    <x v="0"/>
    <s v="59"/>
    <s v="ต้นทุนขาย"/>
    <m/>
    <n v="1016.28"/>
    <e v="#N/A"/>
    <e v="#N/A"/>
  </r>
  <r>
    <x v="5"/>
    <x v="5"/>
    <s v="0328"/>
    <x v="1"/>
    <s v="GI ค่าวิจัยและพัฒนา"/>
    <s v="4915148620"/>
    <s v="M001"/>
    <x v="6"/>
    <x v="0"/>
    <s v="18:41:37"/>
    <s v="RAPEESAN01"/>
    <s v="0001"/>
    <s v=""/>
    <s v="0000"/>
    <s v=""/>
    <s v="0150838045"/>
    <s v=""/>
    <s v="Routine 01.07.26.1 A010R002"/>
    <s v="405053"/>
    <s v="67501001"/>
    <s v=""/>
    <s v=""/>
    <s v=""/>
    <s v=""/>
    <m/>
    <x v="2"/>
    <n v="-2"/>
    <n v="-338.76"/>
    <d v="2026-07-01T00:00:00"/>
    <d v="2026-07-01T00:00:00"/>
    <m/>
    <d v="2026-07-01T00:00:00"/>
    <n v="-1000"/>
    <x v="0"/>
    <s v="59"/>
    <s v="ค่าวิจัยคุณภาพสินค้า"/>
    <m/>
    <n v="169.38"/>
    <e v="#N/A"/>
    <e v="#N/A"/>
  </r>
  <r>
    <x v="5"/>
    <x v="5"/>
    <s v="0328"/>
    <x v="1"/>
    <s v="GI ค่าวิจัยและพัฒนา"/>
    <s v="4915148620"/>
    <s v="M001"/>
    <x v="6"/>
    <x v="0"/>
    <s v="18:41:37"/>
    <s v="RAPEESAN01"/>
    <s v="0002"/>
    <s v=""/>
    <s v="0000"/>
    <s v=""/>
    <s v="0150838045"/>
    <s v=""/>
    <s v="Retain 01.07.26.1 A010R002"/>
    <s v="405053"/>
    <s v="67501001"/>
    <s v=""/>
    <s v=""/>
    <s v=""/>
    <s v=""/>
    <m/>
    <x v="2"/>
    <n v="-2"/>
    <n v="-338.76"/>
    <d v="2026-07-01T00:00:00"/>
    <d v="2026-07-01T00:00:00"/>
    <m/>
    <d v="2026-07-01T00:00:00"/>
    <n v="-1000"/>
    <x v="0"/>
    <s v="59"/>
    <s v="ค่าวิจัยคุณภาพสินค้า"/>
    <m/>
    <n v="169.38"/>
    <e v="#N/A"/>
    <e v="#N/A"/>
  </r>
  <r>
    <x v="8"/>
    <x v="8"/>
    <s v="0328"/>
    <x v="1"/>
    <s v="GI ค่าวิจัยและพัฒนา"/>
    <s v="4915148882"/>
    <s v="M001"/>
    <x v="10"/>
    <x v="0"/>
    <s v="18:47:28"/>
    <s v="RAPEESAN01"/>
    <s v="0002"/>
    <s v=""/>
    <s v="0000"/>
    <s v=""/>
    <s v="0150837958"/>
    <s v=""/>
    <s v="RD ทดสอบ Grade B"/>
    <s v="405053"/>
    <s v="67501001"/>
    <s v=""/>
    <s v=""/>
    <s v=""/>
    <s v=""/>
    <m/>
    <x v="2"/>
    <n v="-4"/>
    <n v="-677.44"/>
    <d v="2026-07-01T00:00:00"/>
    <d v="2026-07-01T00:00:00"/>
    <m/>
    <d v="2026-07-01T00:00:00"/>
    <n v="-2000"/>
    <x v="0"/>
    <s v="59"/>
    <s v="ค่าวิจัยคุณภาพสินค้า"/>
    <m/>
    <n v="169.36"/>
    <e v="#N/A"/>
    <e v="#N/A"/>
  </r>
  <r>
    <x v="8"/>
    <x v="8"/>
    <s v="0328"/>
    <x v="1"/>
    <s v="GI ค่าวิจัยและพัฒนา"/>
    <s v="4915148882"/>
    <s v="M001"/>
    <x v="11"/>
    <x v="0"/>
    <s v="18:47:28"/>
    <s v="RAPEESAN01"/>
    <s v="0001"/>
    <s v=""/>
    <s v="0000"/>
    <s v=""/>
    <s v="0150837958"/>
    <s v=""/>
    <s v="RD ทดสอบ Grade B"/>
    <s v="405053"/>
    <s v="67501001"/>
    <s v=""/>
    <s v=""/>
    <s v=""/>
    <s v=""/>
    <m/>
    <x v="2"/>
    <n v="-5"/>
    <n v="-846.8"/>
    <d v="2026-07-01T00:00:00"/>
    <d v="2026-07-01T00:00:00"/>
    <m/>
    <d v="2026-07-01T00:00:00"/>
    <n v="-2500"/>
    <x v="0"/>
    <s v="59"/>
    <s v="ค่าวิจัยคุณภาพสินค้า"/>
    <m/>
    <n v="169.35999999999999"/>
    <e v="#N/A"/>
    <e v="#N/A"/>
  </r>
  <r>
    <x v="6"/>
    <x v="6"/>
    <s v="0328"/>
    <x v="2"/>
    <s v="GD goods issue:delvy"/>
    <s v="4915200389"/>
    <s v="P004"/>
    <x v="7"/>
    <x v="0"/>
    <s v="07:51:15"/>
    <s v="SONGPCHI"/>
    <s v="0001"/>
    <s v=""/>
    <s v="0000"/>
    <s v=""/>
    <s v="0000000000"/>
    <s v=""/>
    <s v=""/>
    <s v=""/>
    <s v="51003100"/>
    <s v=""/>
    <s v=""/>
    <s v=""/>
    <s v="2000124709"/>
    <m/>
    <x v="5"/>
    <n v="-2"/>
    <n v="-0.68"/>
    <d v="2026-07-02T00:00:00"/>
    <d v="2026-07-02T00:00:00"/>
    <m/>
    <d v="2026-07-02T00:00:00"/>
    <n v="-2"/>
    <x v="0"/>
    <s v="59"/>
    <s v="ต้นทุนขาย"/>
    <s v="CN"/>
    <n v="0.34"/>
    <e v="#N/A"/>
    <e v="#N/A"/>
  </r>
  <r>
    <x v="6"/>
    <x v="6"/>
    <s v="0328"/>
    <x v="2"/>
    <s v="GD goods issue:delvy"/>
    <s v="4915200524"/>
    <s v="P004"/>
    <x v="7"/>
    <x v="0"/>
    <s v="07:52:00"/>
    <s v="SONGPCHI"/>
    <s v="0001"/>
    <s v=""/>
    <s v="0000"/>
    <s v=""/>
    <s v="0000000000"/>
    <s v=""/>
    <s v=""/>
    <s v=""/>
    <s v="51003100"/>
    <s v=""/>
    <s v=""/>
    <s v=""/>
    <s v="2000124710"/>
    <m/>
    <x v="2"/>
    <n v="-1"/>
    <n v="-169.36"/>
    <d v="2026-07-02T00:00:00"/>
    <d v="2026-07-02T00:00:00"/>
    <m/>
    <d v="2026-07-02T00:00:00"/>
    <n v="-500"/>
    <x v="0"/>
    <s v="59"/>
    <s v="ต้นทุนขาย"/>
    <m/>
    <n v="169.36"/>
    <e v="#N/A"/>
    <e v="#N/A"/>
  </r>
  <r>
    <x v="6"/>
    <x v="6"/>
    <s v="0328"/>
    <x v="2"/>
    <s v="GD goods issue:delvy"/>
    <s v="4915200528"/>
    <s v="P004"/>
    <x v="7"/>
    <x v="0"/>
    <s v="07:52:46"/>
    <s v="SONGPCHI"/>
    <s v="0001"/>
    <s v=""/>
    <s v="0000"/>
    <s v=""/>
    <s v="0000000000"/>
    <s v=""/>
    <s v=""/>
    <s v=""/>
    <s v="51003100"/>
    <s v=""/>
    <s v=""/>
    <s v=""/>
    <s v="2000124711"/>
    <m/>
    <x v="2"/>
    <n v="-1"/>
    <n v="-169.36"/>
    <d v="2026-07-02T00:00:00"/>
    <d v="2026-07-02T00:00:00"/>
    <m/>
    <d v="2026-07-02T00:00:00"/>
    <n v="-500"/>
    <x v="0"/>
    <s v="59"/>
    <s v="ต้นทุนขาย"/>
    <m/>
    <n v="169.36"/>
    <e v="#N/A"/>
    <e v="#N/A"/>
  </r>
  <r>
    <x v="6"/>
    <x v="6"/>
    <s v="0328"/>
    <x v="2"/>
    <s v="GD goods issue:delvy"/>
    <s v="4915200553"/>
    <s v="P004"/>
    <x v="7"/>
    <x v="0"/>
    <s v="07:54:00"/>
    <s v="SONGPCHI"/>
    <s v="0001"/>
    <s v=""/>
    <s v="0000"/>
    <s v=""/>
    <s v="0000000000"/>
    <s v=""/>
    <s v=""/>
    <s v=""/>
    <s v="51003100"/>
    <s v=""/>
    <s v=""/>
    <s v=""/>
    <s v="2000124712"/>
    <m/>
    <x v="2"/>
    <n v="-2"/>
    <n v="-338.72"/>
    <d v="2026-07-02T00:00:00"/>
    <d v="2026-07-02T00:00:00"/>
    <m/>
    <d v="2026-07-02T00:00:00"/>
    <n v="-1000"/>
    <x v="0"/>
    <s v="59"/>
    <s v="ต้นทุนขาย"/>
    <m/>
    <n v="169.36"/>
    <e v="#N/A"/>
    <e v="#N/A"/>
  </r>
  <r>
    <x v="6"/>
    <x v="6"/>
    <s v="0328"/>
    <x v="2"/>
    <s v="GD goods issue:delvy"/>
    <s v="4915203368"/>
    <s v="P004"/>
    <x v="7"/>
    <x v="0"/>
    <s v="09:24:07"/>
    <s v="CHONMPRA"/>
    <s v="0001"/>
    <s v=""/>
    <s v="0000"/>
    <s v=""/>
    <s v="0000000000"/>
    <s v=""/>
    <s v=""/>
    <s v=""/>
    <s v="51003100"/>
    <s v=""/>
    <s v=""/>
    <s v=""/>
    <s v="2000124725"/>
    <m/>
    <x v="2"/>
    <n v="-20"/>
    <n v="-3387.2"/>
    <d v="2026-07-02T00:00:00"/>
    <d v="2026-07-02T00:00:00"/>
    <m/>
    <d v="2026-07-02T00:00:00"/>
    <n v="-10000"/>
    <x v="0"/>
    <s v="59"/>
    <s v="ต้นทุนขาย"/>
    <m/>
    <n v="169.35999999999999"/>
    <e v="#N/A"/>
    <e v="#N/A"/>
  </r>
  <r>
    <x v="6"/>
    <x v="6"/>
    <s v="0328"/>
    <x v="4"/>
    <s v="GI for order"/>
    <s v="4915205378"/>
    <s v="M001"/>
    <x v="10"/>
    <x v="1"/>
    <s v="10:16:45"/>
    <s v="JURASDOK"/>
    <s v="0002"/>
    <s v=""/>
    <s v="0000"/>
    <s v=""/>
    <s v="0000000000"/>
    <s v=""/>
    <s v="เมล็ดกาแฟ CPR Coffee Bean  MF. 500 G."/>
    <s v=""/>
    <s v="53001000"/>
    <s v=""/>
    <s v=""/>
    <s v=""/>
    <s v=""/>
    <m/>
    <x v="2"/>
    <n v="-9"/>
    <n v="-1524.24"/>
    <d v="2026-07-02T00:00:00"/>
    <d v="2026-07-01T00:00:00"/>
    <m/>
    <d v="2026-07-02T00:00:00"/>
    <n v="-4500"/>
    <x v="1"/>
    <s v="59"/>
    <s v="ต้นทุนผลิต-สินค้าสำเร็จรูป"/>
    <m/>
    <n v="169.36"/>
    <e v="#N/A"/>
    <e v="#N/A"/>
  </r>
  <r>
    <x v="8"/>
    <x v="8"/>
    <s v="0328"/>
    <x v="5"/>
    <s v="GR for order"/>
    <s v="4915205378"/>
    <s v="M001"/>
    <x v="10"/>
    <x v="1"/>
    <s v="10:16:45"/>
    <s v="JURASDOK"/>
    <s v="0001"/>
    <s v=""/>
    <s v="0000"/>
    <s v=""/>
    <s v="0000000000"/>
    <s v=""/>
    <s v=""/>
    <s v=""/>
    <s v="53001001"/>
    <s v=""/>
    <s v=""/>
    <s v=""/>
    <s v=""/>
    <m/>
    <x v="2"/>
    <n v="9"/>
    <n v="1524.24"/>
    <d v="2026-07-02T00:00:00"/>
    <d v="2026-07-01T00:00:00"/>
    <m/>
    <d v="2026-07-02T00:00:00"/>
    <n v="4500"/>
    <x v="1"/>
    <s v="59"/>
    <s v="ต้นทุนผลิตโอน F/G"/>
    <m/>
    <n v="169.36"/>
    <e v="#N/A"/>
    <e v="#N/A"/>
  </r>
  <r>
    <x v="8"/>
    <x v="8"/>
    <s v="0328"/>
    <x v="0"/>
    <s v="TF trfr plnt to plnt"/>
    <s v="4915205380"/>
    <s v="M001"/>
    <x v="10"/>
    <x v="0"/>
    <s v="10:17:27"/>
    <s v="JURASDOK"/>
    <s v="0001"/>
    <s v=""/>
    <s v="0000"/>
    <s v=""/>
    <s v="0150733255"/>
    <s v=""/>
    <s v=""/>
    <s v=""/>
    <s v=""/>
    <s v=""/>
    <s v=""/>
    <s v=""/>
    <s v=""/>
    <m/>
    <x v="2"/>
    <n v="-900"/>
    <n v="-152424"/>
    <d v="2026-07-02T00:00:00"/>
    <d v="2026-07-02T00:00:00"/>
    <m/>
    <d v="2026-07-02T00:00:00"/>
    <n v="-450000"/>
    <x v="0"/>
    <s v="59"/>
    <e v="#N/A"/>
    <m/>
    <n v="169.36"/>
    <e v="#N/A"/>
    <e v="#N/A"/>
  </r>
  <r>
    <x v="9"/>
    <x v="9"/>
    <s v="0328"/>
    <x v="5"/>
    <s v="GR for order"/>
    <s v="4915205759"/>
    <s v="M001"/>
    <x v="12"/>
    <x v="2"/>
    <s v="10:26:29"/>
    <s v="JURASDOK"/>
    <s v="0001"/>
    <s v=""/>
    <s v="0000"/>
    <s v=""/>
    <s v="0000000000"/>
    <s v=""/>
    <s v=""/>
    <s v=""/>
    <s v="53001001"/>
    <s v=""/>
    <s v=""/>
    <s v=""/>
    <s v=""/>
    <m/>
    <x v="2"/>
    <n v="1520"/>
    <n v="217466.4"/>
    <d v="2026-07-02T00:00:00"/>
    <d v="2026-07-01T00:00:00"/>
    <m/>
    <d v="2026-07-02T00:00:00"/>
    <n v="760000"/>
    <x v="2"/>
    <s v="59"/>
    <s v="ต้นทุนผลิตโอน F/G"/>
    <m/>
    <n v="143.07"/>
    <e v="#N/A"/>
    <e v="#N/A"/>
  </r>
  <r>
    <x v="10"/>
    <x v="10"/>
    <s v="0328"/>
    <x v="2"/>
    <s v="GD goods issue:delvy"/>
    <s v="4915207160"/>
    <s v="P004"/>
    <x v="13"/>
    <x v="0"/>
    <s v="11:03:17"/>
    <s v="THANAWIS"/>
    <s v="0001"/>
    <s v=""/>
    <s v="0000"/>
    <s v=""/>
    <s v="0000000000"/>
    <s v=""/>
    <s v=""/>
    <s v=""/>
    <s v="51003100"/>
    <s v=""/>
    <s v=""/>
    <s v=""/>
    <s v="2000124731"/>
    <m/>
    <x v="2"/>
    <n v="-20"/>
    <n v="-3509.4"/>
    <d v="2026-07-02T00:00:00"/>
    <d v="2026-07-02T00:00:00"/>
    <m/>
    <d v="2026-07-02T00:00:00"/>
    <n v="-10000"/>
    <x v="0"/>
    <s v="59"/>
    <s v="ต้นทุนขาย"/>
    <m/>
    <n v="175.47"/>
    <e v="#N/A"/>
    <e v="#N/A"/>
  </r>
  <r>
    <x v="10"/>
    <x v="10"/>
    <s v="0328"/>
    <x v="2"/>
    <s v="GD goods issue:delvy"/>
    <s v="4915214155"/>
    <s v="P004"/>
    <x v="13"/>
    <x v="0"/>
    <s v="12:59:36"/>
    <s v="THANAWIS"/>
    <s v="0001"/>
    <s v=""/>
    <s v="0000"/>
    <s v=""/>
    <s v="0000000000"/>
    <s v=""/>
    <s v=""/>
    <s v=""/>
    <s v="51003100"/>
    <s v=""/>
    <s v=""/>
    <s v=""/>
    <s v="2000124768"/>
    <m/>
    <x v="2"/>
    <n v="-2"/>
    <n v="-350.94"/>
    <d v="2026-07-02T00:00:00"/>
    <d v="2026-07-02T00:00:00"/>
    <m/>
    <d v="2026-07-02T00:00:00"/>
    <n v="-1000"/>
    <x v="0"/>
    <s v="59"/>
    <s v="ต้นทุนขาย"/>
    <m/>
    <n v="175.47"/>
    <e v="#N/A"/>
    <e v="#N/A"/>
  </r>
  <r>
    <x v="6"/>
    <x v="6"/>
    <s v="0328"/>
    <x v="2"/>
    <s v="GD goods issue:delvy"/>
    <s v="4915223591"/>
    <s v="P004"/>
    <x v="7"/>
    <x v="0"/>
    <s v="14:13:16"/>
    <s v="SONGPCHI"/>
    <s v="0001"/>
    <s v=""/>
    <s v="0000"/>
    <s v=""/>
    <s v="0000000000"/>
    <s v=""/>
    <s v=""/>
    <s v=""/>
    <s v="51003100"/>
    <s v=""/>
    <s v=""/>
    <s v=""/>
    <s v="2000124780"/>
    <m/>
    <x v="2"/>
    <n v="-2"/>
    <n v="-338.72"/>
    <d v="2026-07-02T00:00:00"/>
    <d v="2026-07-02T00:00:00"/>
    <m/>
    <d v="2026-07-02T00:00:00"/>
    <n v="-1000"/>
    <x v="0"/>
    <s v="59"/>
    <s v="ต้นทุนขาย"/>
    <m/>
    <n v="169.36"/>
    <e v="#N/A"/>
    <e v="#N/A"/>
  </r>
  <r>
    <x v="6"/>
    <x v="6"/>
    <s v="0328"/>
    <x v="2"/>
    <s v="GD goods issue:delvy"/>
    <s v="4915223597"/>
    <s v="P004"/>
    <x v="7"/>
    <x v="0"/>
    <s v="14:16:31"/>
    <s v="SONGPCHI"/>
    <s v="0001"/>
    <s v=""/>
    <s v="0000"/>
    <s v=""/>
    <s v="0000000000"/>
    <s v=""/>
    <s v=""/>
    <s v=""/>
    <s v="51003100"/>
    <s v=""/>
    <s v=""/>
    <s v=""/>
    <s v="2000124781"/>
    <m/>
    <x v="2"/>
    <n v="-2"/>
    <n v="-338.72"/>
    <d v="2026-07-02T00:00:00"/>
    <d v="2026-07-02T00:00:00"/>
    <m/>
    <d v="2026-07-02T00:00:00"/>
    <n v="-1000"/>
    <x v="0"/>
    <s v="59"/>
    <s v="ต้นทุนขาย"/>
    <m/>
    <n v="169.36"/>
    <e v="#N/A"/>
    <e v="#N/A"/>
  </r>
  <r>
    <x v="6"/>
    <x v="6"/>
    <s v="0328"/>
    <x v="2"/>
    <s v="GD goods issue:delvy"/>
    <s v="4915224194"/>
    <s v="P004"/>
    <x v="7"/>
    <x v="0"/>
    <s v="14:17:50"/>
    <s v="SONGPCHI"/>
    <s v="0001"/>
    <s v=""/>
    <s v="0000"/>
    <s v=""/>
    <s v="0000000000"/>
    <s v=""/>
    <s v=""/>
    <s v=""/>
    <s v="51003100"/>
    <s v=""/>
    <s v=""/>
    <s v=""/>
    <s v="2000124782"/>
    <m/>
    <x v="2"/>
    <n v="-2"/>
    <n v="-338.72"/>
    <d v="2026-07-02T00:00:00"/>
    <d v="2026-07-02T00:00:00"/>
    <m/>
    <d v="2026-07-02T00:00:00"/>
    <n v="-1000"/>
    <x v="0"/>
    <s v="59"/>
    <s v="ต้นทุนขาย"/>
    <m/>
    <n v="169.36"/>
    <e v="#N/A"/>
    <e v="#N/A"/>
  </r>
  <r>
    <x v="6"/>
    <x v="6"/>
    <s v="0328"/>
    <x v="2"/>
    <s v="GD goods issue:delvy"/>
    <s v="4915224564"/>
    <s v="P004"/>
    <x v="7"/>
    <x v="0"/>
    <s v="14:19:31"/>
    <s v="SONGPCHI"/>
    <s v="0001"/>
    <s v=""/>
    <s v="0000"/>
    <s v=""/>
    <s v="0000000000"/>
    <s v=""/>
    <s v=""/>
    <s v=""/>
    <s v="51003100"/>
    <s v=""/>
    <s v=""/>
    <s v=""/>
    <s v="2000124783"/>
    <m/>
    <x v="2"/>
    <n v="-8"/>
    <n v="-1354.88"/>
    <d v="2026-07-02T00:00:00"/>
    <d v="2026-07-02T00:00:00"/>
    <m/>
    <d v="2026-07-02T00:00:00"/>
    <n v="-4000"/>
    <x v="0"/>
    <s v="59"/>
    <s v="ต้นทุนขาย"/>
    <m/>
    <n v="169.36"/>
    <e v="#N/A"/>
    <e v="#N/A"/>
  </r>
  <r>
    <x v="11"/>
    <x v="11"/>
    <s v="0328"/>
    <x v="3"/>
    <s v="TF trfr within plant"/>
    <s v="4915226238"/>
    <s v="M003"/>
    <x v="14"/>
    <x v="0"/>
    <s v="14:28:56"/>
    <s v="PRONDTAN"/>
    <s v="0007"/>
    <s v=""/>
    <s v="0000"/>
    <s v=""/>
    <s v="0000000000"/>
    <s v=""/>
    <s v=""/>
    <s v=""/>
    <s v=""/>
    <s v=""/>
    <s v=""/>
    <s v=""/>
    <s v=""/>
    <m/>
    <x v="0"/>
    <n v="-20000"/>
    <n v="0"/>
    <d v="2026-07-02T00:00:00"/>
    <d v="2026-07-02T00:00:00"/>
    <m/>
    <d v="2026-07-02T00:00:00"/>
    <n v="-20000"/>
    <x v="0"/>
    <s v="58"/>
    <e v="#N/A"/>
    <m/>
    <n v="0"/>
    <e v="#N/A"/>
    <e v="#N/A"/>
  </r>
  <r>
    <x v="11"/>
    <x v="11"/>
    <s v="0328"/>
    <x v="3"/>
    <s v="TF trfr within plant"/>
    <s v="4915226238"/>
    <s v="P003"/>
    <x v="14"/>
    <x v="0"/>
    <s v="14:28:56"/>
    <s v="PRONDTAN"/>
    <s v="0008"/>
    <s v=""/>
    <s v="0000"/>
    <s v=""/>
    <s v="0000000000"/>
    <s v=""/>
    <s v=""/>
    <s v=""/>
    <s v=""/>
    <s v=""/>
    <s v=""/>
    <s v=""/>
    <s v=""/>
    <m/>
    <x v="0"/>
    <n v="20000"/>
    <n v="0"/>
    <d v="2026-07-02T00:00:00"/>
    <d v="2026-07-02T00:00:00"/>
    <m/>
    <d v="2026-07-02T00:00:00"/>
    <n v="20000"/>
    <x v="0"/>
    <s v="58"/>
    <e v="#N/A"/>
    <m/>
    <n v="0"/>
    <e v="#N/A"/>
    <e v="#N/A"/>
  </r>
  <r>
    <x v="12"/>
    <x v="12"/>
    <s v="0328"/>
    <x v="3"/>
    <s v="TF trfr within plant"/>
    <s v="4915226238"/>
    <s v="P003"/>
    <x v="15"/>
    <x v="0"/>
    <s v="14:28:56"/>
    <s v="PRONDTAN"/>
    <s v="0006"/>
    <s v=""/>
    <s v="0000"/>
    <s v=""/>
    <s v="0000000000"/>
    <s v=""/>
    <s v=""/>
    <s v=""/>
    <s v=""/>
    <s v=""/>
    <s v=""/>
    <s v=""/>
    <s v=""/>
    <m/>
    <x v="0"/>
    <n v="24000"/>
    <n v="0"/>
    <d v="2026-07-02T00:00:00"/>
    <d v="2026-07-02T00:00:00"/>
    <m/>
    <d v="2026-07-02T00:00:00"/>
    <n v="24000"/>
    <x v="0"/>
    <s v="58"/>
    <e v="#N/A"/>
    <m/>
    <n v="0"/>
    <e v="#N/A"/>
    <e v="#N/A"/>
  </r>
  <r>
    <x v="12"/>
    <x v="12"/>
    <s v="0328"/>
    <x v="3"/>
    <s v="TF trfr within plant"/>
    <s v="4915226238"/>
    <s v="M003"/>
    <x v="15"/>
    <x v="0"/>
    <s v="14:28:56"/>
    <s v="PRONDTAN"/>
    <s v="0005"/>
    <s v=""/>
    <s v="0000"/>
    <s v=""/>
    <s v="0000000000"/>
    <s v=""/>
    <s v=""/>
    <s v=""/>
    <s v=""/>
    <s v=""/>
    <s v=""/>
    <s v=""/>
    <s v=""/>
    <m/>
    <x v="0"/>
    <n v="-24000"/>
    <n v="0"/>
    <d v="2026-07-02T00:00:00"/>
    <d v="2026-07-02T00:00:00"/>
    <m/>
    <d v="2026-07-02T00:00:00"/>
    <n v="-24000"/>
    <x v="0"/>
    <s v="58"/>
    <e v="#N/A"/>
    <m/>
    <n v="0"/>
    <e v="#N/A"/>
    <e v="#N/A"/>
  </r>
  <r>
    <x v="13"/>
    <x v="13"/>
    <s v="0328"/>
    <x v="3"/>
    <s v="TF trfr within plant"/>
    <s v="4915226238"/>
    <s v="M003"/>
    <x v="16"/>
    <x v="0"/>
    <s v="14:28:56"/>
    <s v="PRONDTAN"/>
    <s v="0001"/>
    <s v=""/>
    <s v="0000"/>
    <s v=""/>
    <s v="0000000000"/>
    <s v=""/>
    <s v=""/>
    <s v=""/>
    <s v=""/>
    <s v=""/>
    <s v=""/>
    <s v=""/>
    <s v=""/>
    <m/>
    <x v="0"/>
    <n v="-2900"/>
    <n v="0"/>
    <d v="2026-07-02T00:00:00"/>
    <d v="2026-07-02T00:00:00"/>
    <m/>
    <d v="2026-07-02T00:00:00"/>
    <n v="-2900"/>
    <x v="0"/>
    <s v="58"/>
    <e v="#N/A"/>
    <m/>
    <n v="0"/>
    <e v="#N/A"/>
    <e v="#N/A"/>
  </r>
  <r>
    <x v="13"/>
    <x v="13"/>
    <s v="0328"/>
    <x v="3"/>
    <s v="TF trfr within plant"/>
    <s v="4915226238"/>
    <s v="P003"/>
    <x v="16"/>
    <x v="0"/>
    <s v="14:28:56"/>
    <s v="PRONDTAN"/>
    <s v="0002"/>
    <s v=""/>
    <s v="0000"/>
    <s v=""/>
    <s v="0000000000"/>
    <s v=""/>
    <s v=""/>
    <s v=""/>
    <s v=""/>
    <s v=""/>
    <s v=""/>
    <s v=""/>
    <s v=""/>
    <m/>
    <x v="0"/>
    <n v="2900"/>
    <n v="0"/>
    <d v="2026-07-02T00:00:00"/>
    <d v="2026-07-02T00:00:00"/>
    <m/>
    <d v="2026-07-02T00:00:00"/>
    <n v="2900"/>
    <x v="0"/>
    <s v="58"/>
    <e v="#N/A"/>
    <m/>
    <n v="0"/>
    <e v="#N/A"/>
    <e v="#N/A"/>
  </r>
  <r>
    <x v="13"/>
    <x v="13"/>
    <s v="0328"/>
    <x v="3"/>
    <s v="TF trfr within plant"/>
    <s v="4915226238"/>
    <s v="M003"/>
    <x v="1"/>
    <x v="0"/>
    <s v="14:28:56"/>
    <s v="PRONDTAN"/>
    <s v="0003"/>
    <s v=""/>
    <s v="0000"/>
    <s v=""/>
    <s v="0000000000"/>
    <s v=""/>
    <s v=""/>
    <s v=""/>
    <s v=""/>
    <s v=""/>
    <s v=""/>
    <s v=""/>
    <s v=""/>
    <m/>
    <x v="0"/>
    <n v="-1100"/>
    <n v="0"/>
    <d v="2026-07-02T00:00:00"/>
    <d v="2026-07-02T00:00:00"/>
    <m/>
    <d v="2026-07-02T00:00:00"/>
    <n v="-1100"/>
    <x v="0"/>
    <s v="58"/>
    <e v="#N/A"/>
    <m/>
    <n v="0"/>
    <e v="#N/A"/>
    <e v="#N/A"/>
  </r>
  <r>
    <x v="13"/>
    <x v="13"/>
    <s v="0328"/>
    <x v="3"/>
    <s v="TF trfr within plant"/>
    <s v="4915226238"/>
    <s v="P003"/>
    <x v="1"/>
    <x v="0"/>
    <s v="14:28:56"/>
    <s v="PRONDTAN"/>
    <s v="0004"/>
    <s v=""/>
    <s v="0000"/>
    <s v=""/>
    <s v="0000000000"/>
    <s v=""/>
    <s v=""/>
    <s v=""/>
    <s v=""/>
    <s v=""/>
    <s v=""/>
    <s v=""/>
    <s v=""/>
    <m/>
    <x v="0"/>
    <n v="1100"/>
    <n v="0"/>
    <d v="2026-07-02T00:00:00"/>
    <d v="2026-07-02T00:00:00"/>
    <m/>
    <d v="2026-07-02T00:00:00"/>
    <n v="1100"/>
    <x v="0"/>
    <s v="58"/>
    <e v="#N/A"/>
    <m/>
    <n v="0"/>
    <e v="#N/A"/>
    <e v="#N/A"/>
  </r>
  <r>
    <x v="3"/>
    <x v="3"/>
    <s v="0328"/>
    <x v="3"/>
    <s v="TF trfr within plant"/>
    <s v="4915227084"/>
    <s v="P003"/>
    <x v="4"/>
    <x v="0"/>
    <s v="14:32:39"/>
    <s v="PRONDTAN"/>
    <s v="0002"/>
    <s v=""/>
    <s v="0000"/>
    <s v=""/>
    <s v="0000000000"/>
    <s v=""/>
    <s v=""/>
    <s v=""/>
    <s v=""/>
    <s v=""/>
    <s v=""/>
    <s v=""/>
    <s v=""/>
    <m/>
    <x v="1"/>
    <n v="24"/>
    <n v="0"/>
    <d v="2026-07-02T00:00:00"/>
    <d v="2026-07-02T00:00:00"/>
    <m/>
    <d v="2026-07-02T00:00:00"/>
    <n v="24"/>
    <x v="0"/>
    <s v="58"/>
    <e v="#N/A"/>
    <m/>
    <n v="0"/>
    <e v="#N/A"/>
    <e v="#N/A"/>
  </r>
  <r>
    <x v="3"/>
    <x v="3"/>
    <s v="0328"/>
    <x v="3"/>
    <s v="TF trfr within plant"/>
    <s v="4915227084"/>
    <s v="M003"/>
    <x v="4"/>
    <x v="0"/>
    <s v="14:32:39"/>
    <s v="PRONDTAN"/>
    <s v="0001"/>
    <s v=""/>
    <s v="0000"/>
    <s v=""/>
    <s v="0000000000"/>
    <s v=""/>
    <s v=""/>
    <s v=""/>
    <s v=""/>
    <s v=""/>
    <s v=""/>
    <s v=""/>
    <s v=""/>
    <m/>
    <x v="1"/>
    <n v="-24"/>
    <n v="0"/>
    <d v="2026-07-02T00:00:00"/>
    <d v="2026-07-02T00:00:00"/>
    <m/>
    <d v="2026-07-02T00:00:00"/>
    <n v="-24"/>
    <x v="0"/>
    <s v="58"/>
    <e v="#N/A"/>
    <m/>
    <n v="0"/>
    <e v="#N/A"/>
    <e v="#N/A"/>
  </r>
  <r>
    <x v="5"/>
    <x v="5"/>
    <s v="0328"/>
    <x v="2"/>
    <s v="GD goods issue:delvy"/>
    <s v="4915230539"/>
    <s v="M001"/>
    <x v="9"/>
    <x v="0"/>
    <s v="14:50:54"/>
    <s v="PRONDTAN"/>
    <s v="0001"/>
    <s v=""/>
    <s v="0000"/>
    <s v=""/>
    <s v="0000000000"/>
    <s v=""/>
    <s v=""/>
    <s v=""/>
    <s v="51003100"/>
    <s v=""/>
    <s v=""/>
    <s v=""/>
    <s v="2000124792"/>
    <m/>
    <x v="4"/>
    <n v="-960"/>
    <n v="-975628.80000000005"/>
    <d v="2026-07-02T00:00:00"/>
    <d v="2026-07-02T00:00:00"/>
    <m/>
    <d v="2026-07-02T00:00:00"/>
    <n v="-2880000"/>
    <x v="0"/>
    <s v="59"/>
    <s v="ต้นทุนขาย"/>
    <m/>
    <n v="1016.2800000000001"/>
    <e v="#N/A"/>
    <e v="#N/A"/>
  </r>
  <r>
    <x v="5"/>
    <x v="5"/>
    <s v="0328"/>
    <x v="1"/>
    <s v="GI ค่าวิจัยและพัฒนา"/>
    <s v="4915231482"/>
    <s v="M001"/>
    <x v="17"/>
    <x v="0"/>
    <s v="14:54:13"/>
    <s v="SUTTISIT02"/>
    <s v="0001"/>
    <s v=""/>
    <s v="0000"/>
    <s v=""/>
    <s v="0150870453"/>
    <s v=""/>
    <s v="เพื่อส่งให้ RD'QA 7-11 ตรวจสอบ"/>
    <s v="405053"/>
    <s v="67501001"/>
    <s v=""/>
    <s v=""/>
    <s v=""/>
    <s v=""/>
    <m/>
    <x v="2"/>
    <n v="-2"/>
    <n v="-338.76"/>
    <d v="2026-07-02T00:00:00"/>
    <d v="2026-07-02T00:00:00"/>
    <m/>
    <d v="2026-07-02T00:00:00"/>
    <n v="-1000"/>
    <x v="0"/>
    <s v="59"/>
    <s v="ค่าวิจัยคุณภาพสินค้า"/>
    <m/>
    <n v="169.38"/>
    <e v="#N/A"/>
    <e v="#N/A"/>
  </r>
  <r>
    <x v="9"/>
    <x v="9"/>
    <s v="0328"/>
    <x v="3"/>
    <s v="TF trfr within plant"/>
    <s v="4915236445"/>
    <s v="M001"/>
    <x v="12"/>
    <x v="0"/>
    <s v="15:33:36"/>
    <s v="JURASDOK"/>
    <s v="0001"/>
    <s v=""/>
    <s v="0000"/>
    <s v=""/>
    <s v="0000000000"/>
    <s v=""/>
    <s v=""/>
    <s v=""/>
    <s v=""/>
    <s v=""/>
    <s v=""/>
    <s v=""/>
    <s v=""/>
    <m/>
    <x v="2"/>
    <n v="-1519"/>
    <n v="0"/>
    <d v="2026-07-02T00:00:00"/>
    <d v="2026-07-02T00:00:00"/>
    <m/>
    <d v="2026-07-02T00:00:00"/>
    <n v="-759500"/>
    <x v="0"/>
    <s v="59"/>
    <e v="#N/A"/>
    <m/>
    <n v="0"/>
    <e v="#N/A"/>
    <e v="#N/A"/>
  </r>
  <r>
    <x v="9"/>
    <x v="9"/>
    <s v="0328"/>
    <x v="3"/>
    <s v="TF trfr within plant"/>
    <s v="4915236445"/>
    <s v="P004"/>
    <x v="12"/>
    <x v="0"/>
    <s v="15:33:36"/>
    <s v="JURASDOK"/>
    <s v="0002"/>
    <s v=""/>
    <s v="0000"/>
    <s v=""/>
    <s v="0000000000"/>
    <s v=""/>
    <s v=""/>
    <s v=""/>
    <s v=""/>
    <s v=""/>
    <s v=""/>
    <s v=""/>
    <s v=""/>
    <m/>
    <x v="2"/>
    <n v="1519"/>
    <n v="0"/>
    <d v="2026-07-02T00:00:00"/>
    <d v="2026-07-02T00:00:00"/>
    <m/>
    <d v="2026-07-02T00:00:00"/>
    <n v="759500"/>
    <x v="0"/>
    <s v="59"/>
    <e v="#N/A"/>
    <m/>
    <n v="0"/>
    <e v="#N/A"/>
    <e v="#N/A"/>
  </r>
  <r>
    <x v="9"/>
    <x v="9"/>
    <s v="0328"/>
    <x v="2"/>
    <s v="GD goods issue:delvy"/>
    <s v="4915238600"/>
    <s v="P004"/>
    <x v="12"/>
    <x v="0"/>
    <s v="16:24:32"/>
    <s v="CHONMPRA"/>
    <s v="0001"/>
    <s v=""/>
    <s v="0000"/>
    <s v=""/>
    <s v="0000000000"/>
    <s v=""/>
    <s v=""/>
    <s v=""/>
    <s v="51003100"/>
    <s v=""/>
    <s v=""/>
    <s v=""/>
    <s v="2000124802"/>
    <m/>
    <x v="2"/>
    <n v="-100"/>
    <n v="-14307"/>
    <d v="2026-07-02T00:00:00"/>
    <d v="2026-07-02T00:00:00"/>
    <m/>
    <d v="2026-07-02T00:00:00"/>
    <n v="-50000"/>
    <x v="0"/>
    <s v="59"/>
    <s v="ต้นทุนขาย"/>
    <m/>
    <n v="143.07"/>
    <e v="#N/A"/>
    <e v="#N/A"/>
  </r>
  <r>
    <x v="9"/>
    <x v="9"/>
    <s v="0328"/>
    <x v="2"/>
    <s v="GD goods issue:delvy"/>
    <s v="4915238696"/>
    <s v="P004"/>
    <x v="12"/>
    <x v="0"/>
    <s v="16:25:38"/>
    <s v="CHONMPRA"/>
    <s v="0001"/>
    <s v=""/>
    <s v="0000"/>
    <s v=""/>
    <s v="0000000000"/>
    <s v=""/>
    <s v=""/>
    <s v=""/>
    <s v="51003100"/>
    <s v=""/>
    <s v=""/>
    <s v=""/>
    <s v="2000124803"/>
    <m/>
    <x v="2"/>
    <n v="-120"/>
    <n v="-17168.400000000001"/>
    <d v="2026-07-02T00:00:00"/>
    <d v="2026-07-02T00:00:00"/>
    <m/>
    <d v="2026-07-02T00:00:00"/>
    <n v="-60000"/>
    <x v="0"/>
    <s v="59"/>
    <s v="ต้นทุนขาย"/>
    <m/>
    <n v="143.07000000000002"/>
    <e v="#N/A"/>
    <e v="#N/A"/>
  </r>
  <r>
    <x v="9"/>
    <x v="9"/>
    <s v="0328"/>
    <x v="2"/>
    <s v="GD goods issue:delvy"/>
    <s v="4915238797"/>
    <s v="P004"/>
    <x v="12"/>
    <x v="0"/>
    <s v="16:26:45"/>
    <s v="CHONMPRA"/>
    <s v="0001"/>
    <s v=""/>
    <s v="0000"/>
    <s v=""/>
    <s v="0000000000"/>
    <s v=""/>
    <s v=""/>
    <s v=""/>
    <s v="51003100"/>
    <s v=""/>
    <s v=""/>
    <s v=""/>
    <s v="2000124804"/>
    <m/>
    <x v="2"/>
    <n v="-100"/>
    <n v="-14307"/>
    <d v="2026-07-02T00:00:00"/>
    <d v="2026-07-02T00:00:00"/>
    <m/>
    <d v="2026-07-02T00:00:00"/>
    <n v="-50000"/>
    <x v="0"/>
    <s v="59"/>
    <s v="ต้นทุนขาย"/>
    <m/>
    <n v="143.07"/>
    <e v="#N/A"/>
    <e v="#N/A"/>
  </r>
  <r>
    <x v="9"/>
    <x v="9"/>
    <s v="0328"/>
    <x v="2"/>
    <s v="GD goods issue:delvy"/>
    <s v="4915238873"/>
    <s v="P004"/>
    <x v="18"/>
    <x v="0"/>
    <s v="16:27:45"/>
    <s v="CHONMPRA"/>
    <s v="0001"/>
    <s v=""/>
    <s v="0000"/>
    <s v=""/>
    <s v="0000000000"/>
    <s v=""/>
    <s v=""/>
    <s v=""/>
    <s v="51003100"/>
    <s v=""/>
    <s v=""/>
    <s v=""/>
    <s v="2000124805"/>
    <m/>
    <x v="2"/>
    <n v="-60"/>
    <n v="-8584.2000000000007"/>
    <d v="2026-07-02T00:00:00"/>
    <d v="2026-07-02T00:00:00"/>
    <m/>
    <d v="2026-07-02T00:00:00"/>
    <n v="-30000"/>
    <x v="0"/>
    <s v="59"/>
    <s v="ต้นทุนขาย"/>
    <m/>
    <n v="143.07000000000002"/>
    <e v="#N/A"/>
    <e v="#N/A"/>
  </r>
  <r>
    <x v="9"/>
    <x v="9"/>
    <s v="0328"/>
    <x v="2"/>
    <s v="GD goods issue:delvy"/>
    <s v="4915239033"/>
    <s v="P004"/>
    <x v="12"/>
    <x v="0"/>
    <s v="16:29:35"/>
    <s v="CHONMPRA"/>
    <s v="0001"/>
    <s v=""/>
    <s v="0000"/>
    <s v=""/>
    <s v="0000000000"/>
    <s v=""/>
    <s v=""/>
    <s v=""/>
    <s v="51003100"/>
    <s v=""/>
    <s v=""/>
    <s v=""/>
    <s v="2000124806"/>
    <m/>
    <x v="2"/>
    <n v="-140"/>
    <n v="-20029.8"/>
    <d v="2026-07-02T00:00:00"/>
    <d v="2026-07-02T00:00:00"/>
    <m/>
    <d v="2026-07-02T00:00:00"/>
    <n v="-70000"/>
    <x v="0"/>
    <s v="59"/>
    <s v="ต้นทุนขาย"/>
    <m/>
    <n v="143.07"/>
    <e v="#N/A"/>
    <e v="#N/A"/>
  </r>
  <r>
    <x v="9"/>
    <x v="9"/>
    <s v="0328"/>
    <x v="2"/>
    <s v="GD goods issue:delvy"/>
    <s v="4915239067"/>
    <s v="P004"/>
    <x v="12"/>
    <x v="0"/>
    <s v="16:30:14"/>
    <s v="CHONMPRA"/>
    <s v="0001"/>
    <s v=""/>
    <s v="0000"/>
    <s v=""/>
    <s v="0000000000"/>
    <s v=""/>
    <s v=""/>
    <s v=""/>
    <s v="51003100"/>
    <s v=""/>
    <s v=""/>
    <s v=""/>
    <s v="2000124807"/>
    <m/>
    <x v="2"/>
    <n v="-100"/>
    <n v="-14307"/>
    <d v="2026-07-02T00:00:00"/>
    <d v="2026-07-02T00:00:00"/>
    <m/>
    <d v="2026-07-02T00:00:00"/>
    <n v="-50000"/>
    <x v="0"/>
    <s v="59"/>
    <s v="ต้นทุนขาย"/>
    <m/>
    <n v="143.07"/>
    <e v="#N/A"/>
    <e v="#N/A"/>
  </r>
  <r>
    <x v="9"/>
    <x v="9"/>
    <s v="0328"/>
    <x v="2"/>
    <s v="GD goods issue:delvy"/>
    <s v="4915239184"/>
    <s v="P004"/>
    <x v="12"/>
    <x v="0"/>
    <s v="16:31:40"/>
    <s v="CHONMPRA"/>
    <s v="0001"/>
    <s v=""/>
    <s v="0000"/>
    <s v=""/>
    <s v="0000000000"/>
    <s v=""/>
    <s v=""/>
    <s v=""/>
    <s v="51003100"/>
    <s v=""/>
    <s v=""/>
    <s v=""/>
    <s v="2000124809"/>
    <m/>
    <x v="2"/>
    <n v="-80"/>
    <n v="-11445.6"/>
    <d v="2026-07-02T00:00:00"/>
    <d v="2026-07-02T00:00:00"/>
    <m/>
    <d v="2026-07-02T00:00:00"/>
    <n v="-40000"/>
    <x v="0"/>
    <s v="59"/>
    <s v="ต้นทุนขาย"/>
    <m/>
    <n v="143.07"/>
    <e v="#N/A"/>
    <e v="#N/A"/>
  </r>
  <r>
    <x v="10"/>
    <x v="10"/>
    <s v="0328"/>
    <x v="6"/>
    <s v="GIส่งเสริมการขายอื่น"/>
    <s v="4915239336"/>
    <s v="P004"/>
    <x v="13"/>
    <x v="0"/>
    <s v="16:33:38"/>
    <s v="THANAWIS"/>
    <s v="0001"/>
    <s v=""/>
    <s v="0000"/>
    <s v=""/>
    <s v="0150862008"/>
    <s v=""/>
    <s v="เบิกเพื่อจับฉลากงานกอล์ฟ CP"/>
    <s v="405045"/>
    <s v="65109000"/>
    <s v=""/>
    <s v=""/>
    <s v=""/>
    <s v=""/>
    <m/>
    <x v="2"/>
    <n v="-12"/>
    <n v="-2105.64"/>
    <d v="2026-07-02T00:00:00"/>
    <d v="2026-07-02T00:00:00"/>
    <m/>
    <d v="2026-07-02T00:00:00"/>
    <n v="-6000"/>
    <x v="0"/>
    <s v="59"/>
    <s v="ส่งเสริมฯ อื่น"/>
    <m/>
    <n v="175.47"/>
    <e v="#N/A"/>
    <e v="#N/A"/>
  </r>
  <r>
    <x v="9"/>
    <x v="9"/>
    <s v="0328"/>
    <x v="2"/>
    <s v="GD goods issue:delvy"/>
    <s v="4915241246"/>
    <s v="P004"/>
    <x v="12"/>
    <x v="0"/>
    <s v="17:10:39"/>
    <s v="THANAWIS"/>
    <s v="0001"/>
    <s v=""/>
    <s v="0000"/>
    <s v=""/>
    <s v="0000000000"/>
    <s v=""/>
    <s v=""/>
    <s v=""/>
    <s v="51003100"/>
    <s v=""/>
    <s v=""/>
    <s v=""/>
    <s v="2000124811"/>
    <m/>
    <x v="2"/>
    <n v="-100"/>
    <n v="-14307"/>
    <d v="2026-07-02T00:00:00"/>
    <d v="2026-07-02T00:00:00"/>
    <m/>
    <d v="2026-07-02T00:00:00"/>
    <n v="-50000"/>
    <x v="0"/>
    <s v="59"/>
    <s v="ต้นทุนขาย"/>
    <m/>
    <n v="143.07"/>
    <e v="#N/A"/>
    <e v="#N/A"/>
  </r>
  <r>
    <x v="5"/>
    <x v="5"/>
    <s v="0328"/>
    <x v="1"/>
    <s v="GI ค่าวิจัยและพัฒนา"/>
    <s v="4915250068"/>
    <s v="M001"/>
    <x v="17"/>
    <x v="0"/>
    <s v="19:56:01"/>
    <s v="RAPEESAN01"/>
    <s v="0001"/>
    <s v=""/>
    <s v="0000"/>
    <s v=""/>
    <s v="0150878067"/>
    <s v=""/>
    <s v="Routine 01.07.26.2 A010R002"/>
    <s v="405053"/>
    <s v="67501001"/>
    <s v=""/>
    <s v=""/>
    <s v=""/>
    <s v=""/>
    <m/>
    <x v="2"/>
    <n v="-3"/>
    <n v="-508.14"/>
    <d v="2026-07-02T00:00:00"/>
    <d v="2026-07-02T00:00:00"/>
    <m/>
    <d v="2026-07-02T00:00:00"/>
    <n v="-1500"/>
    <x v="0"/>
    <s v="59"/>
    <s v="ค่าวิจัยคุณภาพสินค้า"/>
    <m/>
    <n v="169.38"/>
    <e v="#N/A"/>
    <e v="#N/A"/>
  </r>
  <r>
    <x v="5"/>
    <x v="5"/>
    <s v="0328"/>
    <x v="1"/>
    <s v="GI ค่าวิจัยและพัฒนา"/>
    <s v="4915250068"/>
    <s v="M001"/>
    <x v="9"/>
    <x v="0"/>
    <s v="19:56:01"/>
    <s v="RAPEESAN01"/>
    <s v="0002"/>
    <s v=""/>
    <s v="0000"/>
    <s v=""/>
    <s v="0150878067"/>
    <s v=""/>
    <s v="Retain 01.07.26.1  A010R002"/>
    <s v="405053"/>
    <s v="67501001"/>
    <s v=""/>
    <s v=""/>
    <s v=""/>
    <s v=""/>
    <m/>
    <x v="2"/>
    <n v="-3"/>
    <n v="-508.14"/>
    <d v="2026-07-02T00:00:00"/>
    <d v="2026-07-02T00:00:00"/>
    <m/>
    <d v="2026-07-02T00:00:00"/>
    <n v="-1500"/>
    <x v="0"/>
    <s v="59"/>
    <s v="ค่าวิจัยคุณภาพสินค้า"/>
    <m/>
    <n v="169.38"/>
    <e v="#N/A"/>
    <e v="#N/A"/>
  </r>
  <r>
    <x v="14"/>
    <x v="14"/>
    <s v="0328"/>
    <x v="4"/>
    <s v="GI for order"/>
    <s v="4915298227"/>
    <s v="P001"/>
    <x v="19"/>
    <x v="3"/>
    <s v="11:00:35"/>
    <s v="SUTEESEA"/>
    <s v="0001"/>
    <s v=""/>
    <s v="0000"/>
    <s v=""/>
    <s v="0150907230"/>
    <s v=""/>
    <s v=""/>
    <s v=""/>
    <s v="53002000"/>
    <s v=""/>
    <s v=""/>
    <s v=""/>
    <s v=""/>
    <m/>
    <x v="3"/>
    <n v="-10030.5"/>
    <n v="-2646750.23"/>
    <d v="2026-07-03T00:00:00"/>
    <d v="2026-07-01T00:00:00"/>
    <m/>
    <d v="2026-07-03T00:00:00"/>
    <n v="-10030500"/>
    <x v="3"/>
    <s v="54"/>
    <s v="ต้นทุนผลิต-วัตถุดิบ"/>
    <m/>
    <n v="263.87021883256068"/>
    <e v="#N/A"/>
    <e v="#N/A"/>
  </r>
  <r>
    <x v="11"/>
    <x v="11"/>
    <s v="0328"/>
    <x v="3"/>
    <s v="TF trfr within plant"/>
    <s v="4915314991"/>
    <s v="M003"/>
    <x v="20"/>
    <x v="0"/>
    <s v="14:10:52"/>
    <s v="RAPEESAN01"/>
    <s v="0001"/>
    <s v=""/>
    <s v="0000"/>
    <s v=""/>
    <s v="0000000000"/>
    <s v=""/>
    <s v=""/>
    <s v=""/>
    <s v=""/>
    <s v=""/>
    <s v=""/>
    <s v=""/>
    <s v=""/>
    <m/>
    <x v="0"/>
    <n v="-20000"/>
    <n v="0"/>
    <d v="2026-07-03T00:00:00"/>
    <d v="2026-07-03T00:00:00"/>
    <m/>
    <d v="2026-07-03T00:00:00"/>
    <n v="-20000"/>
    <x v="0"/>
    <s v="58"/>
    <e v="#N/A"/>
    <m/>
    <n v="0"/>
    <e v="#N/A"/>
    <e v="#N/A"/>
  </r>
  <r>
    <x v="11"/>
    <x v="11"/>
    <s v="0328"/>
    <x v="3"/>
    <s v="TF trfr within plant"/>
    <s v="4915314991"/>
    <s v="P003"/>
    <x v="20"/>
    <x v="0"/>
    <s v="14:10:52"/>
    <s v="RAPEESAN01"/>
    <s v="0002"/>
    <s v=""/>
    <s v="0000"/>
    <s v=""/>
    <s v="0000000000"/>
    <s v=""/>
    <s v=""/>
    <s v=""/>
    <s v=""/>
    <s v=""/>
    <s v=""/>
    <s v=""/>
    <s v=""/>
    <m/>
    <x v="0"/>
    <n v="20000"/>
    <n v="0"/>
    <d v="2026-07-03T00:00:00"/>
    <d v="2026-07-03T00:00:00"/>
    <m/>
    <d v="2026-07-03T00:00:00"/>
    <n v="20000"/>
    <x v="0"/>
    <s v="58"/>
    <e v="#N/A"/>
    <m/>
    <n v="0"/>
    <e v="#N/A"/>
    <e v="#N/A"/>
  </r>
  <r>
    <x v="12"/>
    <x v="12"/>
    <s v="0328"/>
    <x v="3"/>
    <s v="TF trfr within plant"/>
    <s v="4915314991"/>
    <s v="P003"/>
    <x v="15"/>
    <x v="0"/>
    <s v="14:10:52"/>
    <s v="RAPEESAN01"/>
    <s v="0004"/>
    <s v=""/>
    <s v="0000"/>
    <s v=""/>
    <s v="0000000000"/>
    <s v=""/>
    <s v=""/>
    <s v=""/>
    <s v=""/>
    <s v=""/>
    <s v=""/>
    <s v=""/>
    <s v=""/>
    <m/>
    <x v="0"/>
    <n v="27000"/>
    <n v="0"/>
    <d v="2026-07-03T00:00:00"/>
    <d v="2026-07-03T00:00:00"/>
    <m/>
    <d v="2026-07-03T00:00:00"/>
    <n v="27000"/>
    <x v="0"/>
    <s v="58"/>
    <e v="#N/A"/>
    <m/>
    <n v="0"/>
    <e v="#N/A"/>
    <e v="#N/A"/>
  </r>
  <r>
    <x v="12"/>
    <x v="12"/>
    <s v="0328"/>
    <x v="3"/>
    <s v="TF trfr within plant"/>
    <s v="4915314991"/>
    <s v="M003"/>
    <x v="15"/>
    <x v="0"/>
    <s v="14:10:52"/>
    <s v="RAPEESAN01"/>
    <s v="0003"/>
    <s v=""/>
    <s v="0000"/>
    <s v=""/>
    <s v="0000000000"/>
    <s v=""/>
    <s v=""/>
    <s v=""/>
    <s v=""/>
    <s v=""/>
    <s v=""/>
    <s v=""/>
    <s v=""/>
    <m/>
    <x v="0"/>
    <n v="-27000"/>
    <n v="0"/>
    <d v="2026-07-03T00:00:00"/>
    <d v="2026-07-03T00:00:00"/>
    <m/>
    <d v="2026-07-03T00:00:00"/>
    <n v="-27000"/>
    <x v="0"/>
    <s v="58"/>
    <e v="#N/A"/>
    <m/>
    <n v="0"/>
    <e v="#N/A"/>
    <e v="#N/A"/>
  </r>
  <r>
    <x v="13"/>
    <x v="13"/>
    <s v="0328"/>
    <x v="3"/>
    <s v="TF trfr within plant"/>
    <s v="4915314991"/>
    <s v="M003"/>
    <x v="1"/>
    <x v="0"/>
    <s v="14:10:52"/>
    <s v="RAPEESAN01"/>
    <s v="0005"/>
    <s v=""/>
    <s v="0000"/>
    <s v=""/>
    <s v="0000000000"/>
    <s v=""/>
    <s v=""/>
    <s v=""/>
    <s v=""/>
    <s v=""/>
    <s v=""/>
    <s v=""/>
    <s v=""/>
    <m/>
    <x v="0"/>
    <n v="-4000"/>
    <n v="0"/>
    <d v="2026-07-03T00:00:00"/>
    <d v="2026-07-03T00:00:00"/>
    <m/>
    <d v="2026-07-03T00:00:00"/>
    <n v="-4000"/>
    <x v="0"/>
    <s v="58"/>
    <e v="#N/A"/>
    <m/>
    <n v="0"/>
    <e v="#N/A"/>
    <e v="#N/A"/>
  </r>
  <r>
    <x v="13"/>
    <x v="13"/>
    <s v="0328"/>
    <x v="3"/>
    <s v="TF trfr within plant"/>
    <s v="4915314991"/>
    <s v="P003"/>
    <x v="1"/>
    <x v="0"/>
    <s v="14:10:52"/>
    <s v="RAPEESAN01"/>
    <s v="0006"/>
    <s v=""/>
    <s v="0000"/>
    <s v=""/>
    <s v="0000000000"/>
    <s v=""/>
    <s v=""/>
    <s v=""/>
    <s v=""/>
    <s v=""/>
    <s v=""/>
    <s v=""/>
    <s v=""/>
    <m/>
    <x v="0"/>
    <n v="4000"/>
    <n v="0"/>
    <d v="2026-07-03T00:00:00"/>
    <d v="2026-07-03T00:00:00"/>
    <m/>
    <d v="2026-07-03T00:00:00"/>
    <n v="4000"/>
    <x v="0"/>
    <s v="58"/>
    <e v="#N/A"/>
    <m/>
    <n v="0"/>
    <e v="#N/A"/>
    <e v="#N/A"/>
  </r>
  <r>
    <x v="14"/>
    <x v="14"/>
    <s v="0328"/>
    <x v="1"/>
    <s v="GI ค่าวิจัยและพัฒนา"/>
    <s v="4915326263"/>
    <s v="P001"/>
    <x v="19"/>
    <x v="0"/>
    <s v="14:57:46"/>
    <s v="SUTEESEA"/>
    <s v="0001"/>
    <s v=""/>
    <s v="0000"/>
    <s v=""/>
    <s v="0150878225"/>
    <s v=""/>
    <s v="A.RPT 20.03.26 CL14:15 Silo 1"/>
    <s v="405053"/>
    <s v="67501001"/>
    <s v=""/>
    <s v=""/>
    <s v=""/>
    <s v=""/>
    <m/>
    <x v="5"/>
    <n v="-500"/>
    <n v="-131.94"/>
    <d v="2026-07-02T00:00:00"/>
    <d v="2026-07-02T00:00:00"/>
    <m/>
    <d v="2026-07-03T00:00:00"/>
    <n v="-500"/>
    <x v="0"/>
    <s v="54"/>
    <s v="ค่าวิจัยคุณภาพสินค้า"/>
    <m/>
    <n v="0.26388"/>
    <e v="#N/A"/>
    <e v="#N/A"/>
  </r>
  <r>
    <x v="7"/>
    <x v="7"/>
    <s v="0328"/>
    <x v="1"/>
    <s v="GI ค่าวิจัยและพัฒนา"/>
    <s v="4915326263"/>
    <s v="P001"/>
    <x v="8"/>
    <x v="0"/>
    <s v="14:57:46"/>
    <s v="SUTEESEA"/>
    <s v="0002"/>
    <s v=""/>
    <s v="0000"/>
    <s v=""/>
    <s v="0150878225"/>
    <s v=""/>
    <s v="R.BBB 16.06.26 CL09:00 Silo 5"/>
    <s v="405053"/>
    <s v="67501001"/>
    <s v=""/>
    <s v=""/>
    <s v=""/>
    <s v=""/>
    <m/>
    <x v="5"/>
    <n v="-500"/>
    <n v="-77.900000000000006"/>
    <d v="2026-07-02T00:00:00"/>
    <d v="2026-07-02T00:00:00"/>
    <m/>
    <d v="2026-07-03T00:00:00"/>
    <n v="-500"/>
    <x v="0"/>
    <s v="54"/>
    <s v="ค่าวิจัยคุณภาพสินค้า"/>
    <m/>
    <n v="0.15580000000000002"/>
    <e v="#N/A"/>
    <e v="#N/A"/>
  </r>
  <r>
    <x v="7"/>
    <x v="7"/>
    <s v="0328"/>
    <x v="4"/>
    <s v="GI for order"/>
    <s v="4915334729"/>
    <s v="P001"/>
    <x v="21"/>
    <x v="4"/>
    <s v="16:46:47"/>
    <s v="SUTEESEA"/>
    <s v="0002"/>
    <s v=""/>
    <s v="0000"/>
    <s v=""/>
    <s v="0000000000"/>
    <s v=""/>
    <s v="สารกาแฟโรบัสต้า"/>
    <s v=""/>
    <s v="53002000"/>
    <s v=""/>
    <s v=""/>
    <s v=""/>
    <s v=""/>
    <m/>
    <x v="3"/>
    <n v="-229.31"/>
    <n v="-35726.33"/>
    <d v="2026-07-03T00:00:00"/>
    <d v="2026-07-02T00:00:00"/>
    <m/>
    <d v="2026-07-03T00:00:00"/>
    <n v="-229310"/>
    <x v="3"/>
    <s v="54"/>
    <s v="ต้นทุนผลิต-วัตถุดิบ"/>
    <m/>
    <n v="155.79926736731935"/>
    <e v="#N/A"/>
    <e v="#N/A"/>
  </r>
  <r>
    <x v="7"/>
    <x v="7"/>
    <s v="0328"/>
    <x v="4"/>
    <s v="GI for order"/>
    <s v="4915334729"/>
    <s v="P001"/>
    <x v="8"/>
    <x v="4"/>
    <s v="16:46:47"/>
    <s v="SUTEESEA"/>
    <s v="0001"/>
    <s v=""/>
    <s v="0000"/>
    <s v=""/>
    <s v="0150920570"/>
    <s v=""/>
    <s v=""/>
    <s v=""/>
    <s v="53002000"/>
    <s v=""/>
    <s v=""/>
    <s v=""/>
    <s v=""/>
    <m/>
    <x v="3"/>
    <n v="-9816.49"/>
    <n v="-1529401.98"/>
    <d v="2026-07-03T00:00:00"/>
    <d v="2026-07-02T00:00:00"/>
    <m/>
    <d v="2026-07-03T00:00:00"/>
    <n v="-9816490"/>
    <x v="3"/>
    <s v="54"/>
    <s v="ต้นทุนผลิต-วัตถุดิบ"/>
    <m/>
    <n v="155.7992704113181"/>
    <e v="#N/A"/>
    <e v="#N/A"/>
  </r>
  <r>
    <x v="5"/>
    <x v="5"/>
    <s v="0328"/>
    <x v="2"/>
    <s v="GD goods issue:delvy"/>
    <s v="4915336719"/>
    <s v="M001"/>
    <x v="9"/>
    <x v="0"/>
    <s v="17:38:45"/>
    <s v="RAPEESAN01"/>
    <s v="0001"/>
    <s v=""/>
    <s v="0000"/>
    <s v=""/>
    <s v="0000000000"/>
    <s v=""/>
    <s v=""/>
    <s v=""/>
    <s v="51003100"/>
    <s v=""/>
    <s v=""/>
    <s v=""/>
    <s v="2000124913"/>
    <m/>
    <x v="4"/>
    <n v="-1661"/>
    <n v="-1688041.08"/>
    <d v="2026-07-03T00:00:00"/>
    <d v="2026-07-03T00:00:00"/>
    <m/>
    <d v="2026-07-03T00:00:00"/>
    <n v="-4983000"/>
    <x v="0"/>
    <s v="59"/>
    <s v="ต้นทุนขาย"/>
    <m/>
    <n v="1016.2800000000001"/>
    <e v="#N/A"/>
    <e v="#N/A"/>
  </r>
  <r>
    <x v="5"/>
    <x v="5"/>
    <s v="0328"/>
    <x v="2"/>
    <s v="GD goods issue:delvy"/>
    <s v="4915336719"/>
    <s v="M001"/>
    <x v="22"/>
    <x v="0"/>
    <s v="17:38:45"/>
    <s v="RAPEESAN01"/>
    <s v="0002"/>
    <s v=""/>
    <s v="0000"/>
    <s v=""/>
    <s v="0000000000"/>
    <s v=""/>
    <s v=""/>
    <s v=""/>
    <s v="51003100"/>
    <s v=""/>
    <s v=""/>
    <s v=""/>
    <s v="2000124913"/>
    <m/>
    <x v="4"/>
    <n v="-259"/>
    <n v="-263216.52"/>
    <d v="2026-07-03T00:00:00"/>
    <d v="2026-07-03T00:00:00"/>
    <m/>
    <d v="2026-07-03T00:00:00"/>
    <n v="-777000"/>
    <x v="0"/>
    <s v="59"/>
    <s v="ต้นทุนขาย"/>
    <m/>
    <n v="1016.2800000000001"/>
    <e v="#N/A"/>
    <e v="#N/A"/>
  </r>
  <r>
    <x v="5"/>
    <x v="5"/>
    <s v="0328"/>
    <x v="2"/>
    <s v="GD goods issue:delvy"/>
    <s v="4915337130"/>
    <s v="M001"/>
    <x v="22"/>
    <x v="0"/>
    <s v="17:45:00"/>
    <s v="RAPEESAN01"/>
    <s v="0001"/>
    <s v=""/>
    <s v="0000"/>
    <s v=""/>
    <s v="0000000000"/>
    <s v=""/>
    <s v=""/>
    <s v=""/>
    <s v="51003100"/>
    <s v=""/>
    <s v=""/>
    <s v=""/>
    <s v="2000124921"/>
    <m/>
    <x v="4"/>
    <n v="-960"/>
    <n v="-975628.80000000005"/>
    <d v="2026-07-03T00:00:00"/>
    <d v="2026-07-03T00:00:00"/>
    <m/>
    <d v="2026-07-03T00:00:00"/>
    <n v="-2880000"/>
    <x v="0"/>
    <s v="59"/>
    <s v="ต้นทุนขาย"/>
    <m/>
    <n v="1016.2800000000001"/>
    <e v="#N/A"/>
    <e v="#N/A"/>
  </r>
  <r>
    <x v="5"/>
    <x v="5"/>
    <s v="0328"/>
    <x v="1"/>
    <s v="GI ค่าวิจัยและพัฒนา"/>
    <s v="4915347153"/>
    <s v="M001"/>
    <x v="22"/>
    <x v="0"/>
    <s v="22:34:12"/>
    <s v="RAPEESAN01"/>
    <s v="0002"/>
    <s v=""/>
    <s v="0000"/>
    <s v=""/>
    <s v="0150926461"/>
    <s v=""/>
    <s v="Retain 01.07.26.3 A010R002"/>
    <s v="405053"/>
    <s v="67501001"/>
    <s v=""/>
    <s v=""/>
    <s v=""/>
    <s v=""/>
    <m/>
    <x v="2"/>
    <n v="-3"/>
    <n v="-508.14"/>
    <d v="2026-07-03T00:00:00"/>
    <d v="2026-07-03T00:00:00"/>
    <m/>
    <d v="2026-07-03T00:00:00"/>
    <n v="-1500"/>
    <x v="0"/>
    <s v="59"/>
    <s v="ค่าวิจัยคุณภาพสินค้า"/>
    <m/>
    <n v="169.38"/>
    <e v="#N/A"/>
    <e v="#N/A"/>
  </r>
  <r>
    <x v="5"/>
    <x v="5"/>
    <s v="0328"/>
    <x v="1"/>
    <s v="GI ค่าวิจัยและพัฒนา"/>
    <s v="4915347153"/>
    <s v="M001"/>
    <x v="22"/>
    <x v="0"/>
    <s v="22:34:12"/>
    <s v="RAPEESAN01"/>
    <s v="0001"/>
    <s v=""/>
    <s v="0000"/>
    <s v=""/>
    <s v="0150926461"/>
    <s v=""/>
    <s v="Routine 01.07.26.3 A010R002"/>
    <s v="405053"/>
    <s v="67501001"/>
    <s v=""/>
    <s v=""/>
    <s v=""/>
    <s v=""/>
    <m/>
    <x v="2"/>
    <n v="-3"/>
    <n v="-508.14"/>
    <d v="2026-07-03T00:00:00"/>
    <d v="2026-07-03T00:00:00"/>
    <m/>
    <d v="2026-07-03T00:00:00"/>
    <n v="-1500"/>
    <x v="0"/>
    <s v="59"/>
    <s v="ค่าวิจัยคุณภาพสินค้า"/>
    <m/>
    <n v="169.38"/>
    <e v="#N/A"/>
    <e v="#N/A"/>
  </r>
  <r>
    <x v="14"/>
    <x v="14"/>
    <s v="0328"/>
    <x v="4"/>
    <s v="GI for order"/>
    <s v="4915391372"/>
    <s v="P001"/>
    <x v="19"/>
    <x v="5"/>
    <s v="10:52:55"/>
    <s v="SUTEESEA"/>
    <s v="0001"/>
    <s v=""/>
    <s v="0000"/>
    <s v=""/>
    <s v="0150954942"/>
    <s v=""/>
    <s v=""/>
    <s v=""/>
    <s v="53002000"/>
    <s v=""/>
    <s v=""/>
    <s v=""/>
    <s v=""/>
    <m/>
    <x v="3"/>
    <n v="-14947.65"/>
    <n v="-3944239.68"/>
    <d v="2026-07-04T00:00:00"/>
    <d v="2026-07-03T00:00:00"/>
    <m/>
    <d v="2026-07-04T00:00:00"/>
    <n v="-14947650"/>
    <x v="3"/>
    <s v="54"/>
    <s v="ต้นทุนผลิต-วัตถุดิบ"/>
    <m/>
    <n v="263.87021906453526"/>
    <e v="#N/A"/>
    <e v="#N/A"/>
  </r>
  <r>
    <x v="14"/>
    <x v="14"/>
    <s v="0328"/>
    <x v="4"/>
    <s v="GI for order"/>
    <s v="4915391372"/>
    <s v="P001"/>
    <x v="23"/>
    <x v="5"/>
    <s v="10:52:55"/>
    <s v="SUTEESEA"/>
    <s v="0002"/>
    <s v=""/>
    <s v="0000"/>
    <s v=""/>
    <s v="0000000000"/>
    <s v=""/>
    <s v="สารกาแฟอาราบิก้า"/>
    <s v=""/>
    <s v="53002000"/>
    <s v=""/>
    <s v=""/>
    <s v=""/>
    <s v=""/>
    <m/>
    <x v="3"/>
    <n v="-168.55"/>
    <n v="-44475.33"/>
    <d v="2026-07-04T00:00:00"/>
    <d v="2026-07-03T00:00:00"/>
    <m/>
    <d v="2026-07-04T00:00:00"/>
    <n v="-168550"/>
    <x v="3"/>
    <s v="54"/>
    <s v="ต้นทุนผลิต-วัตถุดิบ"/>
    <m/>
    <n v="263.87024621773952"/>
    <e v="#N/A"/>
    <e v="#N/A"/>
  </r>
  <r>
    <x v="11"/>
    <x v="11"/>
    <s v="0328"/>
    <x v="0"/>
    <s v="TF trfr plnt to plnt"/>
    <s v="4915536471"/>
    <s v="P003"/>
    <x v="20"/>
    <x v="0"/>
    <s v="06:22:48"/>
    <s v="SUTTISIT02"/>
    <s v="0006"/>
    <s v=""/>
    <s v="0000"/>
    <s v=""/>
    <s v="0000000000"/>
    <s v=""/>
    <s v=""/>
    <s v=""/>
    <s v=""/>
    <s v=""/>
    <s v=""/>
    <s v=""/>
    <s v=""/>
    <m/>
    <x v="0"/>
    <n v="20000"/>
    <n v="0"/>
    <d v="2026-07-06T00:00:00"/>
    <d v="2026-07-06T00:00:00"/>
    <m/>
    <d v="2026-07-06T00:00:00"/>
    <n v="20000"/>
    <x v="0"/>
    <s v="58"/>
    <e v="#N/A"/>
    <m/>
    <n v="0"/>
    <e v="#N/A"/>
    <e v="#N/A"/>
  </r>
  <r>
    <x v="11"/>
    <x v="11"/>
    <s v="0328"/>
    <x v="0"/>
    <s v="TF trfr plnt to plnt"/>
    <s v="4915536471"/>
    <s v="M003"/>
    <x v="20"/>
    <x v="0"/>
    <s v="06:22:48"/>
    <s v="SUTTISIT02"/>
    <s v="0005"/>
    <s v=""/>
    <s v="0000"/>
    <s v=""/>
    <s v="0000000000"/>
    <s v=""/>
    <s v=""/>
    <s v=""/>
    <s v=""/>
    <s v=""/>
    <s v=""/>
    <s v=""/>
    <s v=""/>
    <m/>
    <x v="0"/>
    <n v="-20000"/>
    <n v="0"/>
    <d v="2026-07-06T00:00:00"/>
    <d v="2026-07-06T00:00:00"/>
    <m/>
    <d v="2026-07-06T00:00:00"/>
    <n v="-20000"/>
    <x v="0"/>
    <s v="58"/>
    <e v="#N/A"/>
    <m/>
    <n v="0"/>
    <e v="#N/A"/>
    <e v="#N/A"/>
  </r>
  <r>
    <x v="12"/>
    <x v="12"/>
    <s v="0328"/>
    <x v="0"/>
    <s v="TF trfr plnt to plnt"/>
    <s v="4915536471"/>
    <s v="P003"/>
    <x v="15"/>
    <x v="0"/>
    <s v="06:22:48"/>
    <s v="SUTTISIT02"/>
    <s v="0004"/>
    <s v=""/>
    <s v="0000"/>
    <s v=""/>
    <s v="0000000000"/>
    <s v=""/>
    <s v=""/>
    <s v=""/>
    <s v=""/>
    <s v=""/>
    <s v=""/>
    <s v=""/>
    <s v=""/>
    <m/>
    <x v="0"/>
    <n v="12000"/>
    <n v="0"/>
    <d v="2026-07-06T00:00:00"/>
    <d v="2026-07-06T00:00:00"/>
    <m/>
    <d v="2026-07-06T00:00:00"/>
    <n v="12000"/>
    <x v="0"/>
    <s v="58"/>
    <e v="#N/A"/>
    <m/>
    <n v="0"/>
    <e v="#N/A"/>
    <e v="#N/A"/>
  </r>
  <r>
    <x v="12"/>
    <x v="12"/>
    <s v="0328"/>
    <x v="0"/>
    <s v="TF trfr plnt to plnt"/>
    <s v="4915536471"/>
    <s v="M003"/>
    <x v="15"/>
    <x v="0"/>
    <s v="06:22:48"/>
    <s v="SUTTISIT02"/>
    <s v="0003"/>
    <s v=""/>
    <s v="0000"/>
    <s v=""/>
    <s v="0000000000"/>
    <s v=""/>
    <s v=""/>
    <s v=""/>
    <s v=""/>
    <s v=""/>
    <s v=""/>
    <s v=""/>
    <s v=""/>
    <m/>
    <x v="0"/>
    <n v="-12000"/>
    <n v="0"/>
    <d v="2026-07-06T00:00:00"/>
    <d v="2026-07-06T00:00:00"/>
    <m/>
    <d v="2026-07-06T00:00:00"/>
    <n v="-12000"/>
    <x v="0"/>
    <s v="58"/>
    <e v="#N/A"/>
    <m/>
    <n v="0"/>
    <e v="#N/A"/>
    <e v="#N/A"/>
  </r>
  <r>
    <x v="13"/>
    <x v="13"/>
    <s v="0328"/>
    <x v="0"/>
    <s v="TF trfr plnt to plnt"/>
    <s v="4915536471"/>
    <s v="M003"/>
    <x v="1"/>
    <x v="0"/>
    <s v="06:22:48"/>
    <s v="SUTTISIT02"/>
    <s v="0001"/>
    <s v=""/>
    <s v="0000"/>
    <s v=""/>
    <s v="0000000000"/>
    <s v=""/>
    <s v=""/>
    <s v=""/>
    <s v=""/>
    <s v=""/>
    <s v=""/>
    <s v=""/>
    <s v=""/>
    <m/>
    <x v="0"/>
    <n v="-2000"/>
    <n v="0"/>
    <d v="2026-07-06T00:00:00"/>
    <d v="2026-07-06T00:00:00"/>
    <m/>
    <d v="2026-07-06T00:00:00"/>
    <n v="-2000"/>
    <x v="0"/>
    <s v="58"/>
    <e v="#N/A"/>
    <m/>
    <n v="0"/>
    <e v="#N/A"/>
    <e v="#N/A"/>
  </r>
  <r>
    <x v="13"/>
    <x v="13"/>
    <s v="0328"/>
    <x v="0"/>
    <s v="TF trfr plnt to plnt"/>
    <s v="4915536471"/>
    <s v="P003"/>
    <x v="1"/>
    <x v="0"/>
    <s v="06:22:48"/>
    <s v="SUTTISIT02"/>
    <s v="0002"/>
    <s v=""/>
    <s v="0000"/>
    <s v=""/>
    <s v="0000000000"/>
    <s v=""/>
    <s v=""/>
    <s v=""/>
    <s v=""/>
    <s v=""/>
    <s v=""/>
    <s v=""/>
    <s v=""/>
    <m/>
    <x v="0"/>
    <n v="2000"/>
    <n v="0"/>
    <d v="2026-07-06T00:00:00"/>
    <d v="2026-07-06T00:00:00"/>
    <m/>
    <d v="2026-07-06T00:00:00"/>
    <n v="2000"/>
    <x v="0"/>
    <s v="58"/>
    <e v="#N/A"/>
    <m/>
    <n v="0"/>
    <e v="#N/A"/>
    <e v="#N/A"/>
  </r>
  <r>
    <x v="5"/>
    <x v="5"/>
    <s v="0328"/>
    <x v="1"/>
    <s v="GI ค่าวิจัยและพัฒนา"/>
    <s v="4915539506"/>
    <s v="M001"/>
    <x v="22"/>
    <x v="0"/>
    <s v="06:43:02"/>
    <s v="SUTTISIT02"/>
    <s v="0001"/>
    <s v=""/>
    <s v="0000"/>
    <s v=""/>
    <s v="0150985051"/>
    <s v=""/>
    <s v="Top-up 1.7.26.1 P.1,11,22"/>
    <s v="405053"/>
    <s v="67501001"/>
    <s v=""/>
    <s v=""/>
    <s v=""/>
    <s v=""/>
    <m/>
    <x v="2"/>
    <n v="-3"/>
    <n v="-508.14"/>
    <d v="2026-07-04T00:00:00"/>
    <d v="2026-07-04T00:00:00"/>
    <m/>
    <d v="2026-07-06T00:00:00"/>
    <n v="-1500"/>
    <x v="0"/>
    <s v="59"/>
    <s v="ค่าวิจัยคุณภาพสินค้า"/>
    <m/>
    <n v="169.38"/>
    <e v="#N/A"/>
    <e v="#N/A"/>
  </r>
  <r>
    <x v="5"/>
    <x v="5"/>
    <s v="0328"/>
    <x v="1"/>
    <s v="GI ค่าวิจัยและพัฒนา"/>
    <s v="4915539506"/>
    <s v="M001"/>
    <x v="22"/>
    <x v="0"/>
    <s v="06:43:02"/>
    <s v="SUTTISIT02"/>
    <s v="0002"/>
    <s v=""/>
    <s v="0000"/>
    <s v=""/>
    <s v="0150985051"/>
    <s v=""/>
    <s v="Top-up 1.7.26.1 P.16(Retain)"/>
    <s v="405053"/>
    <s v="67501001"/>
    <s v=""/>
    <s v=""/>
    <s v=""/>
    <s v=""/>
    <m/>
    <x v="2"/>
    <n v="-1"/>
    <n v="-169.38"/>
    <d v="2026-07-04T00:00:00"/>
    <d v="2026-07-04T00:00:00"/>
    <m/>
    <d v="2026-07-06T00:00:00"/>
    <n v="-500"/>
    <x v="0"/>
    <s v="59"/>
    <s v="ค่าวิจัยคุณภาพสินค้า"/>
    <m/>
    <n v="169.38"/>
    <e v="#N/A"/>
    <e v="#N/A"/>
  </r>
  <r>
    <x v="5"/>
    <x v="5"/>
    <s v="0328"/>
    <x v="1"/>
    <s v="GI ค่าวิจัยและพัฒนา"/>
    <s v="4915539507"/>
    <s v="M001"/>
    <x v="22"/>
    <x v="0"/>
    <s v="06:45:42"/>
    <s v="SUTTISIT02"/>
    <s v="0001"/>
    <s v=""/>
    <s v="0000"/>
    <s v=""/>
    <s v="0150985001"/>
    <s v=""/>
    <s v="Top-up 30.6.26.1 P.1"/>
    <s v="405053"/>
    <s v="67501001"/>
    <s v=""/>
    <s v=""/>
    <s v=""/>
    <s v=""/>
    <m/>
    <x v="2"/>
    <n v="-1"/>
    <n v="-169.38"/>
    <d v="2026-07-04T00:00:00"/>
    <d v="2026-07-04T00:00:00"/>
    <m/>
    <d v="2026-07-06T00:00:00"/>
    <n v="-500"/>
    <x v="0"/>
    <s v="59"/>
    <s v="ค่าวิจัยคุณภาพสินค้า"/>
    <m/>
    <n v="169.38"/>
    <e v="#N/A"/>
    <e v="#N/A"/>
  </r>
  <r>
    <x v="5"/>
    <x v="5"/>
    <s v="0328"/>
    <x v="1"/>
    <s v="GI ค่าวิจัยและพัฒนา"/>
    <s v="4915539507"/>
    <s v="M001"/>
    <x v="22"/>
    <x v="0"/>
    <s v="06:45:42"/>
    <s v="SUTTISIT02"/>
    <s v="0002"/>
    <s v=""/>
    <s v="0000"/>
    <s v=""/>
    <s v="0150985001"/>
    <s v=""/>
    <s v="Top-up 30.6.26.1 P.1 (Retain)"/>
    <s v="405053"/>
    <s v="67501001"/>
    <s v=""/>
    <s v=""/>
    <s v=""/>
    <s v=""/>
    <m/>
    <x v="2"/>
    <n v="-1"/>
    <n v="-169.38"/>
    <d v="2026-07-04T00:00:00"/>
    <d v="2026-07-04T00:00:00"/>
    <m/>
    <d v="2026-07-06T00:00:00"/>
    <n v="-500"/>
    <x v="0"/>
    <s v="59"/>
    <s v="ค่าวิจัยคุณภาพสินค้า"/>
    <m/>
    <n v="169.38"/>
    <e v="#N/A"/>
    <e v="#N/A"/>
  </r>
  <r>
    <x v="5"/>
    <x v="5"/>
    <s v="0328"/>
    <x v="1"/>
    <s v="GI ค่าวิจัยและพัฒนา"/>
    <s v="4915544932"/>
    <s v="M001"/>
    <x v="22"/>
    <x v="0"/>
    <s v="09:27:31"/>
    <s v="RAPEESAN01"/>
    <s v="0001"/>
    <s v=""/>
    <s v="0000"/>
    <s v=""/>
    <s v="0150916719"/>
    <s v=""/>
    <s v="เพื่อส่งให้ RD'QA 7-11 ตรวจสอบ"/>
    <s v="405053"/>
    <s v="67501001"/>
    <s v=""/>
    <s v=""/>
    <s v=""/>
    <s v=""/>
    <m/>
    <x v="2"/>
    <n v="-4"/>
    <n v="-677.52"/>
    <d v="2026-07-06T00:00:00"/>
    <d v="2026-07-06T00:00:00"/>
    <m/>
    <d v="2026-07-06T00:00:00"/>
    <n v="-2000"/>
    <x v="0"/>
    <s v="59"/>
    <s v="ค่าวิจัยคุณภาพสินค้า"/>
    <m/>
    <n v="169.38"/>
    <e v="#N/A"/>
    <e v="#N/A"/>
  </r>
  <r>
    <x v="14"/>
    <x v="14"/>
    <s v="0328"/>
    <x v="1"/>
    <s v="GI ค่าวิจัยและพัฒนา"/>
    <s v="4915545415"/>
    <s v="P001"/>
    <x v="19"/>
    <x v="0"/>
    <s v="09:38:02"/>
    <s v="SUTEESEA"/>
    <s v="0002"/>
    <s v=""/>
    <s v="0000"/>
    <s v=""/>
    <s v="0150926736"/>
    <s v=""/>
    <s v="A.CPBF 25.03.26 CL 16:00 Silo 1"/>
    <s v="405053"/>
    <s v="67501001"/>
    <s v=""/>
    <s v=""/>
    <s v=""/>
    <s v=""/>
    <m/>
    <x v="5"/>
    <n v="-500"/>
    <n v="-131.94"/>
    <d v="2026-07-03T00:00:00"/>
    <d v="2026-07-03T00:00:00"/>
    <m/>
    <d v="2026-07-06T00:00:00"/>
    <n v="-500"/>
    <x v="0"/>
    <s v="54"/>
    <s v="ค่าวิจัยคุณภาพสินค้า"/>
    <m/>
    <n v="0.26388"/>
    <e v="#N/A"/>
    <e v="#N/A"/>
  </r>
  <r>
    <x v="14"/>
    <x v="14"/>
    <s v="0328"/>
    <x v="1"/>
    <s v="GI ค่าวิจัยและพัฒนา"/>
    <s v="4915545415"/>
    <s v="P001"/>
    <x v="19"/>
    <x v="0"/>
    <s v="09:38:02"/>
    <s v="SUTEESEA"/>
    <s v="0001"/>
    <s v=""/>
    <s v="0000"/>
    <s v=""/>
    <s v="0150926736"/>
    <s v=""/>
    <s v="A.RPT 20.03.26 CL 13:30 Silo 3"/>
    <s v="405053"/>
    <s v="67501001"/>
    <s v=""/>
    <s v=""/>
    <s v=""/>
    <s v=""/>
    <m/>
    <x v="5"/>
    <n v="-500"/>
    <n v="-131.94"/>
    <d v="2026-07-03T00:00:00"/>
    <d v="2026-07-03T00:00:00"/>
    <m/>
    <d v="2026-07-06T00:00:00"/>
    <n v="-500"/>
    <x v="0"/>
    <s v="54"/>
    <s v="ค่าวิจัยคุณภาพสินค้า"/>
    <m/>
    <n v="0.26388"/>
    <e v="#N/A"/>
    <e v="#N/A"/>
  </r>
  <r>
    <x v="14"/>
    <x v="14"/>
    <s v="0328"/>
    <x v="1"/>
    <s v="GI ค่าวิจัยและพัฒนา"/>
    <s v="4915545494"/>
    <s v="P001"/>
    <x v="19"/>
    <x v="0"/>
    <s v="09:40:08"/>
    <s v="SUTEESEA"/>
    <s v="0001"/>
    <s v=""/>
    <s v="0000"/>
    <s v=""/>
    <s v="0150984885"/>
    <s v=""/>
    <s v="A.CPBF 25.3.26 CL13:45 Silo1"/>
    <s v="405053"/>
    <s v="67501001"/>
    <s v=""/>
    <s v=""/>
    <s v=""/>
    <s v=""/>
    <m/>
    <x v="5"/>
    <n v="-500"/>
    <n v="-131.94"/>
    <d v="2202-07-04T00:00:00"/>
    <d v="2026-07-04T00:00:00"/>
    <m/>
    <d v="2026-07-06T00:00:00"/>
    <n v="-500"/>
    <x v="0"/>
    <s v="54"/>
    <s v="ค่าวิจัยคุณภาพสินค้า"/>
    <m/>
    <n v="0.26388"/>
    <e v="#N/A"/>
    <e v="#N/A"/>
  </r>
  <r>
    <x v="14"/>
    <x v="14"/>
    <s v="0328"/>
    <x v="1"/>
    <s v="GI ค่าวิจัยและพัฒนา"/>
    <s v="4915546208"/>
    <s v="P001"/>
    <x v="19"/>
    <x v="0"/>
    <s v="09:51:30"/>
    <s v="SUTEESEA"/>
    <s v="0001"/>
    <s v=""/>
    <s v="0000"/>
    <s v=""/>
    <s v="0150838057"/>
    <s v=""/>
    <s v="A.RPT 20.03.2026 CL 13:30 Silo 3"/>
    <s v="405053"/>
    <s v="67501001"/>
    <s v=""/>
    <s v=""/>
    <s v=""/>
    <s v=""/>
    <m/>
    <x v="5"/>
    <n v="-500"/>
    <n v="-131.94"/>
    <d v="2026-07-01T00:00:00"/>
    <d v="2026-07-01T00:00:00"/>
    <m/>
    <d v="2026-07-06T00:00:00"/>
    <n v="-500"/>
    <x v="0"/>
    <s v="54"/>
    <s v="ค่าวิจัยคุณภาพสินค้า"/>
    <m/>
    <n v="0.26388"/>
    <e v="#N/A"/>
    <e v="#N/A"/>
  </r>
  <r>
    <x v="7"/>
    <x v="7"/>
    <s v="0328"/>
    <x v="1"/>
    <s v="GI ค่าวิจัยและพัฒนา"/>
    <s v="4915546208"/>
    <s v="P001"/>
    <x v="8"/>
    <x v="0"/>
    <s v="09:51:30"/>
    <s v="SUTEESEA"/>
    <s v="0002"/>
    <s v=""/>
    <s v="0000"/>
    <s v=""/>
    <s v="0150838057"/>
    <s v=""/>
    <s v="R.BBB 16.05.26 CL 16:40 Silo 6"/>
    <s v="405053"/>
    <s v="67501001"/>
    <s v=""/>
    <s v=""/>
    <s v=""/>
    <s v=""/>
    <m/>
    <x v="5"/>
    <n v="-500"/>
    <n v="-77.900000000000006"/>
    <d v="2026-07-01T00:00:00"/>
    <d v="2026-07-01T00:00:00"/>
    <m/>
    <d v="2026-07-06T00:00:00"/>
    <n v="-500"/>
    <x v="0"/>
    <s v="54"/>
    <s v="ค่าวิจัยคุณภาพสินค้า"/>
    <m/>
    <n v="0.15580000000000002"/>
    <e v="#N/A"/>
    <e v="#N/A"/>
  </r>
  <r>
    <x v="6"/>
    <x v="6"/>
    <s v="0328"/>
    <x v="2"/>
    <s v="GD goods issue:delvy"/>
    <s v="4915549544"/>
    <s v="P004"/>
    <x v="7"/>
    <x v="0"/>
    <s v="11:03:18"/>
    <s v="CHONMPRA"/>
    <s v="0001"/>
    <s v=""/>
    <s v="0000"/>
    <s v=""/>
    <s v="0000000000"/>
    <s v=""/>
    <s v=""/>
    <s v=""/>
    <s v="51003100"/>
    <s v=""/>
    <s v=""/>
    <s v=""/>
    <s v="2000124974"/>
    <m/>
    <x v="2"/>
    <n v="-30"/>
    <n v="-5080.8"/>
    <d v="2026-07-06T00:00:00"/>
    <d v="2026-07-06T00:00:00"/>
    <m/>
    <d v="2026-07-06T00:00:00"/>
    <n v="-15000"/>
    <x v="0"/>
    <s v="59"/>
    <s v="ต้นทุนขาย"/>
    <m/>
    <n v="169.36"/>
    <e v="#N/A"/>
    <e v="#N/A"/>
  </r>
  <r>
    <x v="6"/>
    <x v="6"/>
    <s v="0328"/>
    <x v="4"/>
    <s v="GI for order"/>
    <s v="4915549894"/>
    <s v="M001"/>
    <x v="10"/>
    <x v="6"/>
    <s v="11:10:24"/>
    <s v="JURASDOK"/>
    <s v="0002"/>
    <s v=""/>
    <s v="0000"/>
    <s v=""/>
    <s v="0000000000"/>
    <s v=""/>
    <s v="เมล็ดกาแฟ CPR Coffee Bean  MF. 500 G."/>
    <s v=""/>
    <s v="53001000"/>
    <s v=""/>
    <s v=""/>
    <s v=""/>
    <s v=""/>
    <m/>
    <x v="2"/>
    <n v="-5"/>
    <n v="-846.8"/>
    <d v="2026-07-06T00:00:00"/>
    <d v="2026-07-01T00:00:00"/>
    <m/>
    <d v="2026-07-06T00:00:00"/>
    <n v="-2500"/>
    <x v="1"/>
    <s v="59"/>
    <s v="ต้นทุนผลิต-สินค้าสำเร็จรูป"/>
    <m/>
    <n v="169.35999999999999"/>
    <e v="#N/A"/>
    <e v="#N/A"/>
  </r>
  <r>
    <x v="8"/>
    <x v="8"/>
    <s v="0328"/>
    <x v="5"/>
    <s v="GR for order"/>
    <s v="4915549894"/>
    <s v="M001"/>
    <x v="10"/>
    <x v="6"/>
    <s v="11:10:24"/>
    <s v="JURASDOK"/>
    <s v="0001"/>
    <s v=""/>
    <s v="0000"/>
    <s v=""/>
    <s v="0000000000"/>
    <s v=""/>
    <s v=""/>
    <s v=""/>
    <s v="53001001"/>
    <s v=""/>
    <s v=""/>
    <s v=""/>
    <s v=""/>
    <m/>
    <x v="2"/>
    <n v="5"/>
    <n v="846.8"/>
    <d v="2026-07-06T00:00:00"/>
    <d v="2026-07-01T00:00:00"/>
    <m/>
    <d v="2026-07-06T00:00:00"/>
    <n v="2500"/>
    <x v="1"/>
    <s v="59"/>
    <s v="ต้นทุนผลิตโอน F/G"/>
    <m/>
    <n v="169.35999999999999"/>
    <e v="#N/A"/>
    <e v="#N/A"/>
  </r>
  <r>
    <x v="6"/>
    <x v="6"/>
    <s v="0328"/>
    <x v="2"/>
    <s v="GD goods issue:delvy"/>
    <s v="4915560642"/>
    <s v="P004"/>
    <x v="7"/>
    <x v="0"/>
    <s v="13:48:33"/>
    <s v="SONGPCHI"/>
    <s v="0001"/>
    <s v=""/>
    <s v="0000"/>
    <s v=""/>
    <s v="0000000000"/>
    <s v=""/>
    <s v=""/>
    <s v=""/>
    <s v="51003100"/>
    <s v=""/>
    <s v=""/>
    <s v=""/>
    <s v="2000125012"/>
    <m/>
    <x v="2"/>
    <n v="-30"/>
    <n v="-5080.8"/>
    <d v="2026-07-06T00:00:00"/>
    <d v="2026-07-06T00:00:00"/>
    <m/>
    <d v="2026-07-06T00:00:00"/>
    <n v="-15000"/>
    <x v="0"/>
    <s v="59"/>
    <s v="ต้นทุนขาย"/>
    <m/>
    <n v="169.36"/>
    <e v="#N/A"/>
    <e v="#N/A"/>
  </r>
  <r>
    <x v="6"/>
    <x v="6"/>
    <s v="0328"/>
    <x v="2"/>
    <s v="GD goods issue:delvy"/>
    <s v="4915560644"/>
    <s v="P004"/>
    <x v="7"/>
    <x v="0"/>
    <s v="13:49:48"/>
    <s v="SONGPCHI"/>
    <s v="0001"/>
    <s v=""/>
    <s v="0000"/>
    <s v=""/>
    <s v="0000000000"/>
    <s v=""/>
    <s v=""/>
    <s v=""/>
    <s v="51003100"/>
    <s v=""/>
    <s v=""/>
    <s v=""/>
    <s v="2000125013"/>
    <m/>
    <x v="2"/>
    <n v="-2"/>
    <n v="-338.72"/>
    <d v="2026-07-06T00:00:00"/>
    <d v="2026-07-06T00:00:00"/>
    <m/>
    <d v="2026-07-06T00:00:00"/>
    <n v="-1000"/>
    <x v="0"/>
    <s v="59"/>
    <s v="ต้นทุนขาย"/>
    <m/>
    <n v="169.36"/>
    <e v="#N/A"/>
    <e v="#N/A"/>
  </r>
  <r>
    <x v="6"/>
    <x v="6"/>
    <s v="0328"/>
    <x v="2"/>
    <s v="GD goods issue:delvy"/>
    <s v="4915560646"/>
    <s v="P004"/>
    <x v="7"/>
    <x v="0"/>
    <s v="13:51:01"/>
    <s v="SONGPCHI"/>
    <s v="0001"/>
    <s v=""/>
    <s v="0000"/>
    <s v=""/>
    <s v="0000000000"/>
    <s v=""/>
    <s v=""/>
    <s v=""/>
    <s v="51003100"/>
    <s v=""/>
    <s v=""/>
    <s v=""/>
    <s v="2000125014"/>
    <m/>
    <x v="2"/>
    <n v="-2"/>
    <n v="-338.72"/>
    <d v="2026-07-06T00:00:00"/>
    <d v="2026-07-06T00:00:00"/>
    <m/>
    <d v="2026-07-06T00:00:00"/>
    <n v="-1000"/>
    <x v="0"/>
    <s v="59"/>
    <s v="ต้นทุนขาย"/>
    <m/>
    <n v="169.36"/>
    <e v="#N/A"/>
    <e v="#N/A"/>
  </r>
  <r>
    <x v="11"/>
    <x v="11"/>
    <s v="0328"/>
    <x v="0"/>
    <s v="TF trfr plnt to plnt"/>
    <s v="4915570499"/>
    <s v="P003"/>
    <x v="20"/>
    <x v="0"/>
    <s v="14:36:52"/>
    <s v="SUTTISIT02"/>
    <s v="0002"/>
    <s v=""/>
    <s v="0000"/>
    <s v=""/>
    <s v="0000000000"/>
    <s v=""/>
    <s v=""/>
    <s v=""/>
    <s v=""/>
    <s v=""/>
    <s v=""/>
    <s v=""/>
    <s v=""/>
    <m/>
    <x v="0"/>
    <n v="20000"/>
    <n v="0"/>
    <d v="2026-07-06T00:00:00"/>
    <d v="2026-07-06T00:00:00"/>
    <m/>
    <d v="2026-07-06T00:00:00"/>
    <n v="20000"/>
    <x v="0"/>
    <s v="58"/>
    <e v="#N/A"/>
    <m/>
    <n v="0"/>
    <e v="#N/A"/>
    <e v="#N/A"/>
  </r>
  <r>
    <x v="11"/>
    <x v="11"/>
    <s v="0328"/>
    <x v="0"/>
    <s v="TF trfr plnt to plnt"/>
    <s v="4915570499"/>
    <s v="M003"/>
    <x v="20"/>
    <x v="0"/>
    <s v="14:36:52"/>
    <s v="SUTTISIT02"/>
    <s v="0001"/>
    <s v=""/>
    <s v="0000"/>
    <s v=""/>
    <s v="0000000000"/>
    <s v=""/>
    <s v=""/>
    <s v=""/>
    <s v=""/>
    <s v=""/>
    <s v=""/>
    <s v=""/>
    <s v=""/>
    <m/>
    <x v="0"/>
    <n v="-20000"/>
    <n v="0"/>
    <d v="2026-07-06T00:00:00"/>
    <d v="2026-07-06T00:00:00"/>
    <m/>
    <d v="2026-07-06T00:00:00"/>
    <n v="-20000"/>
    <x v="0"/>
    <s v="58"/>
    <e v="#N/A"/>
    <m/>
    <n v="0"/>
    <e v="#N/A"/>
    <e v="#N/A"/>
  </r>
  <r>
    <x v="12"/>
    <x v="12"/>
    <s v="0328"/>
    <x v="0"/>
    <s v="TF trfr plnt to plnt"/>
    <s v="4915570499"/>
    <s v="M003"/>
    <x v="15"/>
    <x v="0"/>
    <s v="14:36:52"/>
    <s v="SUTTISIT02"/>
    <s v="0003"/>
    <s v=""/>
    <s v="0000"/>
    <s v=""/>
    <s v="0000000000"/>
    <s v=""/>
    <s v=""/>
    <s v=""/>
    <s v=""/>
    <s v=""/>
    <s v=""/>
    <s v=""/>
    <s v=""/>
    <m/>
    <x v="0"/>
    <n v="-24000"/>
    <n v="0"/>
    <d v="2026-07-06T00:00:00"/>
    <d v="2026-07-06T00:00:00"/>
    <m/>
    <d v="2026-07-06T00:00:00"/>
    <n v="-24000"/>
    <x v="0"/>
    <s v="58"/>
    <e v="#N/A"/>
    <m/>
    <n v="0"/>
    <e v="#N/A"/>
    <e v="#N/A"/>
  </r>
  <r>
    <x v="12"/>
    <x v="12"/>
    <s v="0328"/>
    <x v="0"/>
    <s v="TF trfr plnt to plnt"/>
    <s v="4915570499"/>
    <s v="P003"/>
    <x v="15"/>
    <x v="0"/>
    <s v="14:36:52"/>
    <s v="SUTTISIT02"/>
    <s v="0004"/>
    <s v=""/>
    <s v="0000"/>
    <s v=""/>
    <s v="0000000000"/>
    <s v=""/>
    <s v=""/>
    <s v=""/>
    <s v=""/>
    <s v=""/>
    <s v=""/>
    <s v=""/>
    <s v=""/>
    <m/>
    <x v="0"/>
    <n v="24000"/>
    <n v="0"/>
    <d v="2026-07-06T00:00:00"/>
    <d v="2026-07-06T00:00:00"/>
    <m/>
    <d v="2026-07-06T00:00:00"/>
    <n v="24000"/>
    <x v="0"/>
    <s v="58"/>
    <e v="#N/A"/>
    <m/>
    <n v="0"/>
    <e v="#N/A"/>
    <e v="#N/A"/>
  </r>
  <r>
    <x v="13"/>
    <x v="13"/>
    <s v="0328"/>
    <x v="0"/>
    <s v="TF trfr plnt to plnt"/>
    <s v="4915570499"/>
    <s v="M003"/>
    <x v="1"/>
    <x v="0"/>
    <s v="14:36:52"/>
    <s v="SUTTISIT02"/>
    <s v="0005"/>
    <s v=""/>
    <s v="0000"/>
    <s v=""/>
    <s v="0000000000"/>
    <s v=""/>
    <s v=""/>
    <s v=""/>
    <s v=""/>
    <s v=""/>
    <s v=""/>
    <s v=""/>
    <s v=""/>
    <m/>
    <x v="0"/>
    <n v="-3000"/>
    <n v="0"/>
    <d v="2026-07-06T00:00:00"/>
    <d v="2026-07-06T00:00:00"/>
    <m/>
    <d v="2026-07-06T00:00:00"/>
    <n v="-3000"/>
    <x v="0"/>
    <s v="58"/>
    <e v="#N/A"/>
    <m/>
    <n v="0"/>
    <e v="#N/A"/>
    <e v="#N/A"/>
  </r>
  <r>
    <x v="13"/>
    <x v="13"/>
    <s v="0328"/>
    <x v="0"/>
    <s v="TF trfr plnt to plnt"/>
    <s v="4915570499"/>
    <s v="P003"/>
    <x v="1"/>
    <x v="0"/>
    <s v="14:36:52"/>
    <s v="SUTTISIT02"/>
    <s v="0006"/>
    <s v=""/>
    <s v="0000"/>
    <s v=""/>
    <s v="0000000000"/>
    <s v=""/>
    <s v=""/>
    <s v=""/>
    <s v=""/>
    <s v=""/>
    <s v=""/>
    <s v=""/>
    <s v=""/>
    <m/>
    <x v="0"/>
    <n v="3000"/>
    <n v="0"/>
    <d v="2026-07-06T00:00:00"/>
    <d v="2026-07-06T00:00:00"/>
    <m/>
    <d v="2026-07-06T00:00:00"/>
    <n v="3000"/>
    <x v="0"/>
    <s v="58"/>
    <e v="#N/A"/>
    <m/>
    <n v="0"/>
    <e v="#N/A"/>
    <e v="#N/A"/>
  </r>
  <r>
    <x v="6"/>
    <x v="6"/>
    <s v="0328"/>
    <x v="2"/>
    <s v="GD goods issue:delvy"/>
    <s v="4915570622"/>
    <s v="P004"/>
    <x v="7"/>
    <x v="0"/>
    <s v="14:36:36"/>
    <s v="CHONMPRA"/>
    <s v="0001"/>
    <s v=""/>
    <s v="0000"/>
    <s v=""/>
    <s v="0000000000"/>
    <s v=""/>
    <s v=""/>
    <s v=""/>
    <s v="51003100"/>
    <s v=""/>
    <s v=""/>
    <s v=""/>
    <s v="2000125034"/>
    <m/>
    <x v="2"/>
    <n v="-40"/>
    <n v="-6774.4"/>
    <d v="2026-07-06T00:00:00"/>
    <d v="2026-07-06T00:00:00"/>
    <m/>
    <d v="2026-07-06T00:00:00"/>
    <n v="-20000"/>
    <x v="0"/>
    <s v="59"/>
    <s v="ต้นทุนขาย"/>
    <m/>
    <n v="169.35999999999999"/>
    <e v="#N/A"/>
    <e v="#N/A"/>
  </r>
  <r>
    <x v="6"/>
    <x v="6"/>
    <s v="0328"/>
    <x v="2"/>
    <s v="GD goods issue:delvy"/>
    <s v="4915570625"/>
    <s v="P004"/>
    <x v="7"/>
    <x v="0"/>
    <s v="14:37:07"/>
    <s v="CHONMPRA"/>
    <s v="0001"/>
    <s v=""/>
    <s v="0000"/>
    <s v=""/>
    <s v="0000000000"/>
    <s v=""/>
    <s v=""/>
    <s v=""/>
    <s v="51003100"/>
    <s v=""/>
    <s v=""/>
    <s v=""/>
    <s v="2000125035"/>
    <m/>
    <x v="2"/>
    <n v="-60"/>
    <n v="-10161.6"/>
    <d v="2026-07-06T00:00:00"/>
    <d v="2026-07-06T00:00:00"/>
    <m/>
    <d v="2026-07-06T00:00:00"/>
    <n v="-30000"/>
    <x v="0"/>
    <s v="59"/>
    <s v="ต้นทุนขาย"/>
    <m/>
    <n v="169.36"/>
    <e v="#N/A"/>
    <e v="#N/A"/>
  </r>
  <r>
    <x v="5"/>
    <x v="5"/>
    <s v="0328"/>
    <x v="2"/>
    <s v="GD goods issue:delvy"/>
    <s v="4915573982"/>
    <s v="M001"/>
    <x v="22"/>
    <x v="0"/>
    <s v="14:47:55"/>
    <s v="RAPEESAN01"/>
    <s v="0001"/>
    <s v=""/>
    <s v="0000"/>
    <s v=""/>
    <s v="0000000000"/>
    <s v=""/>
    <s v=""/>
    <s v=""/>
    <s v="51003100"/>
    <s v=""/>
    <s v=""/>
    <s v=""/>
    <s v="2000125044"/>
    <m/>
    <x v="4"/>
    <n v="-960"/>
    <n v="-975628.80000000005"/>
    <d v="2026-07-06T00:00:00"/>
    <d v="2026-07-06T00:00:00"/>
    <m/>
    <d v="2026-07-06T00:00:00"/>
    <n v="-2880000"/>
    <x v="0"/>
    <s v="59"/>
    <s v="ต้นทุนขาย"/>
    <m/>
    <n v="1016.2800000000001"/>
    <e v="#N/A"/>
    <e v="#N/A"/>
  </r>
  <r>
    <x v="5"/>
    <x v="5"/>
    <s v="0328"/>
    <x v="1"/>
    <s v="GI ค่าวิจัยและพัฒนา"/>
    <s v="4915576111"/>
    <s v="M001"/>
    <x v="22"/>
    <x v="0"/>
    <s v="14:55:55"/>
    <s v="RAPEESAN01"/>
    <s v="0001"/>
    <s v=""/>
    <s v="0000"/>
    <s v=""/>
    <s v="0151039375"/>
    <s v=""/>
    <s v="เพื่อส่งให้ RD'QA 7-11 ตรวจสอบ"/>
    <s v="405053"/>
    <s v="67501001"/>
    <s v=""/>
    <s v=""/>
    <s v=""/>
    <s v=""/>
    <m/>
    <x v="2"/>
    <n v="-2"/>
    <n v="-338.76"/>
    <d v="2026-07-06T00:00:00"/>
    <d v="2026-07-06T00:00:00"/>
    <m/>
    <d v="2026-07-06T00:00:00"/>
    <n v="-1000"/>
    <x v="0"/>
    <s v="59"/>
    <s v="ค่าวิจัยคุณภาพสินค้า"/>
    <m/>
    <n v="169.38"/>
    <e v="#N/A"/>
    <e v="#N/A"/>
  </r>
  <r>
    <x v="9"/>
    <x v="9"/>
    <s v="0328"/>
    <x v="1"/>
    <s v="GI ค่าวิจัยและพัฒนา"/>
    <s v="4915581159"/>
    <s v="M001"/>
    <x v="12"/>
    <x v="0"/>
    <s v="16:08:00"/>
    <s v="PRONDTAN"/>
    <s v="0002"/>
    <s v=""/>
    <s v="0000"/>
    <s v=""/>
    <s v="0150837994"/>
    <s v=""/>
    <s v="ตรวจปล่อย 01.07.26.1"/>
    <s v="405053"/>
    <s v="67501001"/>
    <s v=""/>
    <s v=""/>
    <s v=""/>
    <s v=""/>
    <m/>
    <x v="2"/>
    <n v="-1"/>
    <n v="-143.07"/>
    <d v="2026-07-01T00:00:00"/>
    <d v="2026-07-06T00:00:00"/>
    <m/>
    <d v="2026-07-06T00:00:00"/>
    <n v="-500"/>
    <x v="0"/>
    <s v="59"/>
    <s v="ค่าวิจัยคุณภาพสินค้า"/>
    <m/>
    <n v="143.07"/>
    <e v="#N/A"/>
    <e v="#N/A"/>
  </r>
  <r>
    <x v="8"/>
    <x v="8"/>
    <s v="0328"/>
    <x v="1"/>
    <s v="GI ค่าวิจัยและพัฒนา"/>
    <s v="4915581159"/>
    <s v="M001"/>
    <x v="10"/>
    <x v="0"/>
    <s v="16:08:00"/>
    <s v="PRONDTAN"/>
    <s v="0001"/>
    <s v=""/>
    <s v="0000"/>
    <s v=""/>
    <s v="0150837994"/>
    <s v=""/>
    <s v="ตรวจปล่อย 01.07.26.1"/>
    <s v="405053"/>
    <s v="67501001"/>
    <s v=""/>
    <s v=""/>
    <s v=""/>
    <s v=""/>
    <m/>
    <x v="2"/>
    <n v="-2"/>
    <n v="-338.72"/>
    <d v="2026-07-01T00:00:00"/>
    <d v="2026-07-06T00:00:00"/>
    <m/>
    <d v="2026-07-06T00:00:00"/>
    <n v="-1000"/>
    <x v="0"/>
    <s v="59"/>
    <s v="ค่าวิจัยคุณภาพสินค้า"/>
    <m/>
    <n v="169.36"/>
    <e v="#N/A"/>
    <e v="#N/A"/>
  </r>
  <r>
    <x v="5"/>
    <x v="5"/>
    <s v="0328"/>
    <x v="1"/>
    <s v="GI ค่าวิจัยและพัฒนา"/>
    <s v="4915591171"/>
    <s v="M001"/>
    <x v="22"/>
    <x v="0"/>
    <s v="19:47:19"/>
    <s v="RAPEESAN01"/>
    <s v="0001"/>
    <s v=""/>
    <s v="0000"/>
    <s v=""/>
    <s v="0151057837"/>
    <s v=""/>
    <s v="Top Up 01.07.26.2 A012R002"/>
    <s v="405053"/>
    <s v="67501001"/>
    <s v=""/>
    <s v=""/>
    <s v=""/>
    <s v=""/>
    <m/>
    <x v="2"/>
    <n v="-8"/>
    <n v="-1355.04"/>
    <d v="2026-07-06T00:00:00"/>
    <d v="2026-07-06T00:00:00"/>
    <m/>
    <d v="2026-07-06T00:00:00"/>
    <n v="-4000"/>
    <x v="0"/>
    <s v="59"/>
    <s v="ค่าวิจัยคุณภาพสินค้า"/>
    <m/>
    <n v="169.38"/>
    <e v="#N/A"/>
    <e v="#N/A"/>
  </r>
  <r>
    <x v="5"/>
    <x v="5"/>
    <s v="0328"/>
    <x v="1"/>
    <s v="GI ค่าวิจัยและพัฒนา"/>
    <s v="4915591171"/>
    <s v="M001"/>
    <x v="22"/>
    <x v="0"/>
    <s v="19:47:19"/>
    <s v="RAPEESAN01"/>
    <s v="0002"/>
    <s v=""/>
    <s v="0000"/>
    <s v=""/>
    <s v="0151057837"/>
    <s v=""/>
    <s v="Top Up 01.07.26.3 A012R002"/>
    <s v="405053"/>
    <s v="67501001"/>
    <s v=""/>
    <s v=""/>
    <s v=""/>
    <s v=""/>
    <m/>
    <x v="2"/>
    <n v="-4"/>
    <n v="-677.52"/>
    <d v="2026-07-06T00:00:00"/>
    <d v="2026-07-06T00:00:00"/>
    <m/>
    <d v="2026-07-06T00:00:00"/>
    <n v="-2000"/>
    <x v="0"/>
    <s v="59"/>
    <s v="ค่าวิจัยคุณภาพสินค้า"/>
    <m/>
    <n v="169.38"/>
    <e v="#N/A"/>
    <e v="#N/A"/>
  </r>
  <r>
    <x v="5"/>
    <x v="5"/>
    <s v="0328"/>
    <x v="1"/>
    <s v="GI ค่าวิจัยและพัฒนา"/>
    <s v="4915591175"/>
    <s v="M001"/>
    <x v="22"/>
    <x v="0"/>
    <s v="19:48:45"/>
    <s v="RAPEESAN01"/>
    <s v="0001"/>
    <s v=""/>
    <s v="0000"/>
    <s v=""/>
    <s v="0151059866"/>
    <s v=""/>
    <s v="01.07.26.3 P.16 ชิมรสชาติ"/>
    <s v="405053"/>
    <s v="67501001"/>
    <s v=""/>
    <s v=""/>
    <s v=""/>
    <s v=""/>
    <m/>
    <x v="2"/>
    <n v="-1"/>
    <n v="-169.38"/>
    <d v="2026-07-06T00:00:00"/>
    <d v="2026-07-06T00:00:00"/>
    <m/>
    <d v="2026-07-06T00:00:00"/>
    <n v="-500"/>
    <x v="0"/>
    <s v="59"/>
    <s v="ค่าวิจัยคุณภาพสินค้า"/>
    <m/>
    <n v="169.38"/>
    <e v="#N/A"/>
    <e v="#N/A"/>
  </r>
  <r>
    <x v="5"/>
    <x v="5"/>
    <s v="0328"/>
    <x v="2"/>
    <s v="GD goods issue:delvy"/>
    <s v="4915591268"/>
    <s v="M001"/>
    <x v="24"/>
    <x v="0"/>
    <s v="19:57:27"/>
    <s v="RAPEESAN01"/>
    <s v="0002"/>
    <s v=""/>
    <s v="0000"/>
    <s v=""/>
    <s v="0000000000"/>
    <s v=""/>
    <s v=""/>
    <s v=""/>
    <s v="51003100"/>
    <s v=""/>
    <s v=""/>
    <s v=""/>
    <s v="2000125050"/>
    <m/>
    <x v="4"/>
    <n v="-901"/>
    <n v="-915668.28"/>
    <d v="2026-07-06T00:00:00"/>
    <d v="2026-07-06T00:00:00"/>
    <m/>
    <d v="2026-07-06T00:00:00"/>
    <n v="-2703000"/>
    <x v="0"/>
    <s v="59"/>
    <s v="ต้นทุนขาย"/>
    <m/>
    <n v="1016.2800000000001"/>
    <e v="#N/A"/>
    <e v="#N/A"/>
  </r>
  <r>
    <x v="5"/>
    <x v="5"/>
    <s v="0328"/>
    <x v="2"/>
    <s v="GD goods issue:delvy"/>
    <s v="4915591268"/>
    <s v="M001"/>
    <x v="22"/>
    <x v="0"/>
    <s v="19:57:27"/>
    <s v="RAPEESAN01"/>
    <s v="0001"/>
    <s v=""/>
    <s v="0000"/>
    <s v=""/>
    <s v="0000000000"/>
    <s v=""/>
    <s v=""/>
    <s v=""/>
    <s v="51003100"/>
    <s v=""/>
    <s v=""/>
    <s v=""/>
    <s v="2000125050"/>
    <m/>
    <x v="4"/>
    <n v="-1019"/>
    <n v="-1035589.32"/>
    <d v="2026-07-06T00:00:00"/>
    <d v="2026-07-06T00:00:00"/>
    <m/>
    <d v="2026-07-06T00:00:00"/>
    <n v="-3057000"/>
    <x v="0"/>
    <s v="59"/>
    <s v="ต้นทุนขาย"/>
    <m/>
    <n v="1016.28"/>
    <e v="#N/A"/>
    <e v="#N/A"/>
  </r>
  <r>
    <x v="5"/>
    <x v="5"/>
    <s v="0328"/>
    <x v="2"/>
    <s v="GD goods issue:delvy"/>
    <s v="4915591331"/>
    <s v="M001"/>
    <x v="24"/>
    <x v="0"/>
    <s v="19:58:25"/>
    <s v="RAPEESAN01"/>
    <s v="0001"/>
    <s v=""/>
    <s v="0000"/>
    <s v=""/>
    <s v="0000000000"/>
    <s v=""/>
    <s v=""/>
    <s v=""/>
    <s v="51003100"/>
    <s v=""/>
    <s v=""/>
    <s v=""/>
    <s v="2000125051"/>
    <m/>
    <x v="4"/>
    <n v="-1920"/>
    <n v="-1951257.6000000001"/>
    <d v="2026-07-06T00:00:00"/>
    <d v="2026-07-06T00:00:00"/>
    <m/>
    <d v="2026-07-06T00:00:00"/>
    <n v="-5760000"/>
    <x v="0"/>
    <s v="59"/>
    <s v="ต้นทุนขาย"/>
    <m/>
    <n v="1016.2800000000001"/>
    <e v="#N/A"/>
    <e v="#N/A"/>
  </r>
  <r>
    <x v="5"/>
    <x v="5"/>
    <s v="0328"/>
    <x v="1"/>
    <s v="GI ค่าวิจัยและพัฒนา"/>
    <s v="4915592071"/>
    <s v="M001"/>
    <x v="24"/>
    <x v="0"/>
    <s v="20:40:16"/>
    <s v="RAPEESAN01"/>
    <s v="0001"/>
    <s v=""/>
    <s v="0000"/>
    <s v=""/>
    <s v="0151055123"/>
    <s v=""/>
    <s v="เพื่อส่งให้ RD'QA 7-11 ตรวจสอบ"/>
    <s v="405053"/>
    <s v="67501001"/>
    <s v=""/>
    <s v=""/>
    <s v=""/>
    <s v=""/>
    <m/>
    <x v="2"/>
    <n v="-4"/>
    <n v="-677.52"/>
    <d v="2026-07-06T00:00:00"/>
    <d v="2026-07-06T00:00:00"/>
    <m/>
    <d v="2026-07-06T00:00:00"/>
    <n v="-2000"/>
    <x v="0"/>
    <s v="59"/>
    <s v="ค่าวิจัยคุณภาพสินค้า"/>
    <m/>
    <n v="169.38"/>
    <e v="#N/A"/>
    <e v="#N/A"/>
  </r>
  <r>
    <x v="14"/>
    <x v="14"/>
    <s v="0328"/>
    <x v="3"/>
    <s v="TF trfr within plant"/>
    <s v="4915641006"/>
    <s v="P001"/>
    <x v="25"/>
    <x v="0"/>
    <s v="11:07:37"/>
    <s v="PRONDTAN"/>
    <s v="0002"/>
    <s v=""/>
    <s v="0000"/>
    <s v=""/>
    <s v="0000000000"/>
    <s v=""/>
    <s v=""/>
    <s v=""/>
    <s v=""/>
    <s v=""/>
    <s v=""/>
    <s v=""/>
    <s v=""/>
    <m/>
    <x v="3"/>
    <n v="14936.9"/>
    <n v="0"/>
    <d v="2026-07-07T00:00:00"/>
    <d v="2026-07-07T00:00:00"/>
    <m/>
    <d v="2026-07-07T00:00:00"/>
    <n v="14936900"/>
    <x v="0"/>
    <s v="54"/>
    <e v="#N/A"/>
    <m/>
    <n v="0"/>
    <e v="#N/A"/>
    <e v="#N/A"/>
  </r>
  <r>
    <x v="14"/>
    <x v="14"/>
    <s v="0328"/>
    <x v="3"/>
    <s v="TF trfr within plant"/>
    <s v="4915641006"/>
    <s v="M002"/>
    <x v="25"/>
    <x v="0"/>
    <s v="11:07:37"/>
    <s v="PRONDTAN"/>
    <s v="0001"/>
    <s v=""/>
    <s v="0000"/>
    <s v=""/>
    <s v="0000000000"/>
    <s v=""/>
    <s v=""/>
    <s v=""/>
    <s v=""/>
    <s v=""/>
    <s v=""/>
    <s v=""/>
    <s v=""/>
    <m/>
    <x v="3"/>
    <n v="-14936.9"/>
    <n v="0"/>
    <d v="2026-07-07T00:00:00"/>
    <d v="2026-07-07T00:00:00"/>
    <m/>
    <d v="2026-07-07T00:00:00"/>
    <n v="-14936900"/>
    <x v="0"/>
    <s v="54"/>
    <e v="#N/A"/>
    <m/>
    <n v="0"/>
    <e v="#N/A"/>
    <e v="#N/A"/>
  </r>
  <r>
    <x v="7"/>
    <x v="7"/>
    <s v="0328"/>
    <x v="3"/>
    <s v="TF trfr within plant"/>
    <s v="4915641006"/>
    <s v="M002"/>
    <x v="8"/>
    <x v="0"/>
    <s v="11:07:37"/>
    <s v="PRONDTAN"/>
    <s v="0003"/>
    <s v=""/>
    <s v="0000"/>
    <s v=""/>
    <s v="0000000000"/>
    <s v=""/>
    <s v=""/>
    <s v=""/>
    <s v=""/>
    <s v=""/>
    <s v=""/>
    <s v=""/>
    <s v=""/>
    <m/>
    <x v="3"/>
    <n v="-9988.2000000000007"/>
    <n v="0"/>
    <d v="2026-07-07T00:00:00"/>
    <d v="2026-07-07T00:00:00"/>
    <m/>
    <d v="2026-07-07T00:00:00"/>
    <n v="-9988200"/>
    <x v="0"/>
    <s v="54"/>
    <e v="#N/A"/>
    <m/>
    <n v="0"/>
    <e v="#N/A"/>
    <e v="#N/A"/>
  </r>
  <r>
    <x v="7"/>
    <x v="7"/>
    <s v="0328"/>
    <x v="3"/>
    <s v="TF trfr within plant"/>
    <s v="4915641006"/>
    <s v="P001"/>
    <x v="8"/>
    <x v="0"/>
    <s v="11:07:37"/>
    <s v="PRONDTAN"/>
    <s v="0004"/>
    <s v=""/>
    <s v="0000"/>
    <s v=""/>
    <s v="0000000000"/>
    <s v=""/>
    <s v=""/>
    <s v=""/>
    <s v=""/>
    <s v=""/>
    <s v=""/>
    <s v=""/>
    <s v=""/>
    <m/>
    <x v="3"/>
    <n v="9988.2000000000007"/>
    <n v="0"/>
    <d v="2026-07-07T00:00:00"/>
    <d v="2026-07-07T00:00:00"/>
    <m/>
    <d v="2026-07-07T00:00:00"/>
    <n v="9988200"/>
    <x v="0"/>
    <s v="54"/>
    <e v="#N/A"/>
    <m/>
    <n v="0"/>
    <e v="#N/A"/>
    <e v="#N/A"/>
  </r>
  <r>
    <x v="11"/>
    <x v="11"/>
    <s v="0328"/>
    <x v="7"/>
    <s v="GR phys.inv.: whse"/>
    <s v="4915648802"/>
    <s v="M003"/>
    <x v="14"/>
    <x v="0"/>
    <s v="13:39:20"/>
    <s v="WANNENUA"/>
    <s v="0001"/>
    <s v=""/>
    <s v="0000"/>
    <s v=""/>
    <s v="0000000000"/>
    <s v=""/>
    <s v=""/>
    <s v=""/>
    <s v="51004001"/>
    <s v=""/>
    <s v=""/>
    <s v=""/>
    <s v=""/>
    <m/>
    <x v="0"/>
    <n v="12579"/>
    <n v="10638.91"/>
    <d v="2026-07-07T00:00:00"/>
    <d v="2026-07-07T00:00:00"/>
    <m/>
    <d v="2026-07-07T00:00:00"/>
    <n v="12579"/>
    <x v="0"/>
    <s v="58"/>
    <s v="สินค้าขาด(เกิน)บัญชี"/>
    <m/>
    <n v="0.84576754908975271"/>
    <e v="#N/A"/>
    <e v="#N/A"/>
  </r>
  <r>
    <x v="1"/>
    <x v="1"/>
    <s v="0328"/>
    <x v="7"/>
    <s v="GR phys.inv.: whse"/>
    <s v="4915648802"/>
    <s v="M003"/>
    <x v="1"/>
    <x v="0"/>
    <s v="13:39:20"/>
    <s v="WANNENUA"/>
    <s v="0002"/>
    <s v=""/>
    <s v="0000"/>
    <s v=""/>
    <s v="0000000000"/>
    <s v=""/>
    <s v=""/>
    <s v=""/>
    <s v="51004001"/>
    <s v=""/>
    <s v=""/>
    <s v=""/>
    <s v=""/>
    <m/>
    <x v="0"/>
    <n v="2"/>
    <n v="4.12"/>
    <d v="2026-07-07T00:00:00"/>
    <d v="2026-07-07T00:00:00"/>
    <m/>
    <d v="2026-07-07T00:00:00"/>
    <n v="2"/>
    <x v="0"/>
    <s v="58"/>
    <s v="สินค้าขาด(เกิน)บัญชี"/>
    <m/>
    <n v="2.06"/>
    <e v="#N/A"/>
    <e v="#N/A"/>
  </r>
  <r>
    <x v="3"/>
    <x v="3"/>
    <s v="0328"/>
    <x v="7"/>
    <s v="GR phys.inv.: whse"/>
    <s v="4915648802"/>
    <s v="M003"/>
    <x v="4"/>
    <x v="0"/>
    <s v="13:39:20"/>
    <s v="WANNENUA"/>
    <s v="0003"/>
    <s v=""/>
    <s v="0000"/>
    <s v=""/>
    <s v="0000000000"/>
    <s v=""/>
    <s v=""/>
    <s v=""/>
    <s v="51004001"/>
    <s v=""/>
    <s v=""/>
    <s v=""/>
    <s v=""/>
    <m/>
    <x v="1"/>
    <n v="8"/>
    <n v="9.2799999999999994"/>
    <d v="2026-07-07T00:00:00"/>
    <d v="2026-07-07T00:00:00"/>
    <m/>
    <d v="2026-07-07T00:00:00"/>
    <n v="8"/>
    <x v="0"/>
    <s v="58"/>
    <s v="สินค้าขาด(เกิน)บัญชี"/>
    <m/>
    <n v="1.1599999999999999"/>
    <e v="#N/A"/>
    <e v="#N/A"/>
  </r>
  <r>
    <x v="15"/>
    <x v="15"/>
    <s v="0328"/>
    <x v="7"/>
    <s v="GR phys.inv.: whse"/>
    <s v="4915648802"/>
    <s v="M003"/>
    <x v="26"/>
    <x v="0"/>
    <s v="13:39:20"/>
    <s v="WANNENUA"/>
    <s v="0004"/>
    <s v=""/>
    <s v="0000"/>
    <s v=""/>
    <s v="0000000000"/>
    <s v=""/>
    <s v=""/>
    <s v=""/>
    <s v="51004001"/>
    <s v=""/>
    <s v=""/>
    <s v=""/>
    <s v=""/>
    <m/>
    <x v="1"/>
    <n v="160"/>
    <n v="304"/>
    <d v="2026-07-07T00:00:00"/>
    <d v="2026-07-07T00:00:00"/>
    <m/>
    <d v="2026-07-07T00:00:00"/>
    <n v="160"/>
    <x v="0"/>
    <s v="58"/>
    <s v="สินค้าขาด(เกิน)บัญชี"/>
    <m/>
    <n v="1.9"/>
    <e v="#N/A"/>
    <e v="#N/A"/>
  </r>
  <r>
    <x v="16"/>
    <x v="16"/>
    <s v="0328"/>
    <x v="7"/>
    <s v="GR phys.inv.: whse"/>
    <s v="4915648802"/>
    <s v="M003"/>
    <x v="27"/>
    <x v="0"/>
    <s v="13:39:20"/>
    <s v="WANNENUA"/>
    <s v="0005"/>
    <s v=""/>
    <s v="0000"/>
    <s v=""/>
    <s v="0000000000"/>
    <s v=""/>
    <s v=""/>
    <s v=""/>
    <s v="51004001"/>
    <s v=""/>
    <s v=""/>
    <s v=""/>
    <s v=""/>
    <m/>
    <x v="0"/>
    <n v="1"/>
    <n v="4.4000000000000004"/>
    <d v="2026-07-07T00:00:00"/>
    <d v="2026-07-07T00:00:00"/>
    <m/>
    <d v="2026-07-07T00:00:00"/>
    <n v="1"/>
    <x v="0"/>
    <s v="58"/>
    <s v="สินค้าขาด(เกิน)บัญชี"/>
    <m/>
    <n v="4.4000000000000004"/>
    <e v="#N/A"/>
    <e v="#N/A"/>
  </r>
  <r>
    <x v="14"/>
    <x v="14"/>
    <s v="0328"/>
    <x v="7"/>
    <s v="GR phys.inv.: whse"/>
    <s v="4915649042"/>
    <s v="M002"/>
    <x v="28"/>
    <x v="0"/>
    <s v="13:46:39"/>
    <s v="WANNENUA"/>
    <s v="0001"/>
    <s v=""/>
    <s v="0000"/>
    <s v=""/>
    <s v="0000000000"/>
    <s v=""/>
    <s v=""/>
    <s v=""/>
    <s v="51004001"/>
    <s v=""/>
    <s v=""/>
    <s v=""/>
    <s v=""/>
    <m/>
    <x v="5"/>
    <n v="38840"/>
    <n v="10248.719999999999"/>
    <d v="2026-07-07T00:00:00"/>
    <d v="2026-07-07T00:00:00"/>
    <m/>
    <d v="2026-07-07T00:00:00"/>
    <n v="38840"/>
    <x v="0"/>
    <s v="54"/>
    <s v="สินค้าขาด(เกิน)บัญชี"/>
    <m/>
    <n v="0.26387023686920696"/>
    <e v="#N/A"/>
    <e v="#N/A"/>
  </r>
  <r>
    <x v="7"/>
    <x v="7"/>
    <s v="0328"/>
    <x v="7"/>
    <s v="GR phys.inv.: whse"/>
    <s v="4915649042"/>
    <s v="M002"/>
    <x v="8"/>
    <x v="0"/>
    <s v="13:46:39"/>
    <s v="WANNENUA"/>
    <s v="0002"/>
    <s v=""/>
    <s v="0000"/>
    <s v=""/>
    <s v="0000000000"/>
    <s v=""/>
    <s v=""/>
    <s v=""/>
    <s v="51004001"/>
    <s v=""/>
    <s v=""/>
    <s v=""/>
    <s v=""/>
    <m/>
    <x v="5"/>
    <n v="1390"/>
    <n v="216.56"/>
    <d v="2026-07-07T00:00:00"/>
    <d v="2026-07-07T00:00:00"/>
    <m/>
    <d v="2026-07-07T00:00:00"/>
    <n v="1390"/>
    <x v="0"/>
    <s v="54"/>
    <s v="สินค้าขาด(เกิน)บัญชี"/>
    <m/>
    <n v="0.15579856115107915"/>
    <e v="#N/A"/>
    <e v="#N/A"/>
  </r>
  <r>
    <x v="17"/>
    <x v="17"/>
    <s v="0328"/>
    <x v="7"/>
    <s v="GR phys.inv.: whse"/>
    <s v="4915649048"/>
    <s v="P002"/>
    <x v="29"/>
    <x v="0"/>
    <s v="13:49:52"/>
    <s v="WANNENUA"/>
    <s v="0001"/>
    <s v=""/>
    <s v="0000"/>
    <s v=""/>
    <s v="0000000000"/>
    <s v=""/>
    <s v=""/>
    <s v=""/>
    <s v="51004001"/>
    <s v=""/>
    <s v=""/>
    <s v=""/>
    <s v=""/>
    <m/>
    <x v="5"/>
    <n v="45200"/>
    <n v="12194.51"/>
    <d v="2026-07-07T00:00:00"/>
    <d v="2026-07-07T00:00:00"/>
    <m/>
    <d v="2026-07-07T00:00:00"/>
    <n v="45200"/>
    <x v="0"/>
    <s v="57"/>
    <s v="สินค้าขาด(เกิน)บัญชี"/>
    <m/>
    <n v="0.26979004424778763"/>
    <e v="#N/A"/>
    <e v="#N/A"/>
  </r>
  <r>
    <x v="18"/>
    <x v="18"/>
    <s v="0328"/>
    <x v="8"/>
    <s v="GI phys.inv.: whse"/>
    <s v="4915649250"/>
    <s v="P002"/>
    <x v="23"/>
    <x v="0"/>
    <s v="13:55:27"/>
    <s v="WANNENUA"/>
    <s v="0001"/>
    <s v=""/>
    <s v="0000"/>
    <s v=""/>
    <s v="0000000000"/>
    <s v=""/>
    <s v=""/>
    <s v=""/>
    <s v="51004001"/>
    <s v=""/>
    <s v=""/>
    <s v=""/>
    <s v=""/>
    <m/>
    <x v="5"/>
    <n v="-70"/>
    <n v="-18.89"/>
    <d v="2026-07-07T00:00:00"/>
    <d v="2026-07-07T00:00:00"/>
    <m/>
    <d v="2026-07-07T00:00:00"/>
    <n v="-70"/>
    <x v="0"/>
    <s v="57"/>
    <s v="สินค้าขาด(เกิน)บัญชี"/>
    <m/>
    <n v="0.26985714285714285"/>
    <e v="#N/A"/>
    <e v="#N/A"/>
  </r>
  <r>
    <x v="19"/>
    <x v="19"/>
    <s v="0328"/>
    <x v="8"/>
    <s v="GI phys.inv.: whse"/>
    <s v="4915649250"/>
    <s v="P002"/>
    <x v="30"/>
    <x v="0"/>
    <s v="13:55:27"/>
    <s v="WANNENUA"/>
    <s v="0002"/>
    <s v=""/>
    <s v="0000"/>
    <s v=""/>
    <s v="0000000000"/>
    <s v=""/>
    <s v=""/>
    <s v=""/>
    <s v="51004001"/>
    <s v=""/>
    <s v=""/>
    <s v=""/>
    <s v=""/>
    <m/>
    <x v="5"/>
    <n v="-60"/>
    <n v="-9.64"/>
    <d v="2026-07-07T00:00:00"/>
    <d v="2026-07-07T00:00:00"/>
    <m/>
    <d v="2026-07-07T00:00:00"/>
    <n v="-60"/>
    <x v="0"/>
    <s v="57"/>
    <s v="สินค้าขาด(เกิน)บัญชี"/>
    <m/>
    <n v="0.16066666666666668"/>
    <e v="#N/A"/>
    <e v="#N/A"/>
  </r>
  <r>
    <x v="20"/>
    <x v="20"/>
    <s v="0328"/>
    <x v="8"/>
    <s v="GI phys.inv.: whse"/>
    <s v="4915649250"/>
    <s v="P002"/>
    <x v="31"/>
    <x v="0"/>
    <s v="13:55:27"/>
    <s v="WANNENUA"/>
    <s v="0003"/>
    <s v=""/>
    <s v="0000"/>
    <s v=""/>
    <s v="0000000000"/>
    <s v=""/>
    <s v=""/>
    <s v=""/>
    <s v="51004001"/>
    <s v=""/>
    <s v=""/>
    <s v=""/>
    <s v=""/>
    <m/>
    <x v="5"/>
    <n v="-199810"/>
    <n v="-32093.48"/>
    <d v="2026-07-07T00:00:00"/>
    <d v="2026-07-07T00:00:00"/>
    <m/>
    <d v="2026-07-07T00:00:00"/>
    <n v="-199810"/>
    <x v="0"/>
    <s v="57"/>
    <s v="สินค้าขาด(เกิน)บัญชี"/>
    <m/>
    <n v="0.16061998898954005"/>
    <e v="#N/A"/>
    <e v="#N/A"/>
  </r>
  <r>
    <x v="14"/>
    <x v="14"/>
    <s v="0328"/>
    <x v="1"/>
    <s v="GI ค่าวิจัยและพัฒนา"/>
    <s v="4915649345"/>
    <s v="P001"/>
    <x v="19"/>
    <x v="0"/>
    <s v="13:56:18"/>
    <s v="SUTEESEA"/>
    <s v="0001"/>
    <s v=""/>
    <s v="0000"/>
    <s v=""/>
    <s v="0151058431"/>
    <s v=""/>
    <s v="A.RPT 20.03.26 CL13.30 Silo 1"/>
    <s v="405053"/>
    <s v="67501001"/>
    <s v=""/>
    <s v=""/>
    <s v=""/>
    <s v=""/>
    <m/>
    <x v="5"/>
    <n v="-500"/>
    <n v="-131.94"/>
    <d v="2026-07-07T00:00:00"/>
    <d v="2026-07-07T00:00:00"/>
    <m/>
    <d v="2026-07-07T00:00:00"/>
    <n v="-500"/>
    <x v="0"/>
    <s v="54"/>
    <s v="ค่าวิจัยคุณภาพสินค้า"/>
    <m/>
    <n v="0.26388"/>
    <e v="#N/A"/>
    <e v="#N/A"/>
  </r>
  <r>
    <x v="12"/>
    <x v="12"/>
    <s v="0328"/>
    <x v="8"/>
    <s v="GI phys.inv.: whse"/>
    <s v="4915649377"/>
    <s v="M003"/>
    <x v="15"/>
    <x v="0"/>
    <s v="13:57:59"/>
    <s v="WANNENUA"/>
    <s v="0001"/>
    <s v=""/>
    <s v="0000"/>
    <s v=""/>
    <s v="0000000000"/>
    <s v=""/>
    <s v=""/>
    <s v=""/>
    <s v="51004001"/>
    <s v=""/>
    <s v=""/>
    <s v=""/>
    <s v=""/>
    <m/>
    <x v="0"/>
    <n v="-51"/>
    <n v="-106.26"/>
    <d v="2026-07-07T00:00:00"/>
    <d v="2026-07-07T00:00:00"/>
    <m/>
    <d v="2026-07-07T00:00:00"/>
    <n v="-51"/>
    <x v="0"/>
    <s v="58"/>
    <s v="สินค้าขาด(เกิน)บัญชี"/>
    <m/>
    <n v="2.0835294117647059"/>
    <e v="#N/A"/>
    <e v="#N/A"/>
  </r>
  <r>
    <x v="14"/>
    <x v="14"/>
    <s v="0328"/>
    <x v="4"/>
    <s v="GI for order"/>
    <s v="4915654773"/>
    <s v="P001"/>
    <x v="25"/>
    <x v="7"/>
    <s v="14:20:15"/>
    <s v="SUTEESEA"/>
    <s v="0001"/>
    <s v=""/>
    <s v="0000"/>
    <s v=""/>
    <s v="0151099741"/>
    <s v=""/>
    <s v=""/>
    <s v=""/>
    <s v="53002000"/>
    <s v=""/>
    <s v=""/>
    <s v=""/>
    <s v=""/>
    <m/>
    <x v="3"/>
    <n v="-14936.9"/>
    <n v="-3941403.08"/>
    <d v="2026-07-07T00:00:00"/>
    <d v="2026-07-06T00:00:00"/>
    <m/>
    <d v="2026-07-07T00:00:00"/>
    <n v="-14936900"/>
    <x v="3"/>
    <s v="54"/>
    <s v="ต้นทุนผลิต-วัตถุดิบ"/>
    <m/>
    <n v="263.87021938956548"/>
    <e v="#N/A"/>
    <e v="#N/A"/>
  </r>
  <r>
    <x v="6"/>
    <x v="6"/>
    <s v="0328"/>
    <x v="2"/>
    <s v="GD goods issue:delvy"/>
    <s v="4915655103"/>
    <s v="P004"/>
    <x v="7"/>
    <x v="0"/>
    <s v="14:21:16"/>
    <s v="SONGPCHI"/>
    <s v="0001"/>
    <s v=""/>
    <s v="0000"/>
    <s v=""/>
    <s v="0000000000"/>
    <s v=""/>
    <s v=""/>
    <s v=""/>
    <s v="51003100"/>
    <s v=""/>
    <s v=""/>
    <s v=""/>
    <s v="2000125159"/>
    <m/>
    <x v="2"/>
    <n v="-2"/>
    <n v="-338.72"/>
    <d v="2026-07-07T00:00:00"/>
    <d v="2026-07-07T00:00:00"/>
    <m/>
    <d v="2026-07-07T00:00:00"/>
    <n v="-1000"/>
    <x v="0"/>
    <s v="59"/>
    <s v="ต้นทุนขาย"/>
    <m/>
    <n v="169.36"/>
    <e v="#N/A"/>
    <e v="#N/A"/>
  </r>
  <r>
    <x v="21"/>
    <x v="21"/>
    <s v="0328"/>
    <x v="2"/>
    <s v="GD goods issue:delvy"/>
    <s v="4915655103"/>
    <s v="P004"/>
    <x v="32"/>
    <x v="0"/>
    <s v="14:21:16"/>
    <s v="SONGPCHI"/>
    <s v="0003"/>
    <s v=""/>
    <s v="0000"/>
    <s v=""/>
    <s v="0000000000"/>
    <s v=""/>
    <s v=""/>
    <s v=""/>
    <s v="51003100"/>
    <s v=""/>
    <s v=""/>
    <s v=""/>
    <s v="2000125159"/>
    <m/>
    <x v="2"/>
    <n v="-4"/>
    <n v="-318.44"/>
    <d v="2026-07-07T00:00:00"/>
    <d v="2026-07-07T00:00:00"/>
    <m/>
    <d v="2026-07-07T00:00:00"/>
    <n v="-1000"/>
    <x v="0"/>
    <s v="59"/>
    <s v="ต้นทุนขาย"/>
    <m/>
    <n v="79.61"/>
    <e v="#N/A"/>
    <e v="#N/A"/>
  </r>
  <r>
    <x v="10"/>
    <x v="10"/>
    <s v="0328"/>
    <x v="2"/>
    <s v="GD goods issue:delvy"/>
    <s v="4915655103"/>
    <s v="P004"/>
    <x v="13"/>
    <x v="0"/>
    <s v="14:21:16"/>
    <s v="SONGPCHI"/>
    <s v="0002"/>
    <s v=""/>
    <s v="0000"/>
    <s v=""/>
    <s v="0000000000"/>
    <s v=""/>
    <s v=""/>
    <s v=""/>
    <s v="51003100"/>
    <s v=""/>
    <s v=""/>
    <s v=""/>
    <s v="2000125159"/>
    <m/>
    <x v="2"/>
    <n v="-2"/>
    <n v="-350.94"/>
    <d v="2026-07-07T00:00:00"/>
    <d v="2026-07-07T00:00:00"/>
    <m/>
    <d v="2026-07-07T00:00:00"/>
    <n v="-1000"/>
    <x v="0"/>
    <s v="59"/>
    <s v="ต้นทุนขาย"/>
    <m/>
    <n v="175.47"/>
    <e v="#N/A"/>
    <e v="#N/A"/>
  </r>
  <r>
    <x v="11"/>
    <x v="11"/>
    <s v="0328"/>
    <x v="0"/>
    <s v="TF trfr plnt to plnt"/>
    <s v="4915658914"/>
    <s v="P003"/>
    <x v="20"/>
    <x v="0"/>
    <s v="14:34:04"/>
    <s v="SUTTISIT02"/>
    <s v="0008"/>
    <s v=""/>
    <s v="0000"/>
    <s v=""/>
    <s v="0000000000"/>
    <s v=""/>
    <s v=""/>
    <s v=""/>
    <s v=""/>
    <s v=""/>
    <s v=""/>
    <s v=""/>
    <s v=""/>
    <m/>
    <x v="0"/>
    <n v="20000"/>
    <n v="0"/>
    <d v="2026-07-07T00:00:00"/>
    <d v="2026-07-07T00:00:00"/>
    <m/>
    <d v="2026-07-07T00:00:00"/>
    <n v="20000"/>
    <x v="0"/>
    <s v="58"/>
    <e v="#N/A"/>
    <m/>
    <n v="0"/>
    <e v="#N/A"/>
    <e v="#N/A"/>
  </r>
  <r>
    <x v="11"/>
    <x v="11"/>
    <s v="0328"/>
    <x v="0"/>
    <s v="TF trfr plnt to plnt"/>
    <s v="4915658914"/>
    <s v="M003"/>
    <x v="20"/>
    <x v="0"/>
    <s v="14:34:04"/>
    <s v="SUTTISIT02"/>
    <s v="0007"/>
    <s v=""/>
    <s v="0000"/>
    <s v=""/>
    <s v="0000000000"/>
    <s v=""/>
    <s v=""/>
    <s v=""/>
    <s v=""/>
    <s v=""/>
    <s v=""/>
    <s v=""/>
    <s v=""/>
    <m/>
    <x v="0"/>
    <n v="-20000"/>
    <n v="0"/>
    <d v="2026-07-07T00:00:00"/>
    <d v="2026-07-07T00:00:00"/>
    <m/>
    <d v="2026-07-07T00:00:00"/>
    <n v="-20000"/>
    <x v="0"/>
    <s v="58"/>
    <e v="#N/A"/>
    <m/>
    <n v="0"/>
    <e v="#N/A"/>
    <e v="#N/A"/>
  </r>
  <r>
    <x v="12"/>
    <x v="12"/>
    <s v="0328"/>
    <x v="0"/>
    <s v="TF trfr plnt to plnt"/>
    <s v="4915658914"/>
    <s v="P003"/>
    <x v="33"/>
    <x v="0"/>
    <s v="14:34:04"/>
    <s v="SUTTISIT02"/>
    <s v="0006"/>
    <s v=""/>
    <s v="0000"/>
    <s v=""/>
    <s v="0000000000"/>
    <s v=""/>
    <s v=""/>
    <s v=""/>
    <s v=""/>
    <s v=""/>
    <s v=""/>
    <s v=""/>
    <s v=""/>
    <m/>
    <x v="0"/>
    <n v="38168"/>
    <n v="0"/>
    <d v="2026-07-07T00:00:00"/>
    <d v="2026-07-07T00:00:00"/>
    <m/>
    <d v="2026-07-07T00:00:00"/>
    <n v="38168"/>
    <x v="0"/>
    <s v="58"/>
    <e v="#N/A"/>
    <m/>
    <n v="0"/>
    <e v="#N/A"/>
    <e v="#N/A"/>
  </r>
  <r>
    <x v="12"/>
    <x v="12"/>
    <s v="0328"/>
    <x v="0"/>
    <s v="TF trfr plnt to plnt"/>
    <s v="4915658914"/>
    <s v="M003"/>
    <x v="33"/>
    <x v="0"/>
    <s v="14:34:04"/>
    <s v="SUTTISIT02"/>
    <s v="0005"/>
    <s v=""/>
    <s v="0000"/>
    <s v=""/>
    <s v="0000000000"/>
    <s v=""/>
    <s v=""/>
    <s v=""/>
    <s v=""/>
    <s v=""/>
    <s v=""/>
    <s v=""/>
    <s v=""/>
    <m/>
    <x v="0"/>
    <n v="-38168"/>
    <n v="0"/>
    <d v="2026-07-07T00:00:00"/>
    <d v="2026-07-07T00:00:00"/>
    <m/>
    <d v="2026-07-07T00:00:00"/>
    <n v="-38168"/>
    <x v="0"/>
    <s v="58"/>
    <e v="#N/A"/>
    <m/>
    <n v="0"/>
    <e v="#N/A"/>
    <e v="#N/A"/>
  </r>
  <r>
    <x v="12"/>
    <x v="12"/>
    <s v="0328"/>
    <x v="0"/>
    <s v="TF trfr plnt to plnt"/>
    <s v="4915658914"/>
    <s v="P003"/>
    <x v="15"/>
    <x v="0"/>
    <s v="14:34:04"/>
    <s v="SUTTISIT02"/>
    <s v="0004"/>
    <s v=""/>
    <s v="0000"/>
    <s v=""/>
    <s v="0000000000"/>
    <s v=""/>
    <s v=""/>
    <s v=""/>
    <s v=""/>
    <s v=""/>
    <s v=""/>
    <s v=""/>
    <s v=""/>
    <m/>
    <x v="0"/>
    <n v="832"/>
    <n v="0"/>
    <d v="2026-07-07T00:00:00"/>
    <d v="2026-07-07T00:00:00"/>
    <m/>
    <d v="2026-07-07T00:00:00"/>
    <n v="832"/>
    <x v="0"/>
    <s v="58"/>
    <e v="#N/A"/>
    <m/>
    <n v="0"/>
    <e v="#N/A"/>
    <e v="#N/A"/>
  </r>
  <r>
    <x v="12"/>
    <x v="12"/>
    <s v="0328"/>
    <x v="0"/>
    <s v="TF trfr plnt to plnt"/>
    <s v="4915658914"/>
    <s v="M003"/>
    <x v="15"/>
    <x v="0"/>
    <s v="14:34:04"/>
    <s v="SUTTISIT02"/>
    <s v="0003"/>
    <s v=""/>
    <s v="0000"/>
    <s v=""/>
    <s v="0000000000"/>
    <s v=""/>
    <s v=""/>
    <s v=""/>
    <s v=""/>
    <s v=""/>
    <s v=""/>
    <s v=""/>
    <s v=""/>
    <m/>
    <x v="0"/>
    <n v="-832"/>
    <n v="0"/>
    <d v="2026-07-07T00:00:00"/>
    <d v="2026-07-07T00:00:00"/>
    <m/>
    <d v="2026-07-07T00:00:00"/>
    <n v="-832"/>
    <x v="0"/>
    <s v="58"/>
    <e v="#N/A"/>
    <m/>
    <n v="0"/>
    <e v="#N/A"/>
    <e v="#N/A"/>
  </r>
  <r>
    <x v="13"/>
    <x v="13"/>
    <s v="0328"/>
    <x v="0"/>
    <s v="TF trfr plnt to plnt"/>
    <s v="4915658914"/>
    <s v="P003"/>
    <x v="1"/>
    <x v="0"/>
    <s v="14:34:04"/>
    <s v="SUTTISIT02"/>
    <s v="0002"/>
    <s v=""/>
    <s v="0000"/>
    <s v=""/>
    <s v="0000000000"/>
    <s v=""/>
    <s v=""/>
    <s v=""/>
    <s v=""/>
    <s v=""/>
    <s v=""/>
    <s v=""/>
    <s v=""/>
    <m/>
    <x v="0"/>
    <n v="2000"/>
    <n v="0"/>
    <d v="2026-07-07T00:00:00"/>
    <d v="2026-07-07T00:00:00"/>
    <m/>
    <d v="2026-07-07T00:00:00"/>
    <n v="2000"/>
    <x v="0"/>
    <s v="58"/>
    <e v="#N/A"/>
    <m/>
    <n v="0"/>
    <e v="#N/A"/>
    <e v="#N/A"/>
  </r>
  <r>
    <x v="13"/>
    <x v="13"/>
    <s v="0328"/>
    <x v="0"/>
    <s v="TF trfr plnt to plnt"/>
    <s v="4915658914"/>
    <s v="M003"/>
    <x v="1"/>
    <x v="0"/>
    <s v="14:34:04"/>
    <s v="SUTTISIT02"/>
    <s v="0001"/>
    <s v=""/>
    <s v="0000"/>
    <s v=""/>
    <s v="0000000000"/>
    <s v=""/>
    <s v=""/>
    <s v=""/>
    <s v=""/>
    <s v=""/>
    <s v=""/>
    <s v=""/>
    <s v=""/>
    <m/>
    <x v="0"/>
    <n v="-2000"/>
    <n v="0"/>
    <d v="2026-07-07T00:00:00"/>
    <d v="2026-07-07T00:00:00"/>
    <m/>
    <d v="2026-07-07T00:00:00"/>
    <n v="-2000"/>
    <x v="0"/>
    <s v="58"/>
    <e v="#N/A"/>
    <m/>
    <n v="0"/>
    <e v="#N/A"/>
    <e v="#N/A"/>
  </r>
  <r>
    <x v="18"/>
    <x v="18"/>
    <s v="0328"/>
    <x v="4"/>
    <s v="GI for order"/>
    <s v="4915663078"/>
    <s v="P002"/>
    <x v="19"/>
    <x v="8"/>
    <s v="15:06:06"/>
    <s v="JURASDOK"/>
    <s v="0003"/>
    <s v=""/>
    <s v="0000"/>
    <s v=""/>
    <s v="0000000000"/>
    <s v=""/>
    <s v="เมล็ดกาแฟ Clean Arabica Size L"/>
    <s v=""/>
    <s v="53001003"/>
    <s v=""/>
    <s v=""/>
    <s v=""/>
    <s v=""/>
    <m/>
    <x v="3"/>
    <n v="-2244.1999999999998"/>
    <n v="-605462.72"/>
    <d v="2026-07-07T00:00:00"/>
    <d v="2026-07-01T00:00:00"/>
    <m/>
    <d v="2026-07-07T00:00:00"/>
    <n v="-2244200"/>
    <x v="4"/>
    <s v="57"/>
    <s v="ต้นทุนผลิตกึ่งสำเร็จ"/>
    <m/>
    <n v="269.7900008911862"/>
    <e v="#N/A"/>
    <e v="#N/A"/>
  </r>
  <r>
    <x v="17"/>
    <x v="17"/>
    <s v="0328"/>
    <x v="4"/>
    <s v="GI for order"/>
    <s v="4915663078"/>
    <s v="P002"/>
    <x v="34"/>
    <x v="8"/>
    <s v="15:06:06"/>
    <s v="JURASDOK"/>
    <s v="0004"/>
    <s v=""/>
    <s v="0000"/>
    <s v=""/>
    <s v="0000000000"/>
    <s v=""/>
    <s v="เมล็ดกาแฟ Clean Arabica B"/>
    <s v=""/>
    <s v="53001003"/>
    <s v=""/>
    <s v=""/>
    <s v=""/>
    <s v=""/>
    <m/>
    <x v="3"/>
    <n v="-60.04"/>
    <n v="-16198.19"/>
    <d v="2026-07-07T00:00:00"/>
    <d v="2026-07-01T00:00:00"/>
    <m/>
    <d v="2026-07-07T00:00:00"/>
    <n v="-60040"/>
    <x v="4"/>
    <s v="57"/>
    <s v="ต้นทุนผลิตกึ่งสำเร็จ"/>
    <m/>
    <n v="269.78997335109926"/>
    <e v="#N/A"/>
    <e v="#N/A"/>
  </r>
  <r>
    <x v="19"/>
    <x v="19"/>
    <s v="0328"/>
    <x v="4"/>
    <s v="GI for order"/>
    <s v="4915663078"/>
    <s v="P002"/>
    <x v="30"/>
    <x v="8"/>
    <s v="15:06:06"/>
    <s v="JURASDOK"/>
    <s v="0002"/>
    <s v=""/>
    <s v="0000"/>
    <s v=""/>
    <s v="0151100727"/>
    <s v=""/>
    <s v=""/>
    <s v=""/>
    <s v="53001003"/>
    <s v=""/>
    <s v=""/>
    <s v=""/>
    <s v=""/>
    <m/>
    <x v="3"/>
    <n v="-580.84"/>
    <n v="-93294.52"/>
    <d v="2026-07-07T00:00:00"/>
    <d v="2026-07-01T00:00:00"/>
    <m/>
    <d v="2026-07-07T00:00:00"/>
    <n v="-580840"/>
    <x v="4"/>
    <s v="57"/>
    <s v="ต้นทุนผลิตกึ่งสำเร็จ"/>
    <m/>
    <n v="160.61999862268439"/>
    <e v="#N/A"/>
    <e v="#N/A"/>
  </r>
  <r>
    <x v="22"/>
    <x v="22"/>
    <s v="0328"/>
    <x v="5"/>
    <s v="GR for order"/>
    <s v="4915663078"/>
    <s v="P003"/>
    <x v="35"/>
    <x v="8"/>
    <s v="15:06:06"/>
    <s v="JURASDOK"/>
    <s v="0001"/>
    <s v=""/>
    <s v="0000"/>
    <s v=""/>
    <s v="0000000000"/>
    <s v=""/>
    <s v=""/>
    <s v=""/>
    <s v="53001004"/>
    <s v=""/>
    <s v=""/>
    <s v=""/>
    <s v=""/>
    <m/>
    <x v="3"/>
    <n v="2349.65"/>
    <n v="761921.01"/>
    <d v="2026-07-07T00:00:00"/>
    <d v="2026-07-01T00:00:00"/>
    <m/>
    <d v="2026-07-07T00:00:00"/>
    <n v="2349650"/>
    <x v="4"/>
    <s v="57"/>
    <s v="ต้นทุนผลิตโอน Semi"/>
    <m/>
    <n v="324.27000191517885"/>
    <e v="#N/A"/>
    <e v="#N/A"/>
  </r>
  <r>
    <x v="22"/>
    <x v="22"/>
    <s v="0328"/>
    <x v="4"/>
    <s v="GI for order"/>
    <s v="4915663494"/>
    <s v="P003"/>
    <x v="35"/>
    <x v="9"/>
    <s v="15:12:28"/>
    <s v="JURASDOK"/>
    <s v="0002"/>
    <s v=""/>
    <s v="0000"/>
    <s v=""/>
    <s v="0151100967"/>
    <s v=""/>
    <s v=""/>
    <s v=""/>
    <s v="53001003"/>
    <s v=""/>
    <s v=""/>
    <s v=""/>
    <s v=""/>
    <m/>
    <x v="3"/>
    <n v="-2349.65"/>
    <n v="-761921.01"/>
    <d v="2026-07-07T00:00:00"/>
    <d v="2026-07-01T00:00:00"/>
    <m/>
    <d v="2026-07-07T00:00:00"/>
    <n v="-2349650"/>
    <x v="2"/>
    <s v="57"/>
    <s v="ต้นทุนผลิตกึ่งสำเร็จ"/>
    <m/>
    <n v="324.27000191517885"/>
    <e v="#N/A"/>
    <e v="#N/A"/>
  </r>
  <r>
    <x v="11"/>
    <x v="11"/>
    <s v="0328"/>
    <x v="4"/>
    <s v="GI for order"/>
    <s v="4915663494"/>
    <s v="P003"/>
    <x v="20"/>
    <x v="9"/>
    <s v="15:12:28"/>
    <s v="JURASDOK"/>
    <s v="0003"/>
    <s v=""/>
    <s v="0000"/>
    <s v=""/>
    <s v="0151100967"/>
    <s v=""/>
    <s v=""/>
    <s v=""/>
    <s v="53003000"/>
    <s v=""/>
    <s v=""/>
    <s v=""/>
    <s v=""/>
    <m/>
    <x v="0"/>
    <n v="-4994"/>
    <n v="-4223.76"/>
    <d v="2026-07-07T00:00:00"/>
    <d v="2026-07-01T00:00:00"/>
    <m/>
    <d v="2026-07-07T00:00:00"/>
    <n v="-4994"/>
    <x v="2"/>
    <s v="58"/>
    <s v="ต้นทุนผลิตหีบห่อ"/>
    <m/>
    <n v="0.84576692030436529"/>
    <e v="#N/A"/>
    <e v="#N/A"/>
  </r>
  <r>
    <x v="1"/>
    <x v="1"/>
    <s v="0328"/>
    <x v="4"/>
    <s v="GI for order"/>
    <s v="4915663494"/>
    <s v="P003"/>
    <x v="1"/>
    <x v="9"/>
    <s v="15:12:28"/>
    <s v="JURASDOK"/>
    <s v="0006"/>
    <s v=""/>
    <s v="0000"/>
    <s v=""/>
    <s v="0000000000"/>
    <s v=""/>
    <s v="Film roll Gold blend 420mm*900m"/>
    <s v=""/>
    <s v="53003000"/>
    <s v=""/>
    <s v=""/>
    <s v=""/>
    <s v=""/>
    <m/>
    <x v="0"/>
    <n v="-3517"/>
    <n v="-7240.26"/>
    <d v="2026-07-07T00:00:00"/>
    <d v="2026-07-01T00:00:00"/>
    <m/>
    <d v="2026-07-07T00:00:00"/>
    <n v="-3517"/>
    <x v="2"/>
    <s v="58"/>
    <s v="ต้นทุนผลิตหีบห่อ"/>
    <m/>
    <n v="2.0586465737844755"/>
    <e v="#N/A"/>
    <e v="#N/A"/>
  </r>
  <r>
    <x v="1"/>
    <x v="1"/>
    <s v="0328"/>
    <x v="4"/>
    <s v="GI for order"/>
    <s v="4915663494"/>
    <s v="P003"/>
    <x v="15"/>
    <x v="9"/>
    <s v="15:12:28"/>
    <s v="JURASDOK"/>
    <s v="0005"/>
    <s v=""/>
    <s v="0000"/>
    <s v=""/>
    <s v="0000000000"/>
    <s v=""/>
    <s v="Film roll Gold blend 420mm*900m"/>
    <s v=""/>
    <s v="53003000"/>
    <s v=""/>
    <s v=""/>
    <s v=""/>
    <s v=""/>
    <m/>
    <x v="0"/>
    <n v="-1477"/>
    <n v="-3040.62"/>
    <d v="2026-07-07T00:00:00"/>
    <d v="2026-07-01T00:00:00"/>
    <m/>
    <d v="2026-07-07T00:00:00"/>
    <n v="-1477"/>
    <x v="2"/>
    <s v="58"/>
    <s v="ต้นทุนผลิตหีบห่อ"/>
    <m/>
    <n v="2.058645903859174"/>
    <e v="#N/A"/>
    <e v="#N/A"/>
  </r>
  <r>
    <x v="2"/>
    <x v="2"/>
    <s v="0328"/>
    <x v="4"/>
    <s v="GI for order"/>
    <s v="4915663494"/>
    <s v="P003"/>
    <x v="3"/>
    <x v="9"/>
    <s v="15:12:28"/>
    <s v="JURASDOK"/>
    <s v="0007"/>
    <s v=""/>
    <s v="0000"/>
    <s v=""/>
    <s v="0000000000"/>
    <s v=""/>
    <s v="ลังกระดาษ 3กก. 287*240*177 mm. (No Logo)"/>
    <s v=""/>
    <s v="53003000"/>
    <s v=""/>
    <s v=""/>
    <s v=""/>
    <s v=""/>
    <m/>
    <x v="0"/>
    <n v="-515"/>
    <n v="-2575"/>
    <d v="2026-07-07T00:00:00"/>
    <d v="2026-07-01T00:00:00"/>
    <m/>
    <d v="2026-07-07T00:00:00"/>
    <n v="-515"/>
    <x v="2"/>
    <s v="58"/>
    <s v="ต้นทุนผลิตหีบห่อ"/>
    <m/>
    <n v="5"/>
    <e v="#N/A"/>
    <e v="#N/A"/>
  </r>
  <r>
    <x v="2"/>
    <x v="2"/>
    <s v="0328"/>
    <x v="4"/>
    <s v="GI for order"/>
    <s v="4915663494"/>
    <s v="P003"/>
    <x v="2"/>
    <x v="9"/>
    <s v="15:12:28"/>
    <s v="JURASDOK"/>
    <s v="0004"/>
    <s v=""/>
    <s v="0000"/>
    <s v=""/>
    <s v="0151100967"/>
    <s v=""/>
    <s v=""/>
    <s v=""/>
    <s v="53003000"/>
    <s v=""/>
    <s v=""/>
    <s v=""/>
    <s v=""/>
    <m/>
    <x v="0"/>
    <n v="-269"/>
    <n v="-1345"/>
    <d v="2026-07-07T00:00:00"/>
    <d v="2026-07-01T00:00:00"/>
    <m/>
    <d v="2026-07-07T00:00:00"/>
    <n v="-269"/>
    <x v="2"/>
    <s v="58"/>
    <s v="ต้นทุนผลิตหีบห่อ"/>
    <m/>
    <n v="5"/>
    <e v="#N/A"/>
    <e v="#N/A"/>
  </r>
  <r>
    <x v="6"/>
    <x v="6"/>
    <s v="0328"/>
    <x v="5"/>
    <s v="GR for order"/>
    <s v="4915663494"/>
    <s v="M001"/>
    <x v="35"/>
    <x v="9"/>
    <s v="15:12:28"/>
    <s v="JURASDOK"/>
    <s v="0001"/>
    <s v=""/>
    <s v="0000"/>
    <s v=""/>
    <s v="0000000000"/>
    <s v=""/>
    <s v=""/>
    <s v=""/>
    <s v="53001001"/>
    <s v=""/>
    <s v=""/>
    <s v=""/>
    <s v=""/>
    <m/>
    <x v="2"/>
    <n v="4697"/>
    <n v="795483.92"/>
    <d v="2026-07-07T00:00:00"/>
    <d v="2026-07-01T00:00:00"/>
    <m/>
    <d v="2026-07-07T00:00:00"/>
    <n v="2348500"/>
    <x v="2"/>
    <s v="59"/>
    <s v="ต้นทุนผลิตโอน F/G"/>
    <m/>
    <n v="169.36"/>
    <e v="#N/A"/>
    <e v="#N/A"/>
  </r>
  <r>
    <x v="6"/>
    <x v="6"/>
    <s v="0328"/>
    <x v="4"/>
    <s v="GI for order"/>
    <s v="4915663944"/>
    <s v="M001"/>
    <x v="35"/>
    <x v="10"/>
    <s v="15:22:10"/>
    <s v="JURASDOK"/>
    <s v="0002"/>
    <s v=""/>
    <s v="0000"/>
    <s v=""/>
    <s v="0000000000"/>
    <s v=""/>
    <s v="เมล็ดกาแฟ CPR Coffee Bean  MF. 500 G."/>
    <s v=""/>
    <s v="53001000"/>
    <s v=""/>
    <s v=""/>
    <s v=""/>
    <s v=""/>
    <m/>
    <x v="2"/>
    <n v="-4200"/>
    <n v="-711312"/>
    <d v="2026-07-07T00:00:00"/>
    <d v="2026-07-06T00:00:00"/>
    <m/>
    <d v="2026-07-07T00:00:00"/>
    <n v="-2100000"/>
    <x v="1"/>
    <s v="59"/>
    <s v="ต้นทุนผลิต-สินค้าสำเร็จรูป"/>
    <m/>
    <n v="169.36"/>
    <e v="#N/A"/>
    <e v="#N/A"/>
  </r>
  <r>
    <x v="8"/>
    <x v="8"/>
    <s v="0328"/>
    <x v="5"/>
    <s v="GR for order"/>
    <s v="4915663944"/>
    <s v="M001"/>
    <x v="10"/>
    <x v="10"/>
    <s v="15:22:10"/>
    <s v="JURASDOK"/>
    <s v="0001"/>
    <s v=""/>
    <s v="0000"/>
    <s v=""/>
    <s v="0000000000"/>
    <s v=""/>
    <s v=""/>
    <s v=""/>
    <s v="53001001"/>
    <s v=""/>
    <s v=""/>
    <s v=""/>
    <s v=""/>
    <m/>
    <x v="2"/>
    <n v="4200"/>
    <n v="711312"/>
    <d v="2026-07-07T00:00:00"/>
    <d v="2026-07-06T00:00:00"/>
    <m/>
    <d v="2026-07-07T00:00:00"/>
    <n v="2100000"/>
    <x v="1"/>
    <s v="59"/>
    <s v="ต้นทุนผลิตโอน F/G"/>
    <m/>
    <n v="169.36"/>
    <e v="#N/A"/>
    <e v="#N/A"/>
  </r>
  <r>
    <x v="8"/>
    <x v="8"/>
    <s v="0328"/>
    <x v="0"/>
    <s v="TF trfr plnt to plnt"/>
    <s v="4915663973"/>
    <s v="M001"/>
    <x v="10"/>
    <x v="0"/>
    <s v="15:23:30"/>
    <s v="JURASDOK"/>
    <s v="0001"/>
    <s v=""/>
    <s v="0000"/>
    <s v=""/>
    <s v="0151052720"/>
    <s v=""/>
    <s v=""/>
    <s v=""/>
    <s v=""/>
    <s v=""/>
    <s v=""/>
    <s v=""/>
    <s v=""/>
    <m/>
    <x v="2"/>
    <n v="-4200"/>
    <n v="-711312"/>
    <d v="2026-07-07T00:00:00"/>
    <d v="2026-07-07T00:00:00"/>
    <m/>
    <d v="2026-07-07T00:00:00"/>
    <n v="-2100000"/>
    <x v="0"/>
    <s v="59"/>
    <e v="#N/A"/>
    <m/>
    <n v="169.36"/>
    <e v="#N/A"/>
    <e v="#N/A"/>
  </r>
  <r>
    <x v="18"/>
    <x v="18"/>
    <s v="0328"/>
    <x v="4"/>
    <s v="GI for order"/>
    <s v="4915664966"/>
    <s v="P002"/>
    <x v="19"/>
    <x v="11"/>
    <s v="15:43:34"/>
    <s v="JURASDOK"/>
    <s v="0002"/>
    <s v=""/>
    <s v="0000"/>
    <s v=""/>
    <s v="0151060695"/>
    <s v=""/>
    <s v=""/>
    <s v=""/>
    <s v="53001003"/>
    <s v=""/>
    <s v=""/>
    <s v=""/>
    <s v=""/>
    <m/>
    <x v="3"/>
    <n v="-5184.8"/>
    <n v="-1398807.19"/>
    <d v="2026-07-07T00:00:00"/>
    <d v="2026-07-01T00:00:00"/>
    <m/>
    <d v="2026-07-07T00:00:00"/>
    <n v="-5184800"/>
    <x v="4"/>
    <s v="57"/>
    <s v="ต้นทุนผลิตกึ่งสำเร็จ"/>
    <m/>
    <n v="269.78999961425706"/>
    <e v="#N/A"/>
    <e v="#N/A"/>
  </r>
  <r>
    <x v="19"/>
    <x v="19"/>
    <s v="0328"/>
    <x v="4"/>
    <s v="GI for order"/>
    <s v="4915664966"/>
    <s v="P002"/>
    <x v="8"/>
    <x v="11"/>
    <s v="15:43:34"/>
    <s v="JURASDOK"/>
    <s v="0004"/>
    <s v=""/>
    <s v="0000"/>
    <s v=""/>
    <s v="0000000000"/>
    <s v=""/>
    <s v="เมล็ดกาแฟ Clean Robusta Size mix"/>
    <s v=""/>
    <s v="53001003"/>
    <s v=""/>
    <s v=""/>
    <s v=""/>
    <s v=""/>
    <m/>
    <x v="3"/>
    <n v="-856.89"/>
    <n v="-137633.67000000001"/>
    <d v="2026-07-07T00:00:00"/>
    <d v="2026-07-01T00:00:00"/>
    <m/>
    <d v="2026-07-07T00:00:00"/>
    <n v="-856890"/>
    <x v="4"/>
    <s v="57"/>
    <s v="ต้นทุนผลิตกึ่งสำเร็จ"/>
    <m/>
    <n v="160.61999789938034"/>
    <e v="#N/A"/>
    <e v="#N/A"/>
  </r>
  <r>
    <x v="19"/>
    <x v="19"/>
    <s v="0328"/>
    <x v="4"/>
    <s v="GI for order"/>
    <s v="4915664966"/>
    <s v="P002"/>
    <x v="30"/>
    <x v="11"/>
    <s v="15:43:34"/>
    <s v="JURASDOK"/>
    <s v="0003"/>
    <s v=""/>
    <s v="0000"/>
    <s v=""/>
    <s v="0151060695"/>
    <s v=""/>
    <s v=""/>
    <s v=""/>
    <s v="53001003"/>
    <s v=""/>
    <s v=""/>
    <s v=""/>
    <s v=""/>
    <m/>
    <x v="3"/>
    <n v="-440.38"/>
    <n v="-70733.84"/>
    <d v="2026-07-07T00:00:00"/>
    <d v="2026-07-01T00:00:00"/>
    <m/>
    <d v="2026-07-07T00:00:00"/>
    <n v="-440380"/>
    <x v="4"/>
    <s v="57"/>
    <s v="ต้นทุนผลิตกึ่งสำเร็จ"/>
    <m/>
    <n v="160.62000999137109"/>
    <e v="#N/A"/>
    <e v="#N/A"/>
  </r>
  <r>
    <x v="23"/>
    <x v="23"/>
    <s v="0328"/>
    <x v="5"/>
    <s v="GR for order"/>
    <s v="4915664966"/>
    <s v="P003"/>
    <x v="36"/>
    <x v="11"/>
    <s v="15:43:34"/>
    <s v="JURASDOK"/>
    <s v="0001"/>
    <s v=""/>
    <s v="0000"/>
    <s v=""/>
    <s v="0000000000"/>
    <s v=""/>
    <s v=""/>
    <s v=""/>
    <s v="53001004"/>
    <s v=""/>
    <s v=""/>
    <s v=""/>
    <s v=""/>
    <m/>
    <x v="3"/>
    <n v="5211.9799999999996"/>
    <n v="1690088.75"/>
    <d v="2026-07-07T00:00:00"/>
    <d v="2026-07-01T00:00:00"/>
    <m/>
    <d v="2026-07-07T00:00:00"/>
    <n v="5211980"/>
    <x v="4"/>
    <s v="57"/>
    <s v="ต้นทุนผลิตโอน Semi"/>
    <m/>
    <n v="324.26999911741797"/>
    <e v="#N/A"/>
    <e v="#N/A"/>
  </r>
  <r>
    <x v="5"/>
    <x v="5"/>
    <s v="0328"/>
    <x v="2"/>
    <s v="GD goods issue:delvy"/>
    <s v="4915665791"/>
    <s v="M001"/>
    <x v="37"/>
    <x v="0"/>
    <s v="16:00:17"/>
    <s v="RAPEESAN01"/>
    <s v="0002"/>
    <s v=""/>
    <s v="0000"/>
    <s v=""/>
    <s v="0000000000"/>
    <s v=""/>
    <s v=""/>
    <s v=""/>
    <s v="51003100"/>
    <s v=""/>
    <s v=""/>
    <s v=""/>
    <s v="2000125167"/>
    <m/>
    <x v="4"/>
    <n v="-1729"/>
    <n v="-1757148.12"/>
    <d v="2026-07-07T00:00:00"/>
    <d v="2026-07-07T00:00:00"/>
    <m/>
    <d v="2026-07-07T00:00:00"/>
    <n v="-5187000"/>
    <x v="0"/>
    <s v="59"/>
    <s v="ต้นทุนขาย"/>
    <m/>
    <n v="1016.2800000000001"/>
    <e v="#N/A"/>
    <e v="#N/A"/>
  </r>
  <r>
    <x v="5"/>
    <x v="5"/>
    <s v="0328"/>
    <x v="2"/>
    <s v="GD goods issue:delvy"/>
    <s v="4915665791"/>
    <s v="M001"/>
    <x v="24"/>
    <x v="0"/>
    <s v="16:00:17"/>
    <s v="RAPEESAN01"/>
    <s v="0001"/>
    <s v=""/>
    <s v="0000"/>
    <s v=""/>
    <s v="0000000000"/>
    <s v=""/>
    <s v=""/>
    <s v=""/>
    <s v="51003100"/>
    <s v=""/>
    <s v=""/>
    <s v=""/>
    <s v="2000125167"/>
    <m/>
    <x v="4"/>
    <n v="-191"/>
    <n v="-194109.48"/>
    <d v="2026-07-07T00:00:00"/>
    <d v="2026-07-07T00:00:00"/>
    <m/>
    <d v="2026-07-07T00:00:00"/>
    <n v="-573000"/>
    <x v="0"/>
    <s v="59"/>
    <s v="ต้นทุนขาย"/>
    <m/>
    <n v="1016.2800000000001"/>
    <e v="#N/A"/>
    <e v="#N/A"/>
  </r>
  <r>
    <x v="5"/>
    <x v="5"/>
    <s v="0328"/>
    <x v="1"/>
    <s v="GI ค่าวิจัยและพัฒนา"/>
    <s v="4915666248"/>
    <s v="M001"/>
    <x v="22"/>
    <x v="0"/>
    <s v="16:13:35"/>
    <s v="RAPEESAN01"/>
    <s v="0001"/>
    <s v=""/>
    <s v="0000"/>
    <s v=""/>
    <s v="0151091983"/>
    <s v=""/>
    <s v="เพื่อส่งให้ RD'QA 7-11 ตรวจสอบ"/>
    <s v="405053"/>
    <s v="67501001"/>
    <s v=""/>
    <s v=""/>
    <s v=""/>
    <s v=""/>
    <m/>
    <x v="2"/>
    <n v="-1"/>
    <n v="-169.38"/>
    <d v="2026-07-07T00:00:00"/>
    <d v="2026-07-07T00:00:00"/>
    <m/>
    <d v="2026-07-07T00:00:00"/>
    <n v="-500"/>
    <x v="0"/>
    <s v="59"/>
    <s v="ค่าวิจัยคุณภาพสินค้า"/>
    <m/>
    <n v="169.38"/>
    <e v="#N/A"/>
    <e v="#N/A"/>
  </r>
  <r>
    <x v="5"/>
    <x v="5"/>
    <s v="0328"/>
    <x v="1"/>
    <s v="GI ค่าวิจัยและพัฒนา"/>
    <s v="4915666248"/>
    <s v="M001"/>
    <x v="24"/>
    <x v="0"/>
    <s v="16:13:35"/>
    <s v="RAPEESAN01"/>
    <s v="0002"/>
    <s v=""/>
    <s v="0000"/>
    <s v=""/>
    <s v="0151091983"/>
    <s v=""/>
    <s v="เพื่อส่งให้ RD'QA 7-11 ตรวจสอบ"/>
    <s v="405053"/>
    <s v="67501001"/>
    <s v=""/>
    <s v=""/>
    <s v=""/>
    <s v=""/>
    <m/>
    <x v="2"/>
    <n v="-2"/>
    <n v="-338.76"/>
    <d v="2026-07-07T00:00:00"/>
    <d v="2026-07-07T00:00:00"/>
    <m/>
    <d v="2026-07-07T00:00:00"/>
    <n v="-1000"/>
    <x v="0"/>
    <s v="59"/>
    <s v="ค่าวิจัยคุณภาพสินค้า"/>
    <m/>
    <n v="169.38"/>
    <e v="#N/A"/>
    <e v="#N/A"/>
  </r>
  <r>
    <x v="5"/>
    <x v="5"/>
    <s v="0328"/>
    <x v="1"/>
    <s v="GI ค่าวิจัยและพัฒนา"/>
    <s v="4915666248"/>
    <s v="M001"/>
    <x v="37"/>
    <x v="0"/>
    <s v="16:13:35"/>
    <s v="RAPEESAN01"/>
    <s v="0003"/>
    <s v=""/>
    <s v="0000"/>
    <s v=""/>
    <s v="0151091983"/>
    <s v=""/>
    <s v="เพื่อส่งให้ RD'QA 7-11 ตรวจสอบ"/>
    <s v="405053"/>
    <s v="67501001"/>
    <s v=""/>
    <s v=""/>
    <s v=""/>
    <s v=""/>
    <m/>
    <x v="2"/>
    <n v="-1"/>
    <n v="-169.38"/>
    <d v="2026-07-07T00:00:00"/>
    <d v="2026-07-07T00:00:00"/>
    <m/>
    <d v="2026-07-07T00:00:00"/>
    <n v="-500"/>
    <x v="0"/>
    <s v="59"/>
    <s v="ค่าวิจัยคุณภาพสินค้า"/>
    <m/>
    <n v="169.38"/>
    <e v="#N/A"/>
    <e v="#N/A"/>
  </r>
  <r>
    <x v="23"/>
    <x v="23"/>
    <s v="0328"/>
    <x v="4"/>
    <s v="GI for order"/>
    <s v="4915666409"/>
    <s v="P003"/>
    <x v="36"/>
    <x v="12"/>
    <s v="16:15:28"/>
    <s v="JURASDOK"/>
    <s v="0002"/>
    <s v=""/>
    <s v="0000"/>
    <s v=""/>
    <s v="0151104396"/>
    <s v=""/>
    <s v=""/>
    <s v=""/>
    <s v="53001003"/>
    <s v=""/>
    <s v=""/>
    <s v=""/>
    <s v=""/>
    <m/>
    <x v="3"/>
    <n v="-5211.9799999999996"/>
    <n v="-1690088.75"/>
    <d v="2026-07-07T00:00:00"/>
    <d v="2026-07-01T00:00:00"/>
    <m/>
    <d v="2026-07-07T00:00:00"/>
    <n v="-5211980"/>
    <x v="2"/>
    <s v="57"/>
    <s v="ต้นทุนผลิตกึ่งสำเร็จ"/>
    <m/>
    <n v="324.26999911741797"/>
    <e v="#N/A"/>
    <e v="#N/A"/>
  </r>
  <r>
    <x v="11"/>
    <x v="11"/>
    <s v="0328"/>
    <x v="4"/>
    <s v="GI for order"/>
    <s v="4915666409"/>
    <s v="P003"/>
    <x v="20"/>
    <x v="12"/>
    <s v="16:15:28"/>
    <s v="JURASDOK"/>
    <s v="0003"/>
    <s v=""/>
    <s v="0000"/>
    <s v=""/>
    <s v="0151104396"/>
    <s v=""/>
    <s v=""/>
    <s v=""/>
    <s v="53003000"/>
    <s v=""/>
    <s v=""/>
    <s v=""/>
    <s v=""/>
    <m/>
    <x v="0"/>
    <n v="-10573"/>
    <n v="-8942.2999999999993"/>
    <d v="2026-07-07T00:00:00"/>
    <d v="2026-07-01T00:00:00"/>
    <m/>
    <d v="2026-07-07T00:00:00"/>
    <n v="-10573"/>
    <x v="2"/>
    <s v="58"/>
    <s v="ต้นทุนผลิตหีบห่อ"/>
    <m/>
    <n v="0.84576752104416908"/>
    <e v="#N/A"/>
    <e v="#N/A"/>
  </r>
  <r>
    <x v="12"/>
    <x v="12"/>
    <s v="0328"/>
    <x v="4"/>
    <s v="GI for order"/>
    <s v="4915666409"/>
    <s v="P003"/>
    <x v="15"/>
    <x v="12"/>
    <s v="16:15:28"/>
    <s v="JURASDOK"/>
    <s v="0004"/>
    <s v=""/>
    <s v="0000"/>
    <s v=""/>
    <s v="0151104396"/>
    <s v=""/>
    <s v=""/>
    <s v=""/>
    <s v="53003000"/>
    <s v=""/>
    <s v=""/>
    <s v=""/>
    <s v=""/>
    <m/>
    <x v="0"/>
    <n v="-10573"/>
    <n v="-22029.68"/>
    <d v="2026-07-07T00:00:00"/>
    <d v="2026-07-01T00:00:00"/>
    <m/>
    <d v="2026-07-07T00:00:00"/>
    <n v="-10573"/>
    <x v="2"/>
    <s v="58"/>
    <s v="ต้นทุนผลิตหีบห่อ"/>
    <m/>
    <n v="2.0835789274567293"/>
    <e v="#N/A"/>
    <e v="#N/A"/>
  </r>
  <r>
    <x v="13"/>
    <x v="13"/>
    <s v="0328"/>
    <x v="4"/>
    <s v="GI for order"/>
    <s v="4915666409"/>
    <s v="P003"/>
    <x v="16"/>
    <x v="12"/>
    <s v="16:15:28"/>
    <s v="JURASDOK"/>
    <s v="0005"/>
    <s v=""/>
    <s v="0000"/>
    <s v=""/>
    <s v="0151104396"/>
    <s v=""/>
    <s v=""/>
    <s v=""/>
    <s v="53003000"/>
    <s v=""/>
    <s v=""/>
    <s v=""/>
    <s v=""/>
    <m/>
    <x v="0"/>
    <n v="-1744"/>
    <n v="-8720"/>
    <d v="2026-07-07T00:00:00"/>
    <d v="2026-07-01T00:00:00"/>
    <m/>
    <d v="2026-07-07T00:00:00"/>
    <n v="-1744"/>
    <x v="2"/>
    <s v="58"/>
    <s v="ต้นทุนผลิตหีบห่อ"/>
    <m/>
    <n v="5"/>
    <e v="#N/A"/>
    <e v="#N/A"/>
  </r>
  <r>
    <x v="5"/>
    <x v="5"/>
    <s v="0328"/>
    <x v="5"/>
    <s v="GR for order"/>
    <s v="4915666409"/>
    <s v="M001"/>
    <x v="36"/>
    <x v="12"/>
    <s v="16:15:28"/>
    <s v="JURASDOK"/>
    <s v="0001"/>
    <s v=""/>
    <s v="0000"/>
    <s v=""/>
    <s v="0000000000"/>
    <s v=""/>
    <s v=""/>
    <s v=""/>
    <s v="53001001"/>
    <s v=""/>
    <s v=""/>
    <s v=""/>
    <s v=""/>
    <m/>
    <x v="2"/>
    <n v="10418"/>
    <n v="1764600.84"/>
    <d v="2026-07-07T00:00:00"/>
    <d v="2026-07-01T00:00:00"/>
    <m/>
    <d v="2026-07-07T00:00:00"/>
    <n v="5209000"/>
    <x v="2"/>
    <s v="59"/>
    <s v="ต้นทุนผลิตโอน F/G"/>
    <m/>
    <n v="169.38"/>
    <e v="#N/A"/>
    <e v="#N/A"/>
  </r>
  <r>
    <x v="14"/>
    <x v="14"/>
    <s v="0328"/>
    <x v="4"/>
    <s v="GI for order"/>
    <s v="4915666726"/>
    <s v="P001"/>
    <x v="19"/>
    <x v="13"/>
    <s v="16:21:58"/>
    <s v="SUTEESEA"/>
    <s v="0001"/>
    <s v=""/>
    <s v="0000"/>
    <s v=""/>
    <s v="0151105551"/>
    <s v=""/>
    <s v=""/>
    <s v=""/>
    <s v="53002000"/>
    <s v=""/>
    <s v=""/>
    <s v=""/>
    <s v=""/>
    <m/>
    <x v="3"/>
    <n v="-4012.2"/>
    <n v="-1058700.0900000001"/>
    <d v="2026-07-07T00:00:00"/>
    <d v="2026-07-06T00:00:00"/>
    <m/>
    <d v="2026-07-07T00:00:00"/>
    <n v="-4012200"/>
    <x v="3"/>
    <s v="54"/>
    <s v="ต้นทุนผลิต-วัตถุดิบ"/>
    <m/>
    <n v="263.87021833408107"/>
    <e v="#N/A"/>
    <e v="#N/A"/>
  </r>
  <r>
    <x v="18"/>
    <x v="18"/>
    <s v="0328"/>
    <x v="4"/>
    <s v="GI for order"/>
    <s v="4915666870"/>
    <s v="P002"/>
    <x v="19"/>
    <x v="14"/>
    <s v="16:24:17"/>
    <s v="JURASDOK"/>
    <s v="0002"/>
    <s v=""/>
    <s v="0000"/>
    <s v=""/>
    <s v="0151105525"/>
    <s v=""/>
    <s v=""/>
    <s v=""/>
    <s v="53001003"/>
    <s v=""/>
    <s v=""/>
    <s v=""/>
    <s v=""/>
    <m/>
    <x v="3"/>
    <n v="-120"/>
    <n v="-32374.799999999999"/>
    <d v="2026-07-07T00:00:00"/>
    <d v="2026-07-01T00:00:00"/>
    <m/>
    <d v="2026-07-07T00:00:00"/>
    <n v="-120000"/>
    <x v="4"/>
    <s v="57"/>
    <s v="ต้นทุนผลิตกึ่งสำเร็จ"/>
    <m/>
    <n v="269.79000000000002"/>
    <e v="#N/A"/>
    <e v="#N/A"/>
  </r>
  <r>
    <x v="17"/>
    <x v="17"/>
    <s v="0328"/>
    <x v="4"/>
    <s v="GI for order"/>
    <s v="4915666870"/>
    <s v="P002"/>
    <x v="38"/>
    <x v="14"/>
    <s v="16:24:17"/>
    <s v="JURASDOK"/>
    <s v="0004"/>
    <s v=""/>
    <s v="0000"/>
    <s v=""/>
    <s v="0000000000"/>
    <s v=""/>
    <s v="เมล็ดกาแฟ Clean Arabica B"/>
    <s v=""/>
    <s v="53001003"/>
    <s v=""/>
    <s v=""/>
    <s v=""/>
    <s v=""/>
    <m/>
    <x v="3"/>
    <n v="-15.6"/>
    <n v="-4208.72"/>
    <d v="2026-07-07T00:00:00"/>
    <d v="2026-07-01T00:00:00"/>
    <m/>
    <d v="2026-07-07T00:00:00"/>
    <n v="-15600"/>
    <x v="4"/>
    <s v="57"/>
    <s v="ต้นทุนผลิตกึ่งสำเร็จ"/>
    <m/>
    <n v="269.78974358974364"/>
    <e v="#N/A"/>
    <e v="#N/A"/>
  </r>
  <r>
    <x v="17"/>
    <x v="17"/>
    <s v="0328"/>
    <x v="4"/>
    <s v="GI for order"/>
    <s v="4915666870"/>
    <s v="P002"/>
    <x v="34"/>
    <x v="14"/>
    <s v="16:24:17"/>
    <s v="JURASDOK"/>
    <s v="0003"/>
    <s v=""/>
    <s v="0000"/>
    <s v=""/>
    <s v="0000000000"/>
    <s v=""/>
    <s v="เมล็ดกาแฟ Clean Arabica B"/>
    <s v=""/>
    <s v="53001003"/>
    <s v=""/>
    <s v=""/>
    <s v=""/>
    <s v=""/>
    <m/>
    <x v="3"/>
    <n v="-104.4"/>
    <n v="-28166.080000000002"/>
    <d v="2026-07-07T00:00:00"/>
    <d v="2026-07-01T00:00:00"/>
    <m/>
    <d v="2026-07-07T00:00:00"/>
    <n v="-104400"/>
    <x v="4"/>
    <s v="57"/>
    <s v="ต้นทุนผลิตกึ่งสำเร็จ"/>
    <m/>
    <n v="269.79003831417623"/>
    <e v="#N/A"/>
    <e v="#N/A"/>
  </r>
  <r>
    <x v="24"/>
    <x v="24"/>
    <s v="0328"/>
    <x v="5"/>
    <s v="GR for order"/>
    <s v="4915666870"/>
    <s v="P003"/>
    <x v="39"/>
    <x v="14"/>
    <s v="16:24:17"/>
    <s v="JURASDOK"/>
    <s v="0001"/>
    <s v=""/>
    <s v="0000"/>
    <s v=""/>
    <s v="0000000000"/>
    <s v=""/>
    <s v=""/>
    <s v=""/>
    <s v="53001004"/>
    <s v=""/>
    <s v=""/>
    <s v=""/>
    <s v=""/>
    <m/>
    <x v="3"/>
    <n v="206"/>
    <n v="72423.42"/>
    <d v="2026-07-07T00:00:00"/>
    <d v="2026-07-01T00:00:00"/>
    <m/>
    <d v="2026-07-07T00:00:00"/>
    <n v="206000"/>
    <x v="4"/>
    <s v="57"/>
    <s v="ต้นทุนผลิตโอน Semi"/>
    <m/>
    <n v="351.57"/>
    <e v="#N/A"/>
    <e v="#N/A"/>
  </r>
  <r>
    <x v="24"/>
    <x v="24"/>
    <s v="0328"/>
    <x v="4"/>
    <s v="GI for order"/>
    <s v="4915667156"/>
    <s v="P003"/>
    <x v="39"/>
    <x v="15"/>
    <s v="16:29:26"/>
    <s v="JURASDOK"/>
    <s v="0002"/>
    <s v=""/>
    <s v="0000"/>
    <s v=""/>
    <s v="0151106030"/>
    <s v=""/>
    <s v=""/>
    <s v=""/>
    <s v="53001003"/>
    <s v=""/>
    <s v=""/>
    <s v=""/>
    <s v=""/>
    <m/>
    <x v="3"/>
    <n v="-206"/>
    <n v="-72423.42"/>
    <d v="2026-07-07T00:00:00"/>
    <d v="2026-07-01T00:00:00"/>
    <m/>
    <d v="2026-07-07T00:00:00"/>
    <n v="-206000"/>
    <x v="2"/>
    <s v="57"/>
    <s v="ต้นทุนผลิตกึ่งสำเร็จ"/>
    <m/>
    <n v="351.57"/>
    <e v="#N/A"/>
    <e v="#N/A"/>
  </r>
  <r>
    <x v="11"/>
    <x v="11"/>
    <s v="0328"/>
    <x v="4"/>
    <s v="GI for order"/>
    <s v="4915667156"/>
    <s v="P003"/>
    <x v="20"/>
    <x v="15"/>
    <s v="16:29:26"/>
    <s v="JURASDOK"/>
    <s v="0003"/>
    <s v=""/>
    <s v="0000"/>
    <s v=""/>
    <s v="0151106030"/>
    <s v=""/>
    <s v=""/>
    <s v=""/>
    <s v="53003000"/>
    <s v=""/>
    <s v=""/>
    <s v=""/>
    <s v=""/>
    <m/>
    <x v="0"/>
    <n v="-495"/>
    <n v="-418.66"/>
    <d v="2026-07-07T00:00:00"/>
    <d v="2026-07-01T00:00:00"/>
    <m/>
    <d v="2026-07-07T00:00:00"/>
    <n v="-495"/>
    <x v="2"/>
    <s v="58"/>
    <s v="ต้นทุนผลิตหีบห่อ"/>
    <m/>
    <n v="0.84577777777777785"/>
    <e v="#N/A"/>
    <e v="#N/A"/>
  </r>
  <r>
    <x v="3"/>
    <x v="3"/>
    <s v="0328"/>
    <x v="4"/>
    <s v="GI for order"/>
    <s v="4915667156"/>
    <s v="P003"/>
    <x v="40"/>
    <x v="15"/>
    <s v="16:29:26"/>
    <s v="JURASDOK"/>
    <s v="0006"/>
    <s v=""/>
    <s v="0000"/>
    <s v=""/>
    <s v="0000000000"/>
    <s v=""/>
    <s v="สติ๊กเกอร์ Classic Beans (หน้า)"/>
    <s v=""/>
    <s v="53003000"/>
    <s v=""/>
    <s v=""/>
    <s v=""/>
    <s v=""/>
    <m/>
    <x v="1"/>
    <n v="-287"/>
    <n v="-332.92"/>
    <d v="2026-07-07T00:00:00"/>
    <d v="2026-07-01T00:00:00"/>
    <m/>
    <d v="2026-07-07T00:00:00"/>
    <n v="-287"/>
    <x v="2"/>
    <s v="58"/>
    <s v="ต้นทุนผลิตหีบห่อ"/>
    <m/>
    <n v="1.1600000000000001"/>
    <e v="#N/A"/>
    <e v="#N/A"/>
  </r>
  <r>
    <x v="3"/>
    <x v="3"/>
    <s v="0328"/>
    <x v="4"/>
    <s v="GI for order"/>
    <s v="4915667156"/>
    <s v="P003"/>
    <x v="4"/>
    <x v="15"/>
    <s v="16:29:26"/>
    <s v="JURASDOK"/>
    <s v="0005"/>
    <s v=""/>
    <s v="0000"/>
    <s v=""/>
    <s v="0151106030"/>
    <s v=""/>
    <s v=""/>
    <s v=""/>
    <s v="53003000"/>
    <s v=""/>
    <s v=""/>
    <s v=""/>
    <s v=""/>
    <m/>
    <x v="1"/>
    <n v="-125"/>
    <n v="-145"/>
    <d v="2026-07-07T00:00:00"/>
    <d v="2026-07-01T00:00:00"/>
    <m/>
    <d v="2026-07-07T00:00:00"/>
    <n v="-125"/>
    <x v="2"/>
    <s v="58"/>
    <s v="ต้นทุนผลิตหีบห่อ"/>
    <m/>
    <n v="1.1599999999999999"/>
    <e v="#N/A"/>
    <e v="#N/A"/>
  </r>
  <r>
    <x v="0"/>
    <x v="0"/>
    <s v="0328"/>
    <x v="4"/>
    <s v="GI for order"/>
    <s v="4915667156"/>
    <s v="P003"/>
    <x v="0"/>
    <x v="15"/>
    <s v="16:29:26"/>
    <s v="JURASDOK"/>
    <s v="0004"/>
    <s v=""/>
    <s v="0000"/>
    <s v=""/>
    <s v="0151106030"/>
    <s v=""/>
    <s v=""/>
    <s v=""/>
    <s v="53003000"/>
    <s v=""/>
    <s v=""/>
    <s v=""/>
    <s v=""/>
    <m/>
    <x v="0"/>
    <n v="-21"/>
    <n v="-462"/>
    <d v="2026-07-07T00:00:00"/>
    <d v="2026-07-01T00:00:00"/>
    <m/>
    <d v="2026-07-07T00:00:00"/>
    <n v="-21"/>
    <x v="2"/>
    <s v="58"/>
    <s v="ต้นทุนผลิตหีบห่อ"/>
    <m/>
    <n v="22"/>
    <e v="#N/A"/>
    <e v="#N/A"/>
  </r>
  <r>
    <x v="4"/>
    <x v="4"/>
    <s v="0328"/>
    <x v="4"/>
    <s v="GI for order"/>
    <s v="4915667156"/>
    <s v="P003"/>
    <x v="5"/>
    <x v="15"/>
    <s v="16:29:26"/>
    <s v="JURASDOK"/>
    <s v="0007"/>
    <s v=""/>
    <s v="0000"/>
    <s v=""/>
    <s v="0000000000"/>
    <s v=""/>
    <s v="Film roll Nologo 500g.420mm*900m"/>
    <s v=""/>
    <s v="53003000"/>
    <s v=""/>
    <s v=""/>
    <s v=""/>
    <s v=""/>
    <m/>
    <x v="0"/>
    <n v="-495"/>
    <n v="-849.75"/>
    <d v="2026-07-07T00:00:00"/>
    <d v="2026-07-01T00:00:00"/>
    <m/>
    <d v="2026-07-07T00:00:00"/>
    <n v="-495"/>
    <x v="2"/>
    <s v="58"/>
    <s v="ต้นทุนผลิตหีบห่อ"/>
    <m/>
    <n v="1.7166666666666666"/>
    <e v="#N/A"/>
    <e v="#N/A"/>
  </r>
  <r>
    <x v="25"/>
    <x v="25"/>
    <s v="0328"/>
    <x v="5"/>
    <s v="GR for order"/>
    <s v="4915667156"/>
    <s v="M001"/>
    <x v="39"/>
    <x v="15"/>
    <s v="16:29:26"/>
    <s v="JURASDOK"/>
    <s v="0001"/>
    <s v=""/>
    <s v="0000"/>
    <s v=""/>
    <s v="0000000000"/>
    <s v=""/>
    <s v=""/>
    <s v=""/>
    <s v="53001001"/>
    <s v=""/>
    <s v=""/>
    <s v=""/>
    <s v=""/>
    <m/>
    <x v="2"/>
    <n v="412"/>
    <n v="75948.08"/>
    <d v="2026-07-07T00:00:00"/>
    <d v="2026-07-01T00:00:00"/>
    <m/>
    <d v="2026-07-07T00:00:00"/>
    <n v="206000"/>
    <x v="2"/>
    <s v="59"/>
    <s v="ต้นทุนผลิตโอน F/G"/>
    <m/>
    <n v="184.34"/>
    <e v="#N/A"/>
    <e v="#N/A"/>
  </r>
  <r>
    <x v="18"/>
    <x v="18"/>
    <s v="0328"/>
    <x v="4"/>
    <s v="GI for order"/>
    <s v="4915669177"/>
    <s v="P002"/>
    <x v="19"/>
    <x v="16"/>
    <s v="17:12:21"/>
    <s v="JURASDOK"/>
    <s v="0002"/>
    <s v=""/>
    <s v="0000"/>
    <s v=""/>
    <s v="0151106531"/>
    <s v=""/>
    <s v=""/>
    <s v=""/>
    <s v="53001003"/>
    <s v=""/>
    <s v=""/>
    <s v=""/>
    <s v=""/>
    <m/>
    <x v="3"/>
    <n v="-10176.200000000001"/>
    <n v="-2745437"/>
    <d v="2026-07-07T00:00:00"/>
    <d v="2026-07-02T00:00:00"/>
    <m/>
    <d v="2026-07-07T00:00:00"/>
    <n v="-10176200"/>
    <x v="4"/>
    <s v="57"/>
    <s v="ต้นทุนผลิตกึ่งสำเร็จ"/>
    <m/>
    <n v="269.79000019653699"/>
    <e v="#N/A"/>
    <e v="#N/A"/>
  </r>
  <r>
    <x v="19"/>
    <x v="19"/>
    <s v="0328"/>
    <x v="4"/>
    <s v="GI for order"/>
    <s v="4915669177"/>
    <s v="P002"/>
    <x v="8"/>
    <x v="16"/>
    <s v="17:12:21"/>
    <s v="JURASDOK"/>
    <s v="0003"/>
    <s v=""/>
    <s v="0000"/>
    <s v=""/>
    <s v="0151106531"/>
    <s v=""/>
    <s v=""/>
    <s v=""/>
    <s v="53001003"/>
    <s v=""/>
    <s v=""/>
    <s v=""/>
    <s v=""/>
    <m/>
    <x v="3"/>
    <n v="-2548.4"/>
    <n v="-409324.01"/>
    <d v="2026-07-07T00:00:00"/>
    <d v="2026-07-02T00:00:00"/>
    <m/>
    <d v="2026-07-07T00:00:00"/>
    <n v="-2548400"/>
    <x v="4"/>
    <s v="57"/>
    <s v="ต้นทุนผลิตกึ่งสำเร็จ"/>
    <m/>
    <n v="160.62000078480614"/>
    <e v="#N/A"/>
    <e v="#N/A"/>
  </r>
  <r>
    <x v="23"/>
    <x v="23"/>
    <s v="0328"/>
    <x v="5"/>
    <s v="GR for order"/>
    <s v="4915669177"/>
    <s v="P003"/>
    <x v="41"/>
    <x v="16"/>
    <s v="17:12:21"/>
    <s v="JURASDOK"/>
    <s v="0001"/>
    <s v=""/>
    <s v="0000"/>
    <s v=""/>
    <s v="0000000000"/>
    <s v=""/>
    <s v=""/>
    <s v=""/>
    <s v="53001004"/>
    <s v=""/>
    <s v=""/>
    <s v=""/>
    <s v=""/>
    <m/>
    <x v="3"/>
    <n v="10237.93"/>
    <n v="3319853.56"/>
    <d v="2026-07-07T00:00:00"/>
    <d v="2026-07-02T00:00:00"/>
    <m/>
    <d v="2026-07-07T00:00:00"/>
    <n v="10237930"/>
    <x v="4"/>
    <s v="57"/>
    <s v="ต้นทุนผลิตโอน Semi"/>
    <m/>
    <n v="324.26999989255643"/>
    <e v="#N/A"/>
    <e v="#N/A"/>
  </r>
  <r>
    <x v="23"/>
    <x v="23"/>
    <s v="0328"/>
    <x v="4"/>
    <s v="GI for order"/>
    <s v="4915669410"/>
    <s v="P003"/>
    <x v="41"/>
    <x v="17"/>
    <s v="17:16:55"/>
    <s v="JURASDOK"/>
    <s v="0002"/>
    <s v=""/>
    <s v="0000"/>
    <s v=""/>
    <s v="0151108874"/>
    <s v=""/>
    <s v=""/>
    <s v=""/>
    <s v="53001003"/>
    <s v=""/>
    <s v=""/>
    <s v=""/>
    <s v=""/>
    <m/>
    <x v="3"/>
    <n v="-10237.93"/>
    <n v="-3319853.56"/>
    <d v="2026-07-07T00:00:00"/>
    <d v="2026-07-02T00:00:00"/>
    <m/>
    <d v="2026-07-07T00:00:00"/>
    <n v="-10237930"/>
    <x v="2"/>
    <s v="57"/>
    <s v="ต้นทุนผลิตกึ่งสำเร็จ"/>
    <m/>
    <n v="324.26999989255643"/>
    <e v="#N/A"/>
    <e v="#N/A"/>
  </r>
  <r>
    <x v="11"/>
    <x v="11"/>
    <s v="0328"/>
    <x v="4"/>
    <s v="GI for order"/>
    <s v="4915669410"/>
    <s v="P003"/>
    <x v="20"/>
    <x v="17"/>
    <s v="17:16:55"/>
    <s v="JURASDOK"/>
    <s v="0003"/>
    <s v=""/>
    <s v="0000"/>
    <s v=""/>
    <s v="0151108874"/>
    <s v=""/>
    <s v=""/>
    <s v=""/>
    <s v="53003000"/>
    <s v=""/>
    <s v=""/>
    <s v=""/>
    <s v=""/>
    <m/>
    <x v="0"/>
    <n v="-20697"/>
    <n v="-17504.86"/>
    <d v="2026-07-07T00:00:00"/>
    <d v="2026-07-02T00:00:00"/>
    <m/>
    <d v="2026-07-07T00:00:00"/>
    <n v="-20697"/>
    <x v="2"/>
    <s v="58"/>
    <s v="ต้นทุนผลิตหีบห่อ"/>
    <m/>
    <n v="0.84576798569841038"/>
    <e v="#N/A"/>
    <e v="#N/A"/>
  </r>
  <r>
    <x v="12"/>
    <x v="12"/>
    <s v="0328"/>
    <x v="4"/>
    <s v="GI for order"/>
    <s v="4915669410"/>
    <s v="P003"/>
    <x v="15"/>
    <x v="17"/>
    <s v="17:16:55"/>
    <s v="JURASDOK"/>
    <s v="0004"/>
    <s v=""/>
    <s v="0000"/>
    <s v=""/>
    <s v="0151108874"/>
    <s v=""/>
    <s v=""/>
    <s v=""/>
    <s v="53003000"/>
    <s v=""/>
    <s v=""/>
    <s v=""/>
    <s v=""/>
    <m/>
    <x v="0"/>
    <n v="-20697"/>
    <n v="-43123.82"/>
    <d v="2026-07-07T00:00:00"/>
    <d v="2026-07-02T00:00:00"/>
    <m/>
    <d v="2026-07-07T00:00:00"/>
    <n v="-20697"/>
    <x v="2"/>
    <s v="58"/>
    <s v="ต้นทุนผลิตหีบห่อ"/>
    <m/>
    <n v="2.0835782963714546"/>
    <e v="#N/A"/>
    <e v="#N/A"/>
  </r>
  <r>
    <x v="13"/>
    <x v="13"/>
    <s v="0328"/>
    <x v="4"/>
    <s v="GI for order"/>
    <s v="4915669410"/>
    <s v="P003"/>
    <x v="16"/>
    <x v="17"/>
    <s v="17:16:55"/>
    <s v="JURASDOK"/>
    <s v="0005"/>
    <s v=""/>
    <s v="0000"/>
    <s v=""/>
    <s v="0151108874"/>
    <s v=""/>
    <s v=""/>
    <s v=""/>
    <s v="53003000"/>
    <s v=""/>
    <s v=""/>
    <s v=""/>
    <s v=""/>
    <m/>
    <x v="0"/>
    <n v="-3432"/>
    <n v="-17160"/>
    <d v="2026-07-07T00:00:00"/>
    <d v="2026-07-02T00:00:00"/>
    <m/>
    <d v="2026-07-07T00:00:00"/>
    <n v="-3432"/>
    <x v="2"/>
    <s v="58"/>
    <s v="ต้นทุนผลิตหีบห่อ"/>
    <m/>
    <n v="5"/>
    <e v="#N/A"/>
    <e v="#N/A"/>
  </r>
  <r>
    <x v="5"/>
    <x v="5"/>
    <s v="0328"/>
    <x v="5"/>
    <s v="GR for order"/>
    <s v="4915669410"/>
    <s v="M001"/>
    <x v="42"/>
    <x v="17"/>
    <s v="17:16:55"/>
    <s v="JURASDOK"/>
    <s v="0001"/>
    <s v=""/>
    <s v="0000"/>
    <s v=""/>
    <s v="0000000000"/>
    <s v=""/>
    <s v=""/>
    <s v=""/>
    <s v="53001001"/>
    <s v=""/>
    <s v=""/>
    <s v=""/>
    <s v=""/>
    <m/>
    <x v="2"/>
    <n v="20466"/>
    <n v="3466531.08"/>
    <d v="2026-07-07T00:00:00"/>
    <d v="2026-07-02T00:00:00"/>
    <m/>
    <d v="2026-07-07T00:00:00"/>
    <n v="10233000"/>
    <x v="2"/>
    <s v="59"/>
    <s v="ต้นทุนผลิตโอน F/G"/>
    <m/>
    <n v="169.38"/>
    <e v="#N/A"/>
    <e v="#N/A"/>
  </r>
  <r>
    <x v="18"/>
    <x v="18"/>
    <s v="0328"/>
    <x v="4"/>
    <s v="GI for order"/>
    <s v="4915669880"/>
    <s v="P002"/>
    <x v="19"/>
    <x v="18"/>
    <s v="17:27:42"/>
    <s v="JURASDOK"/>
    <s v="0002"/>
    <s v=""/>
    <s v="0000"/>
    <s v=""/>
    <s v="0151110180"/>
    <s v=""/>
    <s v=""/>
    <s v=""/>
    <s v="53001003"/>
    <s v=""/>
    <s v=""/>
    <s v=""/>
    <s v=""/>
    <m/>
    <x v="3"/>
    <n v="-8599.2000000000007"/>
    <n v="-2319978.17"/>
    <d v="2026-07-07T00:00:00"/>
    <d v="2026-07-03T00:00:00"/>
    <m/>
    <d v="2026-07-07T00:00:00"/>
    <n v="-8599200"/>
    <x v="4"/>
    <s v="57"/>
    <s v="ต้นทุนผลิตกึ่งสำเร็จ"/>
    <m/>
    <n v="269.79000023257976"/>
    <e v="#N/A"/>
    <e v="#N/A"/>
  </r>
  <r>
    <x v="17"/>
    <x v="17"/>
    <s v="0328"/>
    <x v="4"/>
    <s v="GI for order"/>
    <s v="4915669880"/>
    <s v="P002"/>
    <x v="38"/>
    <x v="18"/>
    <s v="17:27:42"/>
    <s v="JURASDOK"/>
    <s v="0003"/>
    <s v=""/>
    <s v="0000"/>
    <s v=""/>
    <s v="0151110180"/>
    <s v=""/>
    <s v=""/>
    <s v=""/>
    <s v="53001003"/>
    <s v=""/>
    <s v=""/>
    <s v=""/>
    <s v=""/>
    <m/>
    <x v="3"/>
    <n v="-1001.7"/>
    <n v="-270248.64"/>
    <d v="2026-07-07T00:00:00"/>
    <d v="2026-07-03T00:00:00"/>
    <m/>
    <d v="2026-07-07T00:00:00"/>
    <n v="-1001700"/>
    <x v="4"/>
    <s v="57"/>
    <s v="ต้นทุนผลิตกึ่งสำเร็จ"/>
    <m/>
    <n v="269.78999700509132"/>
    <e v="#N/A"/>
    <e v="#N/A"/>
  </r>
  <r>
    <x v="19"/>
    <x v="19"/>
    <s v="0328"/>
    <x v="4"/>
    <s v="GI for order"/>
    <s v="4915669880"/>
    <s v="P002"/>
    <x v="8"/>
    <x v="18"/>
    <s v="17:27:42"/>
    <s v="JURASDOK"/>
    <s v="0004"/>
    <s v=""/>
    <s v="0000"/>
    <s v=""/>
    <s v="0151110180"/>
    <s v=""/>
    <s v=""/>
    <s v=""/>
    <s v="53001003"/>
    <s v=""/>
    <s v=""/>
    <s v=""/>
    <s v=""/>
    <m/>
    <x v="3"/>
    <n v="-2404.08"/>
    <n v="-386143.33"/>
    <d v="2026-07-07T00:00:00"/>
    <d v="2026-07-03T00:00:00"/>
    <m/>
    <d v="2026-07-07T00:00:00"/>
    <n v="-2404080"/>
    <x v="4"/>
    <s v="57"/>
    <s v="ต้นทุนผลิตกึ่งสำเร็จ"/>
    <m/>
    <n v="160.62000016638382"/>
    <e v="#N/A"/>
    <e v="#N/A"/>
  </r>
  <r>
    <x v="23"/>
    <x v="23"/>
    <s v="0328"/>
    <x v="5"/>
    <s v="GR for order"/>
    <s v="4915669880"/>
    <s v="P003"/>
    <x v="43"/>
    <x v="18"/>
    <s v="17:27:42"/>
    <s v="JURASDOK"/>
    <s v="0001"/>
    <s v=""/>
    <s v="0000"/>
    <s v=""/>
    <s v="0000000000"/>
    <s v=""/>
    <s v=""/>
    <s v=""/>
    <s v="53001004"/>
    <s v=""/>
    <s v=""/>
    <s v=""/>
    <s v=""/>
    <m/>
    <x v="3"/>
    <n v="9645.9599999999991"/>
    <n v="3127895.45"/>
    <d v="2026-07-07T00:00:00"/>
    <d v="2026-07-03T00:00:00"/>
    <m/>
    <d v="2026-07-07T00:00:00"/>
    <n v="9645960"/>
    <x v="4"/>
    <s v="57"/>
    <s v="ต้นทุนผลิตโอน Semi"/>
    <m/>
    <n v="324.27000008293635"/>
    <e v="#N/A"/>
    <e v="#N/A"/>
  </r>
  <r>
    <x v="18"/>
    <x v="18"/>
    <s v="0328"/>
    <x v="4"/>
    <s v="GI for order"/>
    <s v="4915670146"/>
    <s v="P002"/>
    <x v="23"/>
    <x v="19"/>
    <s v="17:33:38"/>
    <s v="JURASDOK"/>
    <s v="0002"/>
    <s v=""/>
    <s v="0000"/>
    <s v=""/>
    <s v="0151110243"/>
    <s v=""/>
    <s v=""/>
    <s v=""/>
    <s v="53001003"/>
    <s v=""/>
    <s v=""/>
    <s v=""/>
    <s v=""/>
    <m/>
    <x v="3"/>
    <n v="-6859.22"/>
    <n v="-1850548.96"/>
    <d v="2026-07-07T00:00:00"/>
    <d v="2026-07-04T00:00:00"/>
    <m/>
    <d v="2026-07-07T00:00:00"/>
    <n v="-6859220"/>
    <x v="4"/>
    <s v="57"/>
    <s v="ต้นทุนผลิตกึ่งสำเร็จ"/>
    <m/>
    <n v="269.78999944600116"/>
    <e v="#N/A"/>
    <e v="#N/A"/>
  </r>
  <r>
    <x v="18"/>
    <x v="18"/>
    <s v="0328"/>
    <x v="4"/>
    <s v="GI for order"/>
    <s v="4915670146"/>
    <s v="P002"/>
    <x v="44"/>
    <x v="19"/>
    <s v="17:33:38"/>
    <s v="JURASDOK"/>
    <s v="0004"/>
    <s v=""/>
    <s v="0000"/>
    <s v=""/>
    <s v="0000000000"/>
    <s v=""/>
    <s v="เมล็ดกาแฟ Clean Arabica Size L"/>
    <s v=""/>
    <s v="53001003"/>
    <s v=""/>
    <s v=""/>
    <s v=""/>
    <s v=""/>
    <m/>
    <x v="3"/>
    <n v="-822.68"/>
    <n v="-221950.84"/>
    <d v="2026-07-07T00:00:00"/>
    <d v="2026-07-04T00:00:00"/>
    <m/>
    <d v="2026-07-07T00:00:00"/>
    <n v="-822680"/>
    <x v="4"/>
    <s v="57"/>
    <s v="ต้นทุนผลิตกึ่งสำเร็จ"/>
    <m/>
    <n v="269.79000340351047"/>
    <e v="#N/A"/>
    <e v="#N/A"/>
  </r>
  <r>
    <x v="19"/>
    <x v="19"/>
    <s v="0328"/>
    <x v="4"/>
    <s v="GI for order"/>
    <s v="4915670146"/>
    <s v="P002"/>
    <x v="8"/>
    <x v="19"/>
    <s v="17:33:38"/>
    <s v="JURASDOK"/>
    <s v="0003"/>
    <s v=""/>
    <s v="0000"/>
    <s v=""/>
    <s v="0151110243"/>
    <s v=""/>
    <s v=""/>
    <s v=""/>
    <s v="53001003"/>
    <s v=""/>
    <s v=""/>
    <s v=""/>
    <s v=""/>
    <m/>
    <x v="3"/>
    <n v="-1923.44"/>
    <n v="-308942.93"/>
    <d v="2026-07-07T00:00:00"/>
    <d v="2026-07-04T00:00:00"/>
    <m/>
    <d v="2026-07-07T00:00:00"/>
    <n v="-1923440"/>
    <x v="4"/>
    <s v="57"/>
    <s v="ต้นทุนผลิตกึ่งสำเร็จ"/>
    <m/>
    <n v="160.61999854427484"/>
    <e v="#N/A"/>
    <e v="#N/A"/>
  </r>
  <r>
    <x v="23"/>
    <x v="23"/>
    <s v="0328"/>
    <x v="5"/>
    <s v="GR for order"/>
    <s v="4915670146"/>
    <s v="P003"/>
    <x v="45"/>
    <x v="19"/>
    <s v="17:33:38"/>
    <s v="JURASDOK"/>
    <s v="0001"/>
    <s v=""/>
    <s v="0000"/>
    <s v=""/>
    <s v="0000000000"/>
    <s v=""/>
    <s v=""/>
    <s v=""/>
    <s v="53001004"/>
    <s v=""/>
    <s v=""/>
    <s v=""/>
    <s v=""/>
    <m/>
    <x v="3"/>
    <n v="7753.17"/>
    <n v="2514120.44"/>
    <d v="2026-07-07T00:00:00"/>
    <d v="2026-07-04T00:00:00"/>
    <m/>
    <d v="2026-07-07T00:00:00"/>
    <n v="7753170"/>
    <x v="4"/>
    <s v="57"/>
    <s v="ต้นทุนผลิตโอน Semi"/>
    <m/>
    <n v="324.27000052881596"/>
    <e v="#N/A"/>
    <e v="#N/A"/>
  </r>
  <r>
    <x v="5"/>
    <x v="5"/>
    <s v="0328"/>
    <x v="1"/>
    <s v="GI ค่าวิจัยและพัฒนา"/>
    <s v="4915678686"/>
    <s v="M001"/>
    <x v="42"/>
    <x v="0"/>
    <s v="20:54:43"/>
    <s v="RAPEESAN01"/>
    <s v="0001"/>
    <s v=""/>
    <s v="0000"/>
    <s v=""/>
    <s v="0151110153"/>
    <s v=""/>
    <s v="RD เบิก 30/6/26 ส่ง CP All"/>
    <s v="405053"/>
    <s v="67501001"/>
    <s v=""/>
    <s v=""/>
    <s v=""/>
    <s v=""/>
    <m/>
    <x v="2"/>
    <n v="-6"/>
    <n v="-1016.28"/>
    <d v="2026-07-07T00:00:00"/>
    <d v="2026-07-07T00:00:00"/>
    <m/>
    <d v="2026-07-07T00:00:00"/>
    <n v="-3000"/>
    <x v="0"/>
    <s v="59"/>
    <s v="ค่าวิจัยคุณภาพสินค้า"/>
    <m/>
    <n v="169.38"/>
    <e v="#N/A"/>
    <e v="#N/A"/>
  </r>
  <r>
    <x v="5"/>
    <x v="5"/>
    <s v="0328"/>
    <x v="1"/>
    <s v="GI ค่าวิจัยและพัฒนา"/>
    <s v="4915678852"/>
    <s v="M001"/>
    <x v="42"/>
    <x v="0"/>
    <s v="20:56:38"/>
    <s v="RAPEESAN01"/>
    <s v="0002"/>
    <s v=""/>
    <s v="0000"/>
    <s v=""/>
    <s v="0151111340"/>
    <s v=""/>
    <s v="ตรวจเพิ่ม 06.07.26.1 A010R002"/>
    <s v="405053"/>
    <s v="67501001"/>
    <s v=""/>
    <s v=""/>
    <s v=""/>
    <s v=""/>
    <m/>
    <x v="2"/>
    <n v="-2"/>
    <n v="-338.76"/>
    <d v="2026-07-07T00:00:00"/>
    <d v="2026-07-07T00:00:00"/>
    <m/>
    <d v="2026-07-07T00:00:00"/>
    <n v="-1000"/>
    <x v="0"/>
    <s v="59"/>
    <s v="ค่าวิจัยคุณภาพสินค้า"/>
    <m/>
    <n v="169.38"/>
    <e v="#N/A"/>
    <e v="#N/A"/>
  </r>
  <r>
    <x v="5"/>
    <x v="5"/>
    <s v="0328"/>
    <x v="1"/>
    <s v="GI ค่าวิจัยและพัฒนา"/>
    <s v="4915678852"/>
    <s v="M001"/>
    <x v="42"/>
    <x v="0"/>
    <s v="20:56:38"/>
    <s v="RAPEESAN01"/>
    <s v="0001"/>
    <s v=""/>
    <s v="0000"/>
    <s v=""/>
    <s v="0151111340"/>
    <s v=""/>
    <s v="Top Up 01.07.26.3 P.34,35"/>
    <s v="405053"/>
    <s v="67501001"/>
    <s v=""/>
    <s v=""/>
    <s v=""/>
    <s v=""/>
    <m/>
    <x v="2"/>
    <n v="-2"/>
    <n v="-338.76"/>
    <d v="2026-07-07T00:00:00"/>
    <d v="2026-07-07T00:00:00"/>
    <m/>
    <d v="2026-07-07T00:00:00"/>
    <n v="-1000"/>
    <x v="0"/>
    <s v="59"/>
    <s v="ค่าวิจัยคุณภาพสินค้า"/>
    <m/>
    <n v="169.38"/>
    <e v="#N/A"/>
    <e v="#N/A"/>
  </r>
  <r>
    <x v="5"/>
    <x v="5"/>
    <s v="0328"/>
    <x v="1"/>
    <s v="GI ค่าวิจัยและพัฒนา"/>
    <s v="4915678857"/>
    <s v="M001"/>
    <x v="42"/>
    <x v="0"/>
    <s v="20:58:15"/>
    <s v="RAPEESAN01"/>
    <s v="0002"/>
    <s v=""/>
    <s v="0000"/>
    <s v=""/>
    <s v="0151110191"/>
    <s v=""/>
    <s v="Retain 01.07.26.2 A010R002"/>
    <s v="405053"/>
    <s v="67501001"/>
    <s v=""/>
    <s v=""/>
    <s v=""/>
    <s v=""/>
    <m/>
    <x v="2"/>
    <n v="-3"/>
    <n v="-508.14"/>
    <d v="2026-07-07T00:00:00"/>
    <d v="2026-07-07T00:00:00"/>
    <m/>
    <d v="2026-07-07T00:00:00"/>
    <n v="-1500"/>
    <x v="0"/>
    <s v="59"/>
    <s v="ค่าวิจัยคุณภาพสินค้า"/>
    <m/>
    <n v="169.38"/>
    <e v="#N/A"/>
    <e v="#N/A"/>
  </r>
  <r>
    <x v="5"/>
    <x v="5"/>
    <s v="0328"/>
    <x v="1"/>
    <s v="GI ค่าวิจัยและพัฒนา"/>
    <s v="4915678857"/>
    <s v="M001"/>
    <x v="42"/>
    <x v="0"/>
    <s v="20:58:15"/>
    <s v="RAPEESAN01"/>
    <s v="0001"/>
    <s v=""/>
    <s v="0000"/>
    <s v=""/>
    <s v="0151110191"/>
    <s v=""/>
    <s v="Routine 01.07.26.2 A010R002"/>
    <s v="405053"/>
    <s v="67501001"/>
    <s v=""/>
    <s v=""/>
    <s v=""/>
    <s v=""/>
    <m/>
    <x v="2"/>
    <n v="-3"/>
    <n v="-508.14"/>
    <d v="2026-07-07T00:00:00"/>
    <d v="2026-07-07T00:00:00"/>
    <m/>
    <d v="2026-07-07T00:00:00"/>
    <n v="-1500"/>
    <x v="0"/>
    <s v="59"/>
    <s v="ค่าวิจัยคุณภาพสินค้า"/>
    <m/>
    <n v="169.38"/>
    <e v="#N/A"/>
    <e v="#N/A"/>
  </r>
  <r>
    <x v="25"/>
    <x v="25"/>
    <s v="0328"/>
    <x v="1"/>
    <s v="GI ค่าวิจัยและพัฒนา"/>
    <s v="4915679110"/>
    <s v="M001"/>
    <x v="39"/>
    <x v="0"/>
    <s v="21:07:39"/>
    <s v="RAPEESAN01"/>
    <s v="0002"/>
    <s v=""/>
    <s v="0000"/>
    <s v=""/>
    <s v="0150878207"/>
    <s v=""/>
    <s v="ตรวจปล่อย 01.07.26"/>
    <s v="405053"/>
    <s v="67501001"/>
    <s v=""/>
    <s v=""/>
    <s v=""/>
    <s v=""/>
    <m/>
    <x v="2"/>
    <n v="-1"/>
    <n v="-184.34"/>
    <d v="2026-07-02T00:00:00"/>
    <d v="2026-07-02T00:00:00"/>
    <m/>
    <d v="2026-07-07T00:00:00"/>
    <n v="-500"/>
    <x v="0"/>
    <s v="59"/>
    <s v="ค่าวิจัยคุณภาพสินค้า"/>
    <m/>
    <n v="184.34"/>
    <e v="#N/A"/>
    <e v="#N/A"/>
  </r>
  <r>
    <x v="8"/>
    <x v="8"/>
    <s v="0328"/>
    <x v="1"/>
    <s v="GI ค่าวิจัยและพัฒนา"/>
    <s v="4915679110"/>
    <s v="M001"/>
    <x v="10"/>
    <x v="0"/>
    <s v="21:07:39"/>
    <s v="RAPEESAN01"/>
    <s v="0001"/>
    <s v=""/>
    <s v="0000"/>
    <s v=""/>
    <s v="0150878207"/>
    <s v=""/>
    <s v="ตรวจเพิ่ม 01.07.26.1"/>
    <s v="405053"/>
    <s v="67501001"/>
    <s v=""/>
    <s v=""/>
    <s v=""/>
    <s v=""/>
    <m/>
    <x v="2"/>
    <n v="-3"/>
    <n v="-508.08"/>
    <d v="2026-07-02T00:00:00"/>
    <d v="2026-07-02T00:00:00"/>
    <m/>
    <d v="2026-07-07T00:00:00"/>
    <n v="-1500"/>
    <x v="0"/>
    <s v="59"/>
    <s v="ค่าวิจัยคุณภาพสินค้า"/>
    <m/>
    <n v="169.35999999999999"/>
    <e v="#N/A"/>
    <e v="#N/A"/>
  </r>
  <r>
    <x v="7"/>
    <x v="7"/>
    <s v="0328"/>
    <x v="1"/>
    <s v="GI ค่าวิจัยและพัฒนา"/>
    <s v="4915720549"/>
    <s v="P001"/>
    <x v="8"/>
    <x v="0"/>
    <s v="09:54:59"/>
    <s v="SUTEESEA"/>
    <s v="0001"/>
    <s v=""/>
    <s v="0000"/>
    <s v=""/>
    <s v="0151110455"/>
    <s v=""/>
    <s v="R.BBB 16.06.26 CL 09:15 Silo 6"/>
    <s v="405053"/>
    <s v="67501001"/>
    <s v=""/>
    <s v=""/>
    <s v=""/>
    <s v=""/>
    <m/>
    <x v="5"/>
    <n v="-500"/>
    <n v="-77.900000000000006"/>
    <d v="2026-07-07T00:00:00"/>
    <d v="2026-07-07T00:00:00"/>
    <m/>
    <d v="2026-07-08T00:00:00"/>
    <n v="-500"/>
    <x v="0"/>
    <s v="54"/>
    <s v="ค่าวิจัยคุณภาพสินค้า"/>
    <m/>
    <n v="0.15580000000000002"/>
    <e v="#N/A"/>
    <e v="#N/A"/>
  </r>
  <r>
    <x v="6"/>
    <x v="6"/>
    <s v="0328"/>
    <x v="2"/>
    <s v="GD goods issue:delvy"/>
    <s v="4915723424"/>
    <s v="P004"/>
    <x v="7"/>
    <x v="0"/>
    <s v="10:59:21"/>
    <s v="THANAWIS"/>
    <s v="0001"/>
    <s v=""/>
    <s v="0000"/>
    <s v=""/>
    <s v="0000000000"/>
    <s v=""/>
    <s v=""/>
    <s v=""/>
    <s v="51003100"/>
    <s v=""/>
    <s v=""/>
    <s v=""/>
    <s v="2000125196"/>
    <m/>
    <x v="2"/>
    <n v="-9"/>
    <n v="-1524.24"/>
    <d v="2026-07-08T00:00:00"/>
    <d v="2026-07-08T00:00:00"/>
    <m/>
    <d v="2026-07-08T00:00:00"/>
    <n v="-4500"/>
    <x v="0"/>
    <s v="59"/>
    <s v="ต้นทุนขาย"/>
    <m/>
    <n v="169.36"/>
    <e v="#N/A"/>
    <e v="#N/A"/>
  </r>
  <r>
    <x v="5"/>
    <x v="5"/>
    <s v="0328"/>
    <x v="2"/>
    <s v="GD goods issue:delvy"/>
    <s v="4915725213"/>
    <s v="M001"/>
    <x v="37"/>
    <x v="0"/>
    <s v="11:45:46"/>
    <s v="RAPEESAN01"/>
    <s v="0001"/>
    <s v=""/>
    <s v="0000"/>
    <s v=""/>
    <s v="0000000000"/>
    <s v=""/>
    <s v=""/>
    <s v=""/>
    <s v="51003100"/>
    <s v=""/>
    <s v=""/>
    <s v=""/>
    <s v="2000125199"/>
    <m/>
    <x v="4"/>
    <n v="-960"/>
    <n v="-975628.80000000005"/>
    <d v="2026-07-08T00:00:00"/>
    <d v="2026-07-08T00:00:00"/>
    <m/>
    <d v="2026-07-08T00:00:00"/>
    <n v="-2880000"/>
    <x v="0"/>
    <s v="59"/>
    <s v="ต้นทุนขาย"/>
    <m/>
    <n v="1016.2800000000001"/>
    <e v="#N/A"/>
    <e v="#N/A"/>
  </r>
  <r>
    <x v="5"/>
    <x v="5"/>
    <s v="0328"/>
    <x v="2"/>
    <s v="GD goods issue:delvy"/>
    <s v="4915725985"/>
    <s v="M001"/>
    <x v="37"/>
    <x v="0"/>
    <s v="12:00:34"/>
    <s v="RAPEESAN01"/>
    <s v="0001"/>
    <s v=""/>
    <s v="0000"/>
    <s v=""/>
    <s v="0000000000"/>
    <s v=""/>
    <s v=""/>
    <s v=""/>
    <s v="51003100"/>
    <s v=""/>
    <s v=""/>
    <s v=""/>
    <s v="2000125200"/>
    <m/>
    <x v="4"/>
    <n v="-773"/>
    <n v="-785584.44"/>
    <d v="2026-07-08T00:00:00"/>
    <d v="2026-07-08T00:00:00"/>
    <m/>
    <d v="2026-07-08T00:00:00"/>
    <n v="-2319000"/>
    <x v="0"/>
    <s v="59"/>
    <s v="ต้นทุนขาย"/>
    <m/>
    <n v="1016.28"/>
    <e v="#N/A"/>
    <e v="#N/A"/>
  </r>
  <r>
    <x v="5"/>
    <x v="5"/>
    <s v="0328"/>
    <x v="2"/>
    <s v="GD goods issue:delvy"/>
    <s v="4915725985"/>
    <s v="M001"/>
    <x v="46"/>
    <x v="0"/>
    <s v="12:00:34"/>
    <s v="RAPEESAN01"/>
    <s v="0002"/>
    <s v=""/>
    <s v="0000"/>
    <s v=""/>
    <s v="0000000000"/>
    <s v=""/>
    <s v=""/>
    <s v=""/>
    <s v="51003100"/>
    <s v=""/>
    <s v=""/>
    <s v=""/>
    <s v="2000125200"/>
    <m/>
    <x v="4"/>
    <n v="-187"/>
    <n v="-190044.36"/>
    <d v="2026-07-08T00:00:00"/>
    <d v="2026-07-08T00:00:00"/>
    <m/>
    <d v="2026-07-08T00:00:00"/>
    <n v="-561000"/>
    <x v="0"/>
    <s v="59"/>
    <s v="ต้นทุนขาย"/>
    <m/>
    <n v="1016.28"/>
    <e v="#N/A"/>
    <e v="#N/A"/>
  </r>
  <r>
    <x v="11"/>
    <x v="11"/>
    <s v="0328"/>
    <x v="3"/>
    <s v="TF trfr within plant"/>
    <s v="4915728346"/>
    <s v="P003"/>
    <x v="20"/>
    <x v="0"/>
    <s v="12:23:22"/>
    <s v="RAPEESAN01"/>
    <s v="0002"/>
    <s v=""/>
    <s v="0000"/>
    <s v=""/>
    <s v="0000000000"/>
    <s v=""/>
    <s v=""/>
    <s v=""/>
    <s v=""/>
    <s v=""/>
    <s v=""/>
    <s v=""/>
    <s v=""/>
    <m/>
    <x v="0"/>
    <n v="20000"/>
    <n v="0"/>
    <d v="2026-07-08T00:00:00"/>
    <d v="2026-07-08T00:00:00"/>
    <m/>
    <d v="2026-07-08T00:00:00"/>
    <n v="20000"/>
    <x v="0"/>
    <s v="58"/>
    <e v="#N/A"/>
    <m/>
    <n v="0"/>
    <e v="#N/A"/>
    <e v="#N/A"/>
  </r>
  <r>
    <x v="11"/>
    <x v="11"/>
    <s v="0328"/>
    <x v="3"/>
    <s v="TF trfr within plant"/>
    <s v="4915728346"/>
    <s v="M003"/>
    <x v="20"/>
    <x v="0"/>
    <s v="12:23:22"/>
    <s v="RAPEESAN01"/>
    <s v="0001"/>
    <s v=""/>
    <s v="0000"/>
    <s v=""/>
    <s v="0000000000"/>
    <s v=""/>
    <s v=""/>
    <s v=""/>
    <s v=""/>
    <s v=""/>
    <s v=""/>
    <s v=""/>
    <s v=""/>
    <m/>
    <x v="0"/>
    <n v="-20000"/>
    <n v="0"/>
    <d v="2026-07-08T00:00:00"/>
    <d v="2026-07-08T00:00:00"/>
    <m/>
    <d v="2026-07-08T00:00:00"/>
    <n v="-20000"/>
    <x v="0"/>
    <s v="58"/>
    <e v="#N/A"/>
    <m/>
    <n v="0"/>
    <e v="#N/A"/>
    <e v="#N/A"/>
  </r>
  <r>
    <x v="12"/>
    <x v="12"/>
    <s v="0328"/>
    <x v="3"/>
    <s v="TF trfr within plant"/>
    <s v="4915728346"/>
    <s v="P003"/>
    <x v="33"/>
    <x v="0"/>
    <s v="12:23:22"/>
    <s v="RAPEESAN01"/>
    <s v="0004"/>
    <s v=""/>
    <s v="0000"/>
    <s v=""/>
    <s v="0000000000"/>
    <s v=""/>
    <s v=""/>
    <s v=""/>
    <s v=""/>
    <s v=""/>
    <s v=""/>
    <s v=""/>
    <s v=""/>
    <m/>
    <x v="0"/>
    <n v="36000"/>
    <n v="0"/>
    <d v="2026-07-08T00:00:00"/>
    <d v="2026-07-08T00:00:00"/>
    <m/>
    <d v="2026-07-08T00:00:00"/>
    <n v="36000"/>
    <x v="0"/>
    <s v="58"/>
    <e v="#N/A"/>
    <m/>
    <n v="0"/>
    <e v="#N/A"/>
    <e v="#N/A"/>
  </r>
  <r>
    <x v="12"/>
    <x v="12"/>
    <s v="0328"/>
    <x v="3"/>
    <s v="TF trfr within plant"/>
    <s v="4915728346"/>
    <s v="M003"/>
    <x v="33"/>
    <x v="0"/>
    <s v="12:23:22"/>
    <s v="RAPEESAN01"/>
    <s v="0003"/>
    <s v=""/>
    <s v="0000"/>
    <s v=""/>
    <s v="0000000000"/>
    <s v=""/>
    <s v=""/>
    <s v=""/>
    <s v=""/>
    <s v=""/>
    <s v=""/>
    <s v=""/>
    <s v=""/>
    <m/>
    <x v="0"/>
    <n v="-36000"/>
    <n v="0"/>
    <d v="2026-07-08T00:00:00"/>
    <d v="2026-07-08T00:00:00"/>
    <m/>
    <d v="2026-07-08T00:00:00"/>
    <n v="-36000"/>
    <x v="0"/>
    <s v="58"/>
    <e v="#N/A"/>
    <m/>
    <n v="0"/>
    <e v="#N/A"/>
    <e v="#N/A"/>
  </r>
  <r>
    <x v="13"/>
    <x v="13"/>
    <s v="0328"/>
    <x v="3"/>
    <s v="TF trfr within plant"/>
    <s v="4915728346"/>
    <s v="M003"/>
    <x v="1"/>
    <x v="0"/>
    <s v="12:23:22"/>
    <s v="RAPEESAN01"/>
    <s v="0005"/>
    <s v=""/>
    <s v="0000"/>
    <s v=""/>
    <s v="0000000000"/>
    <s v=""/>
    <s v=""/>
    <s v=""/>
    <s v=""/>
    <s v=""/>
    <s v=""/>
    <s v=""/>
    <s v=""/>
    <m/>
    <x v="0"/>
    <n v="-2900"/>
    <n v="0"/>
    <d v="2026-07-08T00:00:00"/>
    <d v="2026-07-08T00:00:00"/>
    <m/>
    <d v="2026-07-08T00:00:00"/>
    <n v="-2900"/>
    <x v="0"/>
    <s v="58"/>
    <e v="#N/A"/>
    <m/>
    <n v="0"/>
    <e v="#N/A"/>
    <e v="#N/A"/>
  </r>
  <r>
    <x v="13"/>
    <x v="13"/>
    <s v="0328"/>
    <x v="3"/>
    <s v="TF trfr within plant"/>
    <s v="4915728346"/>
    <s v="P003"/>
    <x v="1"/>
    <x v="0"/>
    <s v="12:23:22"/>
    <s v="RAPEESAN01"/>
    <s v="0006"/>
    <s v=""/>
    <s v="0000"/>
    <s v=""/>
    <s v="0000000000"/>
    <s v=""/>
    <s v=""/>
    <s v=""/>
    <s v=""/>
    <s v=""/>
    <s v=""/>
    <s v=""/>
    <s v=""/>
    <m/>
    <x v="0"/>
    <n v="2900"/>
    <n v="0"/>
    <d v="2026-07-08T00:00:00"/>
    <d v="2026-07-08T00:00:00"/>
    <m/>
    <d v="2026-07-08T00:00:00"/>
    <n v="2900"/>
    <x v="0"/>
    <s v="58"/>
    <e v="#N/A"/>
    <m/>
    <n v="0"/>
    <e v="#N/A"/>
    <e v="#N/A"/>
  </r>
  <r>
    <x v="13"/>
    <x v="13"/>
    <s v="0328"/>
    <x v="3"/>
    <s v="TF trfr within plant"/>
    <s v="4915728346"/>
    <s v="M003"/>
    <x v="47"/>
    <x v="0"/>
    <s v="12:23:22"/>
    <s v="RAPEESAN01"/>
    <s v="0007"/>
    <s v=""/>
    <s v="0000"/>
    <s v=""/>
    <s v="0000000000"/>
    <s v=""/>
    <s v=""/>
    <s v=""/>
    <s v=""/>
    <s v=""/>
    <s v=""/>
    <s v=""/>
    <s v=""/>
    <m/>
    <x v="0"/>
    <n v="-1000"/>
    <n v="0"/>
    <d v="2026-07-08T00:00:00"/>
    <d v="2026-07-08T00:00:00"/>
    <m/>
    <d v="2026-07-08T00:00:00"/>
    <n v="-1000"/>
    <x v="0"/>
    <s v="58"/>
    <e v="#N/A"/>
    <m/>
    <n v="0"/>
    <e v="#N/A"/>
    <e v="#N/A"/>
  </r>
  <r>
    <x v="13"/>
    <x v="13"/>
    <s v="0328"/>
    <x v="3"/>
    <s v="TF trfr within plant"/>
    <s v="4915728346"/>
    <s v="P003"/>
    <x v="47"/>
    <x v="0"/>
    <s v="12:23:22"/>
    <s v="RAPEESAN01"/>
    <s v="0008"/>
    <s v=""/>
    <s v="0000"/>
    <s v=""/>
    <s v="0000000000"/>
    <s v=""/>
    <s v=""/>
    <s v=""/>
    <s v=""/>
    <s v=""/>
    <s v=""/>
    <s v=""/>
    <s v=""/>
    <m/>
    <x v="0"/>
    <n v="1000"/>
    <n v="0"/>
    <d v="2026-07-08T00:00:00"/>
    <d v="2026-07-08T00:00:00"/>
    <m/>
    <d v="2026-07-08T00:00:00"/>
    <n v="1000"/>
    <x v="0"/>
    <s v="58"/>
    <e v="#N/A"/>
    <m/>
    <n v="0"/>
    <e v="#N/A"/>
    <e v="#N/A"/>
  </r>
  <r>
    <x v="5"/>
    <x v="5"/>
    <s v="0328"/>
    <x v="1"/>
    <s v="GI ค่าวิจัยและพัฒนา"/>
    <s v="4915732678"/>
    <s v="M001"/>
    <x v="37"/>
    <x v="0"/>
    <s v="14:04:39"/>
    <s v="RAPEESAN01"/>
    <s v="0001"/>
    <s v=""/>
    <s v="0000"/>
    <s v=""/>
    <s v="0151140079"/>
    <s v=""/>
    <s v="เพื่อส่งให้ RD'QA 7-11 ตรวจสอบ"/>
    <s v="405053"/>
    <s v="67501001"/>
    <s v=""/>
    <s v=""/>
    <s v=""/>
    <s v=""/>
    <m/>
    <x v="2"/>
    <n v="-4"/>
    <n v="-677.52"/>
    <d v="2026-07-08T00:00:00"/>
    <d v="2026-07-08T00:00:00"/>
    <m/>
    <d v="2026-07-08T00:00:00"/>
    <n v="-2000"/>
    <x v="0"/>
    <s v="59"/>
    <s v="ค่าวิจัยคุณภาพสินค้า"/>
    <m/>
    <n v="169.38"/>
    <e v="#N/A"/>
    <e v="#N/A"/>
  </r>
  <r>
    <x v="7"/>
    <x v="7"/>
    <s v="0328"/>
    <x v="4"/>
    <s v="GI for order"/>
    <s v="4915735777"/>
    <s v="P001"/>
    <x v="8"/>
    <x v="20"/>
    <s v="14:15:34"/>
    <s v="SUTEESEA"/>
    <s v="0001"/>
    <s v=""/>
    <s v="0000"/>
    <s v=""/>
    <s v="0151145795"/>
    <s v=""/>
    <s v=""/>
    <s v=""/>
    <s v="53002000"/>
    <s v=""/>
    <s v=""/>
    <s v=""/>
    <s v=""/>
    <m/>
    <x v="3"/>
    <n v="-9988.2000000000007"/>
    <n v="-1556154.27"/>
    <d v="2026-07-08T00:00:00"/>
    <d v="2026-07-07T00:00:00"/>
    <m/>
    <d v="2026-07-08T00:00:00"/>
    <n v="-9988200"/>
    <x v="3"/>
    <s v="54"/>
    <s v="ต้นทุนผลิต-วัตถุดิบ"/>
    <m/>
    <n v="155.79927013876375"/>
    <e v="#N/A"/>
    <e v="#N/A"/>
  </r>
  <r>
    <x v="6"/>
    <x v="6"/>
    <s v="0328"/>
    <x v="2"/>
    <s v="GD goods issue:delvy"/>
    <s v="4915742312"/>
    <s v="P004"/>
    <x v="7"/>
    <x v="0"/>
    <s v="14:38:31"/>
    <s v="SONGPCHI"/>
    <s v="0001"/>
    <s v=""/>
    <s v="0000"/>
    <s v=""/>
    <s v="0000000000"/>
    <s v=""/>
    <s v=""/>
    <s v=""/>
    <s v="51003100"/>
    <s v=""/>
    <s v=""/>
    <s v=""/>
    <s v="2000125255"/>
    <m/>
    <x v="2"/>
    <n v="-4"/>
    <n v="-677.44"/>
    <d v="2026-07-08T00:00:00"/>
    <d v="2026-07-08T00:00:00"/>
    <m/>
    <d v="2026-07-08T00:00:00"/>
    <n v="-2000"/>
    <x v="0"/>
    <s v="59"/>
    <s v="ต้นทุนขาย"/>
    <m/>
    <n v="169.36"/>
    <e v="#N/A"/>
    <e v="#N/A"/>
  </r>
  <r>
    <x v="6"/>
    <x v="6"/>
    <s v="0328"/>
    <x v="2"/>
    <s v="GD goods issue:delvy"/>
    <s v="4915746757"/>
    <s v="P004"/>
    <x v="10"/>
    <x v="0"/>
    <s v="14:59:32"/>
    <s v="SONGPCHI"/>
    <s v="0001"/>
    <s v=""/>
    <s v="0000"/>
    <s v=""/>
    <s v="0000000000"/>
    <s v=""/>
    <s v=""/>
    <s v=""/>
    <s v="51003100"/>
    <s v=""/>
    <s v=""/>
    <s v=""/>
    <s v="2000125262"/>
    <m/>
    <x v="2"/>
    <n v="-10"/>
    <n v="-1693.6"/>
    <d v="2026-07-08T00:00:00"/>
    <d v="2026-07-08T00:00:00"/>
    <m/>
    <d v="2026-07-08T00:00:00"/>
    <n v="-5000"/>
    <x v="0"/>
    <s v="59"/>
    <s v="ต้นทุนขาย"/>
    <m/>
    <n v="169.35999999999999"/>
    <e v="#N/A"/>
    <e v="#N/A"/>
  </r>
  <r>
    <x v="5"/>
    <x v="5"/>
    <s v="0328"/>
    <x v="1"/>
    <s v="GI ค่าวิจัยและพัฒนา"/>
    <s v="4915765378"/>
    <s v="M001"/>
    <x v="46"/>
    <x v="0"/>
    <s v="21:42:25"/>
    <s v="RAPEESAN01"/>
    <s v="0002"/>
    <s v=""/>
    <s v="0000"/>
    <s v=""/>
    <s v="0151155325"/>
    <s v=""/>
    <s v="Retain 06.07.2026.3 A010R002"/>
    <s v="405053"/>
    <s v="67501001"/>
    <s v=""/>
    <s v=""/>
    <s v=""/>
    <s v=""/>
    <m/>
    <x v="2"/>
    <n v="-3"/>
    <n v="-508.14"/>
    <d v="2026-07-08T00:00:00"/>
    <d v="2026-07-08T00:00:00"/>
    <m/>
    <d v="2026-07-08T00:00:00"/>
    <n v="-1500"/>
    <x v="0"/>
    <s v="59"/>
    <s v="ค่าวิจัยคุณภาพสินค้า"/>
    <m/>
    <n v="169.38"/>
    <e v="#N/A"/>
    <e v="#N/A"/>
  </r>
  <r>
    <x v="5"/>
    <x v="5"/>
    <s v="0328"/>
    <x v="1"/>
    <s v="GI ค่าวิจัยและพัฒนา"/>
    <s v="4915765378"/>
    <s v="M001"/>
    <x v="46"/>
    <x v="0"/>
    <s v="21:42:25"/>
    <s v="RAPEESAN01"/>
    <s v="0001"/>
    <s v=""/>
    <s v="0000"/>
    <s v=""/>
    <s v="0151155325"/>
    <s v=""/>
    <s v="Routine 06.07.2026.3 A010R002"/>
    <s v="405053"/>
    <s v="67501001"/>
    <s v=""/>
    <s v=""/>
    <s v=""/>
    <s v=""/>
    <m/>
    <x v="2"/>
    <n v="-3"/>
    <n v="-508.14"/>
    <d v="2026-07-08T00:00:00"/>
    <d v="2026-07-08T00:00:00"/>
    <m/>
    <d v="2026-07-08T00:00:00"/>
    <n v="-1500"/>
    <x v="0"/>
    <s v="59"/>
    <s v="ค่าวิจัยคุณภาพสินค้า"/>
    <m/>
    <n v="169.38"/>
    <e v="#N/A"/>
    <e v="#N/A"/>
  </r>
  <r>
    <x v="5"/>
    <x v="5"/>
    <s v="0328"/>
    <x v="1"/>
    <s v="GI ค่าวิจัยและพัฒนา"/>
    <s v="4915765802"/>
    <s v="M001"/>
    <x v="46"/>
    <x v="0"/>
    <s v="21:46:42"/>
    <s v="RAPEESAN01"/>
    <s v="0002"/>
    <s v=""/>
    <s v="0000"/>
    <s v=""/>
    <s v="0151155717"/>
    <s v=""/>
    <s v="RD เบิกตัวอย่างเพื่อส่งให้ PUR CPALL"/>
    <s v="405053"/>
    <s v="67501001"/>
    <s v=""/>
    <s v=""/>
    <s v=""/>
    <s v=""/>
    <m/>
    <x v="2"/>
    <n v="-1"/>
    <n v="-169.38"/>
    <d v="2026-07-08T00:00:00"/>
    <d v="2026-07-08T00:00:00"/>
    <m/>
    <d v="2026-07-08T00:00:00"/>
    <n v="-500"/>
    <x v="0"/>
    <s v="59"/>
    <s v="ค่าวิจัยคุณภาพสินค้า"/>
    <m/>
    <n v="169.38"/>
    <e v="#N/A"/>
    <e v="#N/A"/>
  </r>
  <r>
    <x v="5"/>
    <x v="5"/>
    <s v="0328"/>
    <x v="1"/>
    <s v="GI ค่าวิจัยและพัฒนา"/>
    <s v="4915765802"/>
    <s v="M001"/>
    <x v="37"/>
    <x v="0"/>
    <s v="21:46:42"/>
    <s v="RAPEESAN01"/>
    <s v="0001"/>
    <s v=""/>
    <s v="0000"/>
    <s v=""/>
    <s v="0151155717"/>
    <s v=""/>
    <s v="RD เบิกตัวอย่างเพื่อส่งให้ PUR CPALL"/>
    <s v="405053"/>
    <s v="67501001"/>
    <s v=""/>
    <s v=""/>
    <s v=""/>
    <s v=""/>
    <m/>
    <x v="2"/>
    <n v="-1"/>
    <n v="-169.38"/>
    <d v="2026-07-08T00:00:00"/>
    <d v="2026-07-08T00:00:00"/>
    <m/>
    <d v="2026-07-08T00:00:00"/>
    <n v="-500"/>
    <x v="0"/>
    <s v="59"/>
    <s v="ค่าวิจัยคุณภาพสินค้า"/>
    <m/>
    <n v="169.38"/>
    <e v="#N/A"/>
    <e v="#N/A"/>
  </r>
  <r>
    <x v="2"/>
    <x v="2"/>
    <s v="0328"/>
    <x v="1"/>
    <s v="GI ค่าวิจัยและพัฒนา"/>
    <s v="4915765891"/>
    <s v="M003"/>
    <x v="3"/>
    <x v="0"/>
    <s v="21:48:59"/>
    <s v="RAPEESAN01"/>
    <s v="0001"/>
    <s v=""/>
    <s v="0000"/>
    <s v=""/>
    <s v="0151157551"/>
    <s v=""/>
    <s v="RD เบิกบรรจุตัวอย่างส่งจัดซื้อ CP All"/>
    <s v="405053"/>
    <s v="67501001"/>
    <s v=""/>
    <s v=""/>
    <s v=""/>
    <s v=""/>
    <m/>
    <x v="0"/>
    <n v="-2"/>
    <n v="-10"/>
    <d v="2026-07-08T00:00:00"/>
    <d v="2026-07-08T00:00:00"/>
    <m/>
    <d v="2026-07-08T00:00:00"/>
    <n v="-2"/>
    <x v="0"/>
    <s v="58"/>
    <s v="ค่าวิจัยคุณภาพสินค้า"/>
    <m/>
    <n v="5"/>
    <e v="#N/A"/>
    <e v="#N/A"/>
  </r>
  <r>
    <x v="0"/>
    <x v="0"/>
    <s v="0328"/>
    <x v="1"/>
    <s v="GI ค่าวิจัยและพัฒนา"/>
    <s v="4915765891"/>
    <s v="M003"/>
    <x v="0"/>
    <x v="0"/>
    <s v="21:48:59"/>
    <s v="RAPEESAN01"/>
    <s v="0002"/>
    <s v=""/>
    <s v="0000"/>
    <s v=""/>
    <s v="0151157551"/>
    <s v=""/>
    <s v="RD เบิกบรรจุตัวอย่างส่งจัดซื้อ CP All"/>
    <s v="405053"/>
    <s v="67501001"/>
    <s v=""/>
    <s v=""/>
    <s v=""/>
    <s v=""/>
    <m/>
    <x v="0"/>
    <n v="-1"/>
    <n v="-22"/>
    <d v="2026-07-08T00:00:00"/>
    <d v="2026-07-08T00:00:00"/>
    <m/>
    <d v="2026-07-08T00:00:00"/>
    <n v="-1"/>
    <x v="0"/>
    <s v="58"/>
    <s v="ค่าวิจัยคุณภาพสินค้า"/>
    <m/>
    <n v="22"/>
    <e v="#N/A"/>
    <e v="#N/A"/>
  </r>
  <r>
    <x v="5"/>
    <x v="5"/>
    <s v="0328"/>
    <x v="2"/>
    <s v="GD goods issue:delvy"/>
    <s v="4915814955"/>
    <s v="M001"/>
    <x v="46"/>
    <x v="0"/>
    <s v="11:55:56"/>
    <s v="RAPEESAN01"/>
    <s v="0001"/>
    <s v=""/>
    <s v="0000"/>
    <s v=""/>
    <s v="0000000000"/>
    <s v=""/>
    <s v=""/>
    <s v=""/>
    <s v="51003100"/>
    <s v=""/>
    <s v=""/>
    <s v=""/>
    <s v="2000125363"/>
    <m/>
    <x v="4"/>
    <n v="-960"/>
    <n v="-975628.80000000005"/>
    <d v="2026-07-09T00:00:00"/>
    <d v="2026-07-09T00:00:00"/>
    <m/>
    <d v="2026-07-09T00:00:00"/>
    <n v="-2880000"/>
    <x v="0"/>
    <s v="59"/>
    <s v="ต้นทุนขาย"/>
    <m/>
    <n v="1016.2800000000001"/>
    <e v="#N/A"/>
    <e v="#N/A"/>
  </r>
  <r>
    <x v="5"/>
    <x v="5"/>
    <s v="0328"/>
    <x v="1"/>
    <s v="GI ค่าวิจัยและพัฒนา"/>
    <s v="4915815763"/>
    <s v="M001"/>
    <x v="46"/>
    <x v="0"/>
    <s v="12:03:44"/>
    <s v="RAPEESAN01"/>
    <s v="0001"/>
    <s v=""/>
    <s v="0000"/>
    <s v=""/>
    <s v="0151181208"/>
    <s v=""/>
    <s v="เพื่อส่งให้ RD'QA 7-11 ตรวจสอบ"/>
    <s v="405053"/>
    <s v="67501001"/>
    <s v=""/>
    <s v=""/>
    <s v=""/>
    <s v=""/>
    <m/>
    <x v="2"/>
    <n v="-2"/>
    <n v="-338.76"/>
    <d v="2026-07-09T00:00:00"/>
    <d v="2026-07-09T00:00:00"/>
    <m/>
    <d v="2026-07-09T00:00:00"/>
    <n v="-1000"/>
    <x v="0"/>
    <s v="59"/>
    <s v="ค่าวิจัยคุณภาพสินค้า"/>
    <m/>
    <n v="169.38"/>
    <e v="#N/A"/>
    <e v="#N/A"/>
  </r>
  <r>
    <x v="11"/>
    <x v="11"/>
    <s v="0328"/>
    <x v="0"/>
    <s v="TF trfr plnt to plnt"/>
    <s v="4915824735"/>
    <s v="M003"/>
    <x v="20"/>
    <x v="0"/>
    <s v="14:09:10"/>
    <s v="SUTTISIT02"/>
    <s v="0005"/>
    <s v=""/>
    <s v="0000"/>
    <s v=""/>
    <s v="0000000000"/>
    <s v=""/>
    <s v=""/>
    <s v=""/>
    <s v=""/>
    <s v=""/>
    <s v=""/>
    <s v=""/>
    <s v=""/>
    <m/>
    <x v="0"/>
    <n v="-20000"/>
    <n v="0"/>
    <d v="2026-07-09T00:00:00"/>
    <d v="2026-07-09T00:00:00"/>
    <m/>
    <d v="2026-07-09T00:00:00"/>
    <n v="-20000"/>
    <x v="0"/>
    <s v="58"/>
    <e v="#N/A"/>
    <m/>
    <n v="0"/>
    <e v="#N/A"/>
    <e v="#N/A"/>
  </r>
  <r>
    <x v="11"/>
    <x v="11"/>
    <s v="0328"/>
    <x v="0"/>
    <s v="TF trfr plnt to plnt"/>
    <s v="4915824735"/>
    <s v="P003"/>
    <x v="20"/>
    <x v="0"/>
    <s v="14:09:10"/>
    <s v="SUTTISIT02"/>
    <s v="0006"/>
    <s v=""/>
    <s v="0000"/>
    <s v=""/>
    <s v="0000000000"/>
    <s v=""/>
    <s v=""/>
    <s v=""/>
    <s v=""/>
    <s v=""/>
    <s v=""/>
    <s v=""/>
    <s v=""/>
    <m/>
    <x v="0"/>
    <n v="20000"/>
    <n v="0"/>
    <d v="2026-07-09T00:00:00"/>
    <d v="2026-07-09T00:00:00"/>
    <m/>
    <d v="2026-07-09T00:00:00"/>
    <n v="20000"/>
    <x v="0"/>
    <s v="58"/>
    <e v="#N/A"/>
    <m/>
    <n v="0"/>
    <e v="#N/A"/>
    <e v="#N/A"/>
  </r>
  <r>
    <x v="12"/>
    <x v="12"/>
    <s v="0328"/>
    <x v="0"/>
    <s v="TF trfr plnt to plnt"/>
    <s v="4915824735"/>
    <s v="P003"/>
    <x v="15"/>
    <x v="0"/>
    <s v="14:09:10"/>
    <s v="SUTTISIT02"/>
    <s v="0003"/>
    <s v=""/>
    <s v="0000"/>
    <s v=""/>
    <s v="0000000000"/>
    <s v=""/>
    <s v=""/>
    <s v=""/>
    <s v=""/>
    <s v=""/>
    <s v=""/>
    <s v=""/>
    <s v=""/>
    <m/>
    <x v="0"/>
    <n v="-24000"/>
    <n v="0"/>
    <d v="2026-07-09T00:00:00"/>
    <d v="2026-07-09T00:00:00"/>
    <m/>
    <d v="2026-07-09T00:00:00"/>
    <n v="-24000"/>
    <x v="0"/>
    <s v="58"/>
    <e v="#N/A"/>
    <m/>
    <n v="0"/>
    <e v="#N/A"/>
    <e v="#N/A"/>
  </r>
  <r>
    <x v="12"/>
    <x v="12"/>
    <s v="0328"/>
    <x v="0"/>
    <s v="TF trfr plnt to plnt"/>
    <s v="4915824735"/>
    <s v="M003"/>
    <x v="15"/>
    <x v="0"/>
    <s v="14:09:10"/>
    <s v="SUTTISIT02"/>
    <s v="0004"/>
    <s v=""/>
    <s v="0000"/>
    <s v=""/>
    <s v="0000000000"/>
    <s v=""/>
    <s v=""/>
    <s v=""/>
    <s v=""/>
    <s v=""/>
    <s v=""/>
    <s v=""/>
    <s v=""/>
    <m/>
    <x v="0"/>
    <n v="24000"/>
    <n v="0"/>
    <d v="2026-07-09T00:00:00"/>
    <d v="2026-07-09T00:00:00"/>
    <m/>
    <d v="2026-07-09T00:00:00"/>
    <n v="24000"/>
    <x v="0"/>
    <s v="58"/>
    <e v="#N/A"/>
    <m/>
    <n v="0"/>
    <e v="#N/A"/>
    <e v="#N/A"/>
  </r>
  <r>
    <x v="13"/>
    <x v="13"/>
    <s v="0328"/>
    <x v="0"/>
    <s v="TF trfr plnt to plnt"/>
    <s v="4915824735"/>
    <s v="M003"/>
    <x v="47"/>
    <x v="0"/>
    <s v="14:09:10"/>
    <s v="SUTTISIT02"/>
    <s v="0001"/>
    <s v=""/>
    <s v="0000"/>
    <s v=""/>
    <s v="0000000000"/>
    <s v=""/>
    <s v=""/>
    <s v=""/>
    <s v=""/>
    <s v=""/>
    <s v=""/>
    <s v=""/>
    <s v=""/>
    <m/>
    <x v="0"/>
    <n v="-2920"/>
    <n v="0"/>
    <d v="2026-07-09T00:00:00"/>
    <d v="2026-07-09T00:00:00"/>
    <m/>
    <d v="2026-07-09T00:00:00"/>
    <n v="-2920"/>
    <x v="0"/>
    <s v="58"/>
    <e v="#N/A"/>
    <m/>
    <n v="0"/>
    <e v="#N/A"/>
    <e v="#N/A"/>
  </r>
  <r>
    <x v="13"/>
    <x v="13"/>
    <s v="0328"/>
    <x v="0"/>
    <s v="TF trfr plnt to plnt"/>
    <s v="4915824735"/>
    <s v="P003"/>
    <x v="47"/>
    <x v="0"/>
    <s v="14:09:10"/>
    <s v="SUTTISIT02"/>
    <s v="0002"/>
    <s v=""/>
    <s v="0000"/>
    <s v=""/>
    <s v="0000000000"/>
    <s v=""/>
    <s v=""/>
    <s v=""/>
    <s v=""/>
    <s v=""/>
    <s v=""/>
    <s v=""/>
    <s v=""/>
    <m/>
    <x v="0"/>
    <n v="2920"/>
    <n v="0"/>
    <d v="2026-07-09T00:00:00"/>
    <d v="2026-07-09T00:00:00"/>
    <m/>
    <d v="2026-07-09T00:00:00"/>
    <n v="2920"/>
    <x v="0"/>
    <s v="58"/>
    <e v="#N/A"/>
    <m/>
    <n v="0"/>
    <e v="#N/A"/>
    <e v="#N/A"/>
  </r>
  <r>
    <x v="6"/>
    <x v="6"/>
    <s v="0328"/>
    <x v="2"/>
    <s v="GD goods issue:delvy"/>
    <s v="4915827986"/>
    <s v="P004"/>
    <x v="7"/>
    <x v="0"/>
    <s v="14:24:05"/>
    <s v="CHONMPRA"/>
    <s v="0003"/>
    <s v=""/>
    <s v="0000"/>
    <s v=""/>
    <s v="0000000000"/>
    <s v=""/>
    <s v=""/>
    <s v=""/>
    <s v="51003100"/>
    <s v=""/>
    <s v=""/>
    <s v=""/>
    <s v="2000125374"/>
    <m/>
    <x v="2"/>
    <n v="-20"/>
    <n v="-3396.4"/>
    <d v="2026-07-09T00:00:00"/>
    <d v="2026-07-09T00:00:00"/>
    <m/>
    <d v="2026-07-09T00:00:00"/>
    <n v="-10000"/>
    <x v="0"/>
    <s v="59"/>
    <s v="ต้นทุนขาย"/>
    <m/>
    <n v="169.82"/>
    <e v="#N/A"/>
    <e v="#N/A"/>
  </r>
  <r>
    <x v="6"/>
    <x v="6"/>
    <s v="0328"/>
    <x v="2"/>
    <s v="GD goods issue:delvy"/>
    <s v="4915828793"/>
    <s v="P004"/>
    <x v="10"/>
    <x v="0"/>
    <s v="14:25:52"/>
    <s v="CHONMPRA"/>
    <s v="0001"/>
    <s v=""/>
    <s v="0000"/>
    <s v=""/>
    <s v="0000000000"/>
    <s v=""/>
    <s v=""/>
    <s v=""/>
    <s v="51003100"/>
    <s v=""/>
    <s v=""/>
    <s v=""/>
    <s v="2000125378"/>
    <m/>
    <x v="2"/>
    <n v="-40"/>
    <n v="-6792.8"/>
    <d v="2026-07-09T00:00:00"/>
    <d v="2026-07-09T00:00:00"/>
    <m/>
    <d v="2026-07-09T00:00:00"/>
    <n v="-20000"/>
    <x v="0"/>
    <s v="59"/>
    <s v="ต้นทุนขาย"/>
    <m/>
    <n v="169.82"/>
    <e v="#N/A"/>
    <e v="#N/A"/>
  </r>
  <r>
    <x v="14"/>
    <x v="14"/>
    <s v="0328"/>
    <x v="4"/>
    <s v="GI for order"/>
    <s v="4915829256"/>
    <s v="P001"/>
    <x v="19"/>
    <x v="21"/>
    <s v="14:27:44"/>
    <s v="SUTEESEA"/>
    <s v="0001"/>
    <s v=""/>
    <s v="0000"/>
    <s v=""/>
    <s v="0151189386"/>
    <s v=""/>
    <s v=""/>
    <s v=""/>
    <s v="53002000"/>
    <s v=""/>
    <s v=""/>
    <s v=""/>
    <s v=""/>
    <m/>
    <x v="3"/>
    <n v="-15059.5"/>
    <n v="-3973753.57"/>
    <d v="2026-07-09T00:00:00"/>
    <d v="2026-07-08T00:00:00"/>
    <m/>
    <d v="2026-07-09T00:00:00"/>
    <n v="-15059500"/>
    <x v="3"/>
    <s v="54"/>
    <s v="ต้นทุนผลิต-วัตถุดิบ"/>
    <m/>
    <n v="263.87021946279754"/>
    <e v="#N/A"/>
    <e v="#N/A"/>
  </r>
  <r>
    <x v="6"/>
    <x v="6"/>
    <s v="0328"/>
    <x v="2"/>
    <s v="GD goods issue:delvy"/>
    <s v="4915830213"/>
    <s v="P004"/>
    <x v="10"/>
    <x v="0"/>
    <s v="14:30:38"/>
    <s v="SONGPCHI"/>
    <s v="0001"/>
    <s v=""/>
    <s v="0000"/>
    <s v=""/>
    <s v="0000000000"/>
    <s v=""/>
    <s v=""/>
    <s v=""/>
    <s v="51003100"/>
    <s v=""/>
    <s v=""/>
    <s v=""/>
    <s v="2000125385"/>
    <m/>
    <x v="2"/>
    <n v="-2"/>
    <n v="-339.64"/>
    <d v="2026-07-09T00:00:00"/>
    <d v="2026-07-09T00:00:00"/>
    <m/>
    <d v="2026-07-09T00:00:00"/>
    <n v="-1000"/>
    <x v="0"/>
    <s v="59"/>
    <s v="ต้นทุนขาย"/>
    <m/>
    <n v="169.82"/>
    <e v="#N/A"/>
    <e v="#N/A"/>
  </r>
  <r>
    <x v="25"/>
    <x v="25"/>
    <s v="0328"/>
    <x v="3"/>
    <s v="TF trfr within plant"/>
    <s v="4915840366"/>
    <s v="M001"/>
    <x v="39"/>
    <x v="0"/>
    <s v="16:03:58"/>
    <s v="JURASDOK"/>
    <s v="0001"/>
    <s v=""/>
    <s v="0000"/>
    <s v=""/>
    <s v="0000000000"/>
    <s v=""/>
    <s v=""/>
    <s v=""/>
    <s v=""/>
    <s v=""/>
    <s v=""/>
    <s v=""/>
    <s v=""/>
    <m/>
    <x v="2"/>
    <n v="-411"/>
    <n v="0"/>
    <d v="2026-07-09T00:00:00"/>
    <d v="2026-07-09T00:00:00"/>
    <m/>
    <d v="2026-07-09T00:00:00"/>
    <n v="-205500"/>
    <x v="0"/>
    <s v="59"/>
    <e v="#N/A"/>
    <m/>
    <n v="0"/>
    <e v="#N/A"/>
    <e v="#N/A"/>
  </r>
  <r>
    <x v="25"/>
    <x v="25"/>
    <s v="0328"/>
    <x v="3"/>
    <s v="TF trfr within plant"/>
    <s v="4915840366"/>
    <s v="P004"/>
    <x v="39"/>
    <x v="0"/>
    <s v="16:03:58"/>
    <s v="JURASDOK"/>
    <s v="0002"/>
    <s v=""/>
    <s v="0000"/>
    <s v=""/>
    <s v="0000000000"/>
    <s v=""/>
    <s v=""/>
    <s v=""/>
    <s v=""/>
    <s v=""/>
    <s v=""/>
    <s v=""/>
    <s v=""/>
    <m/>
    <x v="2"/>
    <n v="411"/>
    <n v="0"/>
    <d v="2026-07-09T00:00:00"/>
    <d v="2026-07-09T00:00:00"/>
    <m/>
    <d v="2026-07-09T00:00:00"/>
    <n v="205500"/>
    <x v="0"/>
    <s v="59"/>
    <e v="#N/A"/>
    <m/>
    <n v="0"/>
    <e v="#N/A"/>
    <e v="#N/A"/>
  </r>
  <r>
    <x v="25"/>
    <x v="25"/>
    <s v="0328"/>
    <x v="2"/>
    <s v="GD goods issue:delvy"/>
    <s v="4915844962"/>
    <s v="P004"/>
    <x v="39"/>
    <x v="0"/>
    <s v="17:25:15"/>
    <s v="CHONMPRA"/>
    <s v="0001"/>
    <s v=""/>
    <s v="0000"/>
    <s v=""/>
    <s v="0000000000"/>
    <s v=""/>
    <s v=""/>
    <s v=""/>
    <s v="51003100"/>
    <s v=""/>
    <s v=""/>
    <s v=""/>
    <s v="2000125415"/>
    <m/>
    <x v="2"/>
    <n v="-20"/>
    <n v="-3700.4"/>
    <d v="2026-07-09T00:00:00"/>
    <d v="2026-07-09T00:00:00"/>
    <m/>
    <d v="2026-07-09T00:00:00"/>
    <n v="-10000"/>
    <x v="0"/>
    <s v="59"/>
    <s v="ต้นทุนขาย"/>
    <m/>
    <n v="185.02"/>
    <e v="#N/A"/>
    <e v="#N/A"/>
  </r>
  <r>
    <x v="14"/>
    <x v="14"/>
    <s v="0328"/>
    <x v="1"/>
    <s v="GI ค่าวิจัยและพัฒนา"/>
    <s v="4915898556"/>
    <s v="P001"/>
    <x v="19"/>
    <x v="0"/>
    <s v="09:18:39"/>
    <s v="SUTEESEA"/>
    <s v="0001"/>
    <s v=""/>
    <s v="0000"/>
    <s v=""/>
    <s v="0151155423"/>
    <s v=""/>
    <s v="A.RPT 20.03.2026 CL 09:40 Silo 1"/>
    <s v="405053"/>
    <s v="67501001"/>
    <s v=""/>
    <s v=""/>
    <s v=""/>
    <s v=""/>
    <m/>
    <x v="5"/>
    <n v="-500"/>
    <n v="-131.94"/>
    <d v="2026-07-08T00:00:00"/>
    <d v="2026-07-08T00:00:00"/>
    <m/>
    <d v="2026-07-10T00:00:00"/>
    <n v="-500"/>
    <x v="0"/>
    <s v="54"/>
    <s v="ค่าวิจัยคุณภาพสินค้า"/>
    <m/>
    <n v="0.26388"/>
    <e v="#N/A"/>
    <e v="#N/A"/>
  </r>
  <r>
    <x v="14"/>
    <x v="14"/>
    <s v="0328"/>
    <x v="1"/>
    <s v="GI ค่าวิจัยและพัฒนา"/>
    <s v="4915898556"/>
    <s v="P001"/>
    <x v="19"/>
    <x v="0"/>
    <s v="09:18:39"/>
    <s v="SUTEESEA"/>
    <s v="0002"/>
    <s v=""/>
    <s v="0000"/>
    <s v=""/>
    <s v="0151155423"/>
    <s v=""/>
    <s v="A.CPBF 25.03.2026 CL 15:35 Silo 2"/>
    <s v="405053"/>
    <s v="67501001"/>
    <s v=""/>
    <s v=""/>
    <s v=""/>
    <s v=""/>
    <m/>
    <x v="5"/>
    <n v="-500"/>
    <n v="-131.94"/>
    <d v="2026-07-08T00:00:00"/>
    <d v="2026-07-08T00:00:00"/>
    <m/>
    <d v="2026-07-10T00:00:00"/>
    <n v="-500"/>
    <x v="0"/>
    <s v="54"/>
    <s v="ค่าวิจัยคุณภาพสินค้า"/>
    <m/>
    <n v="0.26388"/>
    <e v="#N/A"/>
    <e v="#N/A"/>
  </r>
  <r>
    <x v="14"/>
    <x v="14"/>
    <s v="0328"/>
    <x v="1"/>
    <s v="GI ค่าวิจัยและพัฒนา"/>
    <s v="4915898636"/>
    <s v="P001"/>
    <x v="19"/>
    <x v="0"/>
    <s v="09:21:32"/>
    <s v="SUTEESEA"/>
    <s v="0001"/>
    <s v=""/>
    <s v="0000"/>
    <s v=""/>
    <s v="0151194073"/>
    <s v=""/>
    <s v="A.CPBF 25.03.2026 CL 09:20 Silo 2"/>
    <s v="405053"/>
    <s v="67501001"/>
    <s v=""/>
    <s v=""/>
    <s v=""/>
    <s v=""/>
    <m/>
    <x v="5"/>
    <n v="-500"/>
    <n v="-131.94"/>
    <d v="2026-07-09T00:00:00"/>
    <d v="2026-07-09T00:00:00"/>
    <m/>
    <d v="2026-07-10T00:00:00"/>
    <n v="-500"/>
    <x v="0"/>
    <s v="54"/>
    <s v="ค่าวิจัยคุณภาพสินค้า"/>
    <m/>
    <n v="0.26388"/>
    <e v="#N/A"/>
    <e v="#N/A"/>
  </r>
  <r>
    <x v="6"/>
    <x v="6"/>
    <s v="0328"/>
    <x v="2"/>
    <s v="GD goods issue:delvy"/>
    <s v="4915903907"/>
    <s v="P004"/>
    <x v="10"/>
    <x v="0"/>
    <s v="11:13:42"/>
    <s v="CHONMPRA"/>
    <s v="0001"/>
    <s v=""/>
    <s v="0000"/>
    <s v=""/>
    <s v="0000000000"/>
    <s v=""/>
    <s v=""/>
    <s v=""/>
    <s v="51003100"/>
    <s v=""/>
    <s v=""/>
    <s v=""/>
    <s v="2000125494"/>
    <m/>
    <x v="2"/>
    <n v="-20"/>
    <n v="-3396.4"/>
    <d v="2026-07-10T00:00:00"/>
    <d v="2026-07-10T00:00:00"/>
    <m/>
    <d v="2026-07-10T00:00:00"/>
    <n v="-10000"/>
    <x v="0"/>
    <s v="59"/>
    <s v="ต้นทุนขาย"/>
    <m/>
    <n v="169.82"/>
    <e v="#N/A"/>
    <e v="#N/A"/>
  </r>
  <r>
    <x v="9"/>
    <x v="9"/>
    <s v="0328"/>
    <x v="2"/>
    <s v="GD goods issue:delvy"/>
    <s v="4915905061"/>
    <s v="P004"/>
    <x v="18"/>
    <x v="0"/>
    <s v="11:37:52"/>
    <s v="THANAWIS"/>
    <s v="0001"/>
    <s v=""/>
    <s v="0000"/>
    <s v=""/>
    <s v="0000000000"/>
    <s v=""/>
    <s v=""/>
    <s v=""/>
    <s v="51003100"/>
    <s v=""/>
    <s v=""/>
    <s v=""/>
    <s v="2000125497"/>
    <m/>
    <x v="2"/>
    <n v="-28"/>
    <n v="-4006.52"/>
    <d v="2026-07-10T00:00:00"/>
    <d v="2026-07-10T00:00:00"/>
    <m/>
    <d v="2026-07-10T00:00:00"/>
    <n v="-14000"/>
    <x v="0"/>
    <s v="59"/>
    <s v="ต้นทุนขาย"/>
    <m/>
    <n v="143.09"/>
    <e v="#N/A"/>
    <e v="#N/A"/>
  </r>
  <r>
    <x v="26"/>
    <x v="26"/>
    <s v="0328"/>
    <x v="2"/>
    <s v="GD goods issue:delvy"/>
    <s v="4915917827"/>
    <s v="P004"/>
    <x v="13"/>
    <x v="0"/>
    <s v="14:07:15"/>
    <s v="CHONMPRA"/>
    <s v="0001"/>
    <s v=""/>
    <s v="0000"/>
    <s v=""/>
    <s v="0000000000"/>
    <s v=""/>
    <s v=""/>
    <s v=""/>
    <s v="51003100"/>
    <s v=""/>
    <s v=""/>
    <s v=""/>
    <s v="2000125507"/>
    <m/>
    <x v="2"/>
    <n v="-2"/>
    <n v="-181.8"/>
    <d v="2026-07-10T00:00:00"/>
    <d v="2026-07-10T00:00:00"/>
    <m/>
    <d v="2026-07-10T00:00:00"/>
    <n v="-500"/>
    <x v="0"/>
    <s v="59"/>
    <s v="ต้นทุนขาย"/>
    <m/>
    <n v="90.9"/>
    <e v="#N/A"/>
    <e v="#N/A"/>
  </r>
  <r>
    <x v="6"/>
    <x v="6"/>
    <s v="0328"/>
    <x v="2"/>
    <s v="GD goods issue:delvy"/>
    <s v="4915918356"/>
    <s v="M001"/>
    <x v="10"/>
    <x v="0"/>
    <s v="14:09:00"/>
    <s v="CHONMPRA"/>
    <s v="0001"/>
    <s v=""/>
    <s v="0000"/>
    <s v=""/>
    <s v="0000000000"/>
    <s v=""/>
    <s v=""/>
    <s v=""/>
    <s v="51003100"/>
    <s v=""/>
    <s v=""/>
    <s v=""/>
    <s v="2000125511"/>
    <m/>
    <x v="2"/>
    <n v="-2"/>
    <n v="-339.64"/>
    <d v="2026-07-10T00:00:00"/>
    <d v="2026-07-10T00:00:00"/>
    <m/>
    <d v="2026-07-10T00:00:00"/>
    <n v="-1000"/>
    <x v="0"/>
    <s v="59"/>
    <s v="ต้นทุนขาย"/>
    <m/>
    <n v="169.82"/>
    <e v="#N/A"/>
    <e v="#N/A"/>
  </r>
  <r>
    <x v="11"/>
    <x v="11"/>
    <s v="0328"/>
    <x v="0"/>
    <s v="TF trfr plnt to plnt"/>
    <s v="4915918842"/>
    <s v="M003"/>
    <x v="20"/>
    <x v="0"/>
    <s v="14:10:01"/>
    <s v="SUTTISIT02"/>
    <s v="0001"/>
    <s v=""/>
    <s v="0000"/>
    <s v=""/>
    <s v="0000000000"/>
    <s v=""/>
    <s v=""/>
    <s v=""/>
    <s v=""/>
    <s v=""/>
    <s v=""/>
    <s v=""/>
    <s v=""/>
    <m/>
    <x v="0"/>
    <n v="-20000"/>
    <n v="0"/>
    <d v="2026-07-10T00:00:00"/>
    <d v="2026-07-10T00:00:00"/>
    <m/>
    <d v="2026-07-10T00:00:00"/>
    <n v="-20000"/>
    <x v="0"/>
    <s v="58"/>
    <e v="#N/A"/>
    <m/>
    <n v="0"/>
    <e v="#N/A"/>
    <e v="#N/A"/>
  </r>
  <r>
    <x v="11"/>
    <x v="11"/>
    <s v="0328"/>
    <x v="0"/>
    <s v="TF trfr plnt to plnt"/>
    <s v="4915918842"/>
    <s v="P003"/>
    <x v="20"/>
    <x v="0"/>
    <s v="14:10:01"/>
    <s v="SUTTISIT02"/>
    <s v="0002"/>
    <s v=""/>
    <s v="0000"/>
    <s v=""/>
    <s v="0000000000"/>
    <s v=""/>
    <s v=""/>
    <s v=""/>
    <s v=""/>
    <s v=""/>
    <s v=""/>
    <s v=""/>
    <s v=""/>
    <m/>
    <x v="0"/>
    <n v="20000"/>
    <n v="0"/>
    <d v="2026-07-10T00:00:00"/>
    <d v="2026-07-10T00:00:00"/>
    <m/>
    <d v="2026-07-10T00:00:00"/>
    <n v="20000"/>
    <x v="0"/>
    <s v="58"/>
    <e v="#N/A"/>
    <m/>
    <n v="0"/>
    <e v="#N/A"/>
    <e v="#N/A"/>
  </r>
  <r>
    <x v="12"/>
    <x v="12"/>
    <s v="0328"/>
    <x v="0"/>
    <s v="TF trfr plnt to plnt"/>
    <s v="4915918842"/>
    <s v="M003"/>
    <x v="33"/>
    <x v="0"/>
    <s v="14:10:01"/>
    <s v="SUTTISIT02"/>
    <s v="0003"/>
    <s v=""/>
    <s v="0000"/>
    <s v=""/>
    <s v="0000000000"/>
    <s v=""/>
    <s v=""/>
    <s v=""/>
    <s v=""/>
    <s v=""/>
    <s v=""/>
    <s v=""/>
    <s v=""/>
    <m/>
    <x v="0"/>
    <n v="-36000"/>
    <n v="0"/>
    <d v="2026-07-10T00:00:00"/>
    <d v="2026-07-10T00:00:00"/>
    <m/>
    <d v="2026-07-10T00:00:00"/>
    <n v="-36000"/>
    <x v="0"/>
    <s v="58"/>
    <e v="#N/A"/>
    <m/>
    <n v="0"/>
    <e v="#N/A"/>
    <e v="#N/A"/>
  </r>
  <r>
    <x v="12"/>
    <x v="12"/>
    <s v="0328"/>
    <x v="0"/>
    <s v="TF trfr plnt to plnt"/>
    <s v="4915918842"/>
    <s v="P003"/>
    <x v="33"/>
    <x v="0"/>
    <s v="14:10:01"/>
    <s v="SUTTISIT02"/>
    <s v="0004"/>
    <s v=""/>
    <s v="0000"/>
    <s v=""/>
    <s v="0000000000"/>
    <s v=""/>
    <s v=""/>
    <s v=""/>
    <s v=""/>
    <s v=""/>
    <s v=""/>
    <s v=""/>
    <s v=""/>
    <m/>
    <x v="0"/>
    <n v="36000"/>
    <n v="0"/>
    <d v="2026-07-10T00:00:00"/>
    <d v="2026-07-10T00:00:00"/>
    <m/>
    <d v="2026-07-10T00:00:00"/>
    <n v="36000"/>
    <x v="0"/>
    <s v="58"/>
    <e v="#N/A"/>
    <m/>
    <n v="0"/>
    <e v="#N/A"/>
    <e v="#N/A"/>
  </r>
  <r>
    <x v="13"/>
    <x v="13"/>
    <s v="0328"/>
    <x v="0"/>
    <s v="TF trfr plnt to plnt"/>
    <s v="4915918842"/>
    <s v="M003"/>
    <x v="47"/>
    <x v="0"/>
    <s v="14:10:01"/>
    <s v="SUTTISIT02"/>
    <s v="0005"/>
    <s v=""/>
    <s v="0000"/>
    <s v=""/>
    <s v="0000000000"/>
    <s v=""/>
    <s v=""/>
    <s v=""/>
    <s v=""/>
    <s v=""/>
    <s v=""/>
    <s v=""/>
    <s v=""/>
    <m/>
    <x v="0"/>
    <n v="-2600"/>
    <n v="0"/>
    <d v="2026-07-10T00:00:00"/>
    <d v="2026-07-10T00:00:00"/>
    <m/>
    <d v="2026-07-10T00:00:00"/>
    <n v="-2600"/>
    <x v="0"/>
    <s v="58"/>
    <e v="#N/A"/>
    <m/>
    <n v="0"/>
    <e v="#N/A"/>
    <e v="#N/A"/>
  </r>
  <r>
    <x v="13"/>
    <x v="13"/>
    <s v="0328"/>
    <x v="0"/>
    <s v="TF trfr plnt to plnt"/>
    <s v="4915918842"/>
    <s v="P003"/>
    <x v="47"/>
    <x v="0"/>
    <s v="14:10:01"/>
    <s v="SUTTISIT02"/>
    <s v="0006"/>
    <s v=""/>
    <s v="0000"/>
    <s v=""/>
    <s v="0000000000"/>
    <s v=""/>
    <s v=""/>
    <s v=""/>
    <s v=""/>
    <s v=""/>
    <s v=""/>
    <s v=""/>
    <s v=""/>
    <m/>
    <x v="0"/>
    <n v="2600"/>
    <n v="0"/>
    <d v="2026-07-10T00:00:00"/>
    <d v="2026-07-10T00:00:00"/>
    <m/>
    <d v="2026-07-10T00:00:00"/>
    <n v="2600"/>
    <x v="0"/>
    <s v="58"/>
    <e v="#N/A"/>
    <m/>
    <n v="0"/>
    <e v="#N/A"/>
    <e v="#N/A"/>
  </r>
  <r>
    <x v="5"/>
    <x v="5"/>
    <s v="0328"/>
    <x v="2"/>
    <s v="GD goods issue:delvy"/>
    <s v="4915927635"/>
    <s v="M001"/>
    <x v="42"/>
    <x v="0"/>
    <s v="14:42:10"/>
    <s v="RAPEESAN01"/>
    <s v="0001"/>
    <s v=""/>
    <s v="0000"/>
    <s v=""/>
    <s v="0000000000"/>
    <s v=""/>
    <s v=""/>
    <s v=""/>
    <s v="51003100"/>
    <s v=""/>
    <s v=""/>
    <s v=""/>
    <s v="2000125514"/>
    <m/>
    <x v="4"/>
    <n v="-1920"/>
    <n v="-1956787.2"/>
    <d v="2026-07-10T00:00:00"/>
    <d v="2026-07-10T00:00:00"/>
    <m/>
    <d v="2026-07-10T00:00:00"/>
    <n v="-5760000"/>
    <x v="0"/>
    <s v="59"/>
    <s v="ต้นทุนขาย"/>
    <m/>
    <n v="1019.16"/>
    <e v="#N/A"/>
    <e v="#N/A"/>
  </r>
  <r>
    <x v="5"/>
    <x v="5"/>
    <s v="0328"/>
    <x v="2"/>
    <s v="GD goods issue:delvy"/>
    <s v="4915928561"/>
    <s v="M001"/>
    <x v="42"/>
    <x v="0"/>
    <s v="14:43:43"/>
    <s v="RAPEESAN01"/>
    <s v="0001"/>
    <s v=""/>
    <s v="0000"/>
    <s v=""/>
    <s v="0000000000"/>
    <s v=""/>
    <s v=""/>
    <s v=""/>
    <s v="51003100"/>
    <s v=""/>
    <s v=""/>
    <s v=""/>
    <s v="2000125515"/>
    <m/>
    <x v="4"/>
    <n v="-960"/>
    <n v="-978393.59999999998"/>
    <d v="2026-07-10T00:00:00"/>
    <d v="2026-07-10T00:00:00"/>
    <m/>
    <d v="2026-07-10T00:00:00"/>
    <n v="-2880000"/>
    <x v="0"/>
    <s v="59"/>
    <s v="ต้นทุนขาย"/>
    <m/>
    <n v="1019.16"/>
    <e v="#N/A"/>
    <e v="#N/A"/>
  </r>
  <r>
    <x v="5"/>
    <x v="5"/>
    <s v="0328"/>
    <x v="1"/>
    <s v="GI ค่าวิจัยและพัฒนา"/>
    <s v="4915929024"/>
    <s v="M001"/>
    <x v="42"/>
    <x v="0"/>
    <s v="14:46:01"/>
    <s v="RAPEESAN01"/>
    <s v="0001"/>
    <s v=""/>
    <s v="0000"/>
    <s v=""/>
    <s v="0151222567"/>
    <s v=""/>
    <s v="เพื่อส่งให้ RD'QA 7-11 ตรวจสอบ"/>
    <s v="405053"/>
    <s v="67501001"/>
    <s v=""/>
    <s v=""/>
    <s v=""/>
    <s v=""/>
    <m/>
    <x v="2"/>
    <n v="-4"/>
    <n v="-679.44"/>
    <d v="2026-07-10T00:00:00"/>
    <d v="2026-07-10T00:00:00"/>
    <m/>
    <d v="2026-07-10T00:00:00"/>
    <n v="-2000"/>
    <x v="0"/>
    <s v="59"/>
    <s v="ค่าวิจัยคุณภาพสินค้า"/>
    <m/>
    <n v="169.86"/>
    <e v="#N/A"/>
    <e v="#N/A"/>
  </r>
  <r>
    <x v="26"/>
    <x v="26"/>
    <s v="0328"/>
    <x v="9"/>
    <s v="RE subctrStck toWhse"/>
    <s v="4915936935"/>
    <s v="SH01"/>
    <x v="13"/>
    <x v="0"/>
    <s v="15:30:01"/>
    <s v="THANAWIS"/>
    <s v="0002"/>
    <s v=""/>
    <s v="0000"/>
    <s v="O"/>
    <s v="0151234231"/>
    <s v=""/>
    <s v=""/>
    <s v=""/>
    <s v=""/>
    <s v=""/>
    <s v="E7515723"/>
    <s v=""/>
    <s v=""/>
    <m/>
    <x v="2"/>
    <n v="-12"/>
    <n v="0"/>
    <d v="2026-07-10T00:00:00"/>
    <d v="2026-07-10T00:00:00"/>
    <m/>
    <d v="2026-07-10T00:00:00"/>
    <n v="-3000"/>
    <x v="0"/>
    <s v="59"/>
    <e v="#N/A"/>
    <m/>
    <n v="0"/>
    <e v="#N/A"/>
    <e v="#N/A"/>
  </r>
  <r>
    <x v="26"/>
    <x v="26"/>
    <s v="0328"/>
    <x v="9"/>
    <s v="RE subctrStck toWhse"/>
    <s v="4915936935"/>
    <s v="P004"/>
    <x v="13"/>
    <x v="0"/>
    <s v="15:30:01"/>
    <s v="THANAWIS"/>
    <s v="0001"/>
    <s v=""/>
    <s v="0000"/>
    <s v=""/>
    <s v="0151234231"/>
    <s v=""/>
    <s v=""/>
    <s v=""/>
    <s v=""/>
    <s v=""/>
    <s v="E7515723"/>
    <s v=""/>
    <s v=""/>
    <m/>
    <x v="2"/>
    <n v="12"/>
    <n v="0"/>
    <d v="2026-07-10T00:00:00"/>
    <d v="2026-07-10T00:00:00"/>
    <m/>
    <d v="2026-07-10T00:00:00"/>
    <n v="3000"/>
    <x v="0"/>
    <s v="59"/>
    <e v="#N/A"/>
    <m/>
    <n v="0"/>
    <e v="#N/A"/>
    <e v="#N/A"/>
  </r>
  <r>
    <x v="10"/>
    <x v="10"/>
    <s v="0328"/>
    <x v="9"/>
    <s v="RE subctrStck toWhse"/>
    <s v="4915936935"/>
    <s v="P004"/>
    <x v="13"/>
    <x v="0"/>
    <s v="15:30:01"/>
    <s v="THANAWIS"/>
    <s v="0003"/>
    <s v=""/>
    <s v="0000"/>
    <s v=""/>
    <s v="0151234231"/>
    <s v=""/>
    <s v=""/>
    <s v=""/>
    <s v=""/>
    <s v=""/>
    <s v="E7515723"/>
    <s v=""/>
    <s v=""/>
    <m/>
    <x v="2"/>
    <n v="12"/>
    <n v="0"/>
    <d v="2026-07-10T00:00:00"/>
    <d v="2026-07-10T00:00:00"/>
    <m/>
    <d v="2026-07-10T00:00:00"/>
    <n v="6000"/>
    <x v="0"/>
    <s v="59"/>
    <e v="#N/A"/>
    <m/>
    <n v="0"/>
    <e v="#N/A"/>
    <e v="#N/A"/>
  </r>
  <r>
    <x v="10"/>
    <x v="10"/>
    <s v="0328"/>
    <x v="9"/>
    <s v="RE subctrStck toWhse"/>
    <s v="4915936935"/>
    <s v="SH01"/>
    <x v="13"/>
    <x v="0"/>
    <s v="15:30:01"/>
    <s v="THANAWIS"/>
    <s v="0004"/>
    <s v=""/>
    <s v="0000"/>
    <s v="O"/>
    <s v="0151234231"/>
    <s v=""/>
    <s v=""/>
    <s v=""/>
    <s v=""/>
    <s v=""/>
    <s v="E7515723"/>
    <s v=""/>
    <s v=""/>
    <m/>
    <x v="2"/>
    <n v="-12"/>
    <n v="0"/>
    <d v="2026-07-10T00:00:00"/>
    <d v="2026-07-10T00:00:00"/>
    <m/>
    <d v="2026-07-10T00:00:00"/>
    <n v="-6000"/>
    <x v="0"/>
    <s v="59"/>
    <e v="#N/A"/>
    <m/>
    <n v="0"/>
    <e v="#N/A"/>
    <e v="#N/A"/>
  </r>
  <r>
    <x v="6"/>
    <x v="6"/>
    <s v="0328"/>
    <x v="2"/>
    <s v="GD goods issue:delvy"/>
    <s v="4915937293"/>
    <s v="P004"/>
    <x v="10"/>
    <x v="0"/>
    <s v="15:39:05"/>
    <s v="THANAWIS"/>
    <s v="0001"/>
    <s v=""/>
    <s v="0000"/>
    <s v=""/>
    <s v="0000000000"/>
    <s v=""/>
    <s v=""/>
    <s v=""/>
    <s v="51003100"/>
    <s v=""/>
    <s v=""/>
    <s v=""/>
    <s v="2000125524"/>
    <m/>
    <x v="2"/>
    <n v="-20"/>
    <n v="-3396.4"/>
    <d v="2026-07-10T00:00:00"/>
    <d v="2026-07-10T00:00:00"/>
    <m/>
    <d v="2026-07-10T00:00:00"/>
    <n v="-10000"/>
    <x v="0"/>
    <s v="59"/>
    <s v="ต้นทุนขาย"/>
    <m/>
    <n v="169.82"/>
    <e v="#N/A"/>
    <e v="#N/A"/>
  </r>
  <r>
    <x v="6"/>
    <x v="6"/>
    <s v="0328"/>
    <x v="2"/>
    <s v="GD goods issue:delvy"/>
    <s v="4915940056"/>
    <s v="P004"/>
    <x v="10"/>
    <x v="0"/>
    <s v="16:46:17"/>
    <s v="THANAWIS"/>
    <s v="0001"/>
    <s v=""/>
    <s v="0000"/>
    <s v=""/>
    <s v="0000000000"/>
    <s v=""/>
    <s v=""/>
    <s v=""/>
    <s v="51003100"/>
    <s v=""/>
    <s v=""/>
    <s v=""/>
    <s v="2000125531"/>
    <m/>
    <x v="2"/>
    <n v="-2"/>
    <n v="-339.64"/>
    <d v="2026-07-10T00:00:00"/>
    <d v="2026-07-10T00:00:00"/>
    <m/>
    <d v="2026-07-10T00:00:00"/>
    <n v="-1000"/>
    <x v="0"/>
    <s v="59"/>
    <s v="ต้นทุนขาย"/>
    <m/>
    <n v="169.82"/>
    <e v="#N/A"/>
    <e v="#N/A"/>
  </r>
  <r>
    <x v="5"/>
    <x v="5"/>
    <s v="0328"/>
    <x v="1"/>
    <s v="GI ค่าวิจัยและพัฒนา"/>
    <s v="4915943493"/>
    <s v="M001"/>
    <x v="42"/>
    <x v="0"/>
    <s v="17:58:35"/>
    <s v="RAPEESAN01"/>
    <s v="0002"/>
    <s v=""/>
    <s v="0000"/>
    <s v=""/>
    <s v="0151194130"/>
    <s v=""/>
    <s v="Top Up 01.07.26.1 A012R002"/>
    <s v="405053"/>
    <s v="67501001"/>
    <s v=""/>
    <s v=""/>
    <s v=""/>
    <s v=""/>
    <m/>
    <x v="2"/>
    <n v="-2"/>
    <n v="-339.72"/>
    <d v="2026-07-10T00:00:00"/>
    <d v="2026-07-10T00:00:00"/>
    <m/>
    <d v="2026-07-10T00:00:00"/>
    <n v="-10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5943493"/>
    <s v="M001"/>
    <x v="42"/>
    <x v="0"/>
    <s v="17:58:35"/>
    <s v="RAPEESAN01"/>
    <s v="0001"/>
    <s v=""/>
    <s v="0000"/>
    <s v=""/>
    <s v="0151194130"/>
    <s v=""/>
    <s v="Retain 06.07.2026.1 A012R002"/>
    <s v="405053"/>
    <s v="67501001"/>
    <s v=""/>
    <s v=""/>
    <s v=""/>
    <s v=""/>
    <m/>
    <x v="2"/>
    <n v="-1"/>
    <n v="-169.86"/>
    <d v="2026-07-10T00:00:00"/>
    <d v="2026-07-10T00:00:00"/>
    <m/>
    <d v="2026-07-10T00:00:00"/>
    <n v="-5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5943642"/>
    <s v="M001"/>
    <x v="42"/>
    <x v="0"/>
    <s v="18:00:35"/>
    <s v="RAPEESAN01"/>
    <s v="0002"/>
    <s v=""/>
    <s v="0000"/>
    <s v=""/>
    <s v="0151245138"/>
    <s v=""/>
    <s v="Retain 10.07.26.1 A010R002"/>
    <s v="405053"/>
    <s v="67501001"/>
    <s v=""/>
    <s v=""/>
    <s v=""/>
    <s v=""/>
    <m/>
    <x v="2"/>
    <n v="-5"/>
    <n v="-849.3"/>
    <d v="2026-07-10T00:00:00"/>
    <d v="2026-07-10T00:00:00"/>
    <m/>
    <d v="2026-07-10T00:00:00"/>
    <n v="-25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5943642"/>
    <s v="M001"/>
    <x v="42"/>
    <x v="0"/>
    <s v="18:00:35"/>
    <s v="RAPEESAN01"/>
    <s v="0001"/>
    <s v=""/>
    <s v="0000"/>
    <s v=""/>
    <s v="0151245138"/>
    <s v=""/>
    <s v="ฐาน 10.07.26.1 A010R002"/>
    <s v="405053"/>
    <s v="67501001"/>
    <s v=""/>
    <s v=""/>
    <s v=""/>
    <s v=""/>
    <m/>
    <x v="2"/>
    <n v="-3"/>
    <n v="-509.58"/>
    <d v="2026-07-10T00:00:00"/>
    <d v="2026-07-10T00:00:00"/>
    <m/>
    <d v="2026-07-10T00:00:00"/>
    <n v="-15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5943648"/>
    <s v="M001"/>
    <x v="42"/>
    <x v="0"/>
    <s v="18:01:57"/>
    <s v="RAPEESAN01"/>
    <s v="0002"/>
    <s v=""/>
    <s v="0000"/>
    <s v=""/>
    <s v="0151243891"/>
    <s v=""/>
    <s v="Retain 06.07.2026.1 A012R002"/>
    <s v="405053"/>
    <s v="67501001"/>
    <s v=""/>
    <s v=""/>
    <s v=""/>
    <s v=""/>
    <m/>
    <x v="2"/>
    <n v="-1"/>
    <n v="-169.86"/>
    <d v="2026-07-10T00:00:00"/>
    <d v="2026-07-10T00:00:00"/>
    <m/>
    <d v="2026-07-10T00:00:00"/>
    <n v="-5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5943648"/>
    <s v="M001"/>
    <x v="42"/>
    <x v="0"/>
    <s v="18:01:57"/>
    <s v="RAPEESAN01"/>
    <s v="0003"/>
    <s v=""/>
    <s v="0000"/>
    <s v=""/>
    <s v="0151243891"/>
    <s v=""/>
    <s v="Top Up 06.07.26.2 A012R002"/>
    <s v="405053"/>
    <s v="67501001"/>
    <s v=""/>
    <s v=""/>
    <s v=""/>
    <s v=""/>
    <m/>
    <x v="2"/>
    <n v="-5"/>
    <n v="-849.3"/>
    <d v="2026-07-10T00:00:00"/>
    <d v="2026-07-10T00:00:00"/>
    <m/>
    <d v="2026-07-10T00:00:00"/>
    <n v="-25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5943648"/>
    <s v="M001"/>
    <x v="42"/>
    <x v="0"/>
    <s v="18:01:57"/>
    <s v="RAPEESAN01"/>
    <s v="0004"/>
    <s v=""/>
    <s v="0000"/>
    <s v=""/>
    <s v="0151243891"/>
    <s v=""/>
    <s v="Retain 06.07.26.2 A012R002"/>
    <s v="405053"/>
    <s v="67501001"/>
    <s v=""/>
    <s v=""/>
    <s v=""/>
    <s v=""/>
    <m/>
    <x v="2"/>
    <n v="-5"/>
    <n v="-849.3"/>
    <d v="2026-07-10T00:00:00"/>
    <d v="2026-07-10T00:00:00"/>
    <m/>
    <d v="2026-07-10T00:00:00"/>
    <n v="-25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5943648"/>
    <s v="M001"/>
    <x v="42"/>
    <x v="0"/>
    <s v="18:01:57"/>
    <s v="RAPEESAN01"/>
    <s v="0001"/>
    <s v=""/>
    <s v="0000"/>
    <s v=""/>
    <s v="0151243891"/>
    <s v=""/>
    <s v="Top Up 06.07.26.1 A012R002"/>
    <s v="405053"/>
    <s v="67501001"/>
    <s v=""/>
    <s v=""/>
    <s v=""/>
    <s v=""/>
    <m/>
    <x v="2"/>
    <n v="-1"/>
    <n v="-169.86"/>
    <d v="2026-07-10T00:00:00"/>
    <d v="2026-07-10T00:00:00"/>
    <m/>
    <d v="2026-07-10T00:00:00"/>
    <n v="-5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5943754"/>
    <s v="M001"/>
    <x v="42"/>
    <x v="0"/>
    <s v="18:03:07"/>
    <s v="RAPEESAN01"/>
    <s v="0001"/>
    <s v=""/>
    <s v="0000"/>
    <s v=""/>
    <s v="0151245100"/>
    <s v=""/>
    <s v="Top up 06.07.26.3 A012R002"/>
    <s v="405053"/>
    <s v="67501001"/>
    <s v=""/>
    <s v=""/>
    <s v=""/>
    <s v=""/>
    <m/>
    <x v="2"/>
    <n v="-6"/>
    <n v="-1019.16"/>
    <d v="2026-07-10T00:00:00"/>
    <d v="2026-07-10T00:00:00"/>
    <m/>
    <d v="2026-07-10T00:00:00"/>
    <n v="-30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5943754"/>
    <s v="M001"/>
    <x v="42"/>
    <x v="0"/>
    <s v="18:03:07"/>
    <s v="RAPEESAN01"/>
    <s v="0002"/>
    <s v=""/>
    <s v="0000"/>
    <s v=""/>
    <s v="0151245100"/>
    <s v=""/>
    <s v="Retain 06.07.26.3 A012R002"/>
    <s v="405053"/>
    <s v="67501001"/>
    <s v=""/>
    <s v=""/>
    <s v=""/>
    <s v=""/>
    <m/>
    <x v="2"/>
    <n v="-5"/>
    <n v="-849.3"/>
    <d v="2026-07-10T00:00:00"/>
    <d v="2026-07-10T00:00:00"/>
    <m/>
    <d v="2026-07-10T00:00:00"/>
    <n v="-2500"/>
    <x v="0"/>
    <s v="59"/>
    <s v="ค่าวิจัยคุณภาพสินค้า"/>
    <m/>
    <n v="169.85999999999999"/>
    <e v="#N/A"/>
    <e v="#N/A"/>
  </r>
  <r>
    <x v="14"/>
    <x v="14"/>
    <s v="0328"/>
    <x v="1"/>
    <s v="GI ค่าวิจัยและพัฒนา"/>
    <s v="4915947961"/>
    <s v="M002"/>
    <x v="48"/>
    <x v="0"/>
    <s v="18:57:31"/>
    <s v="RAPEESAN01"/>
    <s v="0001"/>
    <s v=""/>
    <s v="0000"/>
    <s v=""/>
    <s v="0151243657"/>
    <s v=""/>
    <s v="รับเข้า A.CF แก้ไข 26/06"/>
    <s v="405053"/>
    <s v="67501001"/>
    <s v=""/>
    <s v=""/>
    <s v=""/>
    <s v=""/>
    <m/>
    <x v="5"/>
    <n v="-700"/>
    <n v="-184.74"/>
    <d v="2026-07-10T00:00:00"/>
    <d v="2026-07-10T00:00:00"/>
    <m/>
    <d v="2026-07-10T00:00:00"/>
    <n v="-700"/>
    <x v="0"/>
    <s v="54"/>
    <s v="ค่าวิจัยคุณภาพสินค้า"/>
    <m/>
    <n v="0.26391428571428571"/>
    <e v="#N/A"/>
    <e v="#N/A"/>
  </r>
  <r>
    <x v="17"/>
    <x v="17"/>
    <s v="0328"/>
    <x v="1"/>
    <s v="GI ค่าวิจัยและพัฒนา"/>
    <s v="4915947968"/>
    <s v="P002"/>
    <x v="49"/>
    <x v="0"/>
    <s v="19:03:42"/>
    <s v="RAPEESAN01"/>
    <s v="0001"/>
    <s v=""/>
    <s v="0000"/>
    <s v=""/>
    <s v="0151243124"/>
    <s v=""/>
    <s v="Grade B ก่อนหลัง 10.07.26"/>
    <s v="405053"/>
    <s v="67501001"/>
    <s v=""/>
    <s v=""/>
    <s v=""/>
    <s v=""/>
    <m/>
    <x v="5"/>
    <n v="-1000"/>
    <n v="-270.83"/>
    <d v="2026-07-10T00:00:00"/>
    <d v="2026-07-10T00:00:00"/>
    <m/>
    <d v="2026-07-10T00:00:00"/>
    <n v="-1000"/>
    <x v="0"/>
    <s v="57"/>
    <s v="ค่าวิจัยคุณภาพสินค้า"/>
    <m/>
    <n v="0.27082999999999996"/>
    <e v="#N/A"/>
    <e v="#N/A"/>
  </r>
  <r>
    <x v="17"/>
    <x v="17"/>
    <s v="0328"/>
    <x v="1"/>
    <s v="GI ค่าวิจัยและพัฒนา"/>
    <s v="4915948099"/>
    <s v="P002"/>
    <x v="49"/>
    <x v="0"/>
    <s v="19:12:53"/>
    <s v="RAPEESAN01"/>
    <s v="0001"/>
    <s v=""/>
    <s v="0000"/>
    <s v=""/>
    <s v="0151242809"/>
    <s v=""/>
    <s v="Grade B ก่อนหลัง 09.07.26"/>
    <s v="405053"/>
    <s v="67501001"/>
    <s v=""/>
    <s v=""/>
    <s v=""/>
    <s v=""/>
    <m/>
    <x v="5"/>
    <n v="-2000"/>
    <n v="-541.66"/>
    <d v="2026-07-10T00:00:00"/>
    <d v="2026-07-10T00:00:00"/>
    <m/>
    <d v="2026-07-10T00:00:00"/>
    <n v="-2000"/>
    <x v="0"/>
    <s v="57"/>
    <s v="ค่าวิจัยคุณภาพสินค้า"/>
    <m/>
    <n v="0.27082999999999996"/>
    <e v="#N/A"/>
    <e v="#N/A"/>
  </r>
  <r>
    <x v="17"/>
    <x v="17"/>
    <s v="0328"/>
    <x v="1"/>
    <s v="GI ค่าวิจัยและพัฒนา"/>
    <s v="4915948099"/>
    <s v="P002"/>
    <x v="50"/>
    <x v="0"/>
    <s v="19:12:53"/>
    <s v="RAPEESAN01"/>
    <s v="0002"/>
    <s v=""/>
    <s v="0000"/>
    <s v=""/>
    <s v="0151242809"/>
    <s v=""/>
    <s v="Grade B ก่อนหลัง 09.07.26"/>
    <s v="405053"/>
    <s v="67501001"/>
    <s v=""/>
    <s v=""/>
    <s v=""/>
    <s v=""/>
    <m/>
    <x v="5"/>
    <n v="-2000"/>
    <n v="-541.66"/>
    <d v="2026-07-10T00:00:00"/>
    <d v="2026-07-10T00:00:00"/>
    <m/>
    <d v="2026-07-10T00:00:00"/>
    <n v="-2000"/>
    <x v="0"/>
    <s v="57"/>
    <s v="ค่าวิจัยคุณภาพสินค้า"/>
    <m/>
    <n v="0.27082999999999996"/>
    <e v="#N/A"/>
    <e v="#N/A"/>
  </r>
  <r>
    <x v="11"/>
    <x v="11"/>
    <s v="0328"/>
    <x v="1"/>
    <s v="GI ค่าวิจัยและพัฒนา"/>
    <s v="4915948898"/>
    <s v="P003"/>
    <x v="14"/>
    <x v="0"/>
    <s v="19:55:27"/>
    <s v="RAPEESAN01"/>
    <s v="0001"/>
    <s v=""/>
    <s v="0000"/>
    <s v=""/>
    <s v="0150838107"/>
    <s v=""/>
    <s v="เบิกซองพร้อมวาล์วเพื่อทดสอบRibbon"/>
    <s v="405053"/>
    <s v="67501001"/>
    <s v=""/>
    <s v=""/>
    <s v=""/>
    <s v=""/>
    <m/>
    <x v="0"/>
    <n v="-17"/>
    <n v="-14.38"/>
    <d v="2026-07-01T00:00:00"/>
    <d v="2026-07-01T00:00:00"/>
    <m/>
    <d v="2026-07-10T00:00:00"/>
    <n v="-17"/>
    <x v="0"/>
    <s v="58"/>
    <s v="ค่าวิจัยคุณภาพสินค้า"/>
    <m/>
    <n v="0.84588235294117653"/>
    <e v="#N/A"/>
    <e v="#N/A"/>
  </r>
  <r>
    <x v="1"/>
    <x v="1"/>
    <s v="0328"/>
    <x v="1"/>
    <s v="GI ค่าวิจัยและพัฒนา"/>
    <s v="4915948898"/>
    <s v="P003"/>
    <x v="1"/>
    <x v="0"/>
    <s v="19:55:27"/>
    <s v="RAPEESAN01"/>
    <s v="0002"/>
    <s v=""/>
    <s v="0000"/>
    <s v=""/>
    <s v="0150838107"/>
    <s v=""/>
    <s v="เบิกซองพร้อมวาล์วเพื่อทดสอบRibbon"/>
    <s v="405053"/>
    <s v="67501001"/>
    <s v=""/>
    <s v=""/>
    <s v=""/>
    <s v=""/>
    <m/>
    <x v="0"/>
    <n v="-17"/>
    <n v="-35"/>
    <d v="2026-07-01T00:00:00"/>
    <d v="2026-07-01T00:00:00"/>
    <m/>
    <d v="2026-07-10T00:00:00"/>
    <n v="-17"/>
    <x v="0"/>
    <s v="58"/>
    <s v="ค่าวิจัยคุณภาพสินค้า"/>
    <m/>
    <n v="2.0588235294117645"/>
    <e v="#N/A"/>
    <e v="#N/A"/>
  </r>
  <r>
    <x v="17"/>
    <x v="17"/>
    <s v="0328"/>
    <x v="1"/>
    <s v="GI ค่าวิจัยและพัฒนา"/>
    <s v="4915948954"/>
    <s v="P002"/>
    <x v="51"/>
    <x v="0"/>
    <s v="19:58:57"/>
    <s v="RAPEESAN01"/>
    <s v="0001"/>
    <s v=""/>
    <s v="0000"/>
    <s v=""/>
    <s v="0150837990"/>
    <s v=""/>
    <s v="สารกาแฟเกรดB ก่อน-หลังโหลด BB25,35,37"/>
    <s v="405053"/>
    <s v="67501001"/>
    <s v=""/>
    <s v=""/>
    <s v=""/>
    <s v=""/>
    <m/>
    <x v="5"/>
    <n v="-3000"/>
    <n v="-812.49"/>
    <d v="2026-07-01T00:00:00"/>
    <d v="2026-07-01T00:00:00"/>
    <m/>
    <d v="2026-07-10T00:00:00"/>
    <n v="-3000"/>
    <x v="0"/>
    <s v="57"/>
    <s v="ค่าวิจัยคุณภาพสินค้า"/>
    <m/>
    <n v="0.27083000000000002"/>
    <e v="#N/A"/>
    <e v="#N/A"/>
  </r>
  <r>
    <x v="11"/>
    <x v="11"/>
    <s v="0328"/>
    <x v="0"/>
    <s v="TF trfr plnt to plnt"/>
    <s v="4916005162"/>
    <s v="M003"/>
    <x v="20"/>
    <x v="0"/>
    <s v="12:57:23"/>
    <s v="SUTTISIT02"/>
    <s v="0002"/>
    <s v=""/>
    <s v="0000"/>
    <s v=""/>
    <s v="0000000000"/>
    <s v=""/>
    <s v=""/>
    <s v=""/>
    <s v=""/>
    <s v=""/>
    <s v=""/>
    <s v=""/>
    <s v=""/>
    <m/>
    <x v="0"/>
    <n v="20000"/>
    <n v="0"/>
    <d v="2026-07-11T00:00:00"/>
    <d v="2026-07-11T00:00:00"/>
    <m/>
    <d v="2026-07-11T00:00:00"/>
    <n v="20000"/>
    <x v="0"/>
    <s v="58"/>
    <e v="#N/A"/>
    <m/>
    <n v="0"/>
    <e v="#N/A"/>
    <e v="#N/A"/>
  </r>
  <r>
    <x v="11"/>
    <x v="11"/>
    <s v="0328"/>
    <x v="0"/>
    <s v="TF trfr plnt to plnt"/>
    <s v="4916005162"/>
    <s v="M003"/>
    <x v="20"/>
    <x v="0"/>
    <s v="12:57:23"/>
    <s v="SUTTISIT02"/>
    <s v="0001"/>
    <s v=""/>
    <s v="0000"/>
    <s v=""/>
    <s v="0000000000"/>
    <s v=""/>
    <s v=""/>
    <s v=""/>
    <s v=""/>
    <s v=""/>
    <s v=""/>
    <s v=""/>
    <s v=""/>
    <m/>
    <x v="0"/>
    <n v="-20000"/>
    <n v="0"/>
    <d v="2026-07-11T00:00:00"/>
    <d v="2026-07-11T00:00:00"/>
    <m/>
    <d v="2026-07-11T00:00:00"/>
    <n v="-20000"/>
    <x v="0"/>
    <s v="58"/>
    <e v="#N/A"/>
    <m/>
    <n v="0"/>
    <e v="#N/A"/>
    <e v="#N/A"/>
  </r>
  <r>
    <x v="13"/>
    <x v="13"/>
    <s v="0328"/>
    <x v="0"/>
    <s v="TF trfr plnt to plnt"/>
    <s v="4916005162"/>
    <s v="M003"/>
    <x v="47"/>
    <x v="0"/>
    <s v="12:57:23"/>
    <s v="SUTTISIT02"/>
    <s v="0003"/>
    <s v=""/>
    <s v="0000"/>
    <s v=""/>
    <s v="0000000000"/>
    <s v=""/>
    <s v=""/>
    <s v=""/>
    <s v=""/>
    <s v=""/>
    <s v=""/>
    <s v=""/>
    <s v=""/>
    <m/>
    <x v="0"/>
    <n v="-3900"/>
    <n v="0"/>
    <d v="2026-07-11T00:00:00"/>
    <d v="2026-07-11T00:00:00"/>
    <m/>
    <d v="2026-07-11T00:00:00"/>
    <n v="-3900"/>
    <x v="0"/>
    <s v="58"/>
    <e v="#N/A"/>
    <m/>
    <n v="0"/>
    <e v="#N/A"/>
    <e v="#N/A"/>
  </r>
  <r>
    <x v="13"/>
    <x v="13"/>
    <s v="0328"/>
    <x v="0"/>
    <s v="TF trfr plnt to plnt"/>
    <s v="4916005162"/>
    <s v="P003"/>
    <x v="47"/>
    <x v="0"/>
    <s v="12:57:23"/>
    <s v="SUTTISIT02"/>
    <s v="0004"/>
    <s v=""/>
    <s v="0000"/>
    <s v=""/>
    <s v="0000000000"/>
    <s v=""/>
    <s v=""/>
    <s v=""/>
    <s v=""/>
    <s v=""/>
    <s v=""/>
    <s v=""/>
    <s v=""/>
    <m/>
    <x v="0"/>
    <n v="3900"/>
    <n v="0"/>
    <d v="2026-07-11T00:00:00"/>
    <d v="2026-07-11T00:00:00"/>
    <m/>
    <d v="2026-07-11T00:00:00"/>
    <n v="3900"/>
    <x v="0"/>
    <s v="58"/>
    <e v="#N/A"/>
    <m/>
    <n v="0"/>
    <e v="#N/A"/>
    <e v="#N/A"/>
  </r>
  <r>
    <x v="14"/>
    <x v="14"/>
    <s v="0328"/>
    <x v="0"/>
    <s v="TF trfr plnt to plnt"/>
    <s v="4916005514"/>
    <s v="P001"/>
    <x v="52"/>
    <x v="0"/>
    <s v="13:09:37"/>
    <s v="SUTTISIT02"/>
    <s v="0004"/>
    <s v=""/>
    <s v="0000"/>
    <s v=""/>
    <s v="0000000000"/>
    <s v=""/>
    <s v=""/>
    <s v=""/>
    <s v=""/>
    <s v=""/>
    <s v=""/>
    <s v=""/>
    <s v=""/>
    <m/>
    <x v="3"/>
    <n v="3069.7"/>
    <n v="0"/>
    <d v="2026-07-11T00:00:00"/>
    <d v="2026-07-11T00:00:00"/>
    <m/>
    <d v="2026-07-11T00:00:00"/>
    <n v="3069700"/>
    <x v="0"/>
    <s v="54"/>
    <e v="#N/A"/>
    <m/>
    <n v="0"/>
    <e v="#N/A"/>
    <e v="#N/A"/>
  </r>
  <r>
    <x v="14"/>
    <x v="14"/>
    <s v="0328"/>
    <x v="0"/>
    <s v="TF trfr plnt to plnt"/>
    <s v="4916005514"/>
    <s v="M002"/>
    <x v="52"/>
    <x v="0"/>
    <s v="13:09:37"/>
    <s v="SUTTISIT02"/>
    <s v="0003"/>
    <s v=""/>
    <s v="0000"/>
    <s v=""/>
    <s v="0000000000"/>
    <s v=""/>
    <s v=""/>
    <s v=""/>
    <s v=""/>
    <s v=""/>
    <s v=""/>
    <s v=""/>
    <s v=""/>
    <m/>
    <x v="3"/>
    <n v="-3069.7"/>
    <n v="0"/>
    <d v="2026-07-11T00:00:00"/>
    <d v="2026-07-11T00:00:00"/>
    <m/>
    <d v="2026-07-11T00:00:00"/>
    <n v="-3069700"/>
    <x v="0"/>
    <s v="54"/>
    <e v="#N/A"/>
    <m/>
    <n v="0"/>
    <e v="#N/A"/>
    <e v="#N/A"/>
  </r>
  <r>
    <x v="14"/>
    <x v="14"/>
    <s v="0328"/>
    <x v="0"/>
    <s v="TF trfr plnt to plnt"/>
    <s v="4916005514"/>
    <s v="P001"/>
    <x v="25"/>
    <x v="0"/>
    <s v="13:09:37"/>
    <s v="SUTTISIT02"/>
    <s v="0002"/>
    <s v=""/>
    <s v="0000"/>
    <s v=""/>
    <s v="0000000000"/>
    <s v=""/>
    <s v=""/>
    <s v=""/>
    <s v=""/>
    <s v=""/>
    <s v=""/>
    <s v=""/>
    <s v=""/>
    <m/>
    <x v="3"/>
    <n v="13021.2"/>
    <n v="0"/>
    <d v="2026-07-11T00:00:00"/>
    <d v="2026-07-11T00:00:00"/>
    <m/>
    <d v="2026-07-11T00:00:00"/>
    <n v="13021200"/>
    <x v="0"/>
    <s v="54"/>
    <e v="#N/A"/>
    <m/>
    <n v="0"/>
    <e v="#N/A"/>
    <e v="#N/A"/>
  </r>
  <r>
    <x v="14"/>
    <x v="14"/>
    <s v="0328"/>
    <x v="0"/>
    <s v="TF trfr plnt to plnt"/>
    <s v="4916005514"/>
    <s v="M002"/>
    <x v="25"/>
    <x v="0"/>
    <s v="13:09:37"/>
    <s v="SUTTISIT02"/>
    <s v="0001"/>
    <s v=""/>
    <s v="0000"/>
    <s v=""/>
    <s v="0000000000"/>
    <s v=""/>
    <s v=""/>
    <s v=""/>
    <s v=""/>
    <s v=""/>
    <s v=""/>
    <s v=""/>
    <s v=""/>
    <m/>
    <x v="3"/>
    <n v="-13021.2"/>
    <n v="0"/>
    <d v="2026-07-11T00:00:00"/>
    <d v="2026-07-11T00:00:00"/>
    <m/>
    <d v="2026-07-11T00:00:00"/>
    <n v="-13021200"/>
    <x v="0"/>
    <s v="54"/>
    <e v="#N/A"/>
    <m/>
    <n v="0"/>
    <e v="#N/A"/>
    <e v="#N/A"/>
  </r>
  <r>
    <x v="14"/>
    <x v="14"/>
    <s v="0328"/>
    <x v="4"/>
    <s v="GI for order"/>
    <s v="4916007187"/>
    <s v="P001"/>
    <x v="25"/>
    <x v="22"/>
    <s v="13:49:22"/>
    <s v="SUTEESEA"/>
    <s v="0001"/>
    <s v=""/>
    <s v="0000"/>
    <s v=""/>
    <s v="0151281872"/>
    <s v=""/>
    <s v=""/>
    <s v=""/>
    <s v="53002000"/>
    <s v=""/>
    <s v=""/>
    <s v=""/>
    <s v=""/>
    <m/>
    <x v="3"/>
    <n v="-13021.2"/>
    <n v="-3436411.93"/>
    <d v="2026-07-11T00:00:00"/>
    <d v="2026-07-09T00:00:00"/>
    <m/>
    <d v="2026-07-11T00:00:00"/>
    <n v="-13021200"/>
    <x v="3"/>
    <s v="54"/>
    <s v="ต้นทุนผลิต-วัตถุดิบ"/>
    <m/>
    <n v="263.90900454643196"/>
    <e v="#N/A"/>
    <e v="#N/A"/>
  </r>
  <r>
    <x v="14"/>
    <x v="14"/>
    <s v="0328"/>
    <x v="4"/>
    <s v="GI for order"/>
    <s v="4916007467"/>
    <s v="P001"/>
    <x v="19"/>
    <x v="23"/>
    <s v="13:55:11"/>
    <s v="SUTEESEA"/>
    <s v="0001"/>
    <s v=""/>
    <s v="0000"/>
    <s v=""/>
    <s v="0151281912"/>
    <s v=""/>
    <s v=""/>
    <s v=""/>
    <s v="53002000"/>
    <s v=""/>
    <s v=""/>
    <s v=""/>
    <s v=""/>
    <m/>
    <x v="3"/>
    <n v="-5017.3"/>
    <n v="-1324110.6499999999"/>
    <d v="2026-07-11T00:00:00"/>
    <d v="2026-07-10T00:00:00"/>
    <m/>
    <d v="2026-07-11T00:00:00"/>
    <n v="-5017300"/>
    <x v="3"/>
    <s v="54"/>
    <s v="ต้นทุนผลิต-วัตถุดิบ"/>
    <m/>
    <n v="263.90900484324237"/>
    <e v="#N/A"/>
    <e v="#N/A"/>
  </r>
  <r>
    <x v="14"/>
    <x v="14"/>
    <s v="0328"/>
    <x v="4"/>
    <s v="GI for order"/>
    <s v="4916008039"/>
    <s v="P001"/>
    <x v="52"/>
    <x v="24"/>
    <s v="14:04:29"/>
    <s v="SUTEESEA"/>
    <s v="0001"/>
    <s v=""/>
    <s v="0000"/>
    <s v=""/>
    <s v="0151281934"/>
    <s v=""/>
    <s v=""/>
    <s v=""/>
    <s v="53002000"/>
    <s v=""/>
    <s v=""/>
    <s v=""/>
    <s v=""/>
    <m/>
    <x v="3"/>
    <n v="-3015.18"/>
    <n v="-795733.15"/>
    <d v="2026-07-11T00:00:00"/>
    <d v="2026-07-10T00:00:00"/>
    <m/>
    <d v="2026-07-11T00:00:00"/>
    <n v="-3015180"/>
    <x v="3"/>
    <s v="54"/>
    <s v="ต้นทุนผลิต-วัตถุดิบ"/>
    <m/>
    <n v="263.90900377423571"/>
    <e v="#N/A"/>
    <e v="#N/A"/>
  </r>
  <r>
    <x v="14"/>
    <x v="14"/>
    <s v="0328"/>
    <x v="4"/>
    <s v="GI for order"/>
    <s v="4916023451"/>
    <s v="P001"/>
    <x v="52"/>
    <x v="24"/>
    <s v="15:03:12"/>
    <s v="SUTEESEA"/>
    <s v="0001"/>
    <s v=""/>
    <s v="0000"/>
    <s v=""/>
    <s v="0151281934"/>
    <s v=""/>
    <s v=""/>
    <s v=""/>
    <s v="53002000"/>
    <s v=""/>
    <s v=""/>
    <s v=""/>
    <s v=""/>
    <m/>
    <x v="3"/>
    <n v="-54.52"/>
    <n v="-14388.32"/>
    <d v="2026-07-11T00:00:00"/>
    <d v="2026-07-10T00:00:00"/>
    <m/>
    <d v="2026-07-11T00:00:00"/>
    <n v="-54520"/>
    <x v="3"/>
    <s v="54"/>
    <s v="ต้นทุนผลิต-วัตถุดิบ"/>
    <m/>
    <n v="263.90902421129857"/>
    <e v="#N/A"/>
    <e v="#N/A"/>
  </r>
  <r>
    <x v="5"/>
    <x v="5"/>
    <s v="0328"/>
    <x v="1"/>
    <s v="GI ค่าวิจัยและพัฒนา"/>
    <s v="4916133639"/>
    <s v="M001"/>
    <x v="42"/>
    <x v="0"/>
    <s v="06:16:17"/>
    <s v="RAPEESAN01"/>
    <s v="0002"/>
    <s v=""/>
    <s v="0000"/>
    <s v=""/>
    <s v="0151296454"/>
    <s v=""/>
    <s v="Retain 06.07.26.2 A012R002"/>
    <s v="405053"/>
    <s v="67501001"/>
    <s v=""/>
    <s v=""/>
    <s v=""/>
    <s v=""/>
    <m/>
    <x v="2"/>
    <n v="-5"/>
    <n v="-849.3"/>
    <d v="2026-07-11T00:00:00"/>
    <d v="2026-07-11T00:00:00"/>
    <m/>
    <d v="2026-07-13T00:00:00"/>
    <n v="-25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6133639"/>
    <s v="M001"/>
    <x v="42"/>
    <x v="0"/>
    <s v="06:16:17"/>
    <s v="RAPEESAN01"/>
    <s v="0001"/>
    <s v=""/>
    <s v="0000"/>
    <s v=""/>
    <s v="0151296454"/>
    <s v=""/>
    <s v="Routine 10.07.26.2 A010R002"/>
    <s v="405053"/>
    <s v="67501001"/>
    <s v=""/>
    <s v=""/>
    <s v=""/>
    <s v=""/>
    <m/>
    <x v="2"/>
    <n v="-3"/>
    <n v="-509.58"/>
    <d v="2026-07-11T00:00:00"/>
    <d v="2026-07-11T00:00:00"/>
    <m/>
    <d v="2026-07-13T00:00:00"/>
    <n v="-1500"/>
    <x v="0"/>
    <s v="59"/>
    <s v="ค่าวิจัยคุณภาพสินค้า"/>
    <m/>
    <n v="169.85999999999999"/>
    <e v="#N/A"/>
    <e v="#N/A"/>
  </r>
  <r>
    <x v="6"/>
    <x v="6"/>
    <s v="0328"/>
    <x v="2"/>
    <s v="GD goods issue:delvy"/>
    <s v="4916141566"/>
    <s v="P004"/>
    <x v="10"/>
    <x v="0"/>
    <s v="09:34:54"/>
    <s v="CHONMPRA"/>
    <s v="0001"/>
    <s v=""/>
    <s v="0000"/>
    <s v=""/>
    <s v="0000000000"/>
    <s v=""/>
    <s v=""/>
    <s v=""/>
    <s v="51003100"/>
    <s v=""/>
    <s v=""/>
    <s v=""/>
    <s v="2000125533"/>
    <m/>
    <x v="2"/>
    <n v="-30"/>
    <n v="-5094.6000000000004"/>
    <d v="2026-07-13T00:00:00"/>
    <d v="2026-07-13T00:00:00"/>
    <m/>
    <d v="2026-07-13T00:00:00"/>
    <n v="-15000"/>
    <x v="0"/>
    <s v="59"/>
    <s v="ต้นทุนขาย"/>
    <m/>
    <n v="169.82000000000002"/>
    <e v="#N/A"/>
    <e v="#N/A"/>
  </r>
  <r>
    <x v="14"/>
    <x v="14"/>
    <s v="0328"/>
    <x v="10"/>
    <s v="RE for order"/>
    <s v="4916144730"/>
    <s v="P001"/>
    <x v="52"/>
    <x v="24"/>
    <s v="10:37:32"/>
    <s v="JURASDOK"/>
    <s v="0001"/>
    <s v=""/>
    <s v="0000"/>
    <s v=""/>
    <s v="0151281934"/>
    <s v=""/>
    <s v=""/>
    <s v=""/>
    <s v="53002000"/>
    <s v=""/>
    <s v=""/>
    <s v=""/>
    <s v=""/>
    <m/>
    <x v="3"/>
    <n v="54.52"/>
    <n v="14388.32"/>
    <d v="2026-07-11T00:00:00"/>
    <d v="2026-07-10T00:00:00"/>
    <m/>
    <d v="2026-07-13T00:00:00"/>
    <n v="54520"/>
    <x v="3"/>
    <s v="54"/>
    <s v="ต้นทุนผลิต-วัตถุดิบ"/>
    <m/>
    <n v="263.90902421129857"/>
    <e v="#N/A"/>
    <e v="#N/A"/>
  </r>
  <r>
    <x v="14"/>
    <x v="14"/>
    <s v="0328"/>
    <x v="4"/>
    <s v="GI for order"/>
    <s v="4916144963"/>
    <s v="P001"/>
    <x v="52"/>
    <x v="24"/>
    <s v="10:40:21"/>
    <s v="SUTEESEA"/>
    <s v="0001"/>
    <s v=""/>
    <s v="0000"/>
    <s v=""/>
    <s v="0151281934"/>
    <s v=""/>
    <s v=""/>
    <s v=""/>
    <s v="53002000"/>
    <s v=""/>
    <s v=""/>
    <s v=""/>
    <s v=""/>
    <m/>
    <x v="3"/>
    <n v="-54.52"/>
    <n v="-14388.32"/>
    <d v="2026-07-13T00:00:00"/>
    <d v="2026-07-10T00:00:00"/>
    <m/>
    <d v="2026-07-13T00:00:00"/>
    <n v="-54520"/>
    <x v="3"/>
    <s v="54"/>
    <s v="ต้นทุนผลิต-วัตถุดิบ"/>
    <m/>
    <n v="263.90902421129857"/>
    <e v="#N/A"/>
    <e v="#N/A"/>
  </r>
  <r>
    <x v="14"/>
    <x v="14"/>
    <s v="0328"/>
    <x v="10"/>
    <s v="RE for order"/>
    <s v="4916145938"/>
    <s v="P001"/>
    <x v="19"/>
    <x v="13"/>
    <s v="11:03:03"/>
    <s v="JURASDOK"/>
    <s v="0001"/>
    <s v=""/>
    <s v="0000"/>
    <s v=""/>
    <s v="0151105551"/>
    <s v=""/>
    <s v=""/>
    <s v=""/>
    <s v="53002000"/>
    <s v=""/>
    <s v=""/>
    <s v=""/>
    <s v=""/>
    <m/>
    <x v="3"/>
    <n v="4012.2"/>
    <n v="1058700.0900000001"/>
    <d v="2026-07-07T00:00:00"/>
    <d v="2026-07-06T00:00:00"/>
    <m/>
    <d v="2026-07-13T00:00:00"/>
    <n v="4012200"/>
    <x v="3"/>
    <s v="54"/>
    <s v="ต้นทุนผลิต-วัตถุดิบ"/>
    <m/>
    <n v="263.87021833408107"/>
    <e v="#N/A"/>
    <e v="#N/A"/>
  </r>
  <r>
    <x v="14"/>
    <x v="14"/>
    <s v="0328"/>
    <x v="4"/>
    <s v="GI for order"/>
    <s v="4916145957"/>
    <s v="P001"/>
    <x v="19"/>
    <x v="13"/>
    <s v="11:05:18"/>
    <s v="SUTEESEA"/>
    <s v="0001"/>
    <s v=""/>
    <s v="0000"/>
    <s v=""/>
    <s v="0151105551"/>
    <s v=""/>
    <s v=""/>
    <s v=""/>
    <s v="53002000"/>
    <s v=""/>
    <s v=""/>
    <s v=""/>
    <s v=""/>
    <m/>
    <x v="3"/>
    <n v="-4012.2"/>
    <n v="-1058854.23"/>
    <d v="2026-07-13T00:00:00"/>
    <d v="2026-07-06T00:00:00"/>
    <m/>
    <d v="2026-07-13T00:00:00"/>
    <n v="-4012200"/>
    <x v="3"/>
    <s v="54"/>
    <s v="ต้นทุนผลิต-วัตถุดิบ"/>
    <m/>
    <n v="263.9086361597129"/>
    <e v="#N/A"/>
    <e v="#N/A"/>
  </r>
  <r>
    <x v="11"/>
    <x v="11"/>
    <s v="0328"/>
    <x v="3"/>
    <s v="TF trfr within plant"/>
    <s v="4916147861"/>
    <s v="P003"/>
    <x v="14"/>
    <x v="0"/>
    <s v="11:47:04"/>
    <s v="RAPEESAN01"/>
    <s v="0004"/>
    <s v=""/>
    <s v="0000"/>
    <s v=""/>
    <s v="0000000000"/>
    <s v=""/>
    <s v=""/>
    <s v=""/>
    <s v=""/>
    <s v=""/>
    <s v=""/>
    <s v=""/>
    <s v=""/>
    <m/>
    <x v="0"/>
    <n v="10000"/>
    <n v="0"/>
    <d v="2026-07-13T00:00:00"/>
    <d v="2026-07-13T00:00:00"/>
    <m/>
    <d v="2026-07-13T00:00:00"/>
    <n v="10000"/>
    <x v="0"/>
    <s v="58"/>
    <e v="#N/A"/>
    <m/>
    <n v="0"/>
    <e v="#N/A"/>
    <e v="#N/A"/>
  </r>
  <r>
    <x v="11"/>
    <x v="11"/>
    <s v="0328"/>
    <x v="3"/>
    <s v="TF trfr within plant"/>
    <s v="4916147861"/>
    <s v="M003"/>
    <x v="14"/>
    <x v="0"/>
    <s v="11:47:04"/>
    <s v="RAPEESAN01"/>
    <s v="0003"/>
    <s v=""/>
    <s v="0000"/>
    <s v=""/>
    <s v="0000000000"/>
    <s v=""/>
    <s v=""/>
    <s v=""/>
    <s v=""/>
    <s v=""/>
    <s v=""/>
    <s v=""/>
    <s v=""/>
    <m/>
    <x v="0"/>
    <n v="-10000"/>
    <n v="0"/>
    <d v="2026-07-13T00:00:00"/>
    <d v="2026-07-13T00:00:00"/>
    <m/>
    <d v="2026-07-13T00:00:00"/>
    <n v="-10000"/>
    <x v="0"/>
    <s v="58"/>
    <e v="#N/A"/>
    <m/>
    <n v="0"/>
    <e v="#N/A"/>
    <e v="#N/A"/>
  </r>
  <r>
    <x v="12"/>
    <x v="12"/>
    <s v="0328"/>
    <x v="3"/>
    <s v="TF trfr within plant"/>
    <s v="4916147861"/>
    <s v="M003"/>
    <x v="15"/>
    <x v="0"/>
    <s v="11:47:04"/>
    <s v="RAPEESAN01"/>
    <s v="0005"/>
    <s v=""/>
    <s v="0000"/>
    <s v=""/>
    <s v="0000000000"/>
    <s v=""/>
    <s v=""/>
    <s v=""/>
    <s v=""/>
    <s v=""/>
    <s v=""/>
    <s v=""/>
    <s v=""/>
    <m/>
    <x v="0"/>
    <n v="-24000"/>
    <n v="0"/>
    <d v="2026-07-13T00:00:00"/>
    <d v="2026-07-13T00:00:00"/>
    <m/>
    <d v="2026-07-13T00:00:00"/>
    <n v="-24000"/>
    <x v="0"/>
    <s v="58"/>
    <e v="#N/A"/>
    <m/>
    <n v="0"/>
    <e v="#N/A"/>
    <e v="#N/A"/>
  </r>
  <r>
    <x v="12"/>
    <x v="12"/>
    <s v="0328"/>
    <x v="3"/>
    <s v="TF trfr within plant"/>
    <s v="4916147861"/>
    <s v="M003"/>
    <x v="33"/>
    <x v="0"/>
    <s v="11:47:04"/>
    <s v="RAPEESAN01"/>
    <s v="0007"/>
    <s v=""/>
    <s v="0000"/>
    <s v=""/>
    <s v="0000000000"/>
    <s v=""/>
    <s v=""/>
    <s v=""/>
    <s v=""/>
    <s v=""/>
    <s v=""/>
    <s v=""/>
    <s v=""/>
    <m/>
    <x v="0"/>
    <n v="-3000"/>
    <n v="0"/>
    <d v="2026-07-13T00:00:00"/>
    <d v="2026-07-13T00:00:00"/>
    <m/>
    <d v="2026-07-13T00:00:00"/>
    <n v="-3000"/>
    <x v="0"/>
    <s v="58"/>
    <e v="#N/A"/>
    <m/>
    <n v="0"/>
    <e v="#N/A"/>
    <e v="#N/A"/>
  </r>
  <r>
    <x v="12"/>
    <x v="12"/>
    <s v="0328"/>
    <x v="3"/>
    <s v="TF trfr within plant"/>
    <s v="4916147861"/>
    <s v="P003"/>
    <x v="15"/>
    <x v="0"/>
    <s v="11:47:04"/>
    <s v="RAPEESAN01"/>
    <s v="0006"/>
    <s v=""/>
    <s v="0000"/>
    <s v=""/>
    <s v="0000000000"/>
    <s v=""/>
    <s v=""/>
    <s v=""/>
    <s v=""/>
    <s v=""/>
    <s v=""/>
    <s v=""/>
    <s v=""/>
    <m/>
    <x v="0"/>
    <n v="24000"/>
    <n v="0"/>
    <d v="2026-07-13T00:00:00"/>
    <d v="2026-07-13T00:00:00"/>
    <m/>
    <d v="2026-07-13T00:00:00"/>
    <n v="24000"/>
    <x v="0"/>
    <s v="58"/>
    <e v="#N/A"/>
    <m/>
    <n v="0"/>
    <e v="#N/A"/>
    <e v="#N/A"/>
  </r>
  <r>
    <x v="12"/>
    <x v="12"/>
    <s v="0328"/>
    <x v="3"/>
    <s v="TF trfr within plant"/>
    <s v="4916147861"/>
    <s v="P003"/>
    <x v="33"/>
    <x v="0"/>
    <s v="11:47:04"/>
    <s v="RAPEESAN01"/>
    <s v="0008"/>
    <s v=""/>
    <s v="0000"/>
    <s v=""/>
    <s v="0000000000"/>
    <s v=""/>
    <s v=""/>
    <s v=""/>
    <s v=""/>
    <s v=""/>
    <s v=""/>
    <s v=""/>
    <s v=""/>
    <m/>
    <x v="0"/>
    <n v="3000"/>
    <n v="0"/>
    <d v="2026-07-13T00:00:00"/>
    <d v="2026-07-13T00:00:00"/>
    <m/>
    <d v="2026-07-13T00:00:00"/>
    <n v="3000"/>
    <x v="0"/>
    <s v="58"/>
    <e v="#N/A"/>
    <m/>
    <n v="0"/>
    <e v="#N/A"/>
    <e v="#N/A"/>
  </r>
  <r>
    <x v="13"/>
    <x v="13"/>
    <s v="0328"/>
    <x v="3"/>
    <s v="TF trfr within plant"/>
    <s v="4916147861"/>
    <s v="P003"/>
    <x v="47"/>
    <x v="0"/>
    <s v="11:47:04"/>
    <s v="RAPEESAN01"/>
    <s v="0002"/>
    <s v=""/>
    <s v="0000"/>
    <s v=""/>
    <s v="0000000000"/>
    <s v=""/>
    <s v=""/>
    <s v=""/>
    <s v=""/>
    <s v=""/>
    <s v=""/>
    <s v=""/>
    <s v=""/>
    <m/>
    <x v="0"/>
    <n v="3900"/>
    <n v="0"/>
    <d v="2026-07-13T00:00:00"/>
    <d v="2026-07-13T00:00:00"/>
    <m/>
    <d v="2026-07-13T00:00:00"/>
    <n v="3900"/>
    <x v="0"/>
    <s v="58"/>
    <e v="#N/A"/>
    <m/>
    <n v="0"/>
    <e v="#N/A"/>
    <e v="#N/A"/>
  </r>
  <r>
    <x v="13"/>
    <x v="13"/>
    <s v="0328"/>
    <x v="3"/>
    <s v="TF trfr within plant"/>
    <s v="4916147861"/>
    <s v="M003"/>
    <x v="47"/>
    <x v="0"/>
    <s v="11:47:04"/>
    <s v="RAPEESAN01"/>
    <s v="0001"/>
    <s v=""/>
    <s v="0000"/>
    <s v=""/>
    <s v="0000000000"/>
    <s v=""/>
    <s v=""/>
    <s v=""/>
    <s v=""/>
    <s v=""/>
    <s v=""/>
    <s v=""/>
    <s v=""/>
    <m/>
    <x v="0"/>
    <n v="-3900"/>
    <n v="0"/>
    <d v="2026-07-13T00:00:00"/>
    <d v="2026-07-13T00:00:00"/>
    <m/>
    <d v="2026-07-13T00:00:00"/>
    <n v="-3900"/>
    <x v="0"/>
    <s v="58"/>
    <e v="#N/A"/>
    <m/>
    <n v="0"/>
    <e v="#N/A"/>
    <e v="#N/A"/>
  </r>
  <r>
    <x v="5"/>
    <x v="5"/>
    <s v="0328"/>
    <x v="2"/>
    <s v="GD goods issue:delvy"/>
    <s v="4916152919"/>
    <s v="M001"/>
    <x v="46"/>
    <x v="0"/>
    <s v="12:57:38"/>
    <s v="RAPEESAN01"/>
    <s v="0001"/>
    <s v=""/>
    <s v="0000"/>
    <s v=""/>
    <s v="0000000000"/>
    <s v=""/>
    <s v=""/>
    <s v=""/>
    <s v="51003100"/>
    <s v=""/>
    <s v=""/>
    <s v=""/>
    <s v="2000125625"/>
    <m/>
    <x v="4"/>
    <n v="-1920"/>
    <n v="-1956787.2"/>
    <d v="2026-07-13T00:00:00"/>
    <d v="2026-07-13T00:00:00"/>
    <m/>
    <d v="2026-07-13T00:00:00"/>
    <n v="-5760000"/>
    <x v="0"/>
    <s v="59"/>
    <s v="ต้นทุนขาย"/>
    <m/>
    <n v="1019.16"/>
    <e v="#N/A"/>
    <e v="#N/A"/>
  </r>
  <r>
    <x v="5"/>
    <x v="5"/>
    <s v="0328"/>
    <x v="1"/>
    <s v="GI ค่าวิจัยและพัฒนา"/>
    <s v="4916153692"/>
    <s v="M001"/>
    <x v="46"/>
    <x v="0"/>
    <s v="13:17:42"/>
    <s v="RAPEESAN01"/>
    <s v="0001"/>
    <s v=""/>
    <s v="0000"/>
    <s v=""/>
    <s v="0151358317"/>
    <s v=""/>
    <s v="เพื่อส่งให้ RD'QA 7-11 ตรวจสอบ"/>
    <s v="405053"/>
    <s v="67501001"/>
    <s v=""/>
    <s v=""/>
    <s v=""/>
    <s v=""/>
    <m/>
    <x v="2"/>
    <n v="-2"/>
    <n v="-339.72"/>
    <d v="2026-07-14T00:00:00"/>
    <d v="2026-07-14T00:00:00"/>
    <m/>
    <d v="2026-07-13T00:00:00"/>
    <n v="-1000"/>
    <x v="0"/>
    <s v="59"/>
    <s v="ค่าวิจัยคุณภาพสินค้า"/>
    <m/>
    <n v="169.86"/>
    <e v="#N/A"/>
    <e v="#N/A"/>
  </r>
  <r>
    <x v="23"/>
    <x v="23"/>
    <s v="0328"/>
    <x v="4"/>
    <s v="GI for order"/>
    <s v="4916154421"/>
    <s v="P003"/>
    <x v="43"/>
    <x v="25"/>
    <s v="13:33:41"/>
    <s v="JURASDOK"/>
    <s v="0002"/>
    <s v=""/>
    <s v="0000"/>
    <s v=""/>
    <s v="0151363732"/>
    <s v=""/>
    <s v=""/>
    <s v=""/>
    <s v="53001003"/>
    <s v=""/>
    <s v=""/>
    <s v=""/>
    <s v=""/>
    <m/>
    <x v="3"/>
    <n v="-9645.9599999999991"/>
    <n v="-3136287.44"/>
    <d v="2026-07-13T00:00:00"/>
    <d v="2026-07-03T00:00:00"/>
    <m/>
    <d v="2026-07-13T00:00:00"/>
    <n v="-9645960"/>
    <x v="2"/>
    <s v="57"/>
    <s v="ต้นทุนผลิตกึ่งสำเร็จ"/>
    <m/>
    <n v="325.14000058055393"/>
    <e v="#N/A"/>
    <e v="#N/A"/>
  </r>
  <r>
    <x v="11"/>
    <x v="11"/>
    <s v="0328"/>
    <x v="4"/>
    <s v="GI for order"/>
    <s v="4916154421"/>
    <s v="P003"/>
    <x v="20"/>
    <x v="25"/>
    <s v="13:33:41"/>
    <s v="JURASDOK"/>
    <s v="0003"/>
    <s v=""/>
    <s v="0000"/>
    <s v=""/>
    <s v="0151363732"/>
    <s v=""/>
    <s v=""/>
    <s v=""/>
    <s v="53003000"/>
    <s v=""/>
    <s v=""/>
    <s v=""/>
    <s v=""/>
    <m/>
    <x v="0"/>
    <n v="-19639"/>
    <n v="-16610.03"/>
    <d v="2026-07-13T00:00:00"/>
    <d v="2026-07-03T00:00:00"/>
    <m/>
    <d v="2026-07-13T00:00:00"/>
    <n v="-19639"/>
    <x v="2"/>
    <s v="58"/>
    <s v="ต้นทุนผลิตหีบห่อ"/>
    <m/>
    <n v="0.84576760527521766"/>
    <e v="#N/A"/>
    <e v="#N/A"/>
  </r>
  <r>
    <x v="12"/>
    <x v="12"/>
    <s v="0328"/>
    <x v="4"/>
    <s v="GI for order"/>
    <s v="4916154421"/>
    <s v="P003"/>
    <x v="15"/>
    <x v="25"/>
    <s v="13:33:41"/>
    <s v="JURASDOK"/>
    <s v="0004"/>
    <s v=""/>
    <s v="0000"/>
    <s v=""/>
    <s v="0151363732"/>
    <s v=""/>
    <s v=""/>
    <s v=""/>
    <s v="53003000"/>
    <s v=""/>
    <s v=""/>
    <s v=""/>
    <s v=""/>
    <m/>
    <x v="0"/>
    <n v="-19639"/>
    <n v="-40917.599999999999"/>
    <d v="2026-07-13T00:00:00"/>
    <d v="2026-07-03T00:00:00"/>
    <m/>
    <d v="2026-07-13T00:00:00"/>
    <n v="-19639"/>
    <x v="2"/>
    <s v="58"/>
    <s v="ต้นทุนผลิตหีบห่อ"/>
    <m/>
    <n v="2.0834869392535262"/>
    <e v="#N/A"/>
    <e v="#N/A"/>
  </r>
  <r>
    <x v="13"/>
    <x v="13"/>
    <s v="0328"/>
    <x v="4"/>
    <s v="GI for order"/>
    <s v="4916154421"/>
    <s v="P003"/>
    <x v="16"/>
    <x v="25"/>
    <s v="13:33:41"/>
    <s v="JURASDOK"/>
    <s v="0005"/>
    <s v=""/>
    <s v="0000"/>
    <s v=""/>
    <s v="0151363732"/>
    <s v=""/>
    <s v=""/>
    <s v=""/>
    <s v="53003000"/>
    <s v=""/>
    <s v=""/>
    <s v=""/>
    <s v=""/>
    <m/>
    <x v="0"/>
    <n v="-2578"/>
    <n v="-12890"/>
    <d v="2026-07-13T00:00:00"/>
    <d v="2026-07-03T00:00:00"/>
    <m/>
    <d v="2026-07-13T00:00:00"/>
    <n v="-2578"/>
    <x v="2"/>
    <s v="58"/>
    <s v="ต้นทุนผลิตหีบห่อ"/>
    <m/>
    <n v="5"/>
    <e v="#N/A"/>
    <e v="#N/A"/>
  </r>
  <r>
    <x v="13"/>
    <x v="13"/>
    <s v="0328"/>
    <x v="4"/>
    <s v="GI for order"/>
    <s v="4916154421"/>
    <s v="P003"/>
    <x v="1"/>
    <x v="25"/>
    <s v="13:33:41"/>
    <s v="JURASDOK"/>
    <s v="0006"/>
    <s v=""/>
    <s v="0000"/>
    <s v=""/>
    <s v="0000000000"/>
    <s v=""/>
    <s v="All Cafe ลังกระดาษ (287*240*177 mm.)"/>
    <s v=""/>
    <s v="53003000"/>
    <s v=""/>
    <s v=""/>
    <s v=""/>
    <s v=""/>
    <m/>
    <x v="0"/>
    <n v="-666"/>
    <n v="-3330"/>
    <d v="2026-07-13T00:00:00"/>
    <d v="2026-07-03T00:00:00"/>
    <m/>
    <d v="2026-07-13T00:00:00"/>
    <n v="-666"/>
    <x v="2"/>
    <s v="58"/>
    <s v="ต้นทุนผลิตหีบห่อ"/>
    <m/>
    <n v="5"/>
    <e v="#N/A"/>
    <e v="#N/A"/>
  </r>
  <r>
    <x v="5"/>
    <x v="5"/>
    <s v="0328"/>
    <x v="5"/>
    <s v="GR for order"/>
    <s v="4916154421"/>
    <s v="M001"/>
    <x v="53"/>
    <x v="25"/>
    <s v="13:33:41"/>
    <s v="JURASDOK"/>
    <s v="0001"/>
    <s v=""/>
    <s v="0000"/>
    <s v=""/>
    <s v="0000000000"/>
    <s v=""/>
    <s v=""/>
    <s v=""/>
    <s v="53001001"/>
    <s v=""/>
    <s v=""/>
    <s v=""/>
    <s v=""/>
    <m/>
    <x v="2"/>
    <n v="19284"/>
    <n v="3275580.24"/>
    <d v="2026-07-13T00:00:00"/>
    <d v="2026-07-03T00:00:00"/>
    <m/>
    <d v="2026-07-13T00:00:00"/>
    <n v="9642000"/>
    <x v="2"/>
    <s v="59"/>
    <s v="ต้นทุนผลิตโอน F/G"/>
    <m/>
    <n v="169.86"/>
    <e v="#N/A"/>
    <e v="#N/A"/>
  </r>
  <r>
    <x v="23"/>
    <x v="23"/>
    <s v="0328"/>
    <x v="4"/>
    <s v="GI for order"/>
    <s v="4916154604"/>
    <s v="P003"/>
    <x v="45"/>
    <x v="26"/>
    <s v="13:38:20"/>
    <s v="JURASDOK"/>
    <s v="0002"/>
    <s v=""/>
    <s v="0000"/>
    <s v=""/>
    <s v="0151363843"/>
    <s v=""/>
    <s v=""/>
    <s v=""/>
    <s v="53001003"/>
    <s v=""/>
    <s v=""/>
    <s v=""/>
    <s v=""/>
    <m/>
    <x v="3"/>
    <n v="-7753.17"/>
    <n v="-2520865.69"/>
    <d v="2026-07-13T00:00:00"/>
    <d v="2026-07-04T00:00:00"/>
    <m/>
    <d v="2026-07-13T00:00:00"/>
    <n v="-7753170"/>
    <x v="2"/>
    <s v="57"/>
    <s v="ต้นทุนผลิตกึ่งสำเร็จ"/>
    <m/>
    <n v="325.1399995098779"/>
    <e v="#N/A"/>
    <e v="#N/A"/>
  </r>
  <r>
    <x v="11"/>
    <x v="11"/>
    <s v="0328"/>
    <x v="4"/>
    <s v="GI for order"/>
    <s v="4916154604"/>
    <s v="P003"/>
    <x v="20"/>
    <x v="26"/>
    <s v="13:38:20"/>
    <s v="JURASDOK"/>
    <s v="0003"/>
    <s v=""/>
    <s v="0000"/>
    <s v=""/>
    <s v="0151363843"/>
    <s v=""/>
    <s v=""/>
    <s v=""/>
    <s v="53003000"/>
    <s v=""/>
    <s v=""/>
    <s v=""/>
    <s v=""/>
    <m/>
    <x v="0"/>
    <n v="-15701"/>
    <n v="-13279.4"/>
    <d v="2026-07-13T00:00:00"/>
    <d v="2026-07-04T00:00:00"/>
    <m/>
    <d v="2026-07-13T00:00:00"/>
    <n v="-15701"/>
    <x v="2"/>
    <s v="58"/>
    <s v="ต้นทุนผลิตหีบห่อ"/>
    <m/>
    <n v="0.84576778549136999"/>
    <e v="#N/A"/>
    <e v="#N/A"/>
  </r>
  <r>
    <x v="12"/>
    <x v="12"/>
    <s v="0328"/>
    <x v="4"/>
    <s v="GI for order"/>
    <s v="4916154604"/>
    <s v="P003"/>
    <x v="15"/>
    <x v="26"/>
    <s v="13:38:20"/>
    <s v="JURASDOK"/>
    <s v="0004"/>
    <s v=""/>
    <s v="0000"/>
    <s v=""/>
    <s v="0151363843"/>
    <s v=""/>
    <s v=""/>
    <s v=""/>
    <s v="53003000"/>
    <s v=""/>
    <s v=""/>
    <s v=""/>
    <s v=""/>
    <m/>
    <x v="0"/>
    <n v="-15701"/>
    <n v="-32712.83"/>
    <d v="2026-07-13T00:00:00"/>
    <d v="2026-07-04T00:00:00"/>
    <m/>
    <d v="2026-07-13T00:00:00"/>
    <n v="-15701"/>
    <x v="2"/>
    <s v="58"/>
    <s v="ต้นทุนผลิตหีบห่อ"/>
    <m/>
    <n v="2.0834870390420992"/>
    <e v="#N/A"/>
    <e v="#N/A"/>
  </r>
  <r>
    <x v="13"/>
    <x v="13"/>
    <s v="0328"/>
    <x v="4"/>
    <s v="GI for order"/>
    <s v="4916154604"/>
    <s v="P003"/>
    <x v="1"/>
    <x v="26"/>
    <s v="13:38:20"/>
    <s v="JURASDOK"/>
    <s v="0005"/>
    <s v=""/>
    <s v="0000"/>
    <s v=""/>
    <s v="0151363843"/>
    <s v=""/>
    <s v=""/>
    <s v=""/>
    <s v="53003000"/>
    <s v=""/>
    <s v=""/>
    <s v=""/>
    <s v=""/>
    <m/>
    <x v="0"/>
    <n v="-2595"/>
    <n v="-12975"/>
    <d v="2026-07-13T00:00:00"/>
    <d v="2026-07-04T00:00:00"/>
    <m/>
    <d v="2026-07-13T00:00:00"/>
    <n v="-2595"/>
    <x v="2"/>
    <s v="58"/>
    <s v="ต้นทุนผลิตหีบห่อ"/>
    <m/>
    <n v="5"/>
    <e v="#N/A"/>
    <e v="#N/A"/>
  </r>
  <r>
    <x v="5"/>
    <x v="5"/>
    <s v="0328"/>
    <x v="5"/>
    <s v="GR for order"/>
    <s v="4916154604"/>
    <s v="M001"/>
    <x v="54"/>
    <x v="26"/>
    <s v="13:38:20"/>
    <s v="JURASDOK"/>
    <s v="0001"/>
    <s v=""/>
    <s v="0000"/>
    <s v=""/>
    <s v="0000000000"/>
    <s v=""/>
    <s v=""/>
    <s v=""/>
    <s v="53001001"/>
    <s v=""/>
    <s v=""/>
    <s v=""/>
    <s v=""/>
    <m/>
    <x v="2"/>
    <n v="15487"/>
    <n v="2630621.8199999998"/>
    <d v="2026-07-13T00:00:00"/>
    <d v="2026-07-04T00:00:00"/>
    <m/>
    <d v="2026-07-13T00:00:00"/>
    <n v="7743500"/>
    <x v="2"/>
    <s v="59"/>
    <s v="ต้นทุนผลิตโอน F/G"/>
    <m/>
    <n v="169.85999999999999"/>
    <e v="#N/A"/>
    <e v="#N/A"/>
  </r>
  <r>
    <x v="18"/>
    <x v="18"/>
    <s v="0328"/>
    <x v="4"/>
    <s v="GI for order"/>
    <s v="4916155246"/>
    <s v="P002"/>
    <x v="44"/>
    <x v="27"/>
    <s v="13:50:49"/>
    <s v="JURASDOK"/>
    <s v="0002"/>
    <s v=""/>
    <s v="0000"/>
    <s v=""/>
    <s v="0151110324"/>
    <s v=""/>
    <s v=""/>
    <s v=""/>
    <s v="53001003"/>
    <s v=""/>
    <s v=""/>
    <s v=""/>
    <s v=""/>
    <m/>
    <x v="3"/>
    <n v="-9299.5"/>
    <n v="-2518676.58"/>
    <d v="2026-07-13T00:00:00"/>
    <d v="2026-07-06T00:00:00"/>
    <m/>
    <d v="2026-07-13T00:00:00"/>
    <n v="-9299500"/>
    <x v="4"/>
    <s v="57"/>
    <s v="ต้นทุนผลิตกึ่งสำเร็จ"/>
    <m/>
    <n v="270.84000000000003"/>
    <e v="#N/A"/>
    <e v="#N/A"/>
  </r>
  <r>
    <x v="17"/>
    <x v="17"/>
    <s v="0328"/>
    <x v="4"/>
    <s v="GI for order"/>
    <s v="4916155246"/>
    <s v="P002"/>
    <x v="38"/>
    <x v="27"/>
    <s v="13:50:49"/>
    <s v="JURASDOK"/>
    <s v="0003"/>
    <s v=""/>
    <s v="0000"/>
    <s v=""/>
    <s v="0151110324"/>
    <s v=""/>
    <s v=""/>
    <s v=""/>
    <s v="53001003"/>
    <s v=""/>
    <s v=""/>
    <s v=""/>
    <s v=""/>
    <m/>
    <x v="3"/>
    <n v="-247.7"/>
    <n v="-67084.59"/>
    <d v="2026-07-13T00:00:00"/>
    <d v="2026-07-06T00:00:00"/>
    <m/>
    <d v="2026-07-13T00:00:00"/>
    <n v="-247700"/>
    <x v="4"/>
    <s v="57"/>
    <s v="ต้นทุนผลิตกึ่งสำเร็จ"/>
    <m/>
    <n v="270.82999596285828"/>
    <e v="#N/A"/>
    <e v="#N/A"/>
  </r>
  <r>
    <x v="17"/>
    <x v="17"/>
    <s v="0328"/>
    <x v="4"/>
    <s v="GI for order"/>
    <s v="4916155246"/>
    <s v="P002"/>
    <x v="55"/>
    <x v="27"/>
    <s v="13:50:49"/>
    <s v="JURASDOK"/>
    <s v="0005"/>
    <s v=""/>
    <s v="0000"/>
    <s v=""/>
    <s v="0000000000"/>
    <s v=""/>
    <s v="เมล็ดกาแฟ Clean Arabica B"/>
    <s v=""/>
    <s v="53001003"/>
    <s v=""/>
    <s v=""/>
    <s v=""/>
    <s v=""/>
    <m/>
    <x v="3"/>
    <n v="-52.3"/>
    <n v="-14164.41"/>
    <d v="2026-07-13T00:00:00"/>
    <d v="2026-07-06T00:00:00"/>
    <m/>
    <d v="2026-07-13T00:00:00"/>
    <n v="-52300"/>
    <x v="4"/>
    <s v="57"/>
    <s v="ต้นทุนผลิตกึ่งสำเร็จ"/>
    <m/>
    <n v="270.83001912045893"/>
    <e v="#N/A"/>
    <e v="#N/A"/>
  </r>
  <r>
    <x v="19"/>
    <x v="19"/>
    <s v="0328"/>
    <x v="4"/>
    <s v="GI for order"/>
    <s v="4916155246"/>
    <s v="P002"/>
    <x v="8"/>
    <x v="27"/>
    <s v="13:50:49"/>
    <s v="JURASDOK"/>
    <s v="0004"/>
    <s v=""/>
    <s v="0000"/>
    <s v=""/>
    <s v="0151110324"/>
    <s v=""/>
    <s v=""/>
    <s v=""/>
    <s v="53001003"/>
    <s v=""/>
    <s v=""/>
    <s v=""/>
    <s v=""/>
    <m/>
    <x v="3"/>
    <n v="-2403.58"/>
    <n v="-384404.55"/>
    <d v="2026-07-13T00:00:00"/>
    <d v="2026-07-06T00:00:00"/>
    <m/>
    <d v="2026-07-13T00:00:00"/>
    <n v="-2403580"/>
    <x v="4"/>
    <s v="57"/>
    <s v="ต้นทุนผลิตกึ่งสำเร็จ"/>
    <m/>
    <n v="159.93000024962762"/>
    <e v="#N/A"/>
    <e v="#N/A"/>
  </r>
  <r>
    <x v="23"/>
    <x v="23"/>
    <s v="0328"/>
    <x v="5"/>
    <s v="GR for order"/>
    <s v="4916155246"/>
    <s v="P003"/>
    <x v="56"/>
    <x v="27"/>
    <s v="13:50:49"/>
    <s v="JURASDOK"/>
    <s v="0001"/>
    <s v=""/>
    <s v="0000"/>
    <s v=""/>
    <s v="0000000000"/>
    <s v=""/>
    <s v=""/>
    <s v=""/>
    <s v="53001004"/>
    <s v=""/>
    <s v=""/>
    <s v=""/>
    <s v=""/>
    <m/>
    <x v="3"/>
    <n v="9676.26"/>
    <n v="3146139.18"/>
    <d v="2026-07-13T00:00:00"/>
    <d v="2026-07-06T00:00:00"/>
    <m/>
    <d v="2026-07-13T00:00:00"/>
    <n v="9676260"/>
    <x v="4"/>
    <s v="57"/>
    <s v="ต้นทุนผลิตโอน Semi"/>
    <m/>
    <n v="325.1400003720446"/>
    <e v="#N/A"/>
    <e v="#N/A"/>
  </r>
  <r>
    <x v="23"/>
    <x v="23"/>
    <s v="0328"/>
    <x v="4"/>
    <s v="GI for order"/>
    <s v="4916155474"/>
    <s v="P003"/>
    <x v="56"/>
    <x v="28"/>
    <s v="13:55:16"/>
    <s v="JURASDOK"/>
    <s v="0002"/>
    <s v=""/>
    <s v="0000"/>
    <s v=""/>
    <s v="0151364117"/>
    <s v=""/>
    <s v=""/>
    <s v=""/>
    <s v="53001003"/>
    <s v=""/>
    <s v=""/>
    <s v=""/>
    <s v=""/>
    <m/>
    <x v="3"/>
    <n v="-9676.26"/>
    <n v="-3146139.18"/>
    <d v="2026-07-13T00:00:00"/>
    <d v="2026-07-06T00:00:00"/>
    <m/>
    <d v="2026-07-13T00:00:00"/>
    <n v="-9676260"/>
    <x v="2"/>
    <s v="57"/>
    <s v="ต้นทุนผลิตกึ่งสำเร็จ"/>
    <m/>
    <n v="325.1400003720446"/>
    <e v="#N/A"/>
    <e v="#N/A"/>
  </r>
  <r>
    <x v="11"/>
    <x v="11"/>
    <s v="0328"/>
    <x v="4"/>
    <s v="GI for order"/>
    <s v="4916155474"/>
    <s v="P003"/>
    <x v="20"/>
    <x v="28"/>
    <s v="13:55:16"/>
    <s v="JURASDOK"/>
    <s v="0003"/>
    <s v=""/>
    <s v="0000"/>
    <s v=""/>
    <s v="0151364117"/>
    <s v=""/>
    <s v=""/>
    <s v=""/>
    <s v="53003000"/>
    <s v=""/>
    <s v=""/>
    <s v=""/>
    <s v=""/>
    <m/>
    <x v="0"/>
    <n v="-19609"/>
    <n v="-16584.66"/>
    <d v="2026-07-13T00:00:00"/>
    <d v="2026-07-06T00:00:00"/>
    <m/>
    <d v="2026-07-13T00:00:00"/>
    <n v="-19609"/>
    <x v="2"/>
    <s v="58"/>
    <s v="ต้นทุนผลิตหีบห่อ"/>
    <m/>
    <n v="0.84576775970217755"/>
    <e v="#N/A"/>
    <e v="#N/A"/>
  </r>
  <r>
    <x v="12"/>
    <x v="12"/>
    <s v="0328"/>
    <x v="4"/>
    <s v="GI for order"/>
    <s v="4916155474"/>
    <s v="P003"/>
    <x v="15"/>
    <x v="28"/>
    <s v="13:55:16"/>
    <s v="JURASDOK"/>
    <s v="0004"/>
    <s v=""/>
    <s v="0000"/>
    <s v=""/>
    <s v="0151364117"/>
    <s v=""/>
    <s v=""/>
    <s v=""/>
    <s v="53003000"/>
    <s v=""/>
    <s v=""/>
    <s v=""/>
    <s v=""/>
    <m/>
    <x v="0"/>
    <n v="-19609"/>
    <n v="-40855.1"/>
    <d v="2026-07-13T00:00:00"/>
    <d v="2026-07-06T00:00:00"/>
    <m/>
    <d v="2026-07-13T00:00:00"/>
    <n v="-19609"/>
    <x v="2"/>
    <s v="58"/>
    <s v="ต้นทุนผลิตหีบห่อ"/>
    <m/>
    <n v="2.0834871742567187"/>
    <e v="#N/A"/>
    <e v="#N/A"/>
  </r>
  <r>
    <x v="13"/>
    <x v="13"/>
    <s v="0328"/>
    <x v="4"/>
    <s v="GI for order"/>
    <s v="4916155474"/>
    <s v="P003"/>
    <x v="1"/>
    <x v="28"/>
    <s v="13:55:16"/>
    <s v="JURASDOK"/>
    <s v="0005"/>
    <s v=""/>
    <s v="0000"/>
    <s v=""/>
    <s v="0151364117"/>
    <s v=""/>
    <s v=""/>
    <s v=""/>
    <s v="53003000"/>
    <s v=""/>
    <s v=""/>
    <s v=""/>
    <s v=""/>
    <m/>
    <x v="0"/>
    <n v="-3235"/>
    <n v="-16175"/>
    <d v="2026-07-13T00:00:00"/>
    <d v="2026-07-06T00:00:00"/>
    <m/>
    <d v="2026-07-13T00:00:00"/>
    <n v="-3235"/>
    <x v="2"/>
    <s v="58"/>
    <s v="ต้นทุนผลิตหีบห่อ"/>
    <m/>
    <n v="5"/>
    <e v="#N/A"/>
    <e v="#N/A"/>
  </r>
  <r>
    <x v="5"/>
    <x v="5"/>
    <s v="0328"/>
    <x v="5"/>
    <s v="GR for order"/>
    <s v="4916155474"/>
    <s v="M001"/>
    <x v="57"/>
    <x v="28"/>
    <s v="13:55:16"/>
    <s v="JURASDOK"/>
    <s v="0001"/>
    <s v=""/>
    <s v="0000"/>
    <s v=""/>
    <s v="0000000000"/>
    <s v=""/>
    <s v=""/>
    <s v=""/>
    <s v="53001001"/>
    <s v=""/>
    <s v=""/>
    <s v=""/>
    <s v=""/>
    <m/>
    <x v="2"/>
    <n v="19344"/>
    <n v="3285771.84"/>
    <d v="2026-07-13T00:00:00"/>
    <d v="2026-07-06T00:00:00"/>
    <m/>
    <d v="2026-07-13T00:00:00"/>
    <n v="9672000"/>
    <x v="2"/>
    <s v="59"/>
    <s v="ต้นทุนผลิตโอน F/G"/>
    <m/>
    <n v="169.85999999999999"/>
    <e v="#N/A"/>
    <e v="#N/A"/>
  </r>
  <r>
    <x v="18"/>
    <x v="18"/>
    <s v="0328"/>
    <x v="4"/>
    <s v="GI for order"/>
    <s v="4916156324"/>
    <s v="P002"/>
    <x v="19"/>
    <x v="29"/>
    <s v="14:03:35"/>
    <s v="JURASDOK"/>
    <s v="0002"/>
    <s v=""/>
    <s v="0000"/>
    <s v=""/>
    <s v="0151364245"/>
    <s v=""/>
    <s v=""/>
    <s v=""/>
    <s v="53001003"/>
    <s v=""/>
    <s v=""/>
    <s v=""/>
    <s v=""/>
    <m/>
    <x v="3"/>
    <n v="-8942.2000000000007"/>
    <n v="-2421905.4500000002"/>
    <d v="2026-07-13T00:00:00"/>
    <d v="2026-07-07T00:00:00"/>
    <m/>
    <d v="2026-07-13T00:00:00"/>
    <n v="-8942200"/>
    <x v="4"/>
    <s v="57"/>
    <s v="ต้นทุนผลิตกึ่งสำเร็จ"/>
    <m/>
    <n v="270.84000022365859"/>
    <e v="#N/A"/>
    <e v="#N/A"/>
  </r>
  <r>
    <x v="17"/>
    <x v="17"/>
    <s v="0328"/>
    <x v="4"/>
    <s v="GI for order"/>
    <s v="4916156324"/>
    <s v="P002"/>
    <x v="58"/>
    <x v="29"/>
    <s v="14:03:35"/>
    <s v="JURASDOK"/>
    <s v="0005"/>
    <s v=""/>
    <s v="0000"/>
    <s v=""/>
    <s v="0000000000"/>
    <s v=""/>
    <s v="เมล็ดกาแฟ Clean Arabica B"/>
    <s v=""/>
    <s v="53001003"/>
    <s v=""/>
    <s v=""/>
    <s v=""/>
    <s v=""/>
    <m/>
    <x v="3"/>
    <n v="-820.68"/>
    <n v="-222264.76"/>
    <d v="2026-07-13T00:00:00"/>
    <d v="2026-07-07T00:00:00"/>
    <m/>
    <d v="2026-07-13T00:00:00"/>
    <n v="-820680"/>
    <x v="4"/>
    <s v="57"/>
    <s v="ต้นทุนผลิตกึ่งสำเร็จ"/>
    <m/>
    <n v="270.82999463859244"/>
    <e v="#N/A"/>
    <e v="#N/A"/>
  </r>
  <r>
    <x v="17"/>
    <x v="17"/>
    <s v="0328"/>
    <x v="4"/>
    <s v="GI for order"/>
    <s v="4916156324"/>
    <s v="P002"/>
    <x v="55"/>
    <x v="29"/>
    <s v="14:03:35"/>
    <s v="JURASDOK"/>
    <s v="0003"/>
    <s v=""/>
    <s v="0000"/>
    <s v=""/>
    <s v="0151364245"/>
    <s v=""/>
    <s v=""/>
    <s v=""/>
    <s v="53001003"/>
    <s v=""/>
    <s v=""/>
    <s v=""/>
    <s v=""/>
    <m/>
    <x v="3"/>
    <n v="-222.9"/>
    <n v="-60368.01"/>
    <d v="2026-07-13T00:00:00"/>
    <d v="2026-07-07T00:00:00"/>
    <m/>
    <d v="2026-07-13T00:00:00"/>
    <n v="-222900"/>
    <x v="4"/>
    <s v="57"/>
    <s v="ต้นทุนผลิตกึ่งสำเร็จ"/>
    <m/>
    <n v="270.83001345895019"/>
    <e v="#N/A"/>
    <e v="#N/A"/>
  </r>
  <r>
    <x v="19"/>
    <x v="19"/>
    <s v="0328"/>
    <x v="4"/>
    <s v="GI for order"/>
    <s v="4916156324"/>
    <s v="P002"/>
    <x v="8"/>
    <x v="29"/>
    <s v="14:03:35"/>
    <s v="JURASDOK"/>
    <s v="0004"/>
    <s v=""/>
    <s v="0000"/>
    <s v=""/>
    <s v="0151364245"/>
    <s v=""/>
    <s v=""/>
    <s v=""/>
    <s v="53001003"/>
    <s v=""/>
    <s v=""/>
    <s v=""/>
    <s v=""/>
    <m/>
    <x v="3"/>
    <n v="-2497.64"/>
    <n v="-399447.57"/>
    <d v="2026-07-13T00:00:00"/>
    <d v="2026-07-07T00:00:00"/>
    <m/>
    <d v="2026-07-13T00:00:00"/>
    <n v="-2497640"/>
    <x v="4"/>
    <s v="57"/>
    <s v="ต้นทุนผลิตกึ่งสำเร็จ"/>
    <m/>
    <n v="159.93000192181421"/>
    <e v="#N/A"/>
    <e v="#N/A"/>
  </r>
  <r>
    <x v="23"/>
    <x v="23"/>
    <s v="0328"/>
    <x v="5"/>
    <s v="GR for order"/>
    <s v="4916156324"/>
    <s v="P003"/>
    <x v="59"/>
    <x v="29"/>
    <s v="14:03:35"/>
    <s v="JURASDOK"/>
    <s v="0001"/>
    <s v=""/>
    <s v="0000"/>
    <s v=""/>
    <s v="0000000000"/>
    <s v=""/>
    <s v=""/>
    <s v=""/>
    <s v="53001004"/>
    <s v=""/>
    <s v=""/>
    <s v=""/>
    <s v=""/>
    <m/>
    <x v="3"/>
    <n v="10060.59"/>
    <n v="3271100.23"/>
    <d v="2026-07-13T00:00:00"/>
    <d v="2026-07-07T00:00:00"/>
    <m/>
    <d v="2026-07-13T00:00:00"/>
    <n v="10060590"/>
    <x v="4"/>
    <s v="57"/>
    <s v="ต้นทุนผลิตโอน Semi"/>
    <m/>
    <n v="325.13999974156587"/>
    <e v="#N/A"/>
    <e v="#N/A"/>
  </r>
  <r>
    <x v="18"/>
    <x v="18"/>
    <s v="0328"/>
    <x v="4"/>
    <s v="GI for order"/>
    <s v="4916157155"/>
    <s v="P002"/>
    <x v="19"/>
    <x v="30"/>
    <s v="14:07:02"/>
    <s v="JURASDOK"/>
    <s v="0002"/>
    <s v=""/>
    <s v="0000"/>
    <s v=""/>
    <s v="0151364471"/>
    <s v=""/>
    <s v=""/>
    <s v=""/>
    <s v="53001003"/>
    <s v=""/>
    <s v=""/>
    <s v=""/>
    <s v=""/>
    <m/>
    <x v="3"/>
    <n v="-8601"/>
    <n v="-2329494.84"/>
    <d v="2026-07-13T00:00:00"/>
    <d v="2026-07-08T00:00:00"/>
    <m/>
    <d v="2026-07-13T00:00:00"/>
    <n v="-8601000"/>
    <x v="4"/>
    <s v="57"/>
    <s v="ต้นทุนผลิตกึ่งสำเร็จ"/>
    <m/>
    <n v="270.83999999999997"/>
    <e v="#N/A"/>
    <e v="#N/A"/>
  </r>
  <r>
    <x v="17"/>
    <x v="17"/>
    <s v="0328"/>
    <x v="4"/>
    <s v="GI for order"/>
    <s v="4916157155"/>
    <s v="P002"/>
    <x v="58"/>
    <x v="30"/>
    <s v="14:07:02"/>
    <s v="JURASDOK"/>
    <s v="0003"/>
    <s v=""/>
    <s v="0000"/>
    <s v=""/>
    <s v="0151364471"/>
    <s v=""/>
    <s v=""/>
    <s v=""/>
    <s v="53001003"/>
    <s v=""/>
    <s v=""/>
    <s v=""/>
    <s v=""/>
    <m/>
    <x v="3"/>
    <n v="-1003.08"/>
    <n v="-271664.15999999997"/>
    <d v="2026-07-13T00:00:00"/>
    <d v="2026-07-08T00:00:00"/>
    <m/>
    <d v="2026-07-13T00:00:00"/>
    <n v="-1003080"/>
    <x v="4"/>
    <s v="57"/>
    <s v="ต้นทุนผลิตกึ่งสำเร็จ"/>
    <m/>
    <n v="270.830003588946"/>
    <e v="#N/A"/>
    <e v="#N/A"/>
  </r>
  <r>
    <x v="19"/>
    <x v="19"/>
    <s v="0328"/>
    <x v="4"/>
    <s v="GI for order"/>
    <s v="4916157155"/>
    <s v="P002"/>
    <x v="8"/>
    <x v="30"/>
    <s v="14:07:02"/>
    <s v="JURASDOK"/>
    <s v="0004"/>
    <s v=""/>
    <s v="0000"/>
    <s v=""/>
    <s v="0151364471"/>
    <s v=""/>
    <s v=""/>
    <s v=""/>
    <s v="53001003"/>
    <s v=""/>
    <s v=""/>
    <s v=""/>
    <s v=""/>
    <m/>
    <x v="3"/>
    <n v="-2402.7199999999998"/>
    <n v="-384267.01"/>
    <d v="2026-07-13T00:00:00"/>
    <d v="2026-07-08T00:00:00"/>
    <m/>
    <d v="2026-07-13T00:00:00"/>
    <n v="-2402720"/>
    <x v="4"/>
    <s v="57"/>
    <s v="ต้นทุนผลิตกึ่งสำเร็จ"/>
    <m/>
    <n v="159.93000016647801"/>
    <e v="#N/A"/>
    <e v="#N/A"/>
  </r>
  <r>
    <x v="23"/>
    <x v="23"/>
    <s v="0328"/>
    <x v="5"/>
    <s v="GR for order"/>
    <s v="4916157155"/>
    <s v="P003"/>
    <x v="60"/>
    <x v="30"/>
    <s v="14:07:02"/>
    <s v="JURASDOK"/>
    <s v="0001"/>
    <s v=""/>
    <s v="0000"/>
    <s v=""/>
    <s v="0000000000"/>
    <s v=""/>
    <s v=""/>
    <s v=""/>
    <s v="53001004"/>
    <s v=""/>
    <s v=""/>
    <s v=""/>
    <s v=""/>
    <m/>
    <x v="3"/>
    <n v="9645.68"/>
    <n v="3136196.4"/>
    <d v="2026-07-13T00:00:00"/>
    <d v="2026-07-08T00:00:00"/>
    <m/>
    <d v="2026-07-13T00:00:00"/>
    <n v="9645680"/>
    <x v="4"/>
    <s v="57"/>
    <s v="ต้นทุนผลิตโอน Semi"/>
    <m/>
    <n v="325.14000049763206"/>
    <e v="#N/A"/>
    <e v="#N/A"/>
  </r>
  <r>
    <x v="18"/>
    <x v="18"/>
    <s v="0328"/>
    <x v="4"/>
    <s v="GI for order"/>
    <s v="4916158548"/>
    <s v="P002"/>
    <x v="25"/>
    <x v="31"/>
    <s v="14:11:19"/>
    <s v="JURASDOK"/>
    <s v="0004"/>
    <s v=""/>
    <s v="0000"/>
    <s v=""/>
    <s v="0000000000"/>
    <s v=""/>
    <s v="เมล็ดกาแฟ Clean Arabica Size L"/>
    <s v=""/>
    <s v="53001003"/>
    <s v=""/>
    <s v=""/>
    <s v=""/>
    <s v=""/>
    <m/>
    <x v="3"/>
    <n v="-4641.9399999999996"/>
    <n v="-1257223.03"/>
    <d v="2026-07-13T00:00:00"/>
    <d v="2026-07-09T00:00:00"/>
    <m/>
    <d v="2026-07-13T00:00:00"/>
    <n v="-4641940"/>
    <x v="4"/>
    <s v="57"/>
    <s v="ต้นทุนผลิตกึ่งสำเร็จ"/>
    <m/>
    <n v="270.8400000861709"/>
    <e v="#N/A"/>
    <e v="#N/A"/>
  </r>
  <r>
    <x v="18"/>
    <x v="18"/>
    <s v="0328"/>
    <x v="4"/>
    <s v="GI for order"/>
    <s v="4916158548"/>
    <s v="P002"/>
    <x v="44"/>
    <x v="31"/>
    <s v="14:11:19"/>
    <s v="JURASDOK"/>
    <s v="0002"/>
    <s v=""/>
    <s v="0000"/>
    <s v=""/>
    <s v="0151365057"/>
    <s v=""/>
    <s v=""/>
    <s v=""/>
    <s v="53001003"/>
    <s v=""/>
    <s v=""/>
    <s v=""/>
    <s v=""/>
    <m/>
    <x v="3"/>
    <n v="-4767.3599999999997"/>
    <n v="-1291191.78"/>
    <d v="2026-07-13T00:00:00"/>
    <d v="2026-07-09T00:00:00"/>
    <m/>
    <d v="2026-07-13T00:00:00"/>
    <n v="-4767360"/>
    <x v="4"/>
    <s v="57"/>
    <s v="ต้นทุนผลิตกึ่งสำเร็จ"/>
    <m/>
    <n v="270.83999949657675"/>
    <e v="#N/A"/>
    <e v="#N/A"/>
  </r>
  <r>
    <x v="19"/>
    <x v="19"/>
    <s v="0328"/>
    <x v="4"/>
    <s v="GI for order"/>
    <s v="4916158548"/>
    <s v="P002"/>
    <x v="8"/>
    <x v="31"/>
    <s v="14:11:19"/>
    <s v="JURASDOK"/>
    <s v="0003"/>
    <s v=""/>
    <s v="0000"/>
    <s v=""/>
    <s v="0151365057"/>
    <s v=""/>
    <s v=""/>
    <s v=""/>
    <s v="53001003"/>
    <s v=""/>
    <s v=""/>
    <s v=""/>
    <s v=""/>
    <m/>
    <x v="3"/>
    <n v="-2359.12"/>
    <n v="-377294.06"/>
    <d v="2026-07-13T00:00:00"/>
    <d v="2026-07-09T00:00:00"/>
    <m/>
    <d v="2026-07-13T00:00:00"/>
    <n v="-2359120"/>
    <x v="4"/>
    <s v="57"/>
    <s v="ต้นทุนผลิตกึ่งสำเร็จ"/>
    <m/>
    <n v="159.929999321781"/>
    <e v="#N/A"/>
    <e v="#N/A"/>
  </r>
  <r>
    <x v="23"/>
    <x v="23"/>
    <s v="0328"/>
    <x v="5"/>
    <s v="GR for order"/>
    <s v="4916158548"/>
    <s v="P003"/>
    <x v="61"/>
    <x v="31"/>
    <s v="14:11:19"/>
    <s v="JURASDOK"/>
    <s v="0001"/>
    <s v=""/>
    <s v="0000"/>
    <s v=""/>
    <s v="0000000000"/>
    <s v=""/>
    <s v=""/>
    <s v=""/>
    <s v="53001004"/>
    <s v=""/>
    <s v=""/>
    <s v=""/>
    <s v=""/>
    <m/>
    <x v="3"/>
    <n v="9465.5499999999993"/>
    <n v="3077628.93"/>
    <d v="2026-07-13T00:00:00"/>
    <d v="2026-07-09T00:00:00"/>
    <m/>
    <d v="2026-07-13T00:00:00"/>
    <n v="9465550"/>
    <x v="4"/>
    <s v="57"/>
    <s v="ต้นทุนผลิตโอน Semi"/>
    <m/>
    <n v="325.14000031693882"/>
    <e v="#N/A"/>
    <e v="#N/A"/>
  </r>
  <r>
    <x v="23"/>
    <x v="23"/>
    <s v="0328"/>
    <x v="4"/>
    <s v="GI for order"/>
    <s v="4916159237"/>
    <s v="P003"/>
    <x v="59"/>
    <x v="32"/>
    <s v="14:14:53"/>
    <s v="JURASDOK"/>
    <s v="0002"/>
    <s v=""/>
    <s v="0000"/>
    <s v=""/>
    <s v="0151366208"/>
    <s v=""/>
    <s v=""/>
    <s v=""/>
    <s v="53001003"/>
    <s v=""/>
    <s v=""/>
    <s v=""/>
    <s v=""/>
    <m/>
    <x v="3"/>
    <n v="-10060.59"/>
    <n v="-3271100.23"/>
    <d v="2026-07-13T00:00:00"/>
    <d v="2026-07-07T00:00:00"/>
    <m/>
    <d v="2026-07-13T00:00:00"/>
    <n v="-10060590"/>
    <x v="2"/>
    <s v="57"/>
    <s v="ต้นทุนผลิตกึ่งสำเร็จ"/>
    <m/>
    <n v="325.13999974156587"/>
    <e v="#N/A"/>
    <e v="#N/A"/>
  </r>
  <r>
    <x v="11"/>
    <x v="11"/>
    <s v="0328"/>
    <x v="4"/>
    <s v="GI for order"/>
    <s v="4916159237"/>
    <s v="P003"/>
    <x v="20"/>
    <x v="32"/>
    <s v="14:14:53"/>
    <s v="JURASDOK"/>
    <s v="0003"/>
    <s v=""/>
    <s v="0000"/>
    <s v=""/>
    <s v="0151366208"/>
    <s v=""/>
    <s v=""/>
    <s v=""/>
    <s v="53003000"/>
    <s v=""/>
    <s v=""/>
    <s v=""/>
    <s v=""/>
    <m/>
    <x v="0"/>
    <n v="-20454"/>
    <n v="-17299.330000000002"/>
    <d v="2026-07-13T00:00:00"/>
    <d v="2026-07-07T00:00:00"/>
    <m/>
    <d v="2026-07-13T00:00:00"/>
    <n v="-20454"/>
    <x v="2"/>
    <s v="58"/>
    <s v="ต้นทุนผลิตหีบห่อ"/>
    <m/>
    <n v="0.84576757602424957"/>
    <e v="#N/A"/>
    <e v="#N/A"/>
  </r>
  <r>
    <x v="12"/>
    <x v="12"/>
    <s v="0328"/>
    <x v="4"/>
    <s v="GI for order"/>
    <s v="4916159237"/>
    <s v="P003"/>
    <x v="15"/>
    <x v="32"/>
    <s v="14:14:53"/>
    <s v="JURASDOK"/>
    <s v="0004"/>
    <s v=""/>
    <s v="0000"/>
    <s v=""/>
    <s v="0151366208"/>
    <s v=""/>
    <s v=""/>
    <s v=""/>
    <s v="53003000"/>
    <s v=""/>
    <s v=""/>
    <s v=""/>
    <s v=""/>
    <m/>
    <x v="0"/>
    <n v="-20454"/>
    <n v="-42615.64"/>
    <d v="2026-07-13T00:00:00"/>
    <d v="2026-07-07T00:00:00"/>
    <m/>
    <d v="2026-07-13T00:00:00"/>
    <n v="-20454"/>
    <x v="2"/>
    <s v="58"/>
    <s v="ต้นทุนผลิตหีบห่อ"/>
    <m/>
    <n v="2.083486848538183"/>
    <e v="#N/A"/>
    <e v="#N/A"/>
  </r>
  <r>
    <x v="13"/>
    <x v="13"/>
    <s v="0328"/>
    <x v="4"/>
    <s v="GI for order"/>
    <s v="4916159237"/>
    <s v="P003"/>
    <x v="1"/>
    <x v="32"/>
    <s v="14:14:53"/>
    <s v="JURASDOK"/>
    <s v="0005"/>
    <s v=""/>
    <s v="0000"/>
    <s v=""/>
    <s v="0151366208"/>
    <s v=""/>
    <s v=""/>
    <s v=""/>
    <s v="53003000"/>
    <s v=""/>
    <s v=""/>
    <s v=""/>
    <s v=""/>
    <m/>
    <x v="0"/>
    <n v="-3363"/>
    <n v="-16815"/>
    <d v="2026-07-13T00:00:00"/>
    <d v="2026-07-07T00:00:00"/>
    <m/>
    <d v="2026-07-13T00:00:00"/>
    <n v="-3363"/>
    <x v="2"/>
    <s v="58"/>
    <s v="ต้นทุนผลิตหีบห่อ"/>
    <m/>
    <n v="5"/>
    <e v="#N/A"/>
    <e v="#N/A"/>
  </r>
  <r>
    <x v="5"/>
    <x v="5"/>
    <s v="0328"/>
    <x v="5"/>
    <s v="GR for order"/>
    <s v="4916159237"/>
    <s v="M001"/>
    <x v="62"/>
    <x v="32"/>
    <s v="14:14:53"/>
    <s v="JURASDOK"/>
    <s v="0001"/>
    <s v=""/>
    <s v="0000"/>
    <s v=""/>
    <s v="0000000000"/>
    <s v=""/>
    <s v=""/>
    <s v=""/>
    <s v="53001001"/>
    <s v=""/>
    <s v=""/>
    <s v=""/>
    <s v=""/>
    <m/>
    <x v="2"/>
    <n v="20106"/>
    <n v="3415205.16"/>
    <d v="2026-07-13T00:00:00"/>
    <d v="2026-07-07T00:00:00"/>
    <m/>
    <d v="2026-07-13T00:00:00"/>
    <n v="10053000"/>
    <x v="2"/>
    <s v="59"/>
    <s v="ต้นทุนผลิตโอน F/G"/>
    <m/>
    <n v="169.86"/>
    <e v="#N/A"/>
    <e v="#N/A"/>
  </r>
  <r>
    <x v="23"/>
    <x v="23"/>
    <s v="0328"/>
    <x v="4"/>
    <s v="GI for order"/>
    <s v="4916160543"/>
    <s v="P003"/>
    <x v="60"/>
    <x v="33"/>
    <s v="14:18:00"/>
    <s v="JURASDOK"/>
    <s v="0002"/>
    <s v=""/>
    <s v="0000"/>
    <s v=""/>
    <s v="0151366623"/>
    <s v=""/>
    <s v=""/>
    <s v=""/>
    <s v="53001003"/>
    <s v=""/>
    <s v=""/>
    <s v=""/>
    <s v=""/>
    <m/>
    <x v="3"/>
    <n v="-9645.68"/>
    <n v="-3136196.4"/>
    <d v="2026-07-13T00:00:00"/>
    <d v="2026-07-08T00:00:00"/>
    <m/>
    <d v="2026-07-13T00:00:00"/>
    <n v="-9645680"/>
    <x v="2"/>
    <s v="57"/>
    <s v="ต้นทุนผลิตกึ่งสำเร็จ"/>
    <m/>
    <n v="325.14000049763206"/>
    <e v="#N/A"/>
    <e v="#N/A"/>
  </r>
  <r>
    <x v="11"/>
    <x v="11"/>
    <s v="0328"/>
    <x v="4"/>
    <s v="GI for order"/>
    <s v="4916160543"/>
    <s v="P003"/>
    <x v="20"/>
    <x v="33"/>
    <s v="14:18:00"/>
    <s v="JURASDOK"/>
    <s v="0003"/>
    <s v=""/>
    <s v="0000"/>
    <s v=""/>
    <s v="0151366623"/>
    <s v=""/>
    <s v=""/>
    <s v=""/>
    <s v="53003000"/>
    <s v=""/>
    <s v=""/>
    <s v=""/>
    <s v=""/>
    <m/>
    <x v="0"/>
    <n v="-19555"/>
    <n v="-16538.990000000002"/>
    <d v="2026-07-13T00:00:00"/>
    <d v="2026-07-08T00:00:00"/>
    <m/>
    <d v="2026-07-13T00:00:00"/>
    <n v="-19555"/>
    <x v="2"/>
    <s v="58"/>
    <s v="ต้นทุนผลิตหีบห่อ"/>
    <m/>
    <n v="0.84576783431347491"/>
    <e v="#N/A"/>
    <e v="#N/A"/>
  </r>
  <r>
    <x v="12"/>
    <x v="12"/>
    <s v="0328"/>
    <x v="4"/>
    <s v="GI for order"/>
    <s v="4916160543"/>
    <s v="P003"/>
    <x v="33"/>
    <x v="33"/>
    <s v="14:18:00"/>
    <s v="JURASDOK"/>
    <s v="0006"/>
    <s v=""/>
    <s v="0000"/>
    <s v=""/>
    <s v="0000000000"/>
    <s v=""/>
    <s v="Film roll All cafe500g.420mm*900m"/>
    <s v=""/>
    <s v="53003000"/>
    <s v=""/>
    <s v=""/>
    <s v=""/>
    <s v=""/>
    <m/>
    <x v="0"/>
    <n v="-18939"/>
    <n v="-39459.160000000003"/>
    <d v="2026-07-13T00:00:00"/>
    <d v="2026-07-08T00:00:00"/>
    <m/>
    <d v="2026-07-13T00:00:00"/>
    <n v="-18939"/>
    <x v="2"/>
    <s v="58"/>
    <s v="ต้นทุนผลิตหีบห่อ"/>
    <m/>
    <n v="2.0834869845292783"/>
    <e v="#N/A"/>
    <e v="#N/A"/>
  </r>
  <r>
    <x v="12"/>
    <x v="12"/>
    <s v="0328"/>
    <x v="4"/>
    <s v="GI for order"/>
    <s v="4916160543"/>
    <s v="P003"/>
    <x v="15"/>
    <x v="33"/>
    <s v="14:18:00"/>
    <s v="JURASDOK"/>
    <s v="0004"/>
    <s v=""/>
    <s v="0000"/>
    <s v=""/>
    <s v="0151366623"/>
    <s v=""/>
    <s v=""/>
    <s v=""/>
    <s v="53003000"/>
    <s v=""/>
    <s v=""/>
    <s v=""/>
    <s v=""/>
    <m/>
    <x v="0"/>
    <n v="-616"/>
    <n v="-1283.43"/>
    <d v="2026-07-13T00:00:00"/>
    <d v="2026-07-08T00:00:00"/>
    <m/>
    <d v="2026-07-13T00:00:00"/>
    <n v="-616"/>
    <x v="2"/>
    <s v="58"/>
    <s v="ต้นทุนผลิตหีบห่อ"/>
    <m/>
    <n v="2.0834902597402598"/>
    <e v="#N/A"/>
    <e v="#N/A"/>
  </r>
  <r>
    <x v="13"/>
    <x v="13"/>
    <s v="0328"/>
    <x v="4"/>
    <s v="GI for order"/>
    <s v="4916160543"/>
    <s v="P003"/>
    <x v="1"/>
    <x v="33"/>
    <s v="14:18:00"/>
    <s v="JURASDOK"/>
    <s v="0005"/>
    <s v=""/>
    <s v="0000"/>
    <s v=""/>
    <s v="0151366623"/>
    <s v=""/>
    <s v=""/>
    <s v=""/>
    <s v="53003000"/>
    <s v=""/>
    <s v=""/>
    <s v=""/>
    <s v=""/>
    <m/>
    <x v="0"/>
    <n v="-3225"/>
    <n v="-16125"/>
    <d v="2026-07-13T00:00:00"/>
    <d v="2026-07-08T00:00:00"/>
    <m/>
    <d v="2026-07-13T00:00:00"/>
    <n v="-3225"/>
    <x v="2"/>
    <s v="58"/>
    <s v="ต้นทุนผลิตหีบห่อ"/>
    <m/>
    <n v="5"/>
    <e v="#N/A"/>
    <e v="#N/A"/>
  </r>
  <r>
    <x v="5"/>
    <x v="5"/>
    <s v="0328"/>
    <x v="5"/>
    <s v="GR for order"/>
    <s v="4916160543"/>
    <s v="M001"/>
    <x v="63"/>
    <x v="33"/>
    <s v="14:18:00"/>
    <s v="JURASDOK"/>
    <s v="0001"/>
    <s v=""/>
    <s v="0000"/>
    <s v=""/>
    <s v="0000000000"/>
    <s v=""/>
    <s v=""/>
    <s v=""/>
    <s v="53001001"/>
    <s v=""/>
    <s v=""/>
    <s v=""/>
    <s v=""/>
    <m/>
    <x v="2"/>
    <n v="19284"/>
    <n v="3275580.24"/>
    <d v="2026-07-13T00:00:00"/>
    <d v="2026-07-08T00:00:00"/>
    <m/>
    <d v="2026-07-13T00:00:00"/>
    <n v="9642000"/>
    <x v="2"/>
    <s v="59"/>
    <s v="ต้นทุนผลิตโอน F/G"/>
    <m/>
    <n v="169.86"/>
    <e v="#N/A"/>
    <e v="#N/A"/>
  </r>
  <r>
    <x v="23"/>
    <x v="23"/>
    <s v="0328"/>
    <x v="4"/>
    <s v="GI for order"/>
    <s v="4916161909"/>
    <s v="P003"/>
    <x v="61"/>
    <x v="34"/>
    <s v="14:24:58"/>
    <s v="JURASDOK"/>
    <s v="0002"/>
    <s v=""/>
    <s v="0000"/>
    <s v=""/>
    <s v="0151366796"/>
    <s v=""/>
    <s v=""/>
    <s v=""/>
    <s v="53001003"/>
    <s v=""/>
    <s v=""/>
    <s v=""/>
    <s v=""/>
    <m/>
    <x v="3"/>
    <n v="-9465.5499999999993"/>
    <n v="-3077628.93"/>
    <d v="2026-07-13T00:00:00"/>
    <d v="2026-07-09T00:00:00"/>
    <m/>
    <d v="2026-07-13T00:00:00"/>
    <n v="-9465550"/>
    <x v="2"/>
    <s v="57"/>
    <s v="ต้นทุนผลิตกึ่งสำเร็จ"/>
    <m/>
    <n v="325.14000031693882"/>
    <e v="#N/A"/>
    <e v="#N/A"/>
  </r>
  <r>
    <x v="11"/>
    <x v="11"/>
    <s v="0328"/>
    <x v="4"/>
    <s v="GI for order"/>
    <s v="4916161909"/>
    <s v="P003"/>
    <x v="14"/>
    <x v="34"/>
    <s v="14:24:58"/>
    <s v="JURASDOK"/>
    <s v="0006"/>
    <s v=""/>
    <s v="0000"/>
    <s v=""/>
    <s v="0000000000"/>
    <s v=""/>
    <s v="WIPF WICOVALVE W009"/>
    <s v=""/>
    <s v="53003000"/>
    <s v=""/>
    <s v=""/>
    <s v=""/>
    <s v=""/>
    <m/>
    <x v="0"/>
    <n v="-10925"/>
    <n v="-9240.01"/>
    <d v="2026-07-13T00:00:00"/>
    <d v="2026-07-09T00:00:00"/>
    <m/>
    <d v="2026-07-13T00:00:00"/>
    <n v="-10925"/>
    <x v="2"/>
    <s v="58"/>
    <s v="ต้นทุนผลิตหีบห่อ"/>
    <m/>
    <n v="0.84576750572082382"/>
    <e v="#N/A"/>
    <e v="#N/A"/>
  </r>
  <r>
    <x v="11"/>
    <x v="11"/>
    <s v="0328"/>
    <x v="4"/>
    <s v="GI for order"/>
    <s v="4916161909"/>
    <s v="P003"/>
    <x v="20"/>
    <x v="34"/>
    <s v="14:24:58"/>
    <s v="JURASDOK"/>
    <s v="0003"/>
    <s v=""/>
    <s v="0000"/>
    <s v=""/>
    <s v="0151366796"/>
    <s v=""/>
    <s v=""/>
    <s v=""/>
    <s v="53003000"/>
    <s v=""/>
    <s v=""/>
    <s v=""/>
    <s v=""/>
    <m/>
    <x v="0"/>
    <n v="-8283"/>
    <n v="-7005.49"/>
    <d v="2026-07-13T00:00:00"/>
    <d v="2026-07-09T00:00:00"/>
    <m/>
    <d v="2026-07-13T00:00:00"/>
    <n v="-8283"/>
    <x v="2"/>
    <s v="58"/>
    <s v="ต้นทุนผลิตหีบห่อ"/>
    <m/>
    <n v="0.84576723409392729"/>
    <e v="#N/A"/>
    <e v="#N/A"/>
  </r>
  <r>
    <x v="12"/>
    <x v="12"/>
    <s v="0328"/>
    <x v="4"/>
    <s v="GI for order"/>
    <s v="4916161909"/>
    <s v="P003"/>
    <x v="33"/>
    <x v="34"/>
    <s v="14:24:58"/>
    <s v="JURASDOK"/>
    <s v="0004"/>
    <s v=""/>
    <s v="0000"/>
    <s v=""/>
    <s v="0151366796"/>
    <s v=""/>
    <s v=""/>
    <s v=""/>
    <s v="53003000"/>
    <s v=""/>
    <s v=""/>
    <s v=""/>
    <s v=""/>
    <m/>
    <x v="0"/>
    <n v="-19208"/>
    <n v="-40019.620000000003"/>
    <d v="2026-07-13T00:00:00"/>
    <d v="2026-07-09T00:00:00"/>
    <m/>
    <d v="2026-07-13T00:00:00"/>
    <n v="-19208"/>
    <x v="2"/>
    <s v="58"/>
    <s v="ต้นทุนผลิตหีบห่อ"/>
    <m/>
    <n v="2.0834870887130363"/>
    <e v="#N/A"/>
    <e v="#N/A"/>
  </r>
  <r>
    <x v="13"/>
    <x v="13"/>
    <s v="0328"/>
    <x v="4"/>
    <s v="GI for order"/>
    <s v="4916161909"/>
    <s v="P003"/>
    <x v="1"/>
    <x v="34"/>
    <s v="14:24:58"/>
    <s v="JURASDOK"/>
    <s v="0005"/>
    <s v=""/>
    <s v="0000"/>
    <s v=""/>
    <s v="0151366796"/>
    <s v=""/>
    <s v=""/>
    <s v=""/>
    <s v="53003000"/>
    <s v=""/>
    <s v=""/>
    <s v=""/>
    <s v=""/>
    <m/>
    <x v="0"/>
    <n v="-1916"/>
    <n v="-9580"/>
    <d v="2026-07-13T00:00:00"/>
    <d v="2026-07-09T00:00:00"/>
    <m/>
    <d v="2026-07-13T00:00:00"/>
    <n v="-1916"/>
    <x v="2"/>
    <s v="58"/>
    <s v="ต้นทุนผลิตหีบห่อ"/>
    <m/>
    <n v="5"/>
    <e v="#N/A"/>
    <e v="#N/A"/>
  </r>
  <r>
    <x v="13"/>
    <x v="13"/>
    <s v="0328"/>
    <x v="4"/>
    <s v="GI for order"/>
    <s v="4916161909"/>
    <s v="P003"/>
    <x v="47"/>
    <x v="34"/>
    <s v="14:24:58"/>
    <s v="JURASDOK"/>
    <s v="0007"/>
    <s v=""/>
    <s v="0000"/>
    <s v=""/>
    <s v="0000000000"/>
    <s v=""/>
    <s v="All Cafe ลังกระดาษ (287*240*177 mm.)"/>
    <s v=""/>
    <s v="53003000"/>
    <s v=""/>
    <s v=""/>
    <s v=""/>
    <s v=""/>
    <m/>
    <x v="0"/>
    <n v="-1272"/>
    <n v="-6360"/>
    <d v="2026-07-13T00:00:00"/>
    <d v="2026-07-09T00:00:00"/>
    <m/>
    <d v="2026-07-13T00:00:00"/>
    <n v="-1272"/>
    <x v="2"/>
    <s v="58"/>
    <s v="ต้นทุนผลิตหีบห่อ"/>
    <m/>
    <n v="5"/>
    <e v="#N/A"/>
    <e v="#N/A"/>
  </r>
  <r>
    <x v="5"/>
    <x v="5"/>
    <s v="0328"/>
    <x v="5"/>
    <s v="GR for order"/>
    <s v="4916161909"/>
    <s v="M001"/>
    <x v="64"/>
    <x v="34"/>
    <s v="14:24:58"/>
    <s v="JURASDOK"/>
    <s v="0001"/>
    <s v=""/>
    <s v="0000"/>
    <s v=""/>
    <s v="0000000000"/>
    <s v=""/>
    <s v=""/>
    <s v=""/>
    <s v="53001001"/>
    <s v=""/>
    <s v=""/>
    <s v=""/>
    <s v=""/>
    <m/>
    <x v="2"/>
    <n v="18925"/>
    <n v="3214600.5"/>
    <d v="2026-07-13T00:00:00"/>
    <d v="2026-07-09T00:00:00"/>
    <m/>
    <d v="2026-07-13T00:00:00"/>
    <n v="9462500"/>
    <x v="2"/>
    <s v="59"/>
    <s v="ต้นทุนผลิตโอน F/G"/>
    <m/>
    <n v="169.86"/>
    <e v="#N/A"/>
    <e v="#N/A"/>
  </r>
  <r>
    <x v="6"/>
    <x v="6"/>
    <s v="0328"/>
    <x v="2"/>
    <s v="GD goods issue:delvy"/>
    <s v="4916164495"/>
    <s v="P004"/>
    <x v="7"/>
    <x v="0"/>
    <s v="14:33:17"/>
    <s v="SONGPCHI"/>
    <s v="0001"/>
    <s v=""/>
    <s v="0000"/>
    <s v=""/>
    <s v="0000000000"/>
    <s v=""/>
    <s v=""/>
    <s v=""/>
    <s v="51003100"/>
    <s v=""/>
    <s v=""/>
    <s v=""/>
    <s v="2000125655"/>
    <m/>
    <x v="2"/>
    <n v="-2"/>
    <n v="-339.64"/>
    <d v="2026-07-13T00:00:00"/>
    <d v="2026-07-13T00:00:00"/>
    <m/>
    <d v="2026-07-13T00:00:00"/>
    <n v="-1000"/>
    <x v="0"/>
    <s v="59"/>
    <s v="ต้นทุนขาย"/>
    <m/>
    <n v="169.82"/>
    <e v="#N/A"/>
    <e v="#N/A"/>
  </r>
  <r>
    <x v="7"/>
    <x v="7"/>
    <s v="0328"/>
    <x v="3"/>
    <s v="TF trfr within plant"/>
    <s v="4916171982"/>
    <s v="M002"/>
    <x v="8"/>
    <x v="0"/>
    <s v="14:59:10"/>
    <s v="RAPEESAN01"/>
    <s v="0001"/>
    <s v=""/>
    <s v="0000"/>
    <s v=""/>
    <s v="0000000000"/>
    <s v=""/>
    <s v=""/>
    <s v=""/>
    <s v=""/>
    <s v=""/>
    <s v=""/>
    <s v=""/>
    <s v=""/>
    <m/>
    <x v="3"/>
    <n v="-8983.2999999999993"/>
    <n v="0"/>
    <d v="2026-07-13T00:00:00"/>
    <d v="2026-07-13T00:00:00"/>
    <m/>
    <d v="2026-07-13T00:00:00"/>
    <n v="-8983300"/>
    <x v="0"/>
    <s v="54"/>
    <e v="#N/A"/>
    <m/>
    <n v="0"/>
    <e v="#N/A"/>
    <e v="#N/A"/>
  </r>
  <r>
    <x v="7"/>
    <x v="7"/>
    <s v="0328"/>
    <x v="3"/>
    <s v="TF trfr within plant"/>
    <s v="4916171982"/>
    <s v="P001"/>
    <x v="8"/>
    <x v="0"/>
    <s v="14:59:10"/>
    <s v="RAPEESAN01"/>
    <s v="0002"/>
    <s v=""/>
    <s v="0000"/>
    <s v=""/>
    <s v="0000000000"/>
    <s v=""/>
    <s v=""/>
    <s v=""/>
    <s v=""/>
    <s v=""/>
    <s v=""/>
    <s v=""/>
    <s v=""/>
    <m/>
    <x v="3"/>
    <n v="8983.2999999999993"/>
    <n v="0"/>
    <d v="2026-07-13T00:00:00"/>
    <d v="2026-07-13T00:00:00"/>
    <m/>
    <d v="2026-07-13T00:00:00"/>
    <n v="8983300"/>
    <x v="0"/>
    <s v="54"/>
    <e v="#N/A"/>
    <m/>
    <n v="0"/>
    <e v="#N/A"/>
    <e v="#N/A"/>
  </r>
  <r>
    <x v="6"/>
    <x v="6"/>
    <s v="0328"/>
    <x v="2"/>
    <s v="GD goods issue:delvy"/>
    <s v="4916172695"/>
    <s v="P004"/>
    <x v="10"/>
    <x v="0"/>
    <s v="15:02:11"/>
    <s v="THANAWIS"/>
    <s v="0001"/>
    <s v=""/>
    <s v="0000"/>
    <s v=""/>
    <s v="0000000000"/>
    <s v=""/>
    <s v=""/>
    <s v=""/>
    <s v="51003100"/>
    <s v=""/>
    <s v=""/>
    <s v=""/>
    <s v="2000125680"/>
    <m/>
    <x v="2"/>
    <n v="-40"/>
    <n v="-6792.8"/>
    <d v="2026-07-13T00:00:00"/>
    <d v="2026-07-13T00:00:00"/>
    <m/>
    <d v="2026-07-13T00:00:00"/>
    <n v="-20000"/>
    <x v="0"/>
    <s v="59"/>
    <s v="ต้นทุนขาย"/>
    <m/>
    <n v="169.82"/>
    <e v="#N/A"/>
    <e v="#N/A"/>
  </r>
  <r>
    <x v="6"/>
    <x v="6"/>
    <s v="0328"/>
    <x v="2"/>
    <s v="GD goods issue:delvy"/>
    <s v="4916172696"/>
    <s v="P004"/>
    <x v="10"/>
    <x v="0"/>
    <s v="15:02:33"/>
    <s v="THANAWIS"/>
    <s v="0001"/>
    <s v=""/>
    <s v="0000"/>
    <s v=""/>
    <s v="0000000000"/>
    <s v=""/>
    <s v=""/>
    <s v=""/>
    <s v="51003100"/>
    <s v=""/>
    <s v=""/>
    <s v=""/>
    <s v="2000125681"/>
    <m/>
    <x v="2"/>
    <n v="-60"/>
    <n v="-10189.200000000001"/>
    <d v="2026-07-13T00:00:00"/>
    <d v="2026-07-13T00:00:00"/>
    <m/>
    <d v="2026-07-13T00:00:00"/>
    <n v="-30000"/>
    <x v="0"/>
    <s v="59"/>
    <s v="ต้นทุนขาย"/>
    <m/>
    <n v="169.82000000000002"/>
    <e v="#N/A"/>
    <e v="#N/A"/>
  </r>
  <r>
    <x v="6"/>
    <x v="6"/>
    <s v="0328"/>
    <x v="2"/>
    <s v="GD goods issue:delvy"/>
    <s v="4916174350"/>
    <s v="P004"/>
    <x v="7"/>
    <x v="0"/>
    <s v="15:16:11"/>
    <s v="SONGPCHI"/>
    <s v="0001"/>
    <s v=""/>
    <s v="0000"/>
    <s v=""/>
    <s v="0000000000"/>
    <s v=""/>
    <s v=""/>
    <s v=""/>
    <s v="51003100"/>
    <s v=""/>
    <s v=""/>
    <s v=""/>
    <s v="2000125683"/>
    <m/>
    <x v="2"/>
    <n v="-2"/>
    <n v="-339.64"/>
    <d v="2026-07-13T00:00:00"/>
    <d v="2026-07-13T00:00:00"/>
    <m/>
    <d v="2026-07-13T00:00:00"/>
    <n v="-1000"/>
    <x v="0"/>
    <s v="59"/>
    <s v="ต้นทุนขาย"/>
    <m/>
    <n v="169.82"/>
    <e v="#N/A"/>
    <e v="#N/A"/>
  </r>
  <r>
    <x v="6"/>
    <x v="6"/>
    <s v="0328"/>
    <x v="2"/>
    <s v="GD goods issue:delvy"/>
    <s v="4916174512"/>
    <s v="P004"/>
    <x v="7"/>
    <x v="0"/>
    <s v="15:17:12"/>
    <s v="SONGPCHI"/>
    <s v="0001"/>
    <s v=""/>
    <s v="0000"/>
    <s v=""/>
    <s v="0000000000"/>
    <s v=""/>
    <s v=""/>
    <s v=""/>
    <s v="51003100"/>
    <s v=""/>
    <s v=""/>
    <s v=""/>
    <s v="2000125684"/>
    <m/>
    <x v="2"/>
    <n v="-2"/>
    <n v="-339.64"/>
    <d v="2026-07-13T00:00:00"/>
    <d v="2026-07-13T00:00:00"/>
    <m/>
    <d v="2026-07-13T00:00:00"/>
    <n v="-1000"/>
    <x v="0"/>
    <s v="59"/>
    <s v="ต้นทุนขาย"/>
    <m/>
    <n v="169.82"/>
    <e v="#N/A"/>
    <e v="#N/A"/>
  </r>
  <r>
    <x v="7"/>
    <x v="7"/>
    <s v="0328"/>
    <x v="4"/>
    <s v="GI for order"/>
    <s v="4916175380"/>
    <s v="P001"/>
    <x v="8"/>
    <x v="35"/>
    <s v="15:36:54"/>
    <s v="SUTEESEA"/>
    <s v="0001"/>
    <s v=""/>
    <s v="0000"/>
    <s v=""/>
    <s v="0151370104"/>
    <s v=""/>
    <s v=""/>
    <s v=""/>
    <s v="53002000"/>
    <s v=""/>
    <s v=""/>
    <s v=""/>
    <s v=""/>
    <m/>
    <x v="3"/>
    <n v="-8983.2999999999993"/>
    <n v="-1399591.58"/>
    <d v="2026-07-13T00:00:00"/>
    <d v="2026-07-11T00:00:00"/>
    <m/>
    <d v="2026-07-13T00:00:00"/>
    <n v="-8983300"/>
    <x v="3"/>
    <s v="54"/>
    <s v="ต้นทุนผลิต-วัตถุดิบ"/>
    <m/>
    <n v="155.799269756103"/>
    <e v="#N/A"/>
    <e v="#N/A"/>
  </r>
  <r>
    <x v="5"/>
    <x v="5"/>
    <s v="0328"/>
    <x v="1"/>
    <s v="GI ค่าวิจัยและพัฒนา"/>
    <s v="4916227583"/>
    <s v="M001"/>
    <x v="46"/>
    <x v="0"/>
    <s v="08:46:41"/>
    <s v="RAPEESAN01"/>
    <s v="0001"/>
    <s v=""/>
    <s v="0000"/>
    <s v=""/>
    <s v="0151372947"/>
    <s v=""/>
    <s v="Routine 10.07.26.3 A010R002"/>
    <s v="405053"/>
    <s v="67501001"/>
    <s v=""/>
    <s v=""/>
    <s v=""/>
    <s v=""/>
    <m/>
    <x v="2"/>
    <n v="-3"/>
    <n v="-509.58"/>
    <d v="2026-07-13T00:00:00"/>
    <d v="2026-07-13T00:00:00"/>
    <m/>
    <d v="2026-07-14T00:00:00"/>
    <n v="-15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6227583"/>
    <s v="M001"/>
    <x v="46"/>
    <x v="0"/>
    <s v="08:46:41"/>
    <s v="RAPEESAN01"/>
    <s v="0002"/>
    <s v=""/>
    <s v="0000"/>
    <s v=""/>
    <s v="0151372947"/>
    <s v=""/>
    <s v="Retain 10.07.2026.3 A010R002"/>
    <s v="405053"/>
    <s v="67501001"/>
    <s v=""/>
    <s v=""/>
    <s v=""/>
    <s v=""/>
    <m/>
    <x v="2"/>
    <n v="-6"/>
    <n v="-1019.16"/>
    <d v="2026-07-13T00:00:00"/>
    <d v="2026-07-13T00:00:00"/>
    <m/>
    <d v="2026-07-14T00:00:00"/>
    <n v="-3000"/>
    <x v="0"/>
    <s v="59"/>
    <s v="ค่าวิจัยคุณภาพสินค้า"/>
    <m/>
    <n v="169.85999999999999"/>
    <e v="#N/A"/>
    <e v="#N/A"/>
  </r>
  <r>
    <x v="6"/>
    <x v="6"/>
    <s v="0328"/>
    <x v="2"/>
    <s v="GD goods issue:delvy"/>
    <s v="4916239812"/>
    <s v="P004"/>
    <x v="10"/>
    <x v="0"/>
    <s v="13:19:01"/>
    <s v="CHONMPRA"/>
    <s v="0001"/>
    <s v=""/>
    <s v="0000"/>
    <s v=""/>
    <s v="0000000000"/>
    <s v=""/>
    <s v=""/>
    <s v=""/>
    <s v="51003100"/>
    <s v=""/>
    <s v=""/>
    <s v=""/>
    <s v="2000125797"/>
    <m/>
    <x v="2"/>
    <n v="-10"/>
    <n v="-1698.2"/>
    <d v="2026-07-14T00:00:00"/>
    <d v="2026-07-14T00:00:00"/>
    <m/>
    <d v="2026-07-14T00:00:00"/>
    <n v="-5000"/>
    <x v="0"/>
    <s v="59"/>
    <s v="ต้นทุนขาย"/>
    <m/>
    <n v="169.82"/>
    <e v="#N/A"/>
    <e v="#N/A"/>
  </r>
  <r>
    <x v="11"/>
    <x v="11"/>
    <s v="0328"/>
    <x v="0"/>
    <s v="TF trfr plnt to plnt"/>
    <s v="4916240680"/>
    <s v="P003"/>
    <x v="20"/>
    <x v="0"/>
    <s v="13:43:33"/>
    <s v="SUTTISIT02"/>
    <s v="0006"/>
    <s v=""/>
    <s v="0000"/>
    <s v=""/>
    <s v="0000000000"/>
    <s v=""/>
    <s v=""/>
    <s v=""/>
    <s v=""/>
    <s v=""/>
    <s v=""/>
    <s v=""/>
    <s v=""/>
    <m/>
    <x v="0"/>
    <n v="20000"/>
    <n v="0"/>
    <d v="2026-07-14T00:00:00"/>
    <d v="2026-07-14T00:00:00"/>
    <m/>
    <d v="2026-07-14T00:00:00"/>
    <n v="20000"/>
    <x v="0"/>
    <s v="58"/>
    <e v="#N/A"/>
    <m/>
    <n v="0"/>
    <e v="#N/A"/>
    <e v="#N/A"/>
  </r>
  <r>
    <x v="11"/>
    <x v="11"/>
    <s v="0328"/>
    <x v="0"/>
    <s v="TF trfr plnt to plnt"/>
    <s v="4916240680"/>
    <s v="M003"/>
    <x v="20"/>
    <x v="0"/>
    <s v="13:43:33"/>
    <s v="SUTTISIT02"/>
    <s v="0005"/>
    <s v=""/>
    <s v="0000"/>
    <s v=""/>
    <s v="0000000000"/>
    <s v=""/>
    <s v=""/>
    <s v=""/>
    <s v=""/>
    <s v=""/>
    <s v=""/>
    <s v=""/>
    <s v=""/>
    <m/>
    <x v="0"/>
    <n v="-20000"/>
    <n v="0"/>
    <d v="2026-07-14T00:00:00"/>
    <d v="2026-07-14T00:00:00"/>
    <m/>
    <d v="2026-07-14T00:00:00"/>
    <n v="-20000"/>
    <x v="0"/>
    <s v="58"/>
    <e v="#N/A"/>
    <m/>
    <n v="0"/>
    <e v="#N/A"/>
    <e v="#N/A"/>
  </r>
  <r>
    <x v="12"/>
    <x v="12"/>
    <s v="0328"/>
    <x v="0"/>
    <s v="TF trfr plnt to plnt"/>
    <s v="4916240680"/>
    <s v="M003"/>
    <x v="1"/>
    <x v="0"/>
    <s v="13:43:33"/>
    <s v="SUTTISIT02"/>
    <s v="0003"/>
    <s v=""/>
    <s v="0000"/>
    <s v=""/>
    <s v="0000000000"/>
    <s v=""/>
    <s v=""/>
    <s v=""/>
    <s v=""/>
    <s v=""/>
    <s v=""/>
    <s v=""/>
    <s v=""/>
    <m/>
    <x v="0"/>
    <n v="-26168"/>
    <n v="0"/>
    <d v="2026-07-14T00:00:00"/>
    <d v="2026-07-14T00:00:00"/>
    <m/>
    <d v="2026-07-14T00:00:00"/>
    <n v="-26168"/>
    <x v="0"/>
    <s v="58"/>
    <e v="#N/A"/>
    <m/>
    <n v="0"/>
    <e v="#N/A"/>
    <e v="#N/A"/>
  </r>
  <r>
    <x v="12"/>
    <x v="12"/>
    <s v="0328"/>
    <x v="0"/>
    <s v="TF trfr plnt to plnt"/>
    <s v="4916240680"/>
    <s v="P003"/>
    <x v="33"/>
    <x v="0"/>
    <s v="13:43:33"/>
    <s v="SUTTISIT02"/>
    <s v="0002"/>
    <s v=""/>
    <s v="0000"/>
    <s v=""/>
    <s v="0000000000"/>
    <s v=""/>
    <s v=""/>
    <s v=""/>
    <s v=""/>
    <s v=""/>
    <s v=""/>
    <s v=""/>
    <s v=""/>
    <m/>
    <x v="0"/>
    <n v="9832"/>
    <n v="0"/>
    <d v="2026-07-14T00:00:00"/>
    <d v="2026-07-14T00:00:00"/>
    <m/>
    <d v="2026-07-14T00:00:00"/>
    <n v="9832"/>
    <x v="0"/>
    <s v="58"/>
    <e v="#N/A"/>
    <m/>
    <n v="0"/>
    <e v="#N/A"/>
    <e v="#N/A"/>
  </r>
  <r>
    <x v="12"/>
    <x v="12"/>
    <s v="0328"/>
    <x v="0"/>
    <s v="TF trfr plnt to plnt"/>
    <s v="4916240680"/>
    <s v="P003"/>
    <x v="1"/>
    <x v="0"/>
    <s v="13:43:33"/>
    <s v="SUTTISIT02"/>
    <s v="0004"/>
    <s v=""/>
    <s v="0000"/>
    <s v=""/>
    <s v="0000000000"/>
    <s v=""/>
    <s v=""/>
    <s v=""/>
    <s v=""/>
    <s v=""/>
    <s v=""/>
    <s v=""/>
    <s v=""/>
    <m/>
    <x v="0"/>
    <n v="26168"/>
    <n v="0"/>
    <d v="2026-07-14T00:00:00"/>
    <d v="2026-07-14T00:00:00"/>
    <m/>
    <d v="2026-07-14T00:00:00"/>
    <n v="26168"/>
    <x v="0"/>
    <s v="58"/>
    <e v="#N/A"/>
    <m/>
    <n v="0"/>
    <e v="#N/A"/>
    <e v="#N/A"/>
  </r>
  <r>
    <x v="12"/>
    <x v="12"/>
    <s v="0328"/>
    <x v="0"/>
    <s v="TF trfr plnt to plnt"/>
    <s v="4916240680"/>
    <s v="M003"/>
    <x v="33"/>
    <x v="0"/>
    <s v="13:43:33"/>
    <s v="SUTTISIT02"/>
    <s v="0001"/>
    <s v=""/>
    <s v="0000"/>
    <s v=""/>
    <s v="0000000000"/>
    <s v=""/>
    <s v=""/>
    <s v=""/>
    <s v=""/>
    <s v=""/>
    <s v=""/>
    <s v=""/>
    <s v=""/>
    <m/>
    <x v="0"/>
    <n v="-9832"/>
    <n v="0"/>
    <d v="2026-07-14T00:00:00"/>
    <d v="2026-07-14T00:00:00"/>
    <m/>
    <d v="2026-07-14T00:00:00"/>
    <n v="-9832"/>
    <x v="0"/>
    <s v="58"/>
    <e v="#N/A"/>
    <m/>
    <n v="0"/>
    <e v="#N/A"/>
    <e v="#N/A"/>
  </r>
  <r>
    <x v="13"/>
    <x v="13"/>
    <s v="0328"/>
    <x v="0"/>
    <s v="TF trfr plnt to plnt"/>
    <s v="4916240680"/>
    <s v="M003"/>
    <x v="65"/>
    <x v="0"/>
    <s v="13:43:33"/>
    <s v="SUTTISIT02"/>
    <s v="0009"/>
    <s v=""/>
    <s v="0000"/>
    <s v=""/>
    <s v="0000000000"/>
    <s v=""/>
    <s v=""/>
    <s v=""/>
    <s v=""/>
    <s v=""/>
    <s v=""/>
    <s v=""/>
    <s v=""/>
    <m/>
    <x v="0"/>
    <n v="-2000"/>
    <n v="0"/>
    <d v="2026-07-14T00:00:00"/>
    <d v="2026-07-14T00:00:00"/>
    <m/>
    <d v="2026-07-14T00:00:00"/>
    <n v="-2000"/>
    <x v="0"/>
    <s v="58"/>
    <e v="#N/A"/>
    <m/>
    <n v="0"/>
    <e v="#N/A"/>
    <e v="#N/A"/>
  </r>
  <r>
    <x v="13"/>
    <x v="13"/>
    <s v="0328"/>
    <x v="0"/>
    <s v="TF trfr plnt to plnt"/>
    <s v="4916240680"/>
    <s v="P003"/>
    <x v="47"/>
    <x v="0"/>
    <s v="13:43:33"/>
    <s v="SUTTISIT02"/>
    <s v="0008"/>
    <s v=""/>
    <s v="0000"/>
    <s v=""/>
    <s v="0000000000"/>
    <s v=""/>
    <s v=""/>
    <s v=""/>
    <s v=""/>
    <s v=""/>
    <s v=""/>
    <s v=""/>
    <s v=""/>
    <m/>
    <x v="0"/>
    <n v="680"/>
    <n v="0"/>
    <d v="2026-07-14T00:00:00"/>
    <d v="2026-07-14T00:00:00"/>
    <m/>
    <d v="2026-07-14T00:00:00"/>
    <n v="680"/>
    <x v="0"/>
    <s v="58"/>
    <e v="#N/A"/>
    <m/>
    <n v="0"/>
    <e v="#N/A"/>
    <e v="#N/A"/>
  </r>
  <r>
    <x v="13"/>
    <x v="13"/>
    <s v="0328"/>
    <x v="0"/>
    <s v="TF trfr plnt to plnt"/>
    <s v="4916240680"/>
    <s v="P003"/>
    <x v="65"/>
    <x v="0"/>
    <s v="13:43:33"/>
    <s v="SUTTISIT02"/>
    <s v="0010"/>
    <s v=""/>
    <s v="0000"/>
    <s v=""/>
    <s v="0000000000"/>
    <s v=""/>
    <s v=""/>
    <s v=""/>
    <s v=""/>
    <s v=""/>
    <s v=""/>
    <s v=""/>
    <s v=""/>
    <m/>
    <x v="0"/>
    <n v="2000"/>
    <n v="0"/>
    <d v="2026-07-14T00:00:00"/>
    <d v="2026-07-14T00:00:00"/>
    <m/>
    <d v="2026-07-14T00:00:00"/>
    <n v="2000"/>
    <x v="0"/>
    <s v="58"/>
    <e v="#N/A"/>
    <m/>
    <n v="0"/>
    <e v="#N/A"/>
    <e v="#N/A"/>
  </r>
  <r>
    <x v="13"/>
    <x v="13"/>
    <s v="0328"/>
    <x v="0"/>
    <s v="TF trfr plnt to plnt"/>
    <s v="4916240680"/>
    <s v="M003"/>
    <x v="47"/>
    <x v="0"/>
    <s v="13:43:33"/>
    <s v="SUTTISIT02"/>
    <s v="0007"/>
    <s v=""/>
    <s v="0000"/>
    <s v=""/>
    <s v="0000000000"/>
    <s v=""/>
    <s v=""/>
    <s v=""/>
    <s v=""/>
    <s v=""/>
    <s v=""/>
    <s v=""/>
    <s v=""/>
    <m/>
    <x v="0"/>
    <n v="-680"/>
    <n v="0"/>
    <d v="2026-07-14T00:00:00"/>
    <d v="2026-07-14T00:00:00"/>
    <m/>
    <d v="2026-07-14T00:00:00"/>
    <n v="-680"/>
    <x v="0"/>
    <s v="58"/>
    <e v="#N/A"/>
    <m/>
    <n v="0"/>
    <e v="#N/A"/>
    <e v="#N/A"/>
  </r>
  <r>
    <x v="5"/>
    <x v="5"/>
    <s v="0328"/>
    <x v="2"/>
    <s v="GD goods issue:delvy"/>
    <s v="4916254028"/>
    <s v="M001"/>
    <x v="66"/>
    <x v="0"/>
    <s v="14:51:34"/>
    <s v="RAPEESAN01"/>
    <s v="0002"/>
    <s v=""/>
    <s v="0000"/>
    <s v=""/>
    <s v="0000000000"/>
    <s v=""/>
    <s v=""/>
    <s v=""/>
    <s v="51003100"/>
    <s v=""/>
    <s v=""/>
    <s v=""/>
    <s v="2000125806"/>
    <m/>
    <x v="4"/>
    <n v="-1725"/>
    <n v="-1758051"/>
    <d v="2026-07-14T00:00:00"/>
    <d v="2026-07-14T00:00:00"/>
    <m/>
    <d v="2026-07-14T00:00:00"/>
    <n v="-5175000"/>
    <x v="0"/>
    <s v="59"/>
    <s v="ต้นทุนขาย"/>
    <m/>
    <n v="1019.16"/>
    <e v="#N/A"/>
    <e v="#N/A"/>
  </r>
  <r>
    <x v="5"/>
    <x v="5"/>
    <s v="0328"/>
    <x v="2"/>
    <s v="GD goods issue:delvy"/>
    <s v="4916254028"/>
    <s v="M001"/>
    <x v="46"/>
    <x v="0"/>
    <s v="14:51:34"/>
    <s v="RAPEESAN01"/>
    <s v="0001"/>
    <s v=""/>
    <s v="0000"/>
    <s v=""/>
    <s v="0000000000"/>
    <s v=""/>
    <s v=""/>
    <s v=""/>
    <s v="51003100"/>
    <s v=""/>
    <s v=""/>
    <s v=""/>
    <s v="2000125806"/>
    <m/>
    <x v="4"/>
    <n v="-195"/>
    <n v="-198736.2"/>
    <d v="2026-07-14T00:00:00"/>
    <d v="2026-07-14T00:00:00"/>
    <m/>
    <d v="2026-07-14T00:00:00"/>
    <n v="-585000"/>
    <x v="0"/>
    <s v="59"/>
    <s v="ต้นทุนขาย"/>
    <m/>
    <n v="1019.1600000000001"/>
    <e v="#N/A"/>
    <e v="#N/A"/>
  </r>
  <r>
    <x v="5"/>
    <x v="5"/>
    <s v="0328"/>
    <x v="2"/>
    <s v="GD goods issue:delvy"/>
    <s v="4916254085"/>
    <s v="M001"/>
    <x v="67"/>
    <x v="0"/>
    <s v="14:52:50"/>
    <s v="RAPEESAN01"/>
    <s v="0002"/>
    <s v=""/>
    <s v="0000"/>
    <s v=""/>
    <s v="0000000000"/>
    <s v=""/>
    <s v=""/>
    <s v=""/>
    <s v="51003100"/>
    <s v=""/>
    <s v=""/>
    <s v=""/>
    <s v="2000125807"/>
    <m/>
    <x v="4"/>
    <n v="-802"/>
    <n v="-817366.32"/>
    <d v="2026-07-14T00:00:00"/>
    <d v="2026-07-14T00:00:00"/>
    <m/>
    <d v="2026-07-14T00:00:00"/>
    <n v="-2406000"/>
    <x v="0"/>
    <s v="59"/>
    <s v="ต้นทุนขาย"/>
    <m/>
    <n v="1019.16"/>
    <e v="#N/A"/>
    <e v="#N/A"/>
  </r>
  <r>
    <x v="5"/>
    <x v="5"/>
    <s v="0328"/>
    <x v="2"/>
    <s v="GD goods issue:delvy"/>
    <s v="4916254085"/>
    <s v="M001"/>
    <x v="66"/>
    <x v="0"/>
    <s v="14:52:50"/>
    <s v="RAPEESAN01"/>
    <s v="0001"/>
    <s v=""/>
    <s v="0000"/>
    <s v=""/>
    <s v="0000000000"/>
    <s v=""/>
    <s v=""/>
    <s v=""/>
    <s v="51003100"/>
    <s v=""/>
    <s v=""/>
    <s v=""/>
    <s v="2000125807"/>
    <m/>
    <x v="4"/>
    <n v="-1118"/>
    <n v="-1139420.8799999999"/>
    <d v="2026-07-14T00:00:00"/>
    <d v="2026-07-14T00:00:00"/>
    <m/>
    <d v="2026-07-14T00:00:00"/>
    <n v="-3354000"/>
    <x v="0"/>
    <s v="59"/>
    <s v="ต้นทุนขาย"/>
    <m/>
    <n v="1019.1599999999999"/>
    <e v="#N/A"/>
    <e v="#N/A"/>
  </r>
  <r>
    <x v="5"/>
    <x v="5"/>
    <s v="0328"/>
    <x v="1"/>
    <s v="GI ค่าวิจัยและพัฒนา"/>
    <s v="4916254208"/>
    <s v="M001"/>
    <x v="46"/>
    <x v="0"/>
    <s v="14:56:27"/>
    <s v="RAPEESAN01"/>
    <s v="0001"/>
    <s v=""/>
    <s v="0000"/>
    <s v=""/>
    <s v="0151359685"/>
    <s v=""/>
    <s v="เพื่อส่งให้ RD'QA 7-11 ตรวจสอบ"/>
    <s v="405053"/>
    <s v="67501001"/>
    <s v=""/>
    <s v=""/>
    <s v=""/>
    <s v=""/>
    <m/>
    <x v="2"/>
    <n v="-4"/>
    <n v="-679.44"/>
    <d v="2026-07-14T00:00:00"/>
    <d v="2026-07-14T00:00:00"/>
    <m/>
    <d v="2026-07-14T00:00:00"/>
    <n v="-20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6254208"/>
    <s v="M001"/>
    <x v="66"/>
    <x v="0"/>
    <s v="14:56:27"/>
    <s v="RAPEESAN01"/>
    <s v="0002"/>
    <s v=""/>
    <s v="0000"/>
    <s v=""/>
    <s v="0151359685"/>
    <s v=""/>
    <s v="เพื่อส่งให้ RD'QA 7-11 ตรวจสอบ"/>
    <s v="405053"/>
    <s v="67501001"/>
    <s v=""/>
    <s v=""/>
    <s v=""/>
    <s v=""/>
    <m/>
    <x v="2"/>
    <n v="-4"/>
    <n v="-679.44"/>
    <d v="2026-07-14T00:00:00"/>
    <d v="2026-07-14T00:00:00"/>
    <m/>
    <d v="2026-07-14T00:00:00"/>
    <n v="-2000"/>
    <x v="0"/>
    <s v="59"/>
    <s v="ค่าวิจัยคุณภาพสินค้า"/>
    <m/>
    <n v="169.86"/>
    <e v="#N/A"/>
    <e v="#N/A"/>
  </r>
  <r>
    <x v="6"/>
    <x v="6"/>
    <s v="0328"/>
    <x v="2"/>
    <s v="GD goods issue:delvy"/>
    <s v="4916255803"/>
    <s v="P004"/>
    <x v="10"/>
    <x v="0"/>
    <s v="15:25:04"/>
    <s v="CHONMPRA"/>
    <s v="0001"/>
    <s v=""/>
    <s v="0000"/>
    <s v=""/>
    <s v="0000000000"/>
    <s v=""/>
    <s v=""/>
    <s v=""/>
    <s v="51003100"/>
    <s v=""/>
    <s v=""/>
    <s v=""/>
    <s v="2000125809"/>
    <m/>
    <x v="2"/>
    <n v="-12"/>
    <n v="-2037.84"/>
    <d v="2026-07-14T00:00:00"/>
    <d v="2026-07-14T00:00:00"/>
    <m/>
    <d v="2026-07-14T00:00:00"/>
    <n v="-6000"/>
    <x v="0"/>
    <s v="59"/>
    <s v="ต้นทุนขาย"/>
    <m/>
    <n v="169.82"/>
    <e v="#N/A"/>
    <e v="#N/A"/>
  </r>
  <r>
    <x v="17"/>
    <x v="17"/>
    <s v="0328"/>
    <x v="4"/>
    <s v="GI for order"/>
    <s v="4916257617"/>
    <s v="P002"/>
    <x v="58"/>
    <x v="27"/>
    <s v="16:10:34"/>
    <s v="JURASDOK"/>
    <s v="0001"/>
    <s v=""/>
    <s v="0000"/>
    <s v=""/>
    <s v="0151110324"/>
    <s v=""/>
    <s v=""/>
    <s v=""/>
    <s v="53001003"/>
    <s v=""/>
    <s v=""/>
    <s v=""/>
    <s v=""/>
    <m/>
    <x v="3"/>
    <n v="-0.56000000000000005"/>
    <n v="-151.66"/>
    <d v="2026-07-14T00:00:00"/>
    <d v="2026-07-06T00:00:00"/>
    <m/>
    <d v="2026-07-14T00:00:00"/>
    <n v="-560"/>
    <x v="4"/>
    <s v="57"/>
    <s v="ต้นทุนผลิตกึ่งสำเร็จ"/>
    <m/>
    <n v="270.82142857142856"/>
    <e v="#N/A"/>
    <e v="#N/A"/>
  </r>
  <r>
    <x v="5"/>
    <x v="5"/>
    <s v="0328"/>
    <x v="1"/>
    <s v="GI ค่าวิจัยและพัฒนา"/>
    <s v="4916263874"/>
    <s v="M001"/>
    <x v="67"/>
    <x v="0"/>
    <s v="18:23:25"/>
    <s v="PRONDTAN"/>
    <s v="0001"/>
    <s v=""/>
    <s v="0000"/>
    <s v=""/>
    <s v="0151407476"/>
    <s v=""/>
    <s v="Top Up 10.07.26.1 A012R002"/>
    <s v="405053"/>
    <s v="67501001"/>
    <s v=""/>
    <s v=""/>
    <s v=""/>
    <s v=""/>
    <m/>
    <x v="2"/>
    <n v="-4"/>
    <n v="-679.44"/>
    <d v="2026-07-14T00:00:00"/>
    <d v="2026-07-14T00:00:00"/>
    <m/>
    <d v="2026-07-14T00:00:00"/>
    <n v="-20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6263874"/>
    <s v="M001"/>
    <x v="67"/>
    <x v="0"/>
    <s v="18:23:25"/>
    <s v="PRONDTAN"/>
    <s v="0002"/>
    <s v=""/>
    <s v="0000"/>
    <s v=""/>
    <s v="0151407476"/>
    <s v=""/>
    <s v="Retain 10.07.26.1 A012R002"/>
    <s v="405053"/>
    <s v="67501001"/>
    <s v=""/>
    <s v=""/>
    <s v=""/>
    <s v=""/>
    <m/>
    <x v="2"/>
    <n v="-3"/>
    <n v="-509.58"/>
    <d v="2026-07-14T00:00:00"/>
    <d v="2026-07-14T00:00:00"/>
    <m/>
    <d v="2026-07-14T00:00:00"/>
    <n v="-1500"/>
    <x v="0"/>
    <s v="59"/>
    <s v="ค่าวิจัยคุณภาพสินค้า"/>
    <m/>
    <n v="169.85999999999999"/>
    <e v="#N/A"/>
    <e v="#N/A"/>
  </r>
  <r>
    <x v="6"/>
    <x v="6"/>
    <s v="0328"/>
    <x v="2"/>
    <s v="GD goods issue:delvy"/>
    <s v="4916323107"/>
    <s v="M001"/>
    <x v="10"/>
    <x v="0"/>
    <s v="14:28:46"/>
    <s v="THANAWIS"/>
    <s v="0001"/>
    <s v=""/>
    <s v="0000"/>
    <s v=""/>
    <s v="0000000000"/>
    <s v=""/>
    <s v=""/>
    <s v=""/>
    <s v="51003100"/>
    <s v=""/>
    <s v=""/>
    <s v=""/>
    <s v="2000125855"/>
    <m/>
    <x v="2"/>
    <n v="-20"/>
    <n v="-3396.4"/>
    <d v="2026-07-15T00:00:00"/>
    <d v="2026-07-15T00:00:00"/>
    <m/>
    <d v="2026-07-15T00:00:00"/>
    <n v="-10000"/>
    <x v="0"/>
    <s v="59"/>
    <s v="ต้นทุนขาย"/>
    <m/>
    <n v="169.82"/>
    <e v="#N/A"/>
    <e v="#N/A"/>
  </r>
  <r>
    <x v="6"/>
    <x v="6"/>
    <s v="0328"/>
    <x v="11"/>
    <s v="GI for cost center"/>
    <s v="4916323793"/>
    <s v="P004"/>
    <x v="10"/>
    <x v="0"/>
    <s v="14:30:33"/>
    <s v="THANAWIS"/>
    <s v="0001"/>
    <s v=""/>
    <s v="0000"/>
    <s v=""/>
    <s v="0151364134"/>
    <s v=""/>
    <s v="สำหรับกรมสรรพกรอารีย์"/>
    <s v="204001"/>
    <s v="66001000"/>
    <s v=""/>
    <s v=""/>
    <s v=""/>
    <s v=""/>
    <m/>
    <x v="2"/>
    <n v="-60"/>
    <n v="-10189.200000000001"/>
    <d v="2026-07-15T00:00:00"/>
    <d v="2026-07-15T00:00:00"/>
    <m/>
    <d v="2026-07-15T00:00:00"/>
    <n v="-30000"/>
    <x v="0"/>
    <s v="59"/>
    <s v="วัสดุสิ้นเปลือง"/>
    <m/>
    <n v="169.82000000000002"/>
    <e v="#N/A"/>
    <e v="#N/A"/>
  </r>
  <r>
    <x v="11"/>
    <x v="11"/>
    <s v="0328"/>
    <x v="0"/>
    <s v="TF trfr plnt to plnt"/>
    <s v="4916324111"/>
    <s v="M003"/>
    <x v="20"/>
    <x v="0"/>
    <s v="14:31:19"/>
    <s v="SUTTISIT02"/>
    <s v="0003"/>
    <s v=""/>
    <s v="0000"/>
    <s v=""/>
    <s v="0000000000"/>
    <s v=""/>
    <s v=""/>
    <s v=""/>
    <s v=""/>
    <s v=""/>
    <s v=""/>
    <s v=""/>
    <s v=""/>
    <m/>
    <x v="0"/>
    <n v="-20000"/>
    <n v="0"/>
    <d v="2026-07-15T00:00:00"/>
    <d v="2026-07-15T00:00:00"/>
    <m/>
    <d v="2026-07-15T00:00:00"/>
    <n v="-20000"/>
    <x v="0"/>
    <s v="58"/>
    <e v="#N/A"/>
    <m/>
    <n v="0"/>
    <e v="#N/A"/>
    <e v="#N/A"/>
  </r>
  <r>
    <x v="11"/>
    <x v="11"/>
    <s v="0328"/>
    <x v="0"/>
    <s v="TF trfr plnt to plnt"/>
    <s v="4916324111"/>
    <s v="P003"/>
    <x v="20"/>
    <x v="0"/>
    <s v="14:31:19"/>
    <s v="SUTTISIT02"/>
    <s v="0004"/>
    <s v=""/>
    <s v="0000"/>
    <s v=""/>
    <s v="0000000000"/>
    <s v=""/>
    <s v=""/>
    <s v=""/>
    <s v=""/>
    <s v=""/>
    <s v=""/>
    <s v=""/>
    <s v=""/>
    <m/>
    <x v="0"/>
    <n v="20000"/>
    <n v="0"/>
    <d v="2026-07-15T00:00:00"/>
    <d v="2026-07-15T00:00:00"/>
    <m/>
    <d v="2026-07-15T00:00:00"/>
    <n v="20000"/>
    <x v="0"/>
    <s v="58"/>
    <e v="#N/A"/>
    <m/>
    <n v="0"/>
    <e v="#N/A"/>
    <e v="#N/A"/>
  </r>
  <r>
    <x v="13"/>
    <x v="13"/>
    <s v="0328"/>
    <x v="0"/>
    <s v="TF trfr plnt to plnt"/>
    <s v="4916324111"/>
    <s v="M003"/>
    <x v="65"/>
    <x v="0"/>
    <s v="14:31:19"/>
    <s v="SUTTISIT02"/>
    <s v="0001"/>
    <s v=""/>
    <s v="0000"/>
    <s v=""/>
    <s v="0000000000"/>
    <s v=""/>
    <s v=""/>
    <s v=""/>
    <s v=""/>
    <s v=""/>
    <s v=""/>
    <s v=""/>
    <s v=""/>
    <m/>
    <x v="0"/>
    <n v="-3000"/>
    <n v="0"/>
    <d v="2026-07-15T00:00:00"/>
    <d v="2026-07-15T00:00:00"/>
    <m/>
    <d v="2026-07-15T00:00:00"/>
    <n v="-3000"/>
    <x v="0"/>
    <s v="58"/>
    <e v="#N/A"/>
    <m/>
    <n v="0"/>
    <e v="#N/A"/>
    <e v="#N/A"/>
  </r>
  <r>
    <x v="13"/>
    <x v="13"/>
    <s v="0328"/>
    <x v="0"/>
    <s v="TF trfr plnt to plnt"/>
    <s v="4916324111"/>
    <s v="P003"/>
    <x v="65"/>
    <x v="0"/>
    <s v="14:31:19"/>
    <s v="SUTTISIT02"/>
    <s v="0002"/>
    <s v=""/>
    <s v="0000"/>
    <s v=""/>
    <s v="0000000000"/>
    <s v=""/>
    <s v=""/>
    <s v=""/>
    <s v=""/>
    <s v=""/>
    <s v=""/>
    <s v=""/>
    <s v=""/>
    <m/>
    <x v="0"/>
    <n v="3000"/>
    <n v="0"/>
    <d v="2026-07-15T00:00:00"/>
    <d v="2026-07-15T00:00:00"/>
    <m/>
    <d v="2026-07-15T00:00:00"/>
    <n v="3000"/>
    <x v="0"/>
    <s v="58"/>
    <e v="#N/A"/>
    <m/>
    <n v="0"/>
    <e v="#N/A"/>
    <e v="#N/A"/>
  </r>
  <r>
    <x v="6"/>
    <x v="6"/>
    <s v="0328"/>
    <x v="12"/>
    <s v="GD Goods deliv. rev."/>
    <s v="4916332049"/>
    <s v="M001"/>
    <x v="10"/>
    <x v="0"/>
    <s v="15:11:25"/>
    <s v="THANAWIS"/>
    <s v="0001"/>
    <s v=""/>
    <s v="0000"/>
    <s v=""/>
    <s v="0000000000"/>
    <s v=""/>
    <s v=""/>
    <s v=""/>
    <s v="51003100"/>
    <s v=""/>
    <s v=""/>
    <s v=""/>
    <s v="2000125855"/>
    <m/>
    <x v="2"/>
    <n v="20"/>
    <n v="3396.4"/>
    <d v="2026-07-15T00:00:00"/>
    <d v="2026-07-15T00:00:00"/>
    <m/>
    <d v="2026-07-15T00:00:00"/>
    <n v="10000"/>
    <x v="0"/>
    <s v="59"/>
    <s v="ต้นทุนขาย"/>
    <m/>
    <n v="169.82"/>
    <e v="#N/A"/>
    <e v="#N/A"/>
  </r>
  <r>
    <x v="6"/>
    <x v="6"/>
    <s v="0328"/>
    <x v="2"/>
    <s v="GD goods issue:delvy"/>
    <s v="4916332424"/>
    <s v="P004"/>
    <x v="10"/>
    <x v="0"/>
    <s v="15:12:09"/>
    <s v="THANAWIS"/>
    <s v="0001"/>
    <s v=""/>
    <s v="0000"/>
    <s v=""/>
    <s v="0000000000"/>
    <s v=""/>
    <s v=""/>
    <s v=""/>
    <s v="51003100"/>
    <s v=""/>
    <s v=""/>
    <s v=""/>
    <s v="2000125859"/>
    <m/>
    <x v="2"/>
    <n v="-20"/>
    <n v="-3396.4"/>
    <d v="2026-07-15T00:00:00"/>
    <d v="2026-07-15T00:00:00"/>
    <m/>
    <d v="2026-07-15T00:00:00"/>
    <n v="-10000"/>
    <x v="0"/>
    <s v="59"/>
    <s v="ต้นทุนขาย"/>
    <m/>
    <n v="169.82"/>
    <e v="#N/A"/>
    <e v="#N/A"/>
  </r>
  <r>
    <x v="5"/>
    <x v="5"/>
    <s v="0328"/>
    <x v="2"/>
    <s v="GD goods issue:delvy"/>
    <s v="4916337350"/>
    <s v="M001"/>
    <x v="67"/>
    <x v="0"/>
    <s v="15:57:08"/>
    <s v="RAPEESAN01"/>
    <s v="0001"/>
    <s v=""/>
    <s v="0000"/>
    <s v=""/>
    <s v="0000000000"/>
    <s v=""/>
    <s v=""/>
    <s v=""/>
    <s v="51003100"/>
    <s v=""/>
    <s v=""/>
    <s v=""/>
    <s v="2000125863"/>
    <m/>
    <x v="4"/>
    <n v="-1958"/>
    <n v="-1995515.28"/>
    <d v="2026-07-15T00:00:00"/>
    <d v="2026-07-15T00:00:00"/>
    <m/>
    <d v="2026-07-15T00:00:00"/>
    <n v="-5874000"/>
    <x v="0"/>
    <s v="59"/>
    <s v="ต้นทุนขาย"/>
    <m/>
    <n v="1019.16"/>
    <e v="#N/A"/>
    <e v="#N/A"/>
  </r>
  <r>
    <x v="5"/>
    <x v="5"/>
    <s v="0328"/>
    <x v="2"/>
    <s v="GD goods issue:delvy"/>
    <s v="4916337350"/>
    <s v="M001"/>
    <x v="36"/>
    <x v="0"/>
    <s v="15:57:08"/>
    <s v="RAPEESAN01"/>
    <s v="0002"/>
    <s v=""/>
    <s v="0000"/>
    <s v=""/>
    <s v="0000000000"/>
    <s v=""/>
    <s v=""/>
    <s v=""/>
    <s v="51003100"/>
    <s v=""/>
    <s v=""/>
    <s v=""/>
    <s v="2000125863"/>
    <m/>
    <x v="4"/>
    <n v="-922"/>
    <n v="-939665.52"/>
    <d v="2026-07-15T00:00:00"/>
    <d v="2026-07-15T00:00:00"/>
    <m/>
    <d v="2026-07-15T00:00:00"/>
    <n v="-2766000"/>
    <x v="0"/>
    <s v="59"/>
    <s v="ต้นทุนขาย"/>
    <m/>
    <n v="1019.16"/>
    <e v="#N/A"/>
    <e v="#N/A"/>
  </r>
  <r>
    <x v="5"/>
    <x v="5"/>
    <s v="0328"/>
    <x v="1"/>
    <s v="GI ค่าวิจัยและพัฒนา"/>
    <s v="4916337596"/>
    <s v="M001"/>
    <x v="67"/>
    <x v="0"/>
    <s v="15:59:38"/>
    <s v="RAPEESAN01"/>
    <s v="0001"/>
    <s v=""/>
    <s v="0000"/>
    <s v=""/>
    <s v="0151389539"/>
    <s v=""/>
    <s v="เพื่อส่งให้ RD'QA 7-11 ตรวจสอบ"/>
    <s v="405053"/>
    <s v="67501001"/>
    <s v=""/>
    <s v=""/>
    <s v=""/>
    <s v=""/>
    <m/>
    <x v="2"/>
    <n v="-2"/>
    <n v="-339.72"/>
    <d v="2026-07-16T00:00:00"/>
    <d v="2026-07-16T00:00:00"/>
    <m/>
    <d v="2026-07-15T00:00:00"/>
    <n v="-10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6346438"/>
    <s v="M001"/>
    <x v="36"/>
    <x v="0"/>
    <s v="19:14:40"/>
    <s v="PRONDTAN"/>
    <s v="0003"/>
    <s v=""/>
    <s v="0000"/>
    <s v=""/>
    <s v="0151488648"/>
    <s v=""/>
    <s v="Top up 10.07.26.3 A012R002"/>
    <s v="405053"/>
    <s v="67501001"/>
    <s v=""/>
    <s v=""/>
    <s v=""/>
    <s v=""/>
    <m/>
    <x v="2"/>
    <n v="-5"/>
    <n v="-849.3"/>
    <d v="2026-07-15T00:00:00"/>
    <d v="2026-07-15T00:00:00"/>
    <m/>
    <d v="2026-07-15T00:00:00"/>
    <n v="-25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6346438"/>
    <s v="M001"/>
    <x v="67"/>
    <x v="0"/>
    <s v="19:14:40"/>
    <s v="PRONDTAN"/>
    <s v="0002"/>
    <s v=""/>
    <s v="0000"/>
    <s v=""/>
    <s v="0151488648"/>
    <s v=""/>
    <s v="Top up 10.07.26.3 A012R002"/>
    <s v="405053"/>
    <s v="67501001"/>
    <s v=""/>
    <s v=""/>
    <s v=""/>
    <s v=""/>
    <m/>
    <x v="2"/>
    <n v="-3"/>
    <n v="-509.58"/>
    <d v="2026-07-15T00:00:00"/>
    <d v="2026-07-15T00:00:00"/>
    <m/>
    <d v="2026-07-15T00:00:00"/>
    <n v="-15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6346438"/>
    <s v="M001"/>
    <x v="36"/>
    <x v="0"/>
    <s v="19:14:40"/>
    <s v="PRONDTAN"/>
    <s v="0001"/>
    <s v=""/>
    <s v="0000"/>
    <s v=""/>
    <s v="0151488648"/>
    <s v=""/>
    <s v="Top up 10.07.26.2 A012R002"/>
    <s v="405053"/>
    <s v="67501001"/>
    <s v=""/>
    <s v=""/>
    <s v=""/>
    <s v=""/>
    <m/>
    <x v="2"/>
    <n v="-8"/>
    <n v="-1358.88"/>
    <d v="2026-07-15T00:00:00"/>
    <d v="2026-07-15T00:00:00"/>
    <m/>
    <d v="2026-07-15T00:00:00"/>
    <n v="-40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6346833"/>
    <s v="M001"/>
    <x v="36"/>
    <x v="0"/>
    <s v="19:30:52"/>
    <s v="PRONDTAN"/>
    <s v="0001"/>
    <s v=""/>
    <s v="0000"/>
    <s v=""/>
    <s v="0151488756"/>
    <s v=""/>
    <s v="ฐาน 15.07.26.1 A010R002"/>
    <s v="405053"/>
    <s v="67501001"/>
    <s v=""/>
    <s v=""/>
    <s v=""/>
    <s v=""/>
    <m/>
    <x v="2"/>
    <n v="-2"/>
    <n v="-339.72"/>
    <d v="2026-07-15T00:00:00"/>
    <d v="2026-07-15T00:00:00"/>
    <m/>
    <d v="2026-07-15T00:00:00"/>
    <n v="-1000"/>
    <x v="0"/>
    <s v="59"/>
    <s v="ค่าวิจัยคุณภาพสินค้า"/>
    <m/>
    <n v="169.86"/>
    <e v="#N/A"/>
    <e v="#N/A"/>
  </r>
  <r>
    <x v="5"/>
    <x v="5"/>
    <s v="0328"/>
    <x v="2"/>
    <s v="GD goods issue:delvy"/>
    <s v="4916401028"/>
    <s v="M001"/>
    <x v="53"/>
    <x v="0"/>
    <s v="13:45:37"/>
    <s v="RAPEESAN01"/>
    <s v="0003"/>
    <s v=""/>
    <s v="0000"/>
    <s v=""/>
    <s v="0000000000"/>
    <s v=""/>
    <s v=""/>
    <s v=""/>
    <s v="51003100"/>
    <s v=""/>
    <s v=""/>
    <s v=""/>
    <s v="2000125891"/>
    <m/>
    <x v="4"/>
    <n v="-589"/>
    <n v="-600285.24"/>
    <d v="2026-07-16T00:00:00"/>
    <d v="2026-07-16T00:00:00"/>
    <m/>
    <d v="2026-07-16T00:00:00"/>
    <n v="-1767000"/>
    <x v="0"/>
    <s v="59"/>
    <s v="ต้นทุนขาย"/>
    <m/>
    <n v="1019.16"/>
    <e v="#N/A"/>
    <e v="#N/A"/>
  </r>
  <r>
    <x v="5"/>
    <x v="5"/>
    <s v="0328"/>
    <x v="2"/>
    <s v="GD goods issue:delvy"/>
    <s v="4916401028"/>
    <s v="M001"/>
    <x v="42"/>
    <x v="0"/>
    <s v="13:45:37"/>
    <s v="RAPEESAN01"/>
    <s v="0002"/>
    <s v=""/>
    <s v="0000"/>
    <s v=""/>
    <s v="0000000000"/>
    <s v=""/>
    <s v=""/>
    <s v=""/>
    <s v="51003100"/>
    <s v=""/>
    <s v=""/>
    <s v=""/>
    <s v="2000125891"/>
    <m/>
    <x v="4"/>
    <n v="-520"/>
    <n v="-529963.19999999995"/>
    <d v="2026-07-16T00:00:00"/>
    <d v="2026-07-16T00:00:00"/>
    <m/>
    <d v="2026-07-16T00:00:00"/>
    <n v="-1560000"/>
    <x v="0"/>
    <s v="59"/>
    <s v="ต้นทุนขาย"/>
    <m/>
    <n v="1019.1599999999999"/>
    <e v="#N/A"/>
    <e v="#N/A"/>
  </r>
  <r>
    <x v="5"/>
    <x v="5"/>
    <s v="0328"/>
    <x v="2"/>
    <s v="GD goods issue:delvy"/>
    <s v="4916401028"/>
    <s v="M001"/>
    <x v="36"/>
    <x v="0"/>
    <s v="13:45:37"/>
    <s v="RAPEESAN01"/>
    <s v="0001"/>
    <s v=""/>
    <s v="0000"/>
    <s v=""/>
    <s v="0000000000"/>
    <s v=""/>
    <s v=""/>
    <s v=""/>
    <s v="51003100"/>
    <s v=""/>
    <s v=""/>
    <s v=""/>
    <s v="2000125891"/>
    <m/>
    <x v="4"/>
    <n v="-811"/>
    <n v="-826538.76"/>
    <d v="2026-07-16T00:00:00"/>
    <d v="2026-07-16T00:00:00"/>
    <m/>
    <d v="2026-07-16T00:00:00"/>
    <n v="-2433000"/>
    <x v="0"/>
    <s v="59"/>
    <s v="ต้นทุนขาย"/>
    <m/>
    <n v="1019.16"/>
    <e v="#N/A"/>
    <e v="#N/A"/>
  </r>
  <r>
    <x v="5"/>
    <x v="5"/>
    <s v="0328"/>
    <x v="2"/>
    <s v="GD goods issue:delvy"/>
    <s v="4916401273"/>
    <s v="M001"/>
    <x v="53"/>
    <x v="0"/>
    <s v="13:52:46"/>
    <s v="RAPEESAN01"/>
    <s v="0001"/>
    <s v=""/>
    <s v="0000"/>
    <s v=""/>
    <s v="0000000000"/>
    <s v=""/>
    <s v=""/>
    <s v=""/>
    <s v="51003100"/>
    <s v=""/>
    <s v=""/>
    <s v=""/>
    <s v="2000125892"/>
    <m/>
    <x v="4"/>
    <n v="-1920"/>
    <n v="-1956787.2"/>
    <d v="2026-07-16T00:00:00"/>
    <d v="2026-07-16T00:00:00"/>
    <m/>
    <d v="2026-07-16T00:00:00"/>
    <n v="-5760000"/>
    <x v="0"/>
    <s v="59"/>
    <s v="ต้นทุนขาย"/>
    <m/>
    <n v="1019.16"/>
    <e v="#N/A"/>
    <e v="#N/A"/>
  </r>
  <r>
    <x v="5"/>
    <x v="5"/>
    <s v="0328"/>
    <x v="1"/>
    <s v="GI ค่าวิจัยและพัฒนา"/>
    <s v="4916401368"/>
    <s v="M001"/>
    <x v="36"/>
    <x v="0"/>
    <s v="13:55:43"/>
    <s v="RAPEESAN01"/>
    <s v="0001"/>
    <s v=""/>
    <s v="0000"/>
    <s v=""/>
    <s v="0151480741"/>
    <s v=""/>
    <s v="เพื่อส่งให้ RD'QA 7-11 ตรวจสอบ"/>
    <s v="405053"/>
    <s v="67501001"/>
    <s v=""/>
    <s v=""/>
    <s v=""/>
    <s v=""/>
    <m/>
    <x v="2"/>
    <n v="-4"/>
    <n v="-679.44"/>
    <d v="2026-07-17T00:00:00"/>
    <d v="2026-07-17T00:00:00"/>
    <m/>
    <d v="2026-07-16T00:00:00"/>
    <n v="-2000"/>
    <x v="0"/>
    <s v="59"/>
    <s v="ค่าวิจัยคุณภาพสินค้า"/>
    <m/>
    <n v="169.86"/>
    <e v="#N/A"/>
    <e v="#N/A"/>
  </r>
  <r>
    <x v="5"/>
    <x v="5"/>
    <s v="0328"/>
    <x v="2"/>
    <s v="GD goods issue:delvy"/>
    <s v="4916402188"/>
    <s v="M001"/>
    <x v="54"/>
    <x v="0"/>
    <s v="14:03:23"/>
    <s v="RAPEESAN01"/>
    <s v="0002"/>
    <s v=""/>
    <s v="0000"/>
    <s v=""/>
    <s v="0000000000"/>
    <s v=""/>
    <s v=""/>
    <s v=""/>
    <s v="51003100"/>
    <s v=""/>
    <s v=""/>
    <s v=""/>
    <s v="2000125894"/>
    <m/>
    <x v="4"/>
    <n v="-1215"/>
    <n v="-1238279.3999999999"/>
    <d v="2026-07-16T00:00:00"/>
    <d v="2026-07-16T00:00:00"/>
    <m/>
    <d v="2026-07-16T00:00:00"/>
    <n v="-3645000"/>
    <x v="0"/>
    <s v="59"/>
    <s v="ต้นทุนขาย"/>
    <m/>
    <n v="1019.16"/>
    <e v="#N/A"/>
    <e v="#N/A"/>
  </r>
  <r>
    <x v="5"/>
    <x v="5"/>
    <s v="0328"/>
    <x v="2"/>
    <s v="GD goods issue:delvy"/>
    <s v="4916402188"/>
    <s v="M001"/>
    <x v="53"/>
    <x v="0"/>
    <s v="14:03:23"/>
    <s v="RAPEESAN01"/>
    <s v="0001"/>
    <s v=""/>
    <s v="0000"/>
    <s v=""/>
    <s v="0000000000"/>
    <s v=""/>
    <s v=""/>
    <s v=""/>
    <s v="51003100"/>
    <s v=""/>
    <s v=""/>
    <s v=""/>
    <s v="2000125894"/>
    <m/>
    <x v="4"/>
    <n v="-705"/>
    <n v="-718507.8"/>
    <d v="2026-07-16T00:00:00"/>
    <d v="2026-07-16T00:00:00"/>
    <m/>
    <d v="2026-07-16T00:00:00"/>
    <n v="-2115000"/>
    <x v="0"/>
    <s v="59"/>
    <s v="ต้นทุนขาย"/>
    <m/>
    <n v="1019.1600000000001"/>
    <e v="#N/A"/>
    <e v="#N/A"/>
  </r>
  <r>
    <x v="11"/>
    <x v="11"/>
    <s v="0328"/>
    <x v="0"/>
    <s v="TF trfr plnt to plnt"/>
    <s v="4916402474"/>
    <s v="P003"/>
    <x v="20"/>
    <x v="0"/>
    <s v="14:04:05"/>
    <s v="SUTTISIT02"/>
    <s v="0006"/>
    <s v=""/>
    <s v="0000"/>
    <s v=""/>
    <s v="0000000000"/>
    <s v=""/>
    <s v=""/>
    <s v=""/>
    <s v=""/>
    <s v=""/>
    <s v=""/>
    <s v=""/>
    <s v=""/>
    <m/>
    <x v="0"/>
    <n v="20000"/>
    <n v="0"/>
    <d v="2026-07-16T00:00:00"/>
    <d v="2026-07-16T00:00:00"/>
    <m/>
    <d v="2026-07-16T00:00:00"/>
    <n v="20000"/>
    <x v="0"/>
    <s v="58"/>
    <e v="#N/A"/>
    <m/>
    <n v="0"/>
    <e v="#N/A"/>
    <e v="#N/A"/>
  </r>
  <r>
    <x v="11"/>
    <x v="11"/>
    <s v="0328"/>
    <x v="0"/>
    <s v="TF trfr plnt to plnt"/>
    <s v="4916402474"/>
    <s v="M003"/>
    <x v="20"/>
    <x v="0"/>
    <s v="14:04:05"/>
    <s v="SUTTISIT02"/>
    <s v="0005"/>
    <s v=""/>
    <s v="0000"/>
    <s v=""/>
    <s v="0000000000"/>
    <s v=""/>
    <s v=""/>
    <s v=""/>
    <s v=""/>
    <s v=""/>
    <s v=""/>
    <s v=""/>
    <s v=""/>
    <m/>
    <x v="0"/>
    <n v="-20000"/>
    <n v="0"/>
    <d v="2026-07-16T00:00:00"/>
    <d v="2026-07-16T00:00:00"/>
    <m/>
    <d v="2026-07-16T00:00:00"/>
    <n v="-20000"/>
    <x v="0"/>
    <s v="58"/>
    <e v="#N/A"/>
    <m/>
    <n v="0"/>
    <e v="#N/A"/>
    <e v="#N/A"/>
  </r>
  <r>
    <x v="12"/>
    <x v="12"/>
    <s v="0328"/>
    <x v="0"/>
    <s v="TF trfr plnt to plnt"/>
    <s v="4916402474"/>
    <s v="M003"/>
    <x v="1"/>
    <x v="0"/>
    <s v="14:04:05"/>
    <s v="SUTTISIT02"/>
    <s v="0003"/>
    <s v=""/>
    <s v="0000"/>
    <s v=""/>
    <s v="0000000000"/>
    <s v=""/>
    <s v=""/>
    <s v=""/>
    <s v=""/>
    <s v=""/>
    <s v=""/>
    <s v=""/>
    <s v=""/>
    <m/>
    <x v="0"/>
    <n v="-24000"/>
    <n v="0"/>
    <d v="2026-07-16T00:00:00"/>
    <d v="2026-07-16T00:00:00"/>
    <m/>
    <d v="2026-07-16T00:00:00"/>
    <n v="-24000"/>
    <x v="0"/>
    <s v="58"/>
    <e v="#N/A"/>
    <m/>
    <n v="0"/>
    <e v="#N/A"/>
    <e v="#N/A"/>
  </r>
  <r>
    <x v="12"/>
    <x v="12"/>
    <s v="0328"/>
    <x v="0"/>
    <s v="TF trfr plnt to plnt"/>
    <s v="4916402474"/>
    <s v="P003"/>
    <x v="1"/>
    <x v="0"/>
    <s v="14:04:05"/>
    <s v="SUTTISIT02"/>
    <s v="0004"/>
    <s v=""/>
    <s v="0000"/>
    <s v=""/>
    <s v="0000000000"/>
    <s v=""/>
    <s v=""/>
    <s v=""/>
    <s v=""/>
    <s v=""/>
    <s v=""/>
    <s v=""/>
    <s v=""/>
    <m/>
    <x v="0"/>
    <n v="24000"/>
    <n v="0"/>
    <d v="2026-07-16T00:00:00"/>
    <d v="2026-07-16T00:00:00"/>
    <m/>
    <d v="2026-07-16T00:00:00"/>
    <n v="24000"/>
    <x v="0"/>
    <s v="58"/>
    <e v="#N/A"/>
    <m/>
    <n v="0"/>
    <e v="#N/A"/>
    <e v="#N/A"/>
  </r>
  <r>
    <x v="13"/>
    <x v="13"/>
    <s v="0328"/>
    <x v="0"/>
    <s v="TF trfr plnt to plnt"/>
    <s v="4916402474"/>
    <s v="M003"/>
    <x v="65"/>
    <x v="0"/>
    <s v="14:04:05"/>
    <s v="SUTTISIT02"/>
    <s v="0001"/>
    <s v=""/>
    <s v="0000"/>
    <s v=""/>
    <s v="0000000000"/>
    <s v=""/>
    <s v=""/>
    <s v=""/>
    <s v=""/>
    <s v=""/>
    <s v=""/>
    <s v=""/>
    <s v=""/>
    <m/>
    <x v="0"/>
    <n v="-2000"/>
    <n v="0"/>
    <d v="2026-07-16T00:00:00"/>
    <d v="2026-07-16T00:00:00"/>
    <m/>
    <d v="2026-07-16T00:00:00"/>
    <n v="-2000"/>
    <x v="0"/>
    <s v="58"/>
    <e v="#N/A"/>
    <m/>
    <n v="0"/>
    <e v="#N/A"/>
    <e v="#N/A"/>
  </r>
  <r>
    <x v="13"/>
    <x v="13"/>
    <s v="0328"/>
    <x v="0"/>
    <s v="TF trfr plnt to plnt"/>
    <s v="4916402474"/>
    <s v="P003"/>
    <x v="65"/>
    <x v="0"/>
    <s v="14:04:05"/>
    <s v="SUTTISIT02"/>
    <s v="0002"/>
    <s v=""/>
    <s v="0000"/>
    <s v=""/>
    <s v="0000000000"/>
    <s v=""/>
    <s v=""/>
    <s v=""/>
    <s v=""/>
    <s v=""/>
    <s v=""/>
    <s v=""/>
    <s v=""/>
    <m/>
    <x v="0"/>
    <n v="2000"/>
    <n v="0"/>
    <d v="2026-07-16T00:00:00"/>
    <d v="2026-07-16T00:00:00"/>
    <m/>
    <d v="2026-07-16T00:00:00"/>
    <n v="2000"/>
    <x v="0"/>
    <s v="58"/>
    <e v="#N/A"/>
    <m/>
    <n v="0"/>
    <e v="#N/A"/>
    <e v="#N/A"/>
  </r>
  <r>
    <x v="5"/>
    <x v="5"/>
    <s v="0328"/>
    <x v="1"/>
    <s v="GI ค่าวิจัยและพัฒนา"/>
    <s v="4916403816"/>
    <s v="M001"/>
    <x v="42"/>
    <x v="0"/>
    <s v="14:10:16"/>
    <s v="RAPEESAN01"/>
    <s v="0002"/>
    <s v=""/>
    <s v="0000"/>
    <s v=""/>
    <s v="0151509467"/>
    <s v=""/>
    <s v="เพื่อส่งให้ RD'QA 7-11 ตรวจสอบ"/>
    <s v="405053"/>
    <s v="67501001"/>
    <s v=""/>
    <s v=""/>
    <s v=""/>
    <s v=""/>
    <m/>
    <x v="2"/>
    <n v="-1"/>
    <n v="-169.86"/>
    <d v="2026-07-18T00:00:00"/>
    <d v="2026-07-18T00:00:00"/>
    <m/>
    <d v="2026-07-16T00:00:00"/>
    <n v="-5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6403816"/>
    <s v="M001"/>
    <x v="36"/>
    <x v="0"/>
    <s v="14:10:16"/>
    <s v="RAPEESAN01"/>
    <s v="0001"/>
    <s v=""/>
    <s v="0000"/>
    <s v=""/>
    <s v="0151509467"/>
    <s v=""/>
    <s v="เพื่อส่งให้ RD'QA 7-11 ตรวจสอบ"/>
    <s v="405053"/>
    <s v="67501001"/>
    <s v=""/>
    <s v=""/>
    <s v=""/>
    <s v=""/>
    <m/>
    <x v="2"/>
    <n v="-1"/>
    <n v="-169.86"/>
    <d v="2026-07-18T00:00:00"/>
    <d v="2026-07-18T00:00:00"/>
    <m/>
    <d v="2026-07-16T00:00:00"/>
    <n v="-500"/>
    <x v="0"/>
    <s v="59"/>
    <s v="ค่าวิจัยคุณภาพสินค้า"/>
    <m/>
    <n v="169.86"/>
    <e v="#N/A"/>
    <e v="#N/A"/>
  </r>
  <r>
    <x v="6"/>
    <x v="6"/>
    <s v="0328"/>
    <x v="11"/>
    <s v="GI for cost center"/>
    <s v="4916409185"/>
    <s v="P004"/>
    <x v="7"/>
    <x v="0"/>
    <s v="14:30:24"/>
    <s v="THANAWIS"/>
    <s v="0003"/>
    <s v=""/>
    <s v="0000"/>
    <s v=""/>
    <s v="0151515109"/>
    <s v=""/>
    <s v="เดโม่เครื่องชงกาแฟ ร้าน Acorn Café"/>
    <s v="403002"/>
    <s v="67001000"/>
    <s v=""/>
    <s v=""/>
    <s v=""/>
    <s v=""/>
    <m/>
    <x v="2"/>
    <n v="-1"/>
    <n v="-169.82"/>
    <d v="2026-07-16T00:00:00"/>
    <d v="2026-07-16T00:00:00"/>
    <m/>
    <d v="2026-07-16T00:00:00"/>
    <n v="-500"/>
    <x v="0"/>
    <s v="59"/>
    <e v="#N/A"/>
    <m/>
    <n v="169.82"/>
    <e v="#N/A"/>
    <e v="#N/A"/>
  </r>
  <r>
    <x v="25"/>
    <x v="25"/>
    <s v="0328"/>
    <x v="11"/>
    <s v="GI for cost center"/>
    <s v="4916409185"/>
    <s v="P004"/>
    <x v="39"/>
    <x v="0"/>
    <s v="14:30:24"/>
    <s v="THANAWIS"/>
    <s v="0001"/>
    <s v=""/>
    <s v="0000"/>
    <s v=""/>
    <s v="0151515109"/>
    <s v=""/>
    <s v="เดโม่เครื่องชงกาแฟ ร้าน Acorn Café"/>
    <s v="403002"/>
    <s v="67001000"/>
    <s v=""/>
    <s v=""/>
    <s v=""/>
    <s v=""/>
    <m/>
    <x v="2"/>
    <n v="-2"/>
    <n v="-370.04"/>
    <d v="2026-07-16T00:00:00"/>
    <d v="2026-07-16T00:00:00"/>
    <m/>
    <d v="2026-07-16T00:00:00"/>
    <n v="-1000"/>
    <x v="0"/>
    <s v="59"/>
    <e v="#N/A"/>
    <m/>
    <n v="185.02"/>
    <e v="#N/A"/>
    <e v="#N/A"/>
  </r>
  <r>
    <x v="27"/>
    <x v="27"/>
    <s v="0328"/>
    <x v="11"/>
    <s v="GI for cost center"/>
    <s v="4916409185"/>
    <s v="P004"/>
    <x v="68"/>
    <x v="0"/>
    <s v="14:30:24"/>
    <s v="THANAWIS"/>
    <s v="0002"/>
    <s v=""/>
    <s v="0000"/>
    <s v=""/>
    <s v="0151515109"/>
    <s v=""/>
    <s v="เดโม่เครื่องชงกาแฟ ร้าน Acorn Café"/>
    <s v="403002"/>
    <s v="67001000"/>
    <s v=""/>
    <s v=""/>
    <s v=""/>
    <s v=""/>
    <m/>
    <x v="2"/>
    <n v="-1"/>
    <n v="-189.99"/>
    <d v="2026-07-16T00:00:00"/>
    <d v="2026-07-16T00:00:00"/>
    <m/>
    <d v="2026-07-16T00:00:00"/>
    <n v="-500"/>
    <x v="0"/>
    <s v="59"/>
    <e v="#N/A"/>
    <m/>
    <n v="189.99"/>
    <e v="#N/A"/>
    <e v="#N/A"/>
  </r>
  <r>
    <x v="14"/>
    <x v="14"/>
    <s v="0328"/>
    <x v="3"/>
    <s v="TF trfr within plant"/>
    <s v="4916417603"/>
    <s v="P001"/>
    <x v="25"/>
    <x v="0"/>
    <s v="16:07:15"/>
    <s v="PRONDTAN"/>
    <s v="0004"/>
    <s v=""/>
    <s v="0000"/>
    <s v=""/>
    <s v="0000000000"/>
    <s v=""/>
    <s v=""/>
    <s v=""/>
    <s v=""/>
    <s v=""/>
    <s v=""/>
    <s v=""/>
    <s v=""/>
    <m/>
    <x v="3"/>
    <n v="15064.9"/>
    <n v="0"/>
    <d v="2026-07-16T00:00:00"/>
    <d v="2026-07-16T00:00:00"/>
    <m/>
    <d v="2026-07-16T00:00:00"/>
    <n v="15064900"/>
    <x v="0"/>
    <s v="54"/>
    <e v="#N/A"/>
    <m/>
    <n v="0"/>
    <e v="#N/A"/>
    <e v="#N/A"/>
  </r>
  <r>
    <x v="14"/>
    <x v="14"/>
    <s v="0328"/>
    <x v="3"/>
    <s v="TF trfr within plant"/>
    <s v="4916417603"/>
    <s v="M002"/>
    <x v="25"/>
    <x v="0"/>
    <s v="16:07:15"/>
    <s v="PRONDTAN"/>
    <s v="0003"/>
    <s v=""/>
    <s v="0000"/>
    <s v=""/>
    <s v="0000000000"/>
    <s v=""/>
    <s v=""/>
    <s v=""/>
    <s v=""/>
    <s v=""/>
    <s v=""/>
    <s v=""/>
    <s v=""/>
    <m/>
    <x v="3"/>
    <n v="-15064.9"/>
    <n v="0"/>
    <d v="2026-07-16T00:00:00"/>
    <d v="2026-07-16T00:00:00"/>
    <m/>
    <d v="2026-07-16T00:00:00"/>
    <n v="-15064900"/>
    <x v="0"/>
    <s v="54"/>
    <e v="#N/A"/>
    <m/>
    <n v="0"/>
    <e v="#N/A"/>
    <e v="#N/A"/>
  </r>
  <r>
    <x v="14"/>
    <x v="14"/>
    <s v="0328"/>
    <x v="3"/>
    <s v="TF trfr within plant"/>
    <s v="4916417603"/>
    <s v="P001"/>
    <x v="52"/>
    <x v="0"/>
    <s v="16:07:15"/>
    <s v="PRONDTAN"/>
    <s v="0002"/>
    <s v=""/>
    <s v="0000"/>
    <s v=""/>
    <s v="0000000000"/>
    <s v=""/>
    <s v=""/>
    <s v=""/>
    <s v=""/>
    <s v=""/>
    <s v=""/>
    <s v=""/>
    <s v=""/>
    <m/>
    <x v="3"/>
    <n v="21058.2"/>
    <n v="0"/>
    <d v="2026-07-16T00:00:00"/>
    <d v="2026-07-16T00:00:00"/>
    <m/>
    <d v="2026-07-16T00:00:00"/>
    <n v="21058200"/>
    <x v="0"/>
    <s v="54"/>
    <e v="#N/A"/>
    <m/>
    <n v="0"/>
    <e v="#N/A"/>
    <e v="#N/A"/>
  </r>
  <r>
    <x v="14"/>
    <x v="14"/>
    <s v="0328"/>
    <x v="3"/>
    <s v="TF trfr within plant"/>
    <s v="4916417603"/>
    <s v="M002"/>
    <x v="52"/>
    <x v="0"/>
    <s v="16:07:15"/>
    <s v="PRONDTAN"/>
    <s v="0001"/>
    <s v=""/>
    <s v="0000"/>
    <s v=""/>
    <s v="0000000000"/>
    <s v=""/>
    <s v=""/>
    <s v=""/>
    <s v=""/>
    <s v=""/>
    <s v=""/>
    <s v=""/>
    <s v=""/>
    <m/>
    <x v="3"/>
    <n v="-21058.2"/>
    <n v="0"/>
    <d v="2026-07-16T00:00:00"/>
    <d v="2026-07-16T00:00:00"/>
    <m/>
    <d v="2026-07-16T00:00:00"/>
    <n v="-21058200"/>
    <x v="0"/>
    <s v="54"/>
    <e v="#N/A"/>
    <m/>
    <n v="0"/>
    <e v="#N/A"/>
    <e v="#N/A"/>
  </r>
  <r>
    <x v="18"/>
    <x v="18"/>
    <s v="0328"/>
    <x v="4"/>
    <s v="GI for order"/>
    <s v="4916418390"/>
    <s v="P002"/>
    <x v="19"/>
    <x v="36"/>
    <s v="16:23:55"/>
    <s v="JURASDOK"/>
    <s v="0002"/>
    <s v=""/>
    <s v="0000"/>
    <s v=""/>
    <s v="0151050644"/>
    <s v=""/>
    <s v=""/>
    <s v=""/>
    <s v="53001003"/>
    <s v=""/>
    <s v=""/>
    <s v=""/>
    <s v=""/>
    <m/>
    <x v="3"/>
    <n v="-200.04"/>
    <n v="-54178.83"/>
    <d v="2026-07-16T00:00:00"/>
    <d v="2026-07-01T00:00:00"/>
    <m/>
    <d v="2026-07-16T00:00:00"/>
    <n v="-200040"/>
    <x v="4"/>
    <s v="57"/>
    <s v="ต้นทุนผลิตกึ่งสำเร็จ"/>
    <m/>
    <n v="270.83998200359929"/>
    <e v="#N/A"/>
    <e v="#N/A"/>
  </r>
  <r>
    <x v="17"/>
    <x v="17"/>
    <s v="0328"/>
    <x v="4"/>
    <s v="GI for order"/>
    <s v="4916418390"/>
    <s v="P002"/>
    <x v="69"/>
    <x v="36"/>
    <s v="16:23:55"/>
    <s v="JURASDOK"/>
    <s v="0005"/>
    <s v=""/>
    <s v="0000"/>
    <s v=""/>
    <s v="0000000000"/>
    <s v=""/>
    <s v="เมล็ดกาแฟ Clean Arabica B"/>
    <s v=""/>
    <s v="53001003"/>
    <s v=""/>
    <s v=""/>
    <s v=""/>
    <s v=""/>
    <m/>
    <x v="3"/>
    <n v="-175.86"/>
    <n v="-47628.160000000003"/>
    <d v="2026-07-16T00:00:00"/>
    <d v="2026-07-01T00:00:00"/>
    <m/>
    <d v="2026-07-16T00:00:00"/>
    <n v="-175860"/>
    <x v="4"/>
    <s v="57"/>
    <s v="ต้นทุนผลิตกึ่งสำเร็จ"/>
    <m/>
    <n v="270.82997839190267"/>
    <e v="#N/A"/>
    <e v="#N/A"/>
  </r>
  <r>
    <x v="17"/>
    <x v="17"/>
    <s v="0328"/>
    <x v="4"/>
    <s v="GI for order"/>
    <s v="4916418390"/>
    <s v="P002"/>
    <x v="58"/>
    <x v="36"/>
    <s v="16:23:55"/>
    <s v="JURASDOK"/>
    <s v="0004"/>
    <s v=""/>
    <s v="0000"/>
    <s v=""/>
    <s v="0000000000"/>
    <s v=""/>
    <s v="เมล็ดกาแฟ Clean Arabica B"/>
    <s v=""/>
    <s v="53001003"/>
    <s v=""/>
    <s v=""/>
    <s v=""/>
    <s v=""/>
    <m/>
    <x v="3"/>
    <n v="-9.08"/>
    <n v="-2459.14"/>
    <d v="2026-07-16T00:00:00"/>
    <d v="2026-07-01T00:00:00"/>
    <m/>
    <d v="2026-07-16T00:00:00"/>
    <n v="-9080"/>
    <x v="4"/>
    <s v="57"/>
    <s v="ต้นทุนผลิตกึ่งสำเร็จ"/>
    <m/>
    <n v="270.8303964757709"/>
    <e v="#N/A"/>
    <e v="#N/A"/>
  </r>
  <r>
    <x v="19"/>
    <x v="19"/>
    <s v="0328"/>
    <x v="4"/>
    <s v="GI for order"/>
    <s v="4916418390"/>
    <s v="P002"/>
    <x v="8"/>
    <x v="36"/>
    <s v="16:23:55"/>
    <s v="JURASDOK"/>
    <s v="0003"/>
    <s v=""/>
    <s v="0000"/>
    <s v=""/>
    <s v="0151050644"/>
    <s v=""/>
    <s v=""/>
    <s v=""/>
    <s v="53001003"/>
    <s v=""/>
    <s v=""/>
    <s v=""/>
    <s v=""/>
    <m/>
    <x v="3"/>
    <n v="-287.26"/>
    <n v="-45941.49"/>
    <d v="2026-07-16T00:00:00"/>
    <d v="2026-07-01T00:00:00"/>
    <m/>
    <d v="2026-07-16T00:00:00"/>
    <n v="-287260"/>
    <x v="4"/>
    <s v="57"/>
    <s v="ต้นทุนผลิตกึ่งสำเร็จ"/>
    <m/>
    <n v="159.92999373389961"/>
    <e v="#N/A"/>
    <e v="#N/A"/>
  </r>
  <r>
    <x v="20"/>
    <x v="20"/>
    <s v="0328"/>
    <x v="4"/>
    <s v="GI for order"/>
    <s v="4916418390"/>
    <s v="P002"/>
    <x v="70"/>
    <x v="36"/>
    <s v="16:23:55"/>
    <s v="JURASDOK"/>
    <s v="0006"/>
    <s v=""/>
    <s v="0000"/>
    <s v=""/>
    <s v="0000000000"/>
    <s v=""/>
    <s v="เมล็ดกาแฟ Clean Robusta B"/>
    <s v=""/>
    <s v="53001003"/>
    <s v=""/>
    <s v=""/>
    <s v=""/>
    <s v=""/>
    <m/>
    <x v="3"/>
    <n v="-64.78"/>
    <n v="-10360.27"/>
    <d v="2026-07-16T00:00:00"/>
    <d v="2026-07-01T00:00:00"/>
    <m/>
    <d v="2026-07-16T00:00:00"/>
    <n v="-64780"/>
    <x v="4"/>
    <s v="57"/>
    <s v="ต้นทุนผลิตกึ่งสำเร็จ"/>
    <m/>
    <n v="159.93007100957087"/>
    <e v="#N/A"/>
    <e v="#N/A"/>
  </r>
  <r>
    <x v="20"/>
    <x v="20"/>
    <s v="0328"/>
    <x v="4"/>
    <s v="GI for order"/>
    <s v="4916418390"/>
    <s v="P002"/>
    <x v="71"/>
    <x v="36"/>
    <s v="16:23:55"/>
    <s v="JURASDOK"/>
    <s v="0007"/>
    <s v=""/>
    <s v="0000"/>
    <s v=""/>
    <s v="0000000000"/>
    <s v=""/>
    <s v="เมล็ดกาแฟ Clean Robusta B"/>
    <s v=""/>
    <s v="53001003"/>
    <s v=""/>
    <s v=""/>
    <s v=""/>
    <s v=""/>
    <m/>
    <x v="3"/>
    <n v="-224.22"/>
    <n v="-35859.5"/>
    <d v="2026-07-16T00:00:00"/>
    <d v="2026-07-01T00:00:00"/>
    <m/>
    <d v="2026-07-16T00:00:00"/>
    <n v="-224220"/>
    <x v="4"/>
    <s v="57"/>
    <s v="ต้นทุนผลิตกึ่งสำเร็จ"/>
    <m/>
    <n v="159.92997948443494"/>
    <e v="#N/A"/>
    <e v="#N/A"/>
  </r>
  <r>
    <x v="28"/>
    <x v="28"/>
    <s v="0328"/>
    <x v="5"/>
    <s v="GR for order"/>
    <s v="4916418390"/>
    <s v="P003"/>
    <x v="35"/>
    <x v="36"/>
    <s v="16:23:55"/>
    <s v="JURASDOK"/>
    <s v="0001"/>
    <s v=""/>
    <s v="0000"/>
    <s v=""/>
    <s v="0000000000"/>
    <s v=""/>
    <s v=""/>
    <s v=""/>
    <s v="53001004"/>
    <s v=""/>
    <s v=""/>
    <s v=""/>
    <s v=""/>
    <m/>
    <x v="3"/>
    <n v="760"/>
    <n v="204956.79999999999"/>
    <d v="2026-07-16T00:00:00"/>
    <d v="2026-07-01T00:00:00"/>
    <m/>
    <d v="2026-07-16T00:00:00"/>
    <n v="760000"/>
    <x v="4"/>
    <s v="57"/>
    <s v="ต้นทุนผลิตโอน Semi"/>
    <m/>
    <n v="269.68"/>
    <e v="#N/A"/>
    <e v="#N/A"/>
  </r>
  <r>
    <x v="28"/>
    <x v="28"/>
    <s v="0328"/>
    <x v="4"/>
    <s v="GI for order"/>
    <s v="4916418651"/>
    <s v="P003"/>
    <x v="35"/>
    <x v="2"/>
    <s v="16:27:50"/>
    <s v="JURASDOK"/>
    <s v="0001"/>
    <s v=""/>
    <s v="0000"/>
    <s v=""/>
    <s v="0150860049"/>
    <s v=""/>
    <s v=""/>
    <s v=""/>
    <s v="53001003"/>
    <s v=""/>
    <s v=""/>
    <s v=""/>
    <s v=""/>
    <m/>
    <x v="3"/>
    <n v="-760"/>
    <n v="-204956.79999999999"/>
    <d v="2026-07-16T00:00:00"/>
    <d v="2026-07-01T00:00:00"/>
    <m/>
    <d v="2026-07-16T00:00:00"/>
    <n v="-760000"/>
    <x v="2"/>
    <s v="57"/>
    <s v="ต้นทุนผลิตกึ่งสำเร็จ"/>
    <m/>
    <n v="269.68"/>
    <e v="#N/A"/>
    <e v="#N/A"/>
  </r>
  <r>
    <x v="11"/>
    <x v="11"/>
    <s v="0328"/>
    <x v="4"/>
    <s v="GI for order"/>
    <s v="4916418651"/>
    <s v="P003"/>
    <x v="20"/>
    <x v="2"/>
    <s v="16:27:50"/>
    <s v="JURASDOK"/>
    <s v="0002"/>
    <s v=""/>
    <s v="0000"/>
    <s v=""/>
    <s v="0150860049"/>
    <s v=""/>
    <s v=""/>
    <s v=""/>
    <s v="53003000"/>
    <s v=""/>
    <s v=""/>
    <s v=""/>
    <s v=""/>
    <m/>
    <x v="0"/>
    <n v="-1617"/>
    <n v="-1367.61"/>
    <d v="2026-07-16T00:00:00"/>
    <d v="2026-07-01T00:00:00"/>
    <m/>
    <d v="2026-07-16T00:00:00"/>
    <n v="-1617"/>
    <x v="2"/>
    <s v="58"/>
    <s v="ต้นทุนผลิตหีบห่อ"/>
    <m/>
    <n v="0.84576994434137287"/>
    <e v="#N/A"/>
    <e v="#N/A"/>
  </r>
  <r>
    <x v="0"/>
    <x v="0"/>
    <s v="0328"/>
    <x v="4"/>
    <s v="GI for order"/>
    <s v="4916418651"/>
    <s v="P003"/>
    <x v="0"/>
    <x v="2"/>
    <s v="16:27:50"/>
    <s v="JURASDOK"/>
    <s v="0003"/>
    <s v=""/>
    <s v="0000"/>
    <s v=""/>
    <s v="0150860049"/>
    <s v=""/>
    <s v=""/>
    <s v=""/>
    <s v="53003000"/>
    <s v=""/>
    <s v=""/>
    <s v=""/>
    <s v=""/>
    <m/>
    <x v="0"/>
    <n v="-76"/>
    <n v="-1672"/>
    <d v="2026-07-16T00:00:00"/>
    <d v="2026-07-01T00:00:00"/>
    <m/>
    <d v="2026-07-16T00:00:00"/>
    <n v="-76"/>
    <x v="2"/>
    <s v="58"/>
    <s v="ต้นทุนผลิตหีบห่อ"/>
    <m/>
    <n v="22"/>
    <e v="#N/A"/>
    <e v="#N/A"/>
  </r>
  <r>
    <x v="4"/>
    <x v="4"/>
    <s v="0328"/>
    <x v="4"/>
    <s v="GI for order"/>
    <s v="4916418651"/>
    <s v="P003"/>
    <x v="5"/>
    <x v="2"/>
    <s v="16:27:50"/>
    <s v="JURASDOK"/>
    <s v="0004"/>
    <s v=""/>
    <s v="0000"/>
    <s v=""/>
    <s v="0000000000"/>
    <s v=""/>
    <s v="Film roll Nologo 500g.420mm*900m"/>
    <s v=""/>
    <s v="53003000"/>
    <s v=""/>
    <s v=""/>
    <s v=""/>
    <s v=""/>
    <m/>
    <x v="0"/>
    <n v="-1617"/>
    <n v="-2775.85"/>
    <d v="2026-07-16T00:00:00"/>
    <d v="2026-07-01T00:00:00"/>
    <m/>
    <d v="2026-07-16T00:00:00"/>
    <n v="-1617"/>
    <x v="2"/>
    <s v="58"/>
    <s v="ต้นทุนผลิตหีบห่อ"/>
    <m/>
    <n v="1.7166666666666666"/>
    <e v="#N/A"/>
    <e v="#N/A"/>
  </r>
  <r>
    <x v="18"/>
    <x v="18"/>
    <s v="0328"/>
    <x v="4"/>
    <s v="GI for order"/>
    <s v="4916420253"/>
    <s v="P002"/>
    <x v="25"/>
    <x v="37"/>
    <s v="16:58:44"/>
    <s v="JURASDOK"/>
    <s v="0002"/>
    <s v=""/>
    <s v="0000"/>
    <s v=""/>
    <s v="0151520553"/>
    <s v=""/>
    <s v=""/>
    <s v=""/>
    <s v="53001003"/>
    <s v=""/>
    <s v=""/>
    <s v=""/>
    <s v=""/>
    <m/>
    <x v="3"/>
    <n v="-8367"/>
    <n v="-2266118.2799999998"/>
    <d v="2026-07-16T00:00:00"/>
    <d v="2026-07-10T00:00:00"/>
    <m/>
    <d v="2026-07-16T00:00:00"/>
    <n v="-8367000"/>
    <x v="4"/>
    <s v="57"/>
    <s v="ต้นทุนผลิตกึ่งสำเร็จ"/>
    <m/>
    <n v="270.83999999999997"/>
    <e v="#N/A"/>
    <e v="#N/A"/>
  </r>
  <r>
    <x v="18"/>
    <x v="18"/>
    <s v="0328"/>
    <x v="4"/>
    <s v="GI for order"/>
    <s v="4916420253"/>
    <s v="P002"/>
    <x v="19"/>
    <x v="37"/>
    <s v="16:58:44"/>
    <s v="JURASDOK"/>
    <s v="0005"/>
    <s v=""/>
    <s v="0000"/>
    <s v=""/>
    <s v="0000000000"/>
    <s v=""/>
    <s v="เมล็ดกาแฟ Clean Arabica Size L"/>
    <s v=""/>
    <s v="53001003"/>
    <s v=""/>
    <s v=""/>
    <s v=""/>
    <s v=""/>
    <m/>
    <x v="3"/>
    <n v="-853.6"/>
    <n v="-231189.02"/>
    <d v="2026-07-16T00:00:00"/>
    <d v="2026-07-10T00:00:00"/>
    <m/>
    <d v="2026-07-16T00:00:00"/>
    <n v="-853600"/>
    <x v="4"/>
    <s v="57"/>
    <s v="ต้นทุนผลิตกึ่งสำเร็จ"/>
    <m/>
    <n v="270.83999531396438"/>
    <e v="#N/A"/>
    <e v="#N/A"/>
  </r>
  <r>
    <x v="17"/>
    <x v="17"/>
    <s v="0328"/>
    <x v="4"/>
    <s v="GI for order"/>
    <s v="4916420253"/>
    <s v="P002"/>
    <x v="69"/>
    <x v="37"/>
    <s v="16:58:44"/>
    <s v="JURASDOK"/>
    <s v="0003"/>
    <s v=""/>
    <s v="0000"/>
    <s v=""/>
    <s v="0151520553"/>
    <s v=""/>
    <s v=""/>
    <s v=""/>
    <s v="53001003"/>
    <s v=""/>
    <s v=""/>
    <s v=""/>
    <s v=""/>
    <m/>
    <x v="3"/>
    <n v="-747.54"/>
    <n v="-202456.26"/>
    <d v="2026-07-16T00:00:00"/>
    <d v="2026-07-10T00:00:00"/>
    <m/>
    <d v="2026-07-16T00:00:00"/>
    <n v="-747540"/>
    <x v="4"/>
    <s v="57"/>
    <s v="ต้นทุนผลิตกึ่งสำเร็จ"/>
    <m/>
    <n v="270.83000240789795"/>
    <e v="#N/A"/>
    <e v="#N/A"/>
  </r>
  <r>
    <x v="17"/>
    <x v="17"/>
    <s v="0328"/>
    <x v="4"/>
    <s v="GI for order"/>
    <s v="4916420253"/>
    <s v="P002"/>
    <x v="72"/>
    <x v="37"/>
    <s v="16:58:44"/>
    <s v="JURASDOK"/>
    <s v="0006"/>
    <s v=""/>
    <s v="0000"/>
    <s v=""/>
    <s v="0000000000"/>
    <s v=""/>
    <s v="เมล็ดกาแฟ Clean Arabica B"/>
    <s v=""/>
    <s v="53001003"/>
    <s v=""/>
    <s v=""/>
    <s v=""/>
    <s v=""/>
    <m/>
    <x v="3"/>
    <n v="-16.260000000000002"/>
    <n v="-4403.7"/>
    <d v="2026-07-16T00:00:00"/>
    <d v="2026-07-10T00:00:00"/>
    <m/>
    <d v="2026-07-16T00:00:00"/>
    <n v="-16260"/>
    <x v="4"/>
    <s v="57"/>
    <s v="ต้นทุนผลิตกึ่งสำเร็จ"/>
    <m/>
    <n v="270.83025830258299"/>
    <e v="#N/A"/>
    <e v="#N/A"/>
  </r>
  <r>
    <x v="19"/>
    <x v="19"/>
    <s v="0328"/>
    <x v="4"/>
    <s v="GI for order"/>
    <s v="4916420253"/>
    <s v="P002"/>
    <x v="8"/>
    <x v="37"/>
    <s v="16:58:44"/>
    <s v="JURASDOK"/>
    <s v="0004"/>
    <s v=""/>
    <s v="0000"/>
    <s v=""/>
    <s v="0151520553"/>
    <s v=""/>
    <s v=""/>
    <s v=""/>
    <s v="53001003"/>
    <s v=""/>
    <s v=""/>
    <s v=""/>
    <s v=""/>
    <m/>
    <x v="3"/>
    <n v="-2496.34"/>
    <n v="-399239.66"/>
    <d v="2026-07-16T00:00:00"/>
    <d v="2026-07-10T00:00:00"/>
    <m/>
    <d v="2026-07-16T00:00:00"/>
    <n v="-2496340"/>
    <x v="4"/>
    <s v="57"/>
    <s v="ต้นทุนผลิตกึ่งสำเร็จ"/>
    <m/>
    <n v="159.93000152222854"/>
    <e v="#N/A"/>
    <e v="#N/A"/>
  </r>
  <r>
    <x v="23"/>
    <x v="23"/>
    <s v="0328"/>
    <x v="5"/>
    <s v="GR for order"/>
    <s v="4916420253"/>
    <s v="P003"/>
    <x v="73"/>
    <x v="37"/>
    <s v="16:58:44"/>
    <s v="JURASDOK"/>
    <s v="0001"/>
    <s v=""/>
    <s v="0000"/>
    <s v=""/>
    <s v="0000000000"/>
    <s v=""/>
    <s v=""/>
    <s v=""/>
    <s v="53001004"/>
    <s v=""/>
    <s v=""/>
    <s v=""/>
    <s v=""/>
    <m/>
    <x v="3"/>
    <n v="10041.99"/>
    <n v="3265052.63"/>
    <d v="2026-07-16T00:00:00"/>
    <d v="2026-07-10T00:00:00"/>
    <m/>
    <d v="2026-07-16T00:00:00"/>
    <n v="10041990"/>
    <x v="4"/>
    <s v="57"/>
    <s v="ต้นทุนผลิตโอน Semi"/>
    <m/>
    <n v="325.14000013941461"/>
    <e v="#N/A"/>
    <e v="#N/A"/>
  </r>
  <r>
    <x v="18"/>
    <x v="18"/>
    <s v="0328"/>
    <x v="4"/>
    <s v="GI for order"/>
    <s v="4916420793"/>
    <s v="P002"/>
    <x v="19"/>
    <x v="38"/>
    <s v="17:09:11"/>
    <s v="JURASDOK"/>
    <s v="0002"/>
    <s v=""/>
    <s v="0000"/>
    <s v=""/>
    <s v="0151520627"/>
    <s v=""/>
    <s v=""/>
    <s v=""/>
    <s v="53001003"/>
    <s v=""/>
    <s v=""/>
    <s v=""/>
    <s v=""/>
    <m/>
    <x v="3"/>
    <n v="-7740.2"/>
    <n v="-2096355.77"/>
    <d v="2026-07-16T00:00:00"/>
    <d v="2026-07-11T00:00:00"/>
    <m/>
    <d v="2026-07-16T00:00:00"/>
    <n v="-7740200"/>
    <x v="4"/>
    <s v="57"/>
    <s v="ต้นทุนผลิตกึ่งสำเร็จ"/>
    <m/>
    <n v="270.84000025839129"/>
    <e v="#N/A"/>
    <e v="#N/A"/>
  </r>
  <r>
    <x v="17"/>
    <x v="17"/>
    <s v="0328"/>
    <x v="4"/>
    <s v="GI for order"/>
    <s v="4916420793"/>
    <s v="P002"/>
    <x v="74"/>
    <x v="38"/>
    <s v="17:09:11"/>
    <s v="JURASDOK"/>
    <s v="0005"/>
    <s v=""/>
    <s v="0000"/>
    <s v=""/>
    <s v="0000000000"/>
    <s v=""/>
    <s v="เมล็ดกาแฟ Clean Arabica B"/>
    <s v=""/>
    <s v="53001003"/>
    <s v=""/>
    <s v=""/>
    <s v=""/>
    <s v=""/>
    <m/>
    <x v="3"/>
    <n v="-551.55999999999995"/>
    <n v="-149378.99"/>
    <d v="2026-07-16T00:00:00"/>
    <d v="2026-07-11T00:00:00"/>
    <m/>
    <d v="2026-07-16T00:00:00"/>
    <n v="-551560"/>
    <x v="4"/>
    <s v="57"/>
    <s v="ต้นทุนผลิตกึ่งสำเร็จ"/>
    <m/>
    <n v="270.82999129741097"/>
    <e v="#N/A"/>
    <e v="#N/A"/>
  </r>
  <r>
    <x v="17"/>
    <x v="17"/>
    <s v="0328"/>
    <x v="4"/>
    <s v="GI for order"/>
    <s v="4916420793"/>
    <s v="P002"/>
    <x v="72"/>
    <x v="38"/>
    <s v="17:09:11"/>
    <s v="JURASDOK"/>
    <s v="0003"/>
    <s v=""/>
    <s v="0000"/>
    <s v=""/>
    <s v="0151520627"/>
    <s v=""/>
    <s v=""/>
    <s v=""/>
    <s v="53001003"/>
    <s v=""/>
    <s v=""/>
    <s v=""/>
    <s v=""/>
    <m/>
    <x v="3"/>
    <n v="-349.94"/>
    <n v="-94774.25"/>
    <d v="2026-07-16T00:00:00"/>
    <d v="2026-07-11T00:00:00"/>
    <m/>
    <d v="2026-07-16T00:00:00"/>
    <n v="-349940"/>
    <x v="4"/>
    <s v="57"/>
    <s v="ต้นทุนผลิตกึ่งสำเร็จ"/>
    <m/>
    <n v="270.82999942847346"/>
    <e v="#N/A"/>
    <e v="#N/A"/>
  </r>
  <r>
    <x v="19"/>
    <x v="19"/>
    <s v="0328"/>
    <x v="4"/>
    <s v="GI for order"/>
    <s v="4916420793"/>
    <s v="P002"/>
    <x v="8"/>
    <x v="38"/>
    <s v="17:09:11"/>
    <s v="JURASDOK"/>
    <s v="0004"/>
    <s v=""/>
    <s v="0000"/>
    <s v=""/>
    <s v="0151520627"/>
    <s v=""/>
    <s v=""/>
    <s v=""/>
    <s v="53001003"/>
    <s v=""/>
    <s v=""/>
    <s v=""/>
    <s v=""/>
    <m/>
    <x v="3"/>
    <n v="-2160.04"/>
    <n v="-345455.2"/>
    <d v="2026-07-16T00:00:00"/>
    <d v="2026-07-11T00:00:00"/>
    <m/>
    <d v="2026-07-16T00:00:00"/>
    <n v="-2160040"/>
    <x v="4"/>
    <s v="57"/>
    <s v="ต้นทุนผลิตกึ่งสำเร็จ"/>
    <m/>
    <n v="159.93000129627231"/>
    <e v="#N/A"/>
    <e v="#N/A"/>
  </r>
  <r>
    <x v="23"/>
    <x v="23"/>
    <s v="0328"/>
    <x v="5"/>
    <s v="GR for order"/>
    <s v="4916420793"/>
    <s v="P003"/>
    <x v="75"/>
    <x v="38"/>
    <s v="17:09:11"/>
    <s v="JURASDOK"/>
    <s v="0001"/>
    <s v=""/>
    <s v="0000"/>
    <s v=""/>
    <s v="0000000000"/>
    <s v=""/>
    <s v=""/>
    <s v=""/>
    <s v="53001004"/>
    <s v=""/>
    <s v=""/>
    <s v=""/>
    <s v=""/>
    <m/>
    <x v="3"/>
    <n v="8701.74"/>
    <n v="2829283.74"/>
    <d v="2026-07-16T00:00:00"/>
    <d v="2026-07-11T00:00:00"/>
    <m/>
    <d v="2026-07-16T00:00:00"/>
    <n v="8701740"/>
    <x v="4"/>
    <s v="57"/>
    <s v="ต้นทุนผลิตโอน Semi"/>
    <m/>
    <n v="325.13999958628966"/>
    <e v="#N/A"/>
    <e v="#N/A"/>
  </r>
  <r>
    <x v="14"/>
    <x v="14"/>
    <s v="0328"/>
    <x v="4"/>
    <s v="GI for order"/>
    <s v="4916420982"/>
    <s v="P001"/>
    <x v="52"/>
    <x v="39"/>
    <s v="17:12:26"/>
    <s v="SUTEESEA"/>
    <s v="0001"/>
    <s v=""/>
    <s v="0000"/>
    <s v=""/>
    <s v="0151520662"/>
    <s v=""/>
    <s v=""/>
    <s v=""/>
    <s v="53002000"/>
    <s v=""/>
    <s v=""/>
    <s v=""/>
    <s v=""/>
    <m/>
    <x v="3"/>
    <n v="-13882.95"/>
    <n v="-3663830.41"/>
    <d v="2026-07-16T00:00:00"/>
    <d v="2026-07-13T00:00:00"/>
    <m/>
    <d v="2026-07-16T00:00:00"/>
    <n v="-13882950"/>
    <x v="3"/>
    <s v="54"/>
    <s v="ต้นทุนผลิต-วัตถุดิบ"/>
    <m/>
    <n v="263.90863685311837"/>
    <e v="#N/A"/>
    <e v="#N/A"/>
  </r>
  <r>
    <x v="14"/>
    <x v="14"/>
    <s v="0328"/>
    <x v="4"/>
    <s v="GI for order"/>
    <s v="4916420982"/>
    <s v="P001"/>
    <x v="19"/>
    <x v="39"/>
    <s v="17:12:26"/>
    <s v="SUTEESEA"/>
    <s v="0002"/>
    <s v=""/>
    <s v="0000"/>
    <s v=""/>
    <s v="0000000000"/>
    <s v=""/>
    <s v="สารกาแฟอาราบิก้า"/>
    <s v=""/>
    <s v="53002000"/>
    <s v=""/>
    <s v=""/>
    <s v=""/>
    <s v=""/>
    <m/>
    <x v="3"/>
    <n v="-158.05000000000001"/>
    <n v="-41710.76"/>
    <d v="2026-07-16T00:00:00"/>
    <d v="2026-07-13T00:00:00"/>
    <m/>
    <d v="2026-07-16T00:00:00"/>
    <n v="-158050"/>
    <x v="3"/>
    <s v="54"/>
    <s v="ต้นทุนผลิต-วัตถุดิบ"/>
    <m/>
    <n v="263.90863650743432"/>
    <e v="#N/A"/>
    <e v="#N/A"/>
  </r>
  <r>
    <x v="23"/>
    <x v="23"/>
    <s v="0328"/>
    <x v="4"/>
    <s v="GI for order"/>
    <s v="4916421434"/>
    <s v="P003"/>
    <x v="73"/>
    <x v="40"/>
    <s v="17:22:11"/>
    <s v="JURASDOK"/>
    <s v="0002"/>
    <s v=""/>
    <s v="0000"/>
    <s v=""/>
    <s v="0151520809"/>
    <s v=""/>
    <s v=""/>
    <s v=""/>
    <s v="53001003"/>
    <s v=""/>
    <s v=""/>
    <s v=""/>
    <s v=""/>
    <m/>
    <x v="3"/>
    <n v="-10041.99"/>
    <n v="-3265052.63"/>
    <d v="2026-07-16T00:00:00"/>
    <d v="2026-07-10T00:00:00"/>
    <m/>
    <d v="2026-07-16T00:00:00"/>
    <n v="-10041990"/>
    <x v="2"/>
    <s v="57"/>
    <s v="ต้นทุนผลิตกึ่งสำเร็จ"/>
    <m/>
    <n v="325.14000013941461"/>
    <e v="#N/A"/>
    <e v="#N/A"/>
  </r>
  <r>
    <x v="11"/>
    <x v="11"/>
    <s v="0328"/>
    <x v="4"/>
    <s v="GI for order"/>
    <s v="4916421434"/>
    <s v="P003"/>
    <x v="20"/>
    <x v="40"/>
    <s v="17:22:11"/>
    <s v="JURASDOK"/>
    <s v="0003"/>
    <s v=""/>
    <s v="0000"/>
    <s v=""/>
    <s v="0151520809"/>
    <s v=""/>
    <s v=""/>
    <s v=""/>
    <s v="53003000"/>
    <s v=""/>
    <s v=""/>
    <s v=""/>
    <s v=""/>
    <m/>
    <x v="0"/>
    <n v="-20452"/>
    <n v="-17297.64"/>
    <d v="2026-07-16T00:00:00"/>
    <d v="2026-07-10T00:00:00"/>
    <m/>
    <d v="2026-07-16T00:00:00"/>
    <n v="-20452"/>
    <x v="2"/>
    <s v="58"/>
    <s v="ต้นทุนผลิตหีบห่อ"/>
    <m/>
    <n v="0.84576765108546836"/>
    <e v="#N/A"/>
    <e v="#N/A"/>
  </r>
  <r>
    <x v="12"/>
    <x v="12"/>
    <s v="0328"/>
    <x v="4"/>
    <s v="GI for order"/>
    <s v="4916421434"/>
    <s v="P003"/>
    <x v="33"/>
    <x v="40"/>
    <s v="17:22:11"/>
    <s v="JURASDOK"/>
    <s v="0004"/>
    <s v=""/>
    <s v="0000"/>
    <s v=""/>
    <s v="0151520809"/>
    <s v=""/>
    <s v=""/>
    <s v=""/>
    <s v="53003000"/>
    <s v=""/>
    <s v=""/>
    <s v=""/>
    <s v=""/>
    <m/>
    <x v="0"/>
    <n v="-20452"/>
    <n v="-42611.48"/>
    <d v="2026-07-16T00:00:00"/>
    <d v="2026-07-10T00:00:00"/>
    <m/>
    <d v="2026-07-16T00:00:00"/>
    <n v="-20452"/>
    <x v="2"/>
    <s v="58"/>
    <s v="ต้นทุนผลิตหีบห่อ"/>
    <m/>
    <n v="2.083487189516918"/>
    <e v="#N/A"/>
    <e v="#N/A"/>
  </r>
  <r>
    <x v="13"/>
    <x v="13"/>
    <s v="0328"/>
    <x v="4"/>
    <s v="GI for order"/>
    <s v="4916421434"/>
    <s v="P003"/>
    <x v="47"/>
    <x v="40"/>
    <s v="17:22:11"/>
    <s v="JURASDOK"/>
    <s v="0005"/>
    <s v=""/>
    <s v="0000"/>
    <s v=""/>
    <s v="0151520809"/>
    <s v=""/>
    <s v=""/>
    <s v=""/>
    <s v="53003000"/>
    <s v=""/>
    <s v=""/>
    <s v=""/>
    <s v=""/>
    <m/>
    <x v="0"/>
    <n v="-3358"/>
    <n v="-16790"/>
    <d v="2026-07-16T00:00:00"/>
    <d v="2026-07-10T00:00:00"/>
    <m/>
    <d v="2026-07-16T00:00:00"/>
    <n v="-3358"/>
    <x v="2"/>
    <s v="58"/>
    <s v="ต้นทุนผลิตหีบห่อ"/>
    <m/>
    <n v="5"/>
    <e v="#N/A"/>
    <e v="#N/A"/>
  </r>
  <r>
    <x v="5"/>
    <x v="5"/>
    <s v="0328"/>
    <x v="5"/>
    <s v="GR for order"/>
    <s v="4916421434"/>
    <s v="M001"/>
    <x v="76"/>
    <x v="40"/>
    <s v="17:22:11"/>
    <s v="JURASDOK"/>
    <s v="0001"/>
    <s v=""/>
    <s v="0000"/>
    <s v=""/>
    <s v="0000000000"/>
    <s v=""/>
    <s v=""/>
    <s v=""/>
    <s v="53001001"/>
    <s v=""/>
    <s v=""/>
    <s v=""/>
    <s v=""/>
    <m/>
    <x v="2"/>
    <n v="20077"/>
    <n v="3410279.22"/>
    <d v="2026-07-16T00:00:00"/>
    <d v="2026-07-10T00:00:00"/>
    <m/>
    <d v="2026-07-16T00:00:00"/>
    <n v="10038500"/>
    <x v="2"/>
    <s v="59"/>
    <s v="ต้นทุนผลิตโอน F/G"/>
    <m/>
    <n v="169.86"/>
    <e v="#N/A"/>
    <e v="#N/A"/>
  </r>
  <r>
    <x v="14"/>
    <x v="14"/>
    <s v="0328"/>
    <x v="4"/>
    <s v="GI for order"/>
    <s v="4916421562"/>
    <s v="P001"/>
    <x v="25"/>
    <x v="41"/>
    <s v="17:22:26"/>
    <s v="SUTEESEA"/>
    <s v="0001"/>
    <s v=""/>
    <s v="0000"/>
    <s v=""/>
    <s v="0151520810"/>
    <s v=""/>
    <s v=""/>
    <s v=""/>
    <s v="53002000"/>
    <s v=""/>
    <s v=""/>
    <s v=""/>
    <s v=""/>
    <m/>
    <x v="3"/>
    <n v="-15064.9"/>
    <n v="-3975757.23"/>
    <d v="2026-07-16T00:00:00"/>
    <d v="2026-07-15T00:00:00"/>
    <m/>
    <d v="2026-07-16T00:00:00"/>
    <n v="-15064900"/>
    <x v="3"/>
    <s v="54"/>
    <s v="ต้นทุนผลิต-วัตถุดิบ"/>
    <m/>
    <n v="263.90863729596612"/>
    <e v="#N/A"/>
    <e v="#N/A"/>
  </r>
  <r>
    <x v="23"/>
    <x v="23"/>
    <s v="0328"/>
    <x v="4"/>
    <s v="GI for order"/>
    <s v="4916421661"/>
    <s v="P003"/>
    <x v="75"/>
    <x v="42"/>
    <s v="17:24:27"/>
    <s v="JURASDOK"/>
    <s v="0002"/>
    <s v=""/>
    <s v="0000"/>
    <s v=""/>
    <s v="0151520835"/>
    <s v=""/>
    <s v=""/>
    <s v=""/>
    <s v="53001003"/>
    <s v=""/>
    <s v=""/>
    <s v=""/>
    <s v=""/>
    <m/>
    <x v="3"/>
    <n v="-8701.74"/>
    <n v="-2829283.74"/>
    <d v="2026-07-16T00:00:00"/>
    <d v="2026-07-11T00:00:00"/>
    <m/>
    <d v="2026-07-16T00:00:00"/>
    <n v="-8701740"/>
    <x v="2"/>
    <s v="57"/>
    <s v="ต้นทุนผลิตกึ่งสำเร็จ"/>
    <m/>
    <n v="325.13999958628966"/>
    <e v="#N/A"/>
    <e v="#N/A"/>
  </r>
  <r>
    <x v="11"/>
    <x v="11"/>
    <s v="0328"/>
    <x v="4"/>
    <s v="GI for order"/>
    <s v="4916421661"/>
    <s v="P003"/>
    <x v="20"/>
    <x v="42"/>
    <s v="17:24:27"/>
    <s v="JURASDOK"/>
    <s v="0003"/>
    <s v=""/>
    <s v="0000"/>
    <s v=""/>
    <s v="0151520835"/>
    <s v=""/>
    <s v=""/>
    <s v=""/>
    <s v="53003000"/>
    <s v=""/>
    <s v=""/>
    <s v=""/>
    <s v=""/>
    <m/>
    <x v="0"/>
    <n v="-17689"/>
    <n v="-14960.79"/>
    <d v="2026-07-16T00:00:00"/>
    <d v="2026-07-11T00:00:00"/>
    <m/>
    <d v="2026-07-16T00:00:00"/>
    <n v="-17689"/>
    <x v="2"/>
    <s v="58"/>
    <s v="ต้นทุนผลิตหีบห่อ"/>
    <m/>
    <n v="0.84576799140708925"/>
    <e v="#N/A"/>
    <e v="#N/A"/>
  </r>
  <r>
    <x v="12"/>
    <x v="12"/>
    <s v="0328"/>
    <x v="4"/>
    <s v="GI for order"/>
    <s v="4916421661"/>
    <s v="P003"/>
    <x v="33"/>
    <x v="42"/>
    <s v="17:24:27"/>
    <s v="JURASDOK"/>
    <s v="0004"/>
    <s v=""/>
    <s v="0000"/>
    <s v=""/>
    <s v="0151520835"/>
    <s v=""/>
    <s v=""/>
    <s v=""/>
    <s v="53003000"/>
    <s v=""/>
    <s v=""/>
    <s v=""/>
    <s v=""/>
    <m/>
    <x v="0"/>
    <n v="-17689"/>
    <n v="-36854.800000000003"/>
    <d v="2026-07-16T00:00:00"/>
    <d v="2026-07-11T00:00:00"/>
    <m/>
    <d v="2026-07-16T00:00:00"/>
    <n v="-17689"/>
    <x v="2"/>
    <s v="58"/>
    <s v="ต้นทุนผลิตหีบห่อ"/>
    <m/>
    <n v="2.0834869127706486"/>
    <e v="#N/A"/>
    <e v="#N/A"/>
  </r>
  <r>
    <x v="13"/>
    <x v="13"/>
    <s v="0328"/>
    <x v="4"/>
    <s v="GI for order"/>
    <s v="4916421661"/>
    <s v="P003"/>
    <x v="47"/>
    <x v="42"/>
    <s v="17:24:27"/>
    <s v="JURASDOK"/>
    <s v="0005"/>
    <s v=""/>
    <s v="0000"/>
    <s v=""/>
    <s v="0151520835"/>
    <s v=""/>
    <s v=""/>
    <s v=""/>
    <s v="53003000"/>
    <s v=""/>
    <s v=""/>
    <s v=""/>
    <s v=""/>
    <m/>
    <x v="0"/>
    <n v="-2915"/>
    <n v="-14575"/>
    <d v="2026-07-16T00:00:00"/>
    <d v="2026-07-11T00:00:00"/>
    <m/>
    <d v="2026-07-16T00:00:00"/>
    <n v="-2915"/>
    <x v="2"/>
    <s v="58"/>
    <s v="ต้นทุนผลิตหีบห่อ"/>
    <m/>
    <n v="5"/>
    <e v="#N/A"/>
    <e v="#N/A"/>
  </r>
  <r>
    <x v="5"/>
    <x v="5"/>
    <s v="0328"/>
    <x v="5"/>
    <s v="GR for order"/>
    <s v="4916421661"/>
    <s v="M001"/>
    <x v="77"/>
    <x v="42"/>
    <s v="17:24:27"/>
    <s v="JURASDOK"/>
    <s v="0001"/>
    <s v=""/>
    <s v="0000"/>
    <s v=""/>
    <s v="0000000000"/>
    <s v=""/>
    <s v=""/>
    <s v=""/>
    <s v="53001001"/>
    <s v=""/>
    <s v=""/>
    <s v=""/>
    <s v=""/>
    <m/>
    <x v="2"/>
    <n v="17390"/>
    <n v="2953865.4"/>
    <d v="2026-07-16T00:00:00"/>
    <d v="2026-07-11T00:00:00"/>
    <m/>
    <d v="2026-07-16T00:00:00"/>
    <n v="8695000"/>
    <x v="2"/>
    <s v="59"/>
    <s v="ต้นทุนผลิตโอน F/G"/>
    <m/>
    <n v="169.85999999999999"/>
    <e v="#N/A"/>
    <e v="#N/A"/>
  </r>
  <r>
    <x v="14"/>
    <x v="14"/>
    <s v="0328"/>
    <x v="4"/>
    <s v="GI for order"/>
    <s v="4916421900"/>
    <s v="P001"/>
    <x v="52"/>
    <x v="43"/>
    <s v="17:32:25"/>
    <s v="SUTEESEA"/>
    <s v="0001"/>
    <s v=""/>
    <s v="0000"/>
    <s v=""/>
    <s v="0151520869"/>
    <s v=""/>
    <s v=""/>
    <s v=""/>
    <s v="53002000"/>
    <s v=""/>
    <s v=""/>
    <s v=""/>
    <s v=""/>
    <m/>
    <x v="3"/>
    <n v="-7017.2"/>
    <n v="-1851899.69"/>
    <d v="2026-07-16T00:00:00"/>
    <d v="2026-07-15T00:00:00"/>
    <m/>
    <d v="2026-07-16T00:00:00"/>
    <n v="-7017200"/>
    <x v="3"/>
    <s v="54"/>
    <s v="ต้นทุนผลิต-วัตถุดิบ"/>
    <m/>
    <n v="263.90863734823006"/>
    <e v="#N/A"/>
    <e v="#N/A"/>
  </r>
  <r>
    <x v="5"/>
    <x v="5"/>
    <s v="0328"/>
    <x v="1"/>
    <s v="GI ค่าวิจัยและพัฒนา"/>
    <s v="4916431764"/>
    <s v="M001"/>
    <x v="54"/>
    <x v="0"/>
    <s v="21:43:14"/>
    <s v="PRONDTAN"/>
    <s v="0004"/>
    <s v=""/>
    <s v="0000"/>
    <s v=""/>
    <s v="0151521805"/>
    <s v=""/>
    <s v="Retain 15.07.26.2 A010R002"/>
    <s v="405053"/>
    <s v="67501001"/>
    <s v=""/>
    <s v=""/>
    <s v=""/>
    <s v=""/>
    <m/>
    <x v="2"/>
    <n v="-5"/>
    <n v="-849.3"/>
    <d v="2026-07-16T00:00:00"/>
    <d v="2026-07-16T00:00:00"/>
    <m/>
    <d v="2026-07-16T00:00:00"/>
    <n v="-25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6431764"/>
    <s v="M001"/>
    <x v="42"/>
    <x v="0"/>
    <s v="21:43:14"/>
    <s v="PRONDTAN"/>
    <s v="0003"/>
    <s v=""/>
    <s v="0000"/>
    <s v=""/>
    <s v="0151521805"/>
    <s v=""/>
    <s v="Routine 15.07.26.2 A010R002"/>
    <s v="405053"/>
    <s v="67501001"/>
    <s v=""/>
    <s v=""/>
    <s v=""/>
    <s v=""/>
    <m/>
    <x v="2"/>
    <n v="-3"/>
    <n v="-509.58"/>
    <d v="2026-07-16T00:00:00"/>
    <d v="2026-07-16T00:00:00"/>
    <m/>
    <d v="2026-07-16T00:00:00"/>
    <n v="-15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6431764"/>
    <s v="M001"/>
    <x v="54"/>
    <x v="0"/>
    <s v="21:43:14"/>
    <s v="PRONDTAN"/>
    <s v="0002"/>
    <s v=""/>
    <s v="0000"/>
    <s v=""/>
    <s v="0151521805"/>
    <s v=""/>
    <s v="Retain 15.07.26.1 A010R002"/>
    <s v="405053"/>
    <s v="67501001"/>
    <s v=""/>
    <s v=""/>
    <s v=""/>
    <s v=""/>
    <m/>
    <x v="2"/>
    <n v="-2"/>
    <n v="-339.72"/>
    <d v="2026-07-16T00:00:00"/>
    <d v="2026-07-16T00:00:00"/>
    <m/>
    <d v="2026-07-16T00:00:00"/>
    <n v="-10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6431764"/>
    <s v="M001"/>
    <x v="54"/>
    <x v="0"/>
    <s v="21:43:14"/>
    <s v="PRONDTAN"/>
    <s v="0001"/>
    <s v=""/>
    <s v="0000"/>
    <s v=""/>
    <s v="0151521805"/>
    <s v=""/>
    <s v="Routine 15.07.26.1 A010R002"/>
    <s v="405053"/>
    <s v="67501001"/>
    <s v=""/>
    <s v=""/>
    <s v=""/>
    <s v=""/>
    <m/>
    <x v="2"/>
    <n v="-1"/>
    <n v="-169.86"/>
    <d v="2026-07-16T00:00:00"/>
    <d v="2026-07-16T00:00:00"/>
    <m/>
    <d v="2026-07-16T00:00:00"/>
    <n v="-500"/>
    <x v="0"/>
    <s v="59"/>
    <s v="ค่าวิจัยคุณภาพสินค้า"/>
    <m/>
    <n v="169.86"/>
    <e v="#N/A"/>
    <e v="#N/A"/>
  </r>
  <r>
    <x v="6"/>
    <x v="6"/>
    <s v="0328"/>
    <x v="13"/>
    <s v="GD returns unrestr."/>
    <s v="4916482728"/>
    <s v="P004"/>
    <x v="7"/>
    <x v="0"/>
    <s v="13:52:45"/>
    <s v="SONGPCHI"/>
    <s v="0001"/>
    <s v=""/>
    <s v="0000"/>
    <s v=""/>
    <s v="0000000000"/>
    <s v=""/>
    <s v=""/>
    <s v=""/>
    <s v="51003100"/>
    <s v=""/>
    <s v=""/>
    <s v=""/>
    <s v="2100000972"/>
    <m/>
    <x v="5"/>
    <n v="2"/>
    <n v="0.68"/>
    <d v="2026-07-17T00:00:00"/>
    <d v="2026-07-17T00:00:00"/>
    <m/>
    <d v="2026-07-17T00:00:00"/>
    <n v="2"/>
    <x v="0"/>
    <s v="59"/>
    <s v="ต้นทุนขาย"/>
    <s v="CN"/>
    <n v="0.34"/>
    <e v="#N/A"/>
    <e v="#N/A"/>
  </r>
  <r>
    <x v="11"/>
    <x v="11"/>
    <s v="0328"/>
    <x v="3"/>
    <s v="TF trfr within plant"/>
    <s v="4916482772"/>
    <s v="P003"/>
    <x v="20"/>
    <x v="0"/>
    <s v="13:52:26"/>
    <s v="RAPEESAN01"/>
    <s v="0002"/>
    <s v=""/>
    <s v="0000"/>
    <s v=""/>
    <s v="0000000000"/>
    <s v=""/>
    <s v=""/>
    <s v=""/>
    <s v=""/>
    <s v=""/>
    <s v=""/>
    <s v=""/>
    <s v=""/>
    <m/>
    <x v="0"/>
    <n v="50000"/>
    <n v="0"/>
    <d v="2026-07-17T00:00:00"/>
    <d v="2026-07-17T00:00:00"/>
    <m/>
    <d v="2026-07-17T00:00:00"/>
    <n v="50000"/>
    <x v="0"/>
    <s v="58"/>
    <e v="#N/A"/>
    <m/>
    <n v="0"/>
    <e v="#N/A"/>
    <e v="#N/A"/>
  </r>
  <r>
    <x v="11"/>
    <x v="11"/>
    <s v="0328"/>
    <x v="3"/>
    <s v="TF trfr within plant"/>
    <s v="4916482772"/>
    <s v="M003"/>
    <x v="20"/>
    <x v="0"/>
    <s v="13:52:26"/>
    <s v="RAPEESAN01"/>
    <s v="0001"/>
    <s v=""/>
    <s v="0000"/>
    <s v=""/>
    <s v="0000000000"/>
    <s v=""/>
    <s v=""/>
    <s v=""/>
    <s v=""/>
    <s v=""/>
    <s v=""/>
    <s v=""/>
    <s v=""/>
    <m/>
    <x v="0"/>
    <n v="-50000"/>
    <n v="0"/>
    <d v="2026-07-17T00:00:00"/>
    <d v="2026-07-17T00:00:00"/>
    <m/>
    <d v="2026-07-17T00:00:00"/>
    <n v="-50000"/>
    <x v="0"/>
    <s v="58"/>
    <e v="#N/A"/>
    <m/>
    <n v="0"/>
    <e v="#N/A"/>
    <e v="#N/A"/>
  </r>
  <r>
    <x v="12"/>
    <x v="12"/>
    <s v="0328"/>
    <x v="3"/>
    <s v="TF trfr within plant"/>
    <s v="4916482772"/>
    <s v="P003"/>
    <x v="1"/>
    <x v="0"/>
    <s v="13:52:26"/>
    <s v="RAPEESAN01"/>
    <s v="0004"/>
    <s v=""/>
    <s v="0000"/>
    <s v=""/>
    <s v="0000000000"/>
    <s v=""/>
    <s v=""/>
    <s v=""/>
    <s v=""/>
    <s v=""/>
    <s v=""/>
    <s v=""/>
    <s v=""/>
    <m/>
    <x v="0"/>
    <n v="36000"/>
    <n v="0"/>
    <d v="2026-07-17T00:00:00"/>
    <d v="2026-07-17T00:00:00"/>
    <m/>
    <d v="2026-07-17T00:00:00"/>
    <n v="36000"/>
    <x v="0"/>
    <s v="58"/>
    <e v="#N/A"/>
    <m/>
    <n v="0"/>
    <e v="#N/A"/>
    <e v="#N/A"/>
  </r>
  <r>
    <x v="12"/>
    <x v="12"/>
    <s v="0328"/>
    <x v="3"/>
    <s v="TF trfr within plant"/>
    <s v="4916482772"/>
    <s v="M003"/>
    <x v="1"/>
    <x v="0"/>
    <s v="13:52:26"/>
    <s v="RAPEESAN01"/>
    <s v="0003"/>
    <s v=""/>
    <s v="0000"/>
    <s v=""/>
    <s v="0000000000"/>
    <s v=""/>
    <s v=""/>
    <s v=""/>
    <s v=""/>
    <s v=""/>
    <s v=""/>
    <s v=""/>
    <s v=""/>
    <m/>
    <x v="0"/>
    <n v="-36000"/>
    <n v="0"/>
    <d v="2026-07-17T00:00:00"/>
    <d v="2026-07-17T00:00:00"/>
    <m/>
    <d v="2026-07-17T00:00:00"/>
    <n v="-36000"/>
    <x v="0"/>
    <s v="58"/>
    <e v="#N/A"/>
    <m/>
    <n v="0"/>
    <e v="#N/A"/>
    <e v="#N/A"/>
  </r>
  <r>
    <x v="13"/>
    <x v="13"/>
    <s v="0328"/>
    <x v="3"/>
    <s v="TF trfr within plant"/>
    <s v="4916482772"/>
    <s v="P003"/>
    <x v="65"/>
    <x v="0"/>
    <s v="13:52:26"/>
    <s v="RAPEESAN01"/>
    <s v="0006"/>
    <s v=""/>
    <s v="0000"/>
    <s v=""/>
    <s v="0000000000"/>
    <s v=""/>
    <s v=""/>
    <s v=""/>
    <s v=""/>
    <s v=""/>
    <s v=""/>
    <s v=""/>
    <s v=""/>
    <m/>
    <x v="0"/>
    <n v="4000"/>
    <n v="0"/>
    <d v="2026-07-17T00:00:00"/>
    <d v="2026-07-17T00:00:00"/>
    <m/>
    <d v="2026-07-17T00:00:00"/>
    <n v="4000"/>
    <x v="0"/>
    <s v="58"/>
    <e v="#N/A"/>
    <m/>
    <n v="0"/>
    <e v="#N/A"/>
    <e v="#N/A"/>
  </r>
  <r>
    <x v="13"/>
    <x v="13"/>
    <s v="0328"/>
    <x v="3"/>
    <s v="TF trfr within plant"/>
    <s v="4916482772"/>
    <s v="M003"/>
    <x v="65"/>
    <x v="0"/>
    <s v="13:52:26"/>
    <s v="RAPEESAN01"/>
    <s v="0005"/>
    <s v=""/>
    <s v="0000"/>
    <s v=""/>
    <s v="0000000000"/>
    <s v=""/>
    <s v=""/>
    <s v=""/>
    <s v=""/>
    <s v=""/>
    <s v=""/>
    <s v=""/>
    <s v=""/>
    <m/>
    <x v="0"/>
    <n v="-4000"/>
    <n v="0"/>
    <d v="2026-07-17T00:00:00"/>
    <d v="2026-07-17T00:00:00"/>
    <m/>
    <d v="2026-07-17T00:00:00"/>
    <n v="-4000"/>
    <x v="0"/>
    <s v="58"/>
    <e v="#N/A"/>
    <m/>
    <n v="0"/>
    <e v="#N/A"/>
    <e v="#N/A"/>
  </r>
  <r>
    <x v="6"/>
    <x v="6"/>
    <s v="0328"/>
    <x v="2"/>
    <s v="GD goods issue:delvy"/>
    <s v="4916482892"/>
    <s v="P004"/>
    <x v="10"/>
    <x v="0"/>
    <s v="13:55:26"/>
    <s v="THANAWIS"/>
    <s v="0001"/>
    <s v=""/>
    <s v="0000"/>
    <s v=""/>
    <s v="0000000000"/>
    <s v=""/>
    <s v=""/>
    <s v=""/>
    <s v="51003100"/>
    <s v=""/>
    <s v=""/>
    <s v=""/>
    <s v="2000125974"/>
    <m/>
    <x v="2"/>
    <n v="-40"/>
    <n v="-6792.8"/>
    <d v="2026-07-17T00:00:00"/>
    <d v="2026-07-17T00:00:00"/>
    <m/>
    <d v="2026-07-17T00:00:00"/>
    <n v="-20000"/>
    <x v="0"/>
    <s v="59"/>
    <s v="ต้นทุนขาย"/>
    <m/>
    <n v="169.82"/>
    <e v="#N/A"/>
    <e v="#N/A"/>
  </r>
  <r>
    <x v="6"/>
    <x v="6"/>
    <s v="0328"/>
    <x v="2"/>
    <s v="GD goods issue:delvy"/>
    <s v="4916484908"/>
    <s v="P004"/>
    <x v="7"/>
    <x v="0"/>
    <s v="14:12:04"/>
    <s v="SONGPCHI"/>
    <s v="0001"/>
    <s v=""/>
    <s v="0000"/>
    <s v=""/>
    <s v="0000000000"/>
    <s v=""/>
    <s v=""/>
    <s v=""/>
    <s v="51003100"/>
    <s v=""/>
    <s v=""/>
    <s v=""/>
    <s v="2000125975"/>
    <m/>
    <x v="2"/>
    <n v="-2"/>
    <n v="-339.64"/>
    <d v="2026-07-17T00:00:00"/>
    <d v="2026-07-17T00:00:00"/>
    <m/>
    <d v="2026-07-17T00:00:00"/>
    <n v="-1000"/>
    <x v="0"/>
    <s v="59"/>
    <s v="ต้นทุนขาย"/>
    <m/>
    <n v="169.82"/>
    <e v="#N/A"/>
    <e v="#N/A"/>
  </r>
  <r>
    <x v="5"/>
    <x v="5"/>
    <s v="0328"/>
    <x v="2"/>
    <s v="GD goods issue:delvy"/>
    <s v="4916486010"/>
    <s v="M001"/>
    <x v="54"/>
    <x v="0"/>
    <s v="14:16:14"/>
    <s v="RAPEESAN01"/>
    <s v="0001"/>
    <s v=""/>
    <s v="0000"/>
    <s v=""/>
    <s v="0000000000"/>
    <s v=""/>
    <s v=""/>
    <s v=""/>
    <s v="51003100"/>
    <s v=""/>
    <s v=""/>
    <s v=""/>
    <s v="2000125978"/>
    <m/>
    <x v="4"/>
    <n v="-1364"/>
    <n v="-1390134.24"/>
    <d v="2026-07-17T00:00:00"/>
    <d v="2026-07-17T00:00:00"/>
    <m/>
    <d v="2026-07-17T00:00:00"/>
    <n v="-4092000"/>
    <x v="0"/>
    <s v="59"/>
    <s v="ต้นทุนขาย"/>
    <m/>
    <n v="1019.16"/>
    <e v="#N/A"/>
    <e v="#N/A"/>
  </r>
  <r>
    <x v="5"/>
    <x v="5"/>
    <s v="0328"/>
    <x v="2"/>
    <s v="GD goods issue:delvy"/>
    <s v="4916486010"/>
    <s v="M001"/>
    <x v="57"/>
    <x v="0"/>
    <s v="14:16:14"/>
    <s v="RAPEESAN01"/>
    <s v="0002"/>
    <s v=""/>
    <s v="0000"/>
    <s v=""/>
    <s v="0000000000"/>
    <s v=""/>
    <s v=""/>
    <s v=""/>
    <s v="51003100"/>
    <s v=""/>
    <s v=""/>
    <s v=""/>
    <s v="2000125978"/>
    <m/>
    <x v="4"/>
    <n v="-556"/>
    <n v="-566652.96"/>
    <d v="2026-07-17T00:00:00"/>
    <d v="2026-07-17T00:00:00"/>
    <m/>
    <d v="2026-07-17T00:00:00"/>
    <n v="-1668000"/>
    <x v="0"/>
    <s v="59"/>
    <s v="ต้นทุนขาย"/>
    <m/>
    <n v="1019.16"/>
    <e v="#N/A"/>
    <e v="#N/A"/>
  </r>
  <r>
    <x v="5"/>
    <x v="5"/>
    <s v="0328"/>
    <x v="2"/>
    <s v="GD goods issue:delvy"/>
    <s v="4916486836"/>
    <s v="M001"/>
    <x v="57"/>
    <x v="0"/>
    <s v="14:18:56"/>
    <s v="RAPEESAN01"/>
    <s v="0001"/>
    <s v=""/>
    <s v="0000"/>
    <s v=""/>
    <s v="0000000000"/>
    <s v=""/>
    <s v=""/>
    <s v=""/>
    <s v="51003100"/>
    <s v=""/>
    <s v=""/>
    <s v=""/>
    <s v="2000125981"/>
    <m/>
    <x v="4"/>
    <n v="-960"/>
    <n v="-978393.59999999998"/>
    <d v="2026-07-17T00:00:00"/>
    <d v="2026-07-17T00:00:00"/>
    <m/>
    <d v="2026-07-17T00:00:00"/>
    <n v="-2880000"/>
    <x v="0"/>
    <s v="59"/>
    <s v="ต้นทุนขาย"/>
    <m/>
    <n v="1019.16"/>
    <e v="#N/A"/>
    <e v="#N/A"/>
  </r>
  <r>
    <x v="5"/>
    <x v="5"/>
    <s v="0328"/>
    <x v="1"/>
    <s v="GI ค่าวิจัยและพัฒนา"/>
    <s v="4916488440"/>
    <s v="M001"/>
    <x v="54"/>
    <x v="0"/>
    <s v="14:26:31"/>
    <s v="RAPEESAN01"/>
    <s v="0001"/>
    <s v=""/>
    <s v="0000"/>
    <s v=""/>
    <s v="0151540122"/>
    <s v=""/>
    <s v="เพื่อส่งให้ RD'QA 7-11 ตรวจสอบ"/>
    <s v="405053"/>
    <s v="67501001"/>
    <s v=""/>
    <s v=""/>
    <s v=""/>
    <s v=""/>
    <m/>
    <x v="2"/>
    <n v="-4"/>
    <n v="-679.44"/>
    <d v="2026-07-17T00:00:00"/>
    <d v="2026-07-17T00:00:00"/>
    <m/>
    <d v="2026-07-17T00:00:00"/>
    <n v="-2000"/>
    <x v="0"/>
    <s v="59"/>
    <s v="ค่าวิจัยคุณภาพสินค้า"/>
    <m/>
    <n v="169.86"/>
    <e v="#N/A"/>
    <e v="#N/A"/>
  </r>
  <r>
    <x v="0"/>
    <x v="0"/>
    <s v="0328"/>
    <x v="3"/>
    <s v="TF trfr within plant"/>
    <s v="4916489094"/>
    <s v="M003"/>
    <x v="0"/>
    <x v="0"/>
    <s v="14:28:57"/>
    <s v="RAPEESAN01"/>
    <s v="0001"/>
    <s v=""/>
    <s v="0000"/>
    <s v=""/>
    <s v="0000000000"/>
    <s v=""/>
    <s v=""/>
    <s v=""/>
    <s v=""/>
    <s v=""/>
    <s v=""/>
    <s v=""/>
    <s v=""/>
    <m/>
    <x v="0"/>
    <n v="-3"/>
    <n v="0"/>
    <d v="2026-07-17T00:00:00"/>
    <d v="2026-07-17T00:00:00"/>
    <m/>
    <d v="2026-07-17T00:00:00"/>
    <n v="-3"/>
    <x v="0"/>
    <s v="58"/>
    <e v="#N/A"/>
    <m/>
    <n v="0"/>
    <e v="#N/A"/>
    <e v="#N/A"/>
  </r>
  <r>
    <x v="0"/>
    <x v="0"/>
    <s v="0328"/>
    <x v="3"/>
    <s v="TF trfr within plant"/>
    <s v="4916489094"/>
    <s v="P003"/>
    <x v="0"/>
    <x v="0"/>
    <s v="14:28:57"/>
    <s v="RAPEESAN01"/>
    <s v="0002"/>
    <s v=""/>
    <s v="0000"/>
    <s v=""/>
    <s v="0000000000"/>
    <s v=""/>
    <s v=""/>
    <s v=""/>
    <s v=""/>
    <s v=""/>
    <s v=""/>
    <s v=""/>
    <s v=""/>
    <m/>
    <x v="0"/>
    <n v="3"/>
    <n v="0"/>
    <d v="2026-07-17T00:00:00"/>
    <d v="2026-07-17T00:00:00"/>
    <m/>
    <d v="2026-07-17T00:00:00"/>
    <n v="3"/>
    <x v="0"/>
    <s v="58"/>
    <e v="#N/A"/>
    <m/>
    <n v="0"/>
    <e v="#N/A"/>
    <e v="#N/A"/>
  </r>
  <r>
    <x v="0"/>
    <x v="0"/>
    <s v="0328"/>
    <x v="3"/>
    <s v="TF trfr within plant"/>
    <s v="4916489094"/>
    <s v="M003"/>
    <x v="65"/>
    <x v="0"/>
    <s v="14:28:57"/>
    <s v="RAPEESAN01"/>
    <s v="0003"/>
    <s v=""/>
    <s v="0000"/>
    <s v=""/>
    <s v="0000000000"/>
    <s v=""/>
    <s v=""/>
    <s v=""/>
    <s v=""/>
    <s v=""/>
    <s v=""/>
    <s v=""/>
    <s v=""/>
    <m/>
    <x v="0"/>
    <n v="-17"/>
    <n v="0"/>
    <d v="2026-07-17T00:00:00"/>
    <d v="2026-07-17T00:00:00"/>
    <m/>
    <d v="2026-07-17T00:00:00"/>
    <n v="-17"/>
    <x v="0"/>
    <s v="58"/>
    <e v="#N/A"/>
    <m/>
    <n v="0"/>
    <e v="#N/A"/>
    <e v="#N/A"/>
  </r>
  <r>
    <x v="0"/>
    <x v="0"/>
    <s v="0328"/>
    <x v="3"/>
    <s v="TF trfr within plant"/>
    <s v="4916489094"/>
    <s v="P003"/>
    <x v="65"/>
    <x v="0"/>
    <s v="14:28:57"/>
    <s v="RAPEESAN01"/>
    <s v="0004"/>
    <s v=""/>
    <s v="0000"/>
    <s v=""/>
    <s v="0000000000"/>
    <s v=""/>
    <s v=""/>
    <s v=""/>
    <s v=""/>
    <s v=""/>
    <s v=""/>
    <s v=""/>
    <s v=""/>
    <m/>
    <x v="0"/>
    <n v="17"/>
    <n v="0"/>
    <d v="2026-07-17T00:00:00"/>
    <d v="2026-07-17T00:00:00"/>
    <m/>
    <d v="2026-07-17T00:00:00"/>
    <n v="17"/>
    <x v="0"/>
    <s v="58"/>
    <e v="#N/A"/>
    <m/>
    <n v="0"/>
    <e v="#N/A"/>
    <e v="#N/A"/>
  </r>
  <r>
    <x v="21"/>
    <x v="21"/>
    <s v="0328"/>
    <x v="9"/>
    <s v="RE subctrStck toWhse"/>
    <s v="4916502190"/>
    <s v="SH01"/>
    <x v="32"/>
    <x v="0"/>
    <s v="15:29:28"/>
    <s v="SONGPCHI"/>
    <s v="0001"/>
    <s v=""/>
    <s v="0000"/>
    <s v=""/>
    <s v="0151548132"/>
    <s v="ตัดขายอะไหล่pic"/>
    <s v=""/>
    <s v=""/>
    <s v=""/>
    <s v=""/>
    <s v="E7515723"/>
    <s v=""/>
    <s v=""/>
    <m/>
    <x v="2"/>
    <n v="4"/>
    <n v="0"/>
    <d v="2026-07-17T00:00:00"/>
    <d v="2026-07-17T00:00:00"/>
    <m/>
    <d v="2026-07-17T00:00:00"/>
    <n v="1000"/>
    <x v="0"/>
    <s v="59"/>
    <e v="#N/A"/>
    <m/>
    <n v="0"/>
    <e v="#N/A"/>
    <e v="#N/A"/>
  </r>
  <r>
    <x v="21"/>
    <x v="21"/>
    <s v="0328"/>
    <x v="9"/>
    <s v="RE subctrStck toWhse"/>
    <s v="4916502190"/>
    <s v=""/>
    <x v="32"/>
    <x v="0"/>
    <s v="15:29:28"/>
    <s v="SONGPCHI"/>
    <s v="0002"/>
    <s v=""/>
    <s v="0000"/>
    <s v="O"/>
    <s v="0151548132"/>
    <s v="ตัดขายอะไหล่pic"/>
    <s v=""/>
    <s v=""/>
    <s v=""/>
    <s v=""/>
    <s v="E7515723"/>
    <s v=""/>
    <s v=""/>
    <m/>
    <x v="2"/>
    <n v="-4"/>
    <n v="0"/>
    <d v="2026-07-17T00:00:00"/>
    <d v="2026-07-17T00:00:00"/>
    <m/>
    <d v="2026-07-17T00:00:00"/>
    <n v="-1000"/>
    <x v="0"/>
    <s v="59"/>
    <e v="#N/A"/>
    <m/>
    <n v="0"/>
    <e v="#N/A"/>
    <e v="#N/A"/>
  </r>
  <r>
    <x v="21"/>
    <x v="21"/>
    <s v="0328"/>
    <x v="2"/>
    <s v="GD goods issue:delvy"/>
    <s v="4916502471"/>
    <s v="SH01"/>
    <x v="32"/>
    <x v="0"/>
    <s v="15:34:11"/>
    <s v="SONGPCHI"/>
    <s v="0001"/>
    <s v=""/>
    <s v="0000"/>
    <s v=""/>
    <s v="0000000000"/>
    <s v=""/>
    <s v=""/>
    <s v=""/>
    <s v="51003100"/>
    <s v=""/>
    <s v=""/>
    <s v=""/>
    <s v="2000126016"/>
    <m/>
    <x v="2"/>
    <n v="-4"/>
    <n v="-318.68"/>
    <d v="2026-07-17T00:00:00"/>
    <d v="2026-07-17T00:00:00"/>
    <m/>
    <d v="2026-07-17T00:00:00"/>
    <n v="-1000"/>
    <x v="0"/>
    <s v="59"/>
    <s v="ต้นทุนขาย"/>
    <m/>
    <n v="79.67"/>
    <e v="#N/A"/>
    <e v="#N/A"/>
  </r>
  <r>
    <x v="6"/>
    <x v="6"/>
    <s v="0328"/>
    <x v="14"/>
    <s v="GD returns unr. rev."/>
    <s v="4916502478"/>
    <s v="P004"/>
    <x v="7"/>
    <x v="0"/>
    <s v="15:35:58"/>
    <s v="SONGPCHI"/>
    <s v="0001"/>
    <s v=""/>
    <s v="0000"/>
    <s v=""/>
    <s v="0000000000"/>
    <s v=""/>
    <s v=""/>
    <s v=""/>
    <s v="51003100"/>
    <s v=""/>
    <s v=""/>
    <s v=""/>
    <s v="2100000972"/>
    <m/>
    <x v="5"/>
    <n v="-2"/>
    <n v="-0.68"/>
    <d v="2026-07-17T00:00:00"/>
    <d v="2026-07-17T00:00:00"/>
    <m/>
    <d v="2026-07-17T00:00:00"/>
    <n v="-2"/>
    <x v="0"/>
    <s v="59"/>
    <s v="ต้นทุนขาย"/>
    <s v="CN"/>
    <n v="0.34"/>
    <e v="#N/A"/>
    <e v="#N/A"/>
  </r>
  <r>
    <x v="6"/>
    <x v="6"/>
    <s v="0328"/>
    <x v="13"/>
    <s v="GD returns unrestr."/>
    <s v="4916502886"/>
    <s v="P004"/>
    <x v="7"/>
    <x v="0"/>
    <s v="15:45:03"/>
    <s v="SONGPCHI"/>
    <s v="0001"/>
    <s v=""/>
    <s v="0000"/>
    <s v=""/>
    <s v="0000000000"/>
    <s v=""/>
    <s v=""/>
    <s v=""/>
    <s v="51003100"/>
    <s v=""/>
    <s v=""/>
    <s v=""/>
    <s v="2100000973"/>
    <m/>
    <x v="5"/>
    <n v="2"/>
    <n v="0.68"/>
    <d v="2026-07-17T00:00:00"/>
    <d v="2026-07-17T00:00:00"/>
    <m/>
    <d v="2026-07-17T00:00:00"/>
    <n v="2"/>
    <x v="0"/>
    <s v="59"/>
    <s v="ต้นทุนขาย"/>
    <s v="CN"/>
    <n v="0.34"/>
    <e v="#N/A"/>
    <e v="#N/A"/>
  </r>
  <r>
    <x v="5"/>
    <x v="5"/>
    <s v="0328"/>
    <x v="13"/>
    <s v="GD returns unrestr."/>
    <s v="4916508771"/>
    <s v="M001"/>
    <x v="78"/>
    <x v="0"/>
    <s v="18:05:10"/>
    <s v="JURASDOK"/>
    <s v="0001"/>
    <s v=""/>
    <s v="0000"/>
    <s v=""/>
    <s v="0000000000"/>
    <s v=""/>
    <s v=""/>
    <s v=""/>
    <s v="51003100"/>
    <s v=""/>
    <s v=""/>
    <s v=""/>
    <s v="2100000975"/>
    <m/>
    <x v="4"/>
    <n v="1920"/>
    <n v="1956787.2"/>
    <d v="2026-07-17T00:00:00"/>
    <d v="2026-07-17T00:00:00"/>
    <m/>
    <d v="2026-07-17T00:00:00"/>
    <n v="5760000"/>
    <x v="0"/>
    <s v="59"/>
    <s v="ต้นทุนขาย"/>
    <m/>
    <n v="1019.16"/>
    <e v="#N/A"/>
    <e v="#N/A"/>
  </r>
  <r>
    <x v="5"/>
    <x v="5"/>
    <s v="0328"/>
    <x v="1"/>
    <s v="GI ค่าวิจัยและพัฒนา"/>
    <s v="4916516462"/>
    <s v="M001"/>
    <x v="57"/>
    <x v="0"/>
    <s v="21:38:26"/>
    <s v="PRONDTAN"/>
    <s v="0005"/>
    <s v=""/>
    <s v="0000"/>
    <s v=""/>
    <s v="0151557027"/>
    <s v=""/>
    <s v="Retain 15.07.26.2 A012R002"/>
    <s v="405053"/>
    <s v="67501001"/>
    <s v=""/>
    <s v=""/>
    <s v=""/>
    <s v=""/>
    <m/>
    <x v="2"/>
    <n v="-3"/>
    <n v="-509.58"/>
    <d v="2026-07-17T00:00:00"/>
    <d v="2026-07-17T00:00:00"/>
    <m/>
    <d v="2026-07-17T00:00:00"/>
    <n v="-15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6516462"/>
    <s v="M001"/>
    <x v="57"/>
    <x v="0"/>
    <s v="21:38:26"/>
    <s v="PRONDTAN"/>
    <s v="0004"/>
    <s v=""/>
    <s v="0000"/>
    <s v=""/>
    <s v="0151557027"/>
    <s v=""/>
    <s v="Routine 15.07.26.2 A012R002"/>
    <s v="405053"/>
    <s v="67501001"/>
    <s v=""/>
    <s v=""/>
    <s v=""/>
    <s v=""/>
    <m/>
    <x v="2"/>
    <n v="-5"/>
    <n v="-849.3"/>
    <d v="2026-07-17T00:00:00"/>
    <d v="2026-07-17T00:00:00"/>
    <m/>
    <d v="2026-07-17T00:00:00"/>
    <n v="-25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6516462"/>
    <s v="M001"/>
    <x v="57"/>
    <x v="0"/>
    <s v="21:38:26"/>
    <s v="PRONDTAN"/>
    <s v="0003"/>
    <s v=""/>
    <s v="0000"/>
    <s v=""/>
    <s v="0151557027"/>
    <s v=""/>
    <s v="Retain 15.07.26.1 A012R002"/>
    <s v="405053"/>
    <s v="67501001"/>
    <s v=""/>
    <s v=""/>
    <s v=""/>
    <s v=""/>
    <m/>
    <x v="2"/>
    <n v="-2"/>
    <n v="-339.72"/>
    <d v="2026-07-17T00:00:00"/>
    <d v="2026-07-17T00:00:00"/>
    <m/>
    <d v="2026-07-17T00:00:00"/>
    <n v="-10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6516462"/>
    <s v="M001"/>
    <x v="57"/>
    <x v="0"/>
    <s v="21:38:26"/>
    <s v="PRONDTAN"/>
    <s v="0002"/>
    <s v=""/>
    <s v="0000"/>
    <s v=""/>
    <s v="0151557027"/>
    <s v=""/>
    <s v="Routine 15.07.26.1 A012R002"/>
    <s v="405053"/>
    <s v="67501001"/>
    <s v=""/>
    <s v=""/>
    <s v=""/>
    <s v=""/>
    <m/>
    <x v="2"/>
    <n v="-1"/>
    <n v="-169.86"/>
    <d v="2026-07-17T00:00:00"/>
    <d v="2026-07-17T00:00:00"/>
    <m/>
    <d v="2026-07-17T00:00:00"/>
    <n v="-5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6516462"/>
    <s v="M001"/>
    <x v="54"/>
    <x v="0"/>
    <s v="21:38:26"/>
    <s v="PRONDTAN"/>
    <s v="0001"/>
    <s v=""/>
    <s v="0000"/>
    <s v=""/>
    <s v="0151557027"/>
    <s v=""/>
    <s v="Routine 15.07.26.1 A012R002"/>
    <s v="405053"/>
    <s v="67501001"/>
    <s v=""/>
    <s v=""/>
    <s v=""/>
    <s v=""/>
    <m/>
    <x v="2"/>
    <n v="-1"/>
    <n v="-169.86"/>
    <d v="2026-07-17T00:00:00"/>
    <d v="2026-07-17T00:00:00"/>
    <m/>
    <d v="2026-07-17T00:00:00"/>
    <n v="-500"/>
    <x v="0"/>
    <s v="59"/>
    <s v="ค่าวิจัยคุณภาพสินค้า"/>
    <m/>
    <n v="169.86"/>
    <e v="#N/A"/>
    <e v="#N/A"/>
  </r>
  <r>
    <x v="0"/>
    <x v="0"/>
    <s v="0328"/>
    <x v="3"/>
    <s v="TF trfr within plant"/>
    <s v="4916587369"/>
    <s v="M003"/>
    <x v="65"/>
    <x v="0"/>
    <s v="15:57:00"/>
    <s v="PRONDTAN"/>
    <s v="0001"/>
    <s v=""/>
    <s v="0000"/>
    <s v=""/>
    <s v="0000000000"/>
    <s v=""/>
    <s v=""/>
    <s v=""/>
    <s v=""/>
    <s v=""/>
    <s v=""/>
    <s v=""/>
    <s v=""/>
    <m/>
    <x v="0"/>
    <n v="-20"/>
    <n v="0"/>
    <d v="2026-07-18T00:00:00"/>
    <d v="2026-07-18T00:00:00"/>
    <m/>
    <d v="2026-07-18T00:00:00"/>
    <n v="-20"/>
    <x v="0"/>
    <s v="58"/>
    <e v="#N/A"/>
    <m/>
    <n v="0"/>
    <e v="#N/A"/>
    <e v="#N/A"/>
  </r>
  <r>
    <x v="0"/>
    <x v="0"/>
    <s v="0328"/>
    <x v="3"/>
    <s v="TF trfr within plant"/>
    <s v="4916587369"/>
    <s v="P003"/>
    <x v="65"/>
    <x v="0"/>
    <s v="15:57:00"/>
    <s v="PRONDTAN"/>
    <s v="0002"/>
    <s v=""/>
    <s v="0000"/>
    <s v=""/>
    <s v="0000000000"/>
    <s v=""/>
    <s v=""/>
    <s v=""/>
    <s v=""/>
    <s v=""/>
    <s v=""/>
    <s v=""/>
    <s v=""/>
    <m/>
    <x v="0"/>
    <n v="20"/>
    <n v="0"/>
    <d v="2026-07-18T00:00:00"/>
    <d v="2026-07-18T00:00:00"/>
    <m/>
    <d v="2026-07-18T00:00:00"/>
    <n v="20"/>
    <x v="0"/>
    <s v="58"/>
    <e v="#N/A"/>
    <m/>
    <n v="0"/>
    <e v="#N/A"/>
    <e v="#N/A"/>
  </r>
  <r>
    <x v="5"/>
    <x v="5"/>
    <s v="0328"/>
    <x v="1"/>
    <s v="GI ค่าวิจัยและพัฒนา"/>
    <s v="4916598958"/>
    <s v="M001"/>
    <x v="57"/>
    <x v="0"/>
    <s v="21:14:24"/>
    <s v="PRONDTAN"/>
    <s v="0001"/>
    <s v=""/>
    <s v="0000"/>
    <s v=""/>
    <s v="0151592060"/>
    <s v=""/>
    <s v="Routine 18.07.26.1 A012R002"/>
    <s v="405053"/>
    <s v="67501001"/>
    <s v=""/>
    <s v=""/>
    <s v=""/>
    <s v=""/>
    <m/>
    <x v="2"/>
    <n v="-5"/>
    <n v="-849.3"/>
    <d v="2026-07-18T00:00:00"/>
    <d v="2026-07-18T00:00:00"/>
    <m/>
    <d v="2026-07-18T00:00:00"/>
    <n v="-25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6598958"/>
    <s v="M001"/>
    <x v="57"/>
    <x v="0"/>
    <s v="21:14:24"/>
    <s v="PRONDTAN"/>
    <s v="0002"/>
    <s v=""/>
    <s v="0000"/>
    <s v=""/>
    <s v="0151592060"/>
    <s v=""/>
    <s v="Retain 18.07.26.1 A012R002"/>
    <s v="405053"/>
    <s v="67501001"/>
    <s v=""/>
    <s v=""/>
    <s v=""/>
    <s v=""/>
    <m/>
    <x v="2"/>
    <n v="-5"/>
    <n v="-849.3"/>
    <d v="2026-07-18T00:00:00"/>
    <d v="2026-07-18T00:00:00"/>
    <m/>
    <d v="2026-07-18T00:00:00"/>
    <n v="-2500"/>
    <x v="0"/>
    <s v="59"/>
    <s v="ค่าวิจัยคุณภาพสินค้า"/>
    <m/>
    <n v="169.85999999999999"/>
    <e v="#N/A"/>
    <e v="#N/A"/>
  </r>
  <r>
    <x v="6"/>
    <x v="6"/>
    <s v="0328"/>
    <x v="11"/>
    <s v="GI for cost center"/>
    <s v="4916700862"/>
    <s v="P004"/>
    <x v="10"/>
    <x v="0"/>
    <s v="08:32:48"/>
    <s v="THANAWIS"/>
    <s v="0001"/>
    <s v=""/>
    <s v="0000"/>
    <s v=""/>
    <s v="0151551141"/>
    <s v=""/>
    <s v="DC สุวรรณภูมิ(ห้องประชุมชั้น 2  ฝั่ง DC และ CDC)"/>
    <s v="402006"/>
    <s v="66001000"/>
    <s v=""/>
    <s v=""/>
    <s v=""/>
    <s v=""/>
    <m/>
    <x v="2"/>
    <n v="-10"/>
    <n v="-1698.2"/>
    <d v="2026-07-20T00:00:00"/>
    <d v="2026-07-20T00:00:00"/>
    <m/>
    <d v="2026-07-20T00:00:00"/>
    <n v="-5000"/>
    <x v="0"/>
    <s v="59"/>
    <s v="วัสดุสิ้นเปลือง"/>
    <m/>
    <n v="169.82"/>
    <e v="#N/A"/>
    <e v="#N/A"/>
  </r>
  <r>
    <x v="18"/>
    <x v="18"/>
    <s v="0328"/>
    <x v="4"/>
    <s v="GI for order"/>
    <s v="4916712188"/>
    <s v="P002"/>
    <x v="19"/>
    <x v="44"/>
    <s v="13:31:23"/>
    <s v="JURASDOK"/>
    <s v="0002"/>
    <s v=""/>
    <s v="0000"/>
    <s v=""/>
    <s v="0151520730"/>
    <s v=""/>
    <s v=""/>
    <s v=""/>
    <s v="53001003"/>
    <s v=""/>
    <s v=""/>
    <s v=""/>
    <s v=""/>
    <m/>
    <x v="3"/>
    <n v="-246.9"/>
    <n v="-66870.399999999994"/>
    <d v="2026-07-20T00:00:00"/>
    <d v="2026-07-13T00:00:00"/>
    <m/>
    <d v="2026-07-20T00:00:00"/>
    <n v="-246900"/>
    <x v="4"/>
    <s v="57"/>
    <s v="ต้นทุนผลิตกึ่งสำเร็จ"/>
    <m/>
    <n v="270.840016200891"/>
    <e v="#N/A"/>
    <e v="#N/A"/>
  </r>
  <r>
    <x v="18"/>
    <x v="18"/>
    <s v="0328"/>
    <x v="4"/>
    <s v="GI for order"/>
    <s v="4916712188"/>
    <s v="P002"/>
    <x v="52"/>
    <x v="44"/>
    <s v="13:31:23"/>
    <s v="JURASDOK"/>
    <s v="0005"/>
    <s v=""/>
    <s v="0000"/>
    <s v=""/>
    <s v="0000000000"/>
    <s v=""/>
    <s v="เมล็ดกาแฟ Clean Arabica Size L"/>
    <s v=""/>
    <s v="53001003"/>
    <s v=""/>
    <s v=""/>
    <s v=""/>
    <s v=""/>
    <m/>
    <x v="3"/>
    <n v="-8008.6"/>
    <n v="-2169049.2200000002"/>
    <d v="2026-07-20T00:00:00"/>
    <d v="2026-07-13T00:00:00"/>
    <m/>
    <d v="2026-07-20T00:00:00"/>
    <n v="-8008600"/>
    <x v="4"/>
    <s v="57"/>
    <s v="ต้นทุนผลิตกึ่งสำเร็จ"/>
    <m/>
    <n v="270.83999950053692"/>
    <e v="#N/A"/>
    <e v="#N/A"/>
  </r>
  <r>
    <x v="17"/>
    <x v="17"/>
    <s v="0328"/>
    <x v="4"/>
    <s v="GI for order"/>
    <s v="4916712188"/>
    <s v="P002"/>
    <x v="79"/>
    <x v="44"/>
    <s v="13:31:23"/>
    <s v="JURASDOK"/>
    <s v="0003"/>
    <s v=""/>
    <s v="0000"/>
    <s v=""/>
    <s v="0151520730"/>
    <s v=""/>
    <s v=""/>
    <s v=""/>
    <s v="53001003"/>
    <s v=""/>
    <s v=""/>
    <s v=""/>
    <s v=""/>
    <m/>
    <x v="3"/>
    <n v="-962.08"/>
    <n v="-260560.13"/>
    <d v="2026-07-20T00:00:00"/>
    <d v="2026-07-13T00:00:00"/>
    <m/>
    <d v="2026-07-20T00:00:00"/>
    <n v="-962080"/>
    <x v="4"/>
    <s v="57"/>
    <s v="ต้นทุนผลิตกึ่งสำเร็จ"/>
    <m/>
    <n v="270.83000374189254"/>
    <e v="#N/A"/>
    <e v="#N/A"/>
  </r>
  <r>
    <x v="19"/>
    <x v="19"/>
    <s v="0328"/>
    <x v="4"/>
    <s v="GI for order"/>
    <s v="4916712188"/>
    <s v="P002"/>
    <x v="8"/>
    <x v="44"/>
    <s v="13:31:23"/>
    <s v="JURASDOK"/>
    <s v="0004"/>
    <s v=""/>
    <s v="0000"/>
    <s v=""/>
    <s v="0151520730"/>
    <s v=""/>
    <s v=""/>
    <s v=""/>
    <s v="53001003"/>
    <s v=""/>
    <s v=""/>
    <s v=""/>
    <s v=""/>
    <m/>
    <x v="3"/>
    <n v="-2316.8200000000002"/>
    <n v="-370529.02"/>
    <d v="2026-07-20T00:00:00"/>
    <d v="2026-07-13T00:00:00"/>
    <m/>
    <d v="2026-07-20T00:00:00"/>
    <n v="-2316820"/>
    <x v="4"/>
    <s v="57"/>
    <s v="ต้นทุนผลิตกึ่งสำเร็จ"/>
    <m/>
    <n v="159.92999887777211"/>
    <e v="#N/A"/>
    <e v="#N/A"/>
  </r>
  <r>
    <x v="23"/>
    <x v="23"/>
    <s v="0328"/>
    <x v="5"/>
    <s v="GR for order"/>
    <s v="4916712188"/>
    <s v="P003"/>
    <x v="80"/>
    <x v="44"/>
    <s v="13:31:23"/>
    <s v="JURASDOK"/>
    <s v="0001"/>
    <s v=""/>
    <s v="0000"/>
    <s v=""/>
    <s v="0000000000"/>
    <s v=""/>
    <s v=""/>
    <s v=""/>
    <s v="53001004"/>
    <s v=""/>
    <s v=""/>
    <s v=""/>
    <s v=""/>
    <m/>
    <x v="3"/>
    <n v="9310.76"/>
    <n v="3027300.51"/>
    <d v="2026-07-20T00:00:00"/>
    <d v="2026-07-13T00:00:00"/>
    <m/>
    <d v="2026-07-20T00:00:00"/>
    <n v="9310760"/>
    <x v="4"/>
    <s v="57"/>
    <s v="ต้นทุนผลิตโอน Semi"/>
    <m/>
    <n v="325.14000038664938"/>
    <e v="#N/A"/>
    <e v="#N/A"/>
  </r>
  <r>
    <x v="23"/>
    <x v="23"/>
    <s v="0328"/>
    <x v="4"/>
    <s v="GI for order"/>
    <s v="4916712371"/>
    <s v="P003"/>
    <x v="80"/>
    <x v="45"/>
    <s v="13:34:16"/>
    <s v="JURASDOK"/>
    <s v="0002"/>
    <s v=""/>
    <s v="0000"/>
    <s v=""/>
    <s v="0151642115"/>
    <s v=""/>
    <s v=""/>
    <s v=""/>
    <s v="53001003"/>
    <s v=""/>
    <s v=""/>
    <s v=""/>
    <s v=""/>
    <m/>
    <x v="3"/>
    <n v="-9310.76"/>
    <n v="-3027300.51"/>
    <d v="2026-07-20T00:00:00"/>
    <d v="2026-07-13T00:00:00"/>
    <m/>
    <d v="2026-07-20T00:00:00"/>
    <n v="-9310760"/>
    <x v="2"/>
    <s v="57"/>
    <s v="ต้นทุนผลิตกึ่งสำเร็จ"/>
    <m/>
    <n v="325.14000038664938"/>
    <e v="#N/A"/>
    <e v="#N/A"/>
  </r>
  <r>
    <x v="11"/>
    <x v="11"/>
    <s v="0328"/>
    <x v="4"/>
    <s v="GI for order"/>
    <s v="4916712371"/>
    <s v="P003"/>
    <x v="20"/>
    <x v="45"/>
    <s v="13:34:16"/>
    <s v="JURASDOK"/>
    <s v="0003"/>
    <s v=""/>
    <s v="0000"/>
    <s v=""/>
    <s v="0151642115"/>
    <s v=""/>
    <s v=""/>
    <s v=""/>
    <s v="53003000"/>
    <s v=""/>
    <s v=""/>
    <s v=""/>
    <s v=""/>
    <m/>
    <x v="0"/>
    <n v="-18767"/>
    <n v="-15872.52"/>
    <d v="2026-07-20T00:00:00"/>
    <d v="2026-07-13T00:00:00"/>
    <m/>
    <d v="2026-07-20T00:00:00"/>
    <n v="-18767"/>
    <x v="2"/>
    <s v="58"/>
    <s v="ต้นทุนผลิตหีบห่อ"/>
    <m/>
    <n v="0.84576757073586617"/>
    <e v="#N/A"/>
    <e v="#N/A"/>
  </r>
  <r>
    <x v="12"/>
    <x v="12"/>
    <s v="0328"/>
    <x v="4"/>
    <s v="GI for order"/>
    <s v="4916712371"/>
    <s v="P003"/>
    <x v="33"/>
    <x v="45"/>
    <s v="13:34:16"/>
    <s v="JURASDOK"/>
    <s v="0004"/>
    <s v=""/>
    <s v="0000"/>
    <s v=""/>
    <s v="0151642115"/>
    <s v=""/>
    <s v=""/>
    <s v=""/>
    <s v="53003000"/>
    <s v=""/>
    <s v=""/>
    <s v=""/>
    <s v=""/>
    <m/>
    <x v="0"/>
    <n v="-18767"/>
    <n v="-39100.800000000003"/>
    <d v="2026-07-20T00:00:00"/>
    <d v="2026-07-13T00:00:00"/>
    <m/>
    <d v="2026-07-20T00:00:00"/>
    <n v="-18767"/>
    <x v="2"/>
    <s v="58"/>
    <s v="ต้นทุนผลิตหีบห่อ"/>
    <m/>
    <n v="2.0834869718122238"/>
    <e v="#N/A"/>
    <e v="#N/A"/>
  </r>
  <r>
    <x v="13"/>
    <x v="13"/>
    <s v="0328"/>
    <x v="4"/>
    <s v="GI for order"/>
    <s v="4916712371"/>
    <s v="P003"/>
    <x v="47"/>
    <x v="45"/>
    <s v="13:34:16"/>
    <s v="JURASDOK"/>
    <s v="0005"/>
    <s v=""/>
    <s v="0000"/>
    <s v=""/>
    <s v="0151642115"/>
    <s v=""/>
    <s v=""/>
    <s v=""/>
    <s v="53003000"/>
    <s v=""/>
    <s v=""/>
    <s v=""/>
    <s v=""/>
    <m/>
    <x v="0"/>
    <n v="-3112"/>
    <n v="-15560"/>
    <d v="2026-07-20T00:00:00"/>
    <d v="2026-07-13T00:00:00"/>
    <m/>
    <d v="2026-07-20T00:00:00"/>
    <n v="-3112"/>
    <x v="2"/>
    <s v="58"/>
    <s v="ต้นทุนผลิตหีบห่อ"/>
    <m/>
    <n v="5"/>
    <e v="#N/A"/>
    <e v="#N/A"/>
  </r>
  <r>
    <x v="5"/>
    <x v="5"/>
    <s v="0328"/>
    <x v="5"/>
    <s v="GR for order"/>
    <s v="4916712371"/>
    <s v="M001"/>
    <x v="81"/>
    <x v="45"/>
    <s v="13:34:16"/>
    <s v="JURASDOK"/>
    <s v="0001"/>
    <s v=""/>
    <s v="0000"/>
    <s v=""/>
    <s v="0000000000"/>
    <s v=""/>
    <s v=""/>
    <s v=""/>
    <s v="53001001"/>
    <s v=""/>
    <s v=""/>
    <s v=""/>
    <s v=""/>
    <m/>
    <x v="2"/>
    <n v="18615"/>
    <n v="3161943.9"/>
    <d v="2026-07-20T00:00:00"/>
    <d v="2026-07-13T00:00:00"/>
    <m/>
    <d v="2026-07-20T00:00:00"/>
    <n v="9307500"/>
    <x v="2"/>
    <s v="59"/>
    <s v="ต้นทุนผลิตโอน F/G"/>
    <m/>
    <n v="169.85999999999999"/>
    <e v="#N/A"/>
    <e v="#N/A"/>
  </r>
  <r>
    <x v="18"/>
    <x v="18"/>
    <s v="0328"/>
    <x v="4"/>
    <s v="GI for order"/>
    <s v="4916712380"/>
    <s v="P002"/>
    <x v="25"/>
    <x v="46"/>
    <s v="13:37:28"/>
    <s v="JURASDOK"/>
    <s v="0002"/>
    <s v=""/>
    <s v="0000"/>
    <s v=""/>
    <s v="0151642148"/>
    <s v=""/>
    <s v=""/>
    <s v=""/>
    <s v="53001003"/>
    <s v=""/>
    <s v=""/>
    <s v=""/>
    <s v=""/>
    <m/>
    <x v="3"/>
    <n v="-8256.4"/>
    <n v="-2236163.38"/>
    <d v="2026-07-20T00:00:00"/>
    <d v="2026-07-14T00:00:00"/>
    <m/>
    <d v="2026-07-20T00:00:00"/>
    <n v="-8256400"/>
    <x v="4"/>
    <s v="57"/>
    <s v="ต้นทุนผลิตกึ่งสำเร็จ"/>
    <m/>
    <n v="270.84000048447263"/>
    <e v="#N/A"/>
    <e v="#N/A"/>
  </r>
  <r>
    <x v="19"/>
    <x v="19"/>
    <s v="0328"/>
    <x v="4"/>
    <s v="GI for order"/>
    <s v="4916712380"/>
    <s v="P002"/>
    <x v="8"/>
    <x v="46"/>
    <s v="13:37:28"/>
    <s v="JURASDOK"/>
    <s v="0003"/>
    <s v=""/>
    <s v="0000"/>
    <s v=""/>
    <s v="0151642148"/>
    <s v=""/>
    <s v=""/>
    <s v=""/>
    <s v="53001003"/>
    <s v=""/>
    <s v=""/>
    <s v=""/>
    <s v=""/>
    <m/>
    <x v="3"/>
    <n v="-2064.7399999999998"/>
    <n v="-330213.87"/>
    <d v="2026-07-20T00:00:00"/>
    <d v="2026-07-14T00:00:00"/>
    <m/>
    <d v="2026-07-20T00:00:00"/>
    <n v="-2064740"/>
    <x v="4"/>
    <s v="57"/>
    <s v="ต้นทุนผลิตกึ่งสำเร็จ"/>
    <m/>
    <n v="159.93000087178049"/>
    <e v="#N/A"/>
    <e v="#N/A"/>
  </r>
  <r>
    <x v="23"/>
    <x v="23"/>
    <s v="0328"/>
    <x v="5"/>
    <s v="GR for order"/>
    <s v="4916712380"/>
    <s v="P003"/>
    <x v="82"/>
    <x v="46"/>
    <s v="13:37:28"/>
    <s v="JURASDOK"/>
    <s v="0001"/>
    <s v=""/>
    <s v="0000"/>
    <s v=""/>
    <s v="0000000000"/>
    <s v=""/>
    <s v=""/>
    <s v=""/>
    <s v="53001004"/>
    <s v=""/>
    <s v=""/>
    <s v=""/>
    <s v=""/>
    <m/>
    <x v="3"/>
    <n v="8330.9699999999993"/>
    <n v="2708731.59"/>
    <d v="2026-07-20T00:00:00"/>
    <d v="2026-07-14T00:00:00"/>
    <m/>
    <d v="2026-07-20T00:00:00"/>
    <n v="8330970"/>
    <x v="4"/>
    <s v="57"/>
    <s v="ต้นทุนผลิตโอน Semi"/>
    <m/>
    <n v="325.14000050414296"/>
    <e v="#N/A"/>
    <e v="#N/A"/>
  </r>
  <r>
    <x v="23"/>
    <x v="23"/>
    <s v="0328"/>
    <x v="4"/>
    <s v="GI for order"/>
    <s v="4916713016"/>
    <s v="P003"/>
    <x v="82"/>
    <x v="47"/>
    <s v="13:47:56"/>
    <s v="JURASDOK"/>
    <s v="0002"/>
    <s v=""/>
    <s v="0000"/>
    <s v=""/>
    <s v="0151642236"/>
    <s v=""/>
    <s v=""/>
    <s v=""/>
    <s v="53001003"/>
    <s v=""/>
    <s v=""/>
    <s v=""/>
    <s v=""/>
    <m/>
    <x v="3"/>
    <n v="-8330.9699999999993"/>
    <n v="-2708731.59"/>
    <d v="2026-07-20T00:00:00"/>
    <d v="2026-07-14T00:00:00"/>
    <m/>
    <d v="2026-07-20T00:00:00"/>
    <n v="-8330970"/>
    <x v="2"/>
    <s v="57"/>
    <s v="ต้นทุนผลิตกึ่งสำเร็จ"/>
    <m/>
    <n v="325.14000050414296"/>
    <e v="#N/A"/>
    <e v="#N/A"/>
  </r>
  <r>
    <x v="11"/>
    <x v="11"/>
    <s v="0328"/>
    <x v="4"/>
    <s v="GI for order"/>
    <s v="4916713016"/>
    <s v="P003"/>
    <x v="20"/>
    <x v="47"/>
    <s v="13:47:56"/>
    <s v="JURASDOK"/>
    <s v="0003"/>
    <s v=""/>
    <s v="0000"/>
    <s v=""/>
    <s v="0151642236"/>
    <s v=""/>
    <s v=""/>
    <s v=""/>
    <s v="53003000"/>
    <s v=""/>
    <s v=""/>
    <s v=""/>
    <s v=""/>
    <m/>
    <x v="0"/>
    <n v="-16889"/>
    <n v="-14284.17"/>
    <d v="2026-07-20T00:00:00"/>
    <d v="2026-07-14T00:00:00"/>
    <m/>
    <d v="2026-07-20T00:00:00"/>
    <n v="-16889"/>
    <x v="2"/>
    <s v="58"/>
    <s v="ต้นทุนผลิตหีบห่อ"/>
    <m/>
    <n v="0.84576765942329324"/>
    <e v="#N/A"/>
    <e v="#N/A"/>
  </r>
  <r>
    <x v="12"/>
    <x v="12"/>
    <s v="0328"/>
    <x v="4"/>
    <s v="GI for order"/>
    <s v="4916713016"/>
    <s v="P003"/>
    <x v="33"/>
    <x v="47"/>
    <s v="13:47:56"/>
    <s v="JURASDOK"/>
    <s v="0004"/>
    <s v=""/>
    <s v="0000"/>
    <s v=""/>
    <s v="0151642236"/>
    <s v=""/>
    <s v=""/>
    <s v=""/>
    <s v="53003000"/>
    <s v=""/>
    <s v=""/>
    <s v=""/>
    <s v=""/>
    <m/>
    <x v="0"/>
    <n v="-16889"/>
    <n v="-35188.01"/>
    <d v="2026-07-20T00:00:00"/>
    <d v="2026-07-14T00:00:00"/>
    <m/>
    <d v="2026-07-20T00:00:00"/>
    <n v="-16889"/>
    <x v="2"/>
    <s v="58"/>
    <s v="ต้นทุนผลิตหีบห่อ"/>
    <m/>
    <n v="2.0834868849547044"/>
    <e v="#N/A"/>
    <e v="#N/A"/>
  </r>
  <r>
    <x v="13"/>
    <x v="13"/>
    <s v="0328"/>
    <x v="4"/>
    <s v="GI for order"/>
    <s v="4916713016"/>
    <s v="P003"/>
    <x v="47"/>
    <x v="47"/>
    <s v="13:47:56"/>
    <s v="JURASDOK"/>
    <s v="0005"/>
    <s v=""/>
    <s v="0000"/>
    <s v=""/>
    <s v="0151642236"/>
    <s v=""/>
    <s v=""/>
    <s v=""/>
    <s v="53003000"/>
    <s v=""/>
    <s v=""/>
    <s v=""/>
    <s v=""/>
    <m/>
    <x v="0"/>
    <n v="-2802"/>
    <n v="-14010"/>
    <d v="2026-07-20T00:00:00"/>
    <d v="2026-07-14T00:00:00"/>
    <m/>
    <d v="2026-07-20T00:00:00"/>
    <n v="-2802"/>
    <x v="2"/>
    <s v="58"/>
    <s v="ต้นทุนผลิตหีบห่อ"/>
    <m/>
    <n v="5"/>
    <e v="#N/A"/>
    <e v="#N/A"/>
  </r>
  <r>
    <x v="5"/>
    <x v="5"/>
    <s v="0328"/>
    <x v="5"/>
    <s v="GR for order"/>
    <s v="4916713016"/>
    <s v="M001"/>
    <x v="83"/>
    <x v="47"/>
    <s v="13:47:56"/>
    <s v="JURASDOK"/>
    <s v="0001"/>
    <s v=""/>
    <s v="0000"/>
    <s v=""/>
    <s v="0000000000"/>
    <s v=""/>
    <s v=""/>
    <s v=""/>
    <s v="53001001"/>
    <s v=""/>
    <s v=""/>
    <s v=""/>
    <s v=""/>
    <m/>
    <x v="2"/>
    <n v="16653"/>
    <n v="2828678.58"/>
    <d v="2026-07-20T00:00:00"/>
    <d v="2026-07-14T00:00:00"/>
    <m/>
    <d v="2026-07-20T00:00:00"/>
    <n v="8326500"/>
    <x v="2"/>
    <s v="59"/>
    <s v="ต้นทุนผลิตโอน F/G"/>
    <m/>
    <n v="169.86"/>
    <e v="#N/A"/>
    <e v="#N/A"/>
  </r>
  <r>
    <x v="11"/>
    <x v="11"/>
    <s v="0328"/>
    <x v="3"/>
    <s v="TF trfr within plant"/>
    <s v="4916717381"/>
    <s v="M003"/>
    <x v="14"/>
    <x v="0"/>
    <s v="14:13:22"/>
    <s v="PRONDTAN"/>
    <s v="0005"/>
    <s v=""/>
    <s v="0000"/>
    <s v=""/>
    <s v="0000000000"/>
    <s v=""/>
    <s v=""/>
    <s v=""/>
    <s v=""/>
    <s v=""/>
    <s v=""/>
    <s v=""/>
    <s v=""/>
    <m/>
    <x v="0"/>
    <n v="-30000"/>
    <n v="0"/>
    <d v="2026-07-20T00:00:00"/>
    <d v="2026-07-20T00:00:00"/>
    <m/>
    <d v="2026-07-20T00:00:00"/>
    <n v="-30000"/>
    <x v="0"/>
    <s v="58"/>
    <e v="#N/A"/>
    <m/>
    <n v="0"/>
    <e v="#N/A"/>
    <e v="#N/A"/>
  </r>
  <r>
    <x v="11"/>
    <x v="11"/>
    <s v="0328"/>
    <x v="3"/>
    <s v="TF trfr within plant"/>
    <s v="4916717381"/>
    <s v="P003"/>
    <x v="14"/>
    <x v="0"/>
    <s v="14:13:22"/>
    <s v="PRONDTAN"/>
    <s v="0006"/>
    <s v=""/>
    <s v="0000"/>
    <s v=""/>
    <s v="0000000000"/>
    <s v=""/>
    <s v=""/>
    <s v=""/>
    <s v=""/>
    <s v=""/>
    <s v=""/>
    <s v=""/>
    <s v=""/>
    <m/>
    <x v="0"/>
    <n v="30000"/>
    <n v="0"/>
    <d v="2026-07-20T00:00:00"/>
    <d v="2026-07-20T00:00:00"/>
    <m/>
    <d v="2026-07-20T00:00:00"/>
    <n v="30000"/>
    <x v="0"/>
    <s v="58"/>
    <e v="#N/A"/>
    <m/>
    <n v="0"/>
    <e v="#N/A"/>
    <e v="#N/A"/>
  </r>
  <r>
    <x v="12"/>
    <x v="12"/>
    <s v="0328"/>
    <x v="3"/>
    <s v="TF trfr within plant"/>
    <s v="4916717381"/>
    <s v="M003"/>
    <x v="1"/>
    <x v="0"/>
    <s v="14:13:22"/>
    <s v="PRONDTAN"/>
    <s v="0003"/>
    <s v=""/>
    <s v="0000"/>
    <s v=""/>
    <s v="0000000000"/>
    <s v=""/>
    <s v=""/>
    <s v=""/>
    <s v=""/>
    <s v=""/>
    <s v=""/>
    <s v=""/>
    <s v=""/>
    <m/>
    <x v="0"/>
    <n v="-24000"/>
    <n v="0"/>
    <d v="2026-07-20T00:00:00"/>
    <d v="2026-07-20T00:00:00"/>
    <m/>
    <d v="2026-07-20T00:00:00"/>
    <n v="-24000"/>
    <x v="0"/>
    <s v="58"/>
    <e v="#N/A"/>
    <m/>
    <n v="0"/>
    <e v="#N/A"/>
    <e v="#N/A"/>
  </r>
  <r>
    <x v="12"/>
    <x v="12"/>
    <s v="0328"/>
    <x v="3"/>
    <s v="TF trfr within plant"/>
    <s v="4916717381"/>
    <s v="P003"/>
    <x v="1"/>
    <x v="0"/>
    <s v="14:13:22"/>
    <s v="PRONDTAN"/>
    <s v="0004"/>
    <s v=""/>
    <s v="0000"/>
    <s v=""/>
    <s v="0000000000"/>
    <s v=""/>
    <s v=""/>
    <s v=""/>
    <s v=""/>
    <s v=""/>
    <s v=""/>
    <s v=""/>
    <s v=""/>
    <m/>
    <x v="0"/>
    <n v="24000"/>
    <n v="0"/>
    <d v="2026-07-20T00:00:00"/>
    <d v="2026-07-20T00:00:00"/>
    <m/>
    <d v="2026-07-20T00:00:00"/>
    <n v="24000"/>
    <x v="0"/>
    <s v="58"/>
    <e v="#N/A"/>
    <m/>
    <n v="0"/>
    <e v="#N/A"/>
    <e v="#N/A"/>
  </r>
  <r>
    <x v="13"/>
    <x v="13"/>
    <s v="0328"/>
    <x v="3"/>
    <s v="TF trfr within plant"/>
    <s v="4916717381"/>
    <s v="M003"/>
    <x v="65"/>
    <x v="0"/>
    <s v="14:13:22"/>
    <s v="PRONDTAN"/>
    <s v="0001"/>
    <s v=""/>
    <s v="0000"/>
    <s v=""/>
    <s v="0000000000"/>
    <s v=""/>
    <s v=""/>
    <s v=""/>
    <s v=""/>
    <s v=""/>
    <s v=""/>
    <s v=""/>
    <s v=""/>
    <m/>
    <x v="0"/>
    <n v="-4000"/>
    <n v="0"/>
    <d v="2026-07-20T00:00:00"/>
    <d v="2026-07-20T00:00:00"/>
    <m/>
    <d v="2026-07-20T00:00:00"/>
    <n v="-4000"/>
    <x v="0"/>
    <s v="58"/>
    <e v="#N/A"/>
    <m/>
    <n v="0"/>
    <e v="#N/A"/>
    <e v="#N/A"/>
  </r>
  <r>
    <x v="13"/>
    <x v="13"/>
    <s v="0328"/>
    <x v="3"/>
    <s v="TF trfr within plant"/>
    <s v="4916717381"/>
    <s v="P003"/>
    <x v="65"/>
    <x v="0"/>
    <s v="14:13:22"/>
    <s v="PRONDTAN"/>
    <s v="0002"/>
    <s v=""/>
    <s v="0000"/>
    <s v=""/>
    <s v="0000000000"/>
    <s v=""/>
    <s v=""/>
    <s v=""/>
    <s v=""/>
    <s v=""/>
    <s v=""/>
    <s v=""/>
    <s v=""/>
    <m/>
    <x v="0"/>
    <n v="4000"/>
    <n v="0"/>
    <d v="2026-07-20T00:00:00"/>
    <d v="2026-07-20T00:00:00"/>
    <m/>
    <d v="2026-07-20T00:00:00"/>
    <n v="4000"/>
    <x v="0"/>
    <s v="58"/>
    <e v="#N/A"/>
    <m/>
    <n v="0"/>
    <e v="#N/A"/>
    <e v="#N/A"/>
  </r>
  <r>
    <x v="5"/>
    <x v="5"/>
    <s v="0328"/>
    <x v="2"/>
    <s v="GD goods issue:delvy"/>
    <s v="4916718155"/>
    <s v="M001"/>
    <x v="57"/>
    <x v="0"/>
    <s v="14:17:33"/>
    <s v="RAPEESAN01"/>
    <s v="0001"/>
    <s v=""/>
    <s v="0000"/>
    <s v=""/>
    <s v="0000000000"/>
    <s v=""/>
    <s v=""/>
    <s v=""/>
    <s v="51003100"/>
    <s v=""/>
    <s v=""/>
    <s v=""/>
    <s v="2000126044"/>
    <m/>
    <x v="4"/>
    <n v="-1704"/>
    <n v="-1736648.64"/>
    <d v="2026-07-20T00:00:00"/>
    <d v="2026-07-20T00:00:00"/>
    <m/>
    <d v="2026-07-20T00:00:00"/>
    <n v="-5112000"/>
    <x v="0"/>
    <s v="59"/>
    <s v="ต้นทุนขาย"/>
    <m/>
    <n v="1019.16"/>
    <e v="#N/A"/>
    <e v="#N/A"/>
  </r>
  <r>
    <x v="5"/>
    <x v="5"/>
    <s v="0328"/>
    <x v="2"/>
    <s v="GD goods issue:delvy"/>
    <s v="4916718155"/>
    <s v="M001"/>
    <x v="62"/>
    <x v="0"/>
    <s v="14:17:33"/>
    <s v="RAPEESAN01"/>
    <s v="0002"/>
    <s v=""/>
    <s v="0000"/>
    <s v=""/>
    <s v="0000000000"/>
    <s v=""/>
    <s v=""/>
    <s v=""/>
    <s v="51003100"/>
    <s v=""/>
    <s v=""/>
    <s v=""/>
    <s v="2000126044"/>
    <m/>
    <x v="4"/>
    <n v="-216"/>
    <n v="-220138.56"/>
    <d v="2026-07-20T00:00:00"/>
    <d v="2026-07-20T00:00:00"/>
    <m/>
    <d v="2026-07-20T00:00:00"/>
    <n v="-648000"/>
    <x v="0"/>
    <s v="59"/>
    <s v="ต้นทุนขาย"/>
    <m/>
    <n v="1019.16"/>
    <e v="#N/A"/>
    <e v="#N/A"/>
  </r>
  <r>
    <x v="5"/>
    <x v="5"/>
    <s v="0328"/>
    <x v="2"/>
    <s v="GD goods issue:delvy"/>
    <s v="4916719023"/>
    <s v="M001"/>
    <x v="62"/>
    <x v="0"/>
    <s v="14:19:22"/>
    <s v="RAPEESAN01"/>
    <s v="0001"/>
    <s v=""/>
    <s v="0000"/>
    <s v=""/>
    <s v="0000000000"/>
    <s v=""/>
    <s v=""/>
    <s v=""/>
    <s v="51003100"/>
    <s v=""/>
    <s v=""/>
    <s v=""/>
    <s v="2000126045"/>
    <m/>
    <x v="4"/>
    <n v="-1920"/>
    <n v="-1956787.2"/>
    <d v="2026-07-20T00:00:00"/>
    <d v="2026-07-20T00:00:00"/>
    <m/>
    <d v="2026-07-20T00:00:00"/>
    <n v="-5760000"/>
    <x v="0"/>
    <s v="59"/>
    <s v="ต้นทุนขาย"/>
    <m/>
    <n v="1019.16"/>
    <e v="#N/A"/>
    <e v="#N/A"/>
  </r>
  <r>
    <x v="5"/>
    <x v="5"/>
    <s v="0328"/>
    <x v="2"/>
    <s v="GD goods issue:delvy"/>
    <s v="4916719469"/>
    <s v="M001"/>
    <x v="62"/>
    <x v="0"/>
    <s v="14:21:16"/>
    <s v="RAPEESAN01"/>
    <s v="0001"/>
    <s v=""/>
    <s v="0000"/>
    <s v=""/>
    <s v="0000000000"/>
    <s v=""/>
    <s v=""/>
    <s v=""/>
    <s v="51003100"/>
    <s v=""/>
    <s v=""/>
    <s v=""/>
    <s v="2000126046"/>
    <m/>
    <x v="4"/>
    <n v="-1215"/>
    <n v="-1238279.3999999999"/>
    <d v="2026-07-20T00:00:00"/>
    <d v="2026-07-20T00:00:00"/>
    <m/>
    <d v="2026-07-20T00:00:00"/>
    <n v="-3645000"/>
    <x v="0"/>
    <s v="59"/>
    <s v="ต้นทุนขาย"/>
    <m/>
    <n v="1019.16"/>
    <e v="#N/A"/>
    <e v="#N/A"/>
  </r>
  <r>
    <x v="5"/>
    <x v="5"/>
    <s v="0328"/>
    <x v="2"/>
    <s v="GD goods issue:delvy"/>
    <s v="4916719469"/>
    <s v="M001"/>
    <x v="63"/>
    <x v="0"/>
    <s v="14:21:16"/>
    <s v="RAPEESAN01"/>
    <s v="0002"/>
    <s v=""/>
    <s v="0000"/>
    <s v=""/>
    <s v="0000000000"/>
    <s v=""/>
    <s v=""/>
    <s v=""/>
    <s v="51003100"/>
    <s v=""/>
    <s v=""/>
    <s v=""/>
    <s v="2000126046"/>
    <m/>
    <x v="4"/>
    <n v="-1665"/>
    <n v="-1696901.4"/>
    <d v="2026-07-20T00:00:00"/>
    <d v="2026-07-20T00:00:00"/>
    <m/>
    <d v="2026-07-20T00:00:00"/>
    <n v="-4995000"/>
    <x v="0"/>
    <s v="59"/>
    <s v="ต้นทุนขาย"/>
    <m/>
    <n v="1019.16"/>
    <e v="#N/A"/>
    <e v="#N/A"/>
  </r>
  <r>
    <x v="5"/>
    <x v="5"/>
    <s v="0328"/>
    <x v="1"/>
    <s v="GI ค่าวิจัยและพัฒนา"/>
    <s v="4916720903"/>
    <s v="M001"/>
    <x v="63"/>
    <x v="0"/>
    <s v="14:26:26"/>
    <s v="RAPEESAN01"/>
    <s v="0002"/>
    <s v=""/>
    <s v="0000"/>
    <s v=""/>
    <s v="0151637621"/>
    <s v=""/>
    <s v="เพื่อส่งให้ RD'QA 7-11 ตรวจสอบ"/>
    <s v="405053"/>
    <s v="67501001"/>
    <s v=""/>
    <s v=""/>
    <s v=""/>
    <s v=""/>
    <m/>
    <x v="2"/>
    <n v="-1"/>
    <n v="-169.86"/>
    <d v="2026-07-20T00:00:00"/>
    <d v="2026-07-20T00:00:00"/>
    <m/>
    <d v="2026-07-20T00:00:00"/>
    <n v="-5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6720903"/>
    <s v="M001"/>
    <x v="57"/>
    <x v="0"/>
    <s v="14:26:26"/>
    <s v="RAPEESAN01"/>
    <s v="0001"/>
    <s v=""/>
    <s v="0000"/>
    <s v=""/>
    <s v="0151637621"/>
    <s v=""/>
    <s v="เพื่อส่งให้ RD'QA 7-11 ตรวจสอบ"/>
    <s v="405053"/>
    <s v="67501001"/>
    <s v=""/>
    <s v=""/>
    <s v=""/>
    <s v=""/>
    <m/>
    <x v="2"/>
    <n v="-3"/>
    <n v="-509.58"/>
    <d v="2026-07-20T00:00:00"/>
    <d v="2026-07-20T00:00:00"/>
    <m/>
    <d v="2026-07-20T00:00:00"/>
    <n v="-15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6721290"/>
    <s v="M001"/>
    <x v="63"/>
    <x v="0"/>
    <s v="14:28:47"/>
    <s v="RAPEESAN01"/>
    <s v="0001"/>
    <s v=""/>
    <s v="0000"/>
    <s v=""/>
    <s v="0151637170"/>
    <s v=""/>
    <s v="เพื่อส่งให้ RD'QA 7-11 ตรวจสอบ"/>
    <s v="405053"/>
    <s v="67501001"/>
    <s v=""/>
    <s v=""/>
    <s v=""/>
    <s v=""/>
    <m/>
    <x v="2"/>
    <n v="-4"/>
    <n v="-679.44"/>
    <d v="2026-07-20T00:00:00"/>
    <d v="2026-07-20T00:00:00"/>
    <m/>
    <d v="2026-07-20T00:00:00"/>
    <n v="-2000"/>
    <x v="0"/>
    <s v="59"/>
    <s v="ค่าวิจัยคุณภาพสินค้า"/>
    <m/>
    <n v="169.86"/>
    <e v="#N/A"/>
    <e v="#N/A"/>
  </r>
  <r>
    <x v="14"/>
    <x v="14"/>
    <s v="0328"/>
    <x v="3"/>
    <s v="TF trfr within plant"/>
    <s v="4916724280"/>
    <s v="P001"/>
    <x v="25"/>
    <x v="0"/>
    <s v="14:41:30"/>
    <s v="RAPEESAN01"/>
    <s v="0002"/>
    <s v=""/>
    <s v="0000"/>
    <s v=""/>
    <s v="0000000000"/>
    <s v=""/>
    <s v=""/>
    <s v=""/>
    <s v=""/>
    <s v=""/>
    <s v=""/>
    <s v=""/>
    <s v=""/>
    <m/>
    <x v="3"/>
    <n v="6972"/>
    <n v="0"/>
    <d v="2026-07-20T00:00:00"/>
    <d v="2026-07-20T00:00:00"/>
    <m/>
    <d v="2026-07-20T00:00:00"/>
    <n v="6972000"/>
    <x v="0"/>
    <s v="54"/>
    <e v="#N/A"/>
    <m/>
    <n v="0"/>
    <e v="#N/A"/>
    <e v="#N/A"/>
  </r>
  <r>
    <x v="14"/>
    <x v="14"/>
    <s v="0328"/>
    <x v="3"/>
    <s v="TF trfr within plant"/>
    <s v="4916724280"/>
    <s v="M002"/>
    <x v="25"/>
    <x v="0"/>
    <s v="14:41:30"/>
    <s v="RAPEESAN01"/>
    <s v="0001"/>
    <s v=""/>
    <s v="0000"/>
    <s v=""/>
    <s v="0000000000"/>
    <s v=""/>
    <s v=""/>
    <s v=""/>
    <s v=""/>
    <s v=""/>
    <s v=""/>
    <s v=""/>
    <s v=""/>
    <m/>
    <x v="3"/>
    <n v="-6972"/>
    <n v="0"/>
    <d v="2026-07-20T00:00:00"/>
    <d v="2026-07-20T00:00:00"/>
    <m/>
    <d v="2026-07-20T00:00:00"/>
    <n v="-6972000"/>
    <x v="0"/>
    <s v="54"/>
    <e v="#N/A"/>
    <m/>
    <n v="0"/>
    <e v="#N/A"/>
    <e v="#N/A"/>
  </r>
  <r>
    <x v="7"/>
    <x v="7"/>
    <s v="0328"/>
    <x v="3"/>
    <s v="TF trfr within plant"/>
    <s v="4916724280"/>
    <s v="P001"/>
    <x v="8"/>
    <x v="0"/>
    <s v="14:41:30"/>
    <s v="RAPEESAN01"/>
    <s v="0004"/>
    <s v=""/>
    <s v="0000"/>
    <s v=""/>
    <s v="0000000000"/>
    <s v=""/>
    <s v=""/>
    <s v=""/>
    <s v=""/>
    <s v=""/>
    <s v=""/>
    <s v=""/>
    <s v=""/>
    <m/>
    <x v="3"/>
    <n v="8981.2000000000007"/>
    <n v="0"/>
    <d v="2026-07-20T00:00:00"/>
    <d v="2026-07-20T00:00:00"/>
    <m/>
    <d v="2026-07-20T00:00:00"/>
    <n v="8981200"/>
    <x v="0"/>
    <s v="54"/>
    <e v="#N/A"/>
    <m/>
    <n v="0"/>
    <e v="#N/A"/>
    <e v="#N/A"/>
  </r>
  <r>
    <x v="7"/>
    <x v="7"/>
    <s v="0328"/>
    <x v="3"/>
    <s v="TF trfr within plant"/>
    <s v="4916724280"/>
    <s v="M002"/>
    <x v="8"/>
    <x v="0"/>
    <s v="14:41:30"/>
    <s v="RAPEESAN01"/>
    <s v="0003"/>
    <s v=""/>
    <s v="0000"/>
    <s v=""/>
    <s v="0000000000"/>
    <s v=""/>
    <s v=""/>
    <s v=""/>
    <s v=""/>
    <s v=""/>
    <s v=""/>
    <s v=""/>
    <s v=""/>
    <m/>
    <x v="3"/>
    <n v="-8981.2000000000007"/>
    <n v="0"/>
    <d v="2026-07-20T00:00:00"/>
    <d v="2026-07-20T00:00:00"/>
    <m/>
    <d v="2026-07-20T00:00:00"/>
    <n v="-8981200"/>
    <x v="0"/>
    <s v="54"/>
    <e v="#N/A"/>
    <m/>
    <n v="0"/>
    <e v="#N/A"/>
    <e v="#N/A"/>
  </r>
  <r>
    <x v="7"/>
    <x v="7"/>
    <s v="0328"/>
    <x v="4"/>
    <s v="GI for order"/>
    <s v="4916729026"/>
    <s v="P001"/>
    <x v="8"/>
    <x v="48"/>
    <s v="14:56:54"/>
    <s v="SUTEESEA"/>
    <s v="0001"/>
    <s v=""/>
    <s v="0000"/>
    <s v=""/>
    <s v="0151646407"/>
    <s v=""/>
    <s v=""/>
    <s v=""/>
    <s v="53002000"/>
    <s v=""/>
    <s v=""/>
    <s v=""/>
    <s v=""/>
    <m/>
    <x v="3"/>
    <n v="-8981.2000000000007"/>
    <n v="-1399264.4"/>
    <d v="2026-07-20T00:00:00"/>
    <d v="2026-07-16T00:00:00"/>
    <m/>
    <d v="2026-07-20T00:00:00"/>
    <n v="-8981200"/>
    <x v="3"/>
    <s v="54"/>
    <s v="ต้นทุนผลิต-วัตถุดิบ"/>
    <m/>
    <n v="155.79926958535606"/>
    <e v="#N/A"/>
    <e v="#N/A"/>
  </r>
  <r>
    <x v="6"/>
    <x v="6"/>
    <s v="0328"/>
    <x v="2"/>
    <s v="GD goods issue:delvy"/>
    <s v="4916729670"/>
    <s v="P004"/>
    <x v="7"/>
    <x v="0"/>
    <s v="14:59:52"/>
    <s v="SONGPCHI"/>
    <s v="0001"/>
    <s v=""/>
    <s v="0000"/>
    <s v=""/>
    <s v="0000000000"/>
    <s v=""/>
    <s v=""/>
    <s v=""/>
    <s v="51003100"/>
    <s v=""/>
    <s v=""/>
    <s v=""/>
    <s v="2000126070"/>
    <m/>
    <x v="2"/>
    <n v="-2"/>
    <n v="-339.64"/>
    <d v="2026-07-20T00:00:00"/>
    <d v="2026-07-20T00:00:00"/>
    <m/>
    <d v="2026-07-20T00:00:00"/>
    <n v="-1000"/>
    <x v="0"/>
    <s v="59"/>
    <s v="ต้นทุนขาย"/>
    <m/>
    <n v="169.82"/>
    <e v="#N/A"/>
    <e v="#N/A"/>
  </r>
  <r>
    <x v="6"/>
    <x v="6"/>
    <s v="0328"/>
    <x v="2"/>
    <s v="GD goods issue:delvy"/>
    <s v="4916729986"/>
    <s v="P004"/>
    <x v="7"/>
    <x v="0"/>
    <s v="15:00:38"/>
    <s v="SONGPCHI"/>
    <s v="0001"/>
    <s v=""/>
    <s v="0000"/>
    <s v=""/>
    <s v="0000000000"/>
    <s v=""/>
    <s v=""/>
    <s v=""/>
    <s v="51003100"/>
    <s v=""/>
    <s v=""/>
    <s v=""/>
    <s v="2000126071"/>
    <m/>
    <x v="2"/>
    <n v="-2"/>
    <n v="-339.64"/>
    <d v="2026-07-20T00:00:00"/>
    <d v="2026-07-20T00:00:00"/>
    <m/>
    <d v="2026-07-20T00:00:00"/>
    <n v="-1000"/>
    <x v="0"/>
    <s v="59"/>
    <s v="ต้นทุนขาย"/>
    <m/>
    <n v="169.82"/>
    <e v="#N/A"/>
    <e v="#N/A"/>
  </r>
  <r>
    <x v="6"/>
    <x v="6"/>
    <s v="0328"/>
    <x v="2"/>
    <s v="GD goods issue:delvy"/>
    <s v="4916730376"/>
    <s v="P004"/>
    <x v="10"/>
    <x v="0"/>
    <s v="15:01:30"/>
    <s v="SONGPCHI"/>
    <s v="0001"/>
    <s v=""/>
    <s v="0000"/>
    <s v=""/>
    <s v="0000000000"/>
    <s v=""/>
    <s v=""/>
    <s v=""/>
    <s v="51003100"/>
    <s v=""/>
    <s v=""/>
    <s v=""/>
    <s v="2000126072"/>
    <m/>
    <x v="2"/>
    <n v="-2"/>
    <n v="-339.64"/>
    <d v="2026-07-20T00:00:00"/>
    <d v="2026-07-20T00:00:00"/>
    <m/>
    <d v="2026-07-20T00:00:00"/>
    <n v="-1000"/>
    <x v="0"/>
    <s v="59"/>
    <s v="ต้นทุนขาย"/>
    <m/>
    <n v="169.82"/>
    <e v="#N/A"/>
    <e v="#N/A"/>
  </r>
  <r>
    <x v="5"/>
    <x v="5"/>
    <s v="0328"/>
    <x v="1"/>
    <s v="GI ค่าวิจัยและพัฒนา"/>
    <s v="4916730599"/>
    <s v="M001"/>
    <x v="63"/>
    <x v="0"/>
    <s v="15:07:02"/>
    <s v="PRONDTAN"/>
    <s v="0002"/>
    <s v=""/>
    <s v="0000"/>
    <s v=""/>
    <s v="0151593638"/>
    <s v=""/>
    <s v="Retain 15.07.26.3 A012R002"/>
    <s v="405053"/>
    <s v="67501001"/>
    <s v=""/>
    <s v=""/>
    <s v=""/>
    <s v=""/>
    <m/>
    <x v="2"/>
    <n v="-2"/>
    <n v="-339.72"/>
    <d v="2026-07-20T00:00:00"/>
    <d v="2026-07-20T00:00:00"/>
    <m/>
    <d v="2026-07-20T00:00:00"/>
    <n v="-10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6730599"/>
    <s v="M001"/>
    <x v="63"/>
    <x v="0"/>
    <s v="15:07:02"/>
    <s v="PRONDTAN"/>
    <s v="0001"/>
    <s v=""/>
    <s v="0000"/>
    <s v=""/>
    <s v="0151593638"/>
    <s v=""/>
    <s v="Routine 15.07.26.3 A012R002"/>
    <s v="405053"/>
    <s v="67501001"/>
    <s v=""/>
    <s v=""/>
    <s v=""/>
    <s v=""/>
    <m/>
    <x v="2"/>
    <n v="-2"/>
    <n v="-339.72"/>
    <d v="2026-07-20T00:00:00"/>
    <d v="2026-07-20T00:00:00"/>
    <m/>
    <d v="2026-07-20T00:00:00"/>
    <n v="-1000"/>
    <x v="0"/>
    <s v="59"/>
    <s v="ค่าวิจัยคุณภาพสินค้า"/>
    <m/>
    <n v="169.86"/>
    <e v="#N/A"/>
    <e v="#N/A"/>
  </r>
  <r>
    <x v="6"/>
    <x v="6"/>
    <s v="0328"/>
    <x v="2"/>
    <s v="GD goods issue:delvy"/>
    <s v="4916734118"/>
    <s v="P004"/>
    <x v="10"/>
    <x v="0"/>
    <s v="16:15:54"/>
    <s v="CHONMPRA"/>
    <s v="0001"/>
    <s v=""/>
    <s v="0000"/>
    <s v=""/>
    <s v="0000000000"/>
    <s v=""/>
    <s v=""/>
    <s v=""/>
    <s v="51003100"/>
    <s v=""/>
    <s v=""/>
    <s v=""/>
    <s v="2000126084"/>
    <m/>
    <x v="2"/>
    <n v="-90"/>
    <n v="-15283.8"/>
    <d v="2026-07-20T00:00:00"/>
    <d v="2026-07-20T00:00:00"/>
    <m/>
    <d v="2026-07-20T00:00:00"/>
    <n v="-45000"/>
    <x v="0"/>
    <s v="59"/>
    <s v="ต้นทุนขาย"/>
    <m/>
    <n v="169.82"/>
    <e v="#N/A"/>
    <e v="#N/A"/>
  </r>
  <r>
    <x v="14"/>
    <x v="14"/>
    <s v="0328"/>
    <x v="4"/>
    <s v="GI for order"/>
    <s v="4916735972"/>
    <s v="P001"/>
    <x v="25"/>
    <x v="49"/>
    <s v="17:00:03"/>
    <s v="SUTEESEA"/>
    <s v="0001"/>
    <s v=""/>
    <s v="0000"/>
    <s v=""/>
    <s v="0151648228"/>
    <s v=""/>
    <s v=""/>
    <s v=""/>
    <s v="53002000"/>
    <s v=""/>
    <s v=""/>
    <s v=""/>
    <s v=""/>
    <m/>
    <x v="3"/>
    <n v="-6972"/>
    <n v="-1843566.87"/>
    <d v="2026-07-20T00:00:00"/>
    <d v="2026-07-16T00:00:00"/>
    <m/>
    <d v="2026-07-20T00:00:00"/>
    <n v="-6972000"/>
    <x v="3"/>
    <s v="54"/>
    <s v="ต้นทุนผลิต-วัตถุดิบ"/>
    <m/>
    <n v="264.42439328743546"/>
    <e v="#N/A"/>
    <e v="#N/A"/>
  </r>
  <r>
    <x v="18"/>
    <x v="18"/>
    <s v="0328"/>
    <x v="4"/>
    <s v="GI for order"/>
    <s v="4916737375"/>
    <s v="P002"/>
    <x v="25"/>
    <x v="50"/>
    <s v="17:23:16"/>
    <s v="JURASDOK"/>
    <s v="0002"/>
    <s v=""/>
    <s v="0000"/>
    <s v=""/>
    <s v="0151651037"/>
    <s v=""/>
    <s v=""/>
    <s v=""/>
    <s v="53001003"/>
    <s v=""/>
    <s v=""/>
    <s v=""/>
    <s v=""/>
    <m/>
    <x v="3"/>
    <n v="-7571.4"/>
    <n v="-2050637.97"/>
    <d v="2026-07-20T00:00:00"/>
    <d v="2026-07-15T00:00:00"/>
    <m/>
    <d v="2026-07-20T00:00:00"/>
    <n v="-7571400"/>
    <x v="4"/>
    <s v="57"/>
    <s v="ต้นทุนผลิตกึ่งสำเร็จ"/>
    <m/>
    <n v="270.83999920754417"/>
    <e v="#N/A"/>
    <e v="#N/A"/>
  </r>
  <r>
    <x v="17"/>
    <x v="17"/>
    <s v="0328"/>
    <x v="4"/>
    <s v="GI for order"/>
    <s v="4916737375"/>
    <s v="P002"/>
    <x v="79"/>
    <x v="50"/>
    <s v="17:23:16"/>
    <s v="JURASDOK"/>
    <s v="0003"/>
    <s v=""/>
    <s v="0000"/>
    <s v=""/>
    <s v="0151651037"/>
    <s v=""/>
    <s v=""/>
    <s v=""/>
    <s v="53001003"/>
    <s v=""/>
    <s v=""/>
    <s v=""/>
    <s v=""/>
    <m/>
    <x v="3"/>
    <n v="-300.88"/>
    <n v="-81487.33"/>
    <d v="2026-07-20T00:00:00"/>
    <d v="2026-07-15T00:00:00"/>
    <m/>
    <d v="2026-07-20T00:00:00"/>
    <n v="-300880"/>
    <x v="4"/>
    <s v="57"/>
    <s v="ต้นทุนผลิตกึ่งสำเร็จ"/>
    <m/>
    <n v="270.82999867056634"/>
    <e v="#N/A"/>
    <e v="#N/A"/>
  </r>
  <r>
    <x v="19"/>
    <x v="19"/>
    <s v="0328"/>
    <x v="4"/>
    <s v="GI for order"/>
    <s v="4916737375"/>
    <s v="P002"/>
    <x v="8"/>
    <x v="50"/>
    <s v="17:23:16"/>
    <s v="JURASDOK"/>
    <s v="0004"/>
    <s v=""/>
    <s v="0000"/>
    <s v=""/>
    <s v="0151651037"/>
    <s v=""/>
    <s v=""/>
    <s v=""/>
    <s v="53001003"/>
    <s v=""/>
    <s v=""/>
    <s v=""/>
    <s v=""/>
    <m/>
    <x v="3"/>
    <n v="-1968.64"/>
    <n v="-314844.59999999998"/>
    <d v="2026-07-20T00:00:00"/>
    <d v="2026-07-15T00:00:00"/>
    <m/>
    <d v="2026-07-20T00:00:00"/>
    <n v="-1968640"/>
    <x v="4"/>
    <s v="57"/>
    <s v="ต้นทุนผลิตกึ่งสำเร็จ"/>
    <m/>
    <n v="159.93000243823144"/>
    <e v="#N/A"/>
    <e v="#N/A"/>
  </r>
  <r>
    <x v="23"/>
    <x v="23"/>
    <s v="0328"/>
    <x v="5"/>
    <s v="GR for order"/>
    <s v="4916737375"/>
    <s v="P003"/>
    <x v="84"/>
    <x v="50"/>
    <s v="17:23:16"/>
    <s v="JURASDOK"/>
    <s v="0001"/>
    <s v=""/>
    <s v="0000"/>
    <s v=""/>
    <s v="0000000000"/>
    <s v=""/>
    <s v=""/>
    <s v=""/>
    <s v="53001004"/>
    <s v=""/>
    <s v=""/>
    <s v=""/>
    <s v=""/>
    <m/>
    <x v="3"/>
    <n v="7914.58"/>
    <n v="2573346.54"/>
    <d v="2026-07-20T00:00:00"/>
    <d v="2026-07-15T00:00:00"/>
    <m/>
    <d v="2026-07-20T00:00:00"/>
    <n v="7914580"/>
    <x v="4"/>
    <s v="57"/>
    <s v="ต้นทุนผลิตโอน Semi"/>
    <m/>
    <n v="325.13999984838108"/>
    <e v="#N/A"/>
    <e v="#N/A"/>
  </r>
  <r>
    <x v="23"/>
    <x v="23"/>
    <s v="0328"/>
    <x v="4"/>
    <s v="GI for order"/>
    <s v="4916737529"/>
    <s v="P003"/>
    <x v="84"/>
    <x v="51"/>
    <s v="17:27:24"/>
    <s v="JURASDOK"/>
    <s v="0002"/>
    <s v=""/>
    <s v="0000"/>
    <s v=""/>
    <s v="0151651067"/>
    <s v=""/>
    <s v=""/>
    <s v=""/>
    <s v="53001003"/>
    <s v=""/>
    <s v=""/>
    <s v=""/>
    <s v=""/>
    <m/>
    <x v="3"/>
    <n v="-7914.58"/>
    <n v="-2573346.54"/>
    <d v="2026-07-20T00:00:00"/>
    <d v="2026-07-15T00:00:00"/>
    <m/>
    <d v="2026-07-20T00:00:00"/>
    <n v="-7914580"/>
    <x v="2"/>
    <s v="57"/>
    <s v="ต้นทุนผลิตกึ่งสำเร็จ"/>
    <m/>
    <n v="325.13999984838108"/>
    <e v="#N/A"/>
    <e v="#N/A"/>
  </r>
  <r>
    <x v="11"/>
    <x v="11"/>
    <s v="0328"/>
    <x v="4"/>
    <s v="GI for order"/>
    <s v="4916737529"/>
    <s v="P003"/>
    <x v="20"/>
    <x v="51"/>
    <s v="17:27:24"/>
    <s v="JURASDOK"/>
    <s v="0003"/>
    <s v=""/>
    <s v="0000"/>
    <s v=""/>
    <s v="0151651067"/>
    <s v=""/>
    <s v=""/>
    <s v=""/>
    <s v="53003000"/>
    <s v=""/>
    <s v=""/>
    <s v=""/>
    <s v=""/>
    <m/>
    <x v="0"/>
    <n v="-16159"/>
    <n v="-13666.76"/>
    <d v="2026-07-20T00:00:00"/>
    <d v="2026-07-15T00:00:00"/>
    <m/>
    <d v="2026-07-20T00:00:00"/>
    <n v="-16159"/>
    <x v="2"/>
    <s v="58"/>
    <s v="ต้นทุนผลิตหีบห่อ"/>
    <m/>
    <n v="0.84576768364378985"/>
    <e v="#N/A"/>
    <e v="#N/A"/>
  </r>
  <r>
    <x v="12"/>
    <x v="12"/>
    <s v="0328"/>
    <x v="4"/>
    <s v="GI for order"/>
    <s v="4916737529"/>
    <s v="P003"/>
    <x v="1"/>
    <x v="51"/>
    <s v="17:27:24"/>
    <s v="JURASDOK"/>
    <s v="0006"/>
    <s v=""/>
    <s v="0000"/>
    <s v=""/>
    <s v="0000000000"/>
    <s v=""/>
    <s v="Film roll All cafe500g.420mm*900m"/>
    <s v=""/>
    <s v="53003000"/>
    <s v=""/>
    <s v=""/>
    <s v=""/>
    <s v=""/>
    <m/>
    <x v="0"/>
    <n v="-5103"/>
    <n v="-10632.03"/>
    <d v="2026-07-20T00:00:00"/>
    <d v="2026-07-15T00:00:00"/>
    <m/>
    <d v="2026-07-20T00:00:00"/>
    <n v="-5103"/>
    <x v="2"/>
    <s v="58"/>
    <s v="ต้นทุนผลิตหีบห่อ"/>
    <m/>
    <n v="2.0834861845972958"/>
    <e v="#N/A"/>
    <e v="#N/A"/>
  </r>
  <r>
    <x v="12"/>
    <x v="12"/>
    <s v="0328"/>
    <x v="4"/>
    <s v="GI for order"/>
    <s v="4916737529"/>
    <s v="P003"/>
    <x v="33"/>
    <x v="51"/>
    <s v="17:27:24"/>
    <s v="JURASDOK"/>
    <s v="0004"/>
    <s v=""/>
    <s v="0000"/>
    <s v=""/>
    <s v="0151651067"/>
    <s v=""/>
    <s v=""/>
    <s v=""/>
    <s v="53003000"/>
    <s v=""/>
    <s v=""/>
    <s v=""/>
    <s v=""/>
    <m/>
    <x v="0"/>
    <n v="-11056"/>
    <n v="-23035.03"/>
    <d v="2026-07-20T00:00:00"/>
    <d v="2026-07-15T00:00:00"/>
    <m/>
    <d v="2026-07-20T00:00:00"/>
    <n v="-11056"/>
    <x v="2"/>
    <s v="58"/>
    <s v="ต้นทุนผลิตหีบห่อ"/>
    <m/>
    <n v="2.0834867945007236"/>
    <e v="#N/A"/>
    <e v="#N/A"/>
  </r>
  <r>
    <x v="13"/>
    <x v="13"/>
    <s v="0328"/>
    <x v="4"/>
    <s v="GI for order"/>
    <s v="4916737529"/>
    <s v="P003"/>
    <x v="65"/>
    <x v="51"/>
    <s v="17:27:24"/>
    <s v="JURASDOK"/>
    <s v="0007"/>
    <s v=""/>
    <s v="0000"/>
    <s v=""/>
    <s v="0000000000"/>
    <s v=""/>
    <s v="All Cafe ลังกระดาษ (287*240*177 mm.)"/>
    <s v=""/>
    <s v="53003000"/>
    <s v=""/>
    <s v=""/>
    <s v=""/>
    <s v=""/>
    <m/>
    <x v="0"/>
    <n v="-1112"/>
    <n v="-5560"/>
    <d v="2026-07-20T00:00:00"/>
    <d v="2026-07-15T00:00:00"/>
    <m/>
    <d v="2026-07-20T00:00:00"/>
    <n v="-1112"/>
    <x v="2"/>
    <s v="58"/>
    <s v="ต้นทุนผลิตหีบห่อ"/>
    <m/>
    <n v="5"/>
    <e v="#N/A"/>
    <e v="#N/A"/>
  </r>
  <r>
    <x v="13"/>
    <x v="13"/>
    <s v="0328"/>
    <x v="4"/>
    <s v="GI for order"/>
    <s v="4916737529"/>
    <s v="P003"/>
    <x v="47"/>
    <x v="51"/>
    <s v="17:27:24"/>
    <s v="JURASDOK"/>
    <s v="0005"/>
    <s v=""/>
    <s v="0000"/>
    <s v=""/>
    <s v="0151651067"/>
    <s v=""/>
    <s v=""/>
    <s v=""/>
    <s v="53003000"/>
    <s v=""/>
    <s v=""/>
    <s v=""/>
    <s v=""/>
    <m/>
    <x v="0"/>
    <n v="-1541"/>
    <n v="-7705"/>
    <d v="2026-07-20T00:00:00"/>
    <d v="2026-07-15T00:00:00"/>
    <m/>
    <d v="2026-07-20T00:00:00"/>
    <n v="-1541"/>
    <x v="2"/>
    <s v="58"/>
    <s v="ต้นทุนผลิตหีบห่อ"/>
    <m/>
    <n v="5"/>
    <e v="#N/A"/>
    <e v="#N/A"/>
  </r>
  <r>
    <x v="5"/>
    <x v="5"/>
    <s v="0328"/>
    <x v="5"/>
    <s v="GR for order"/>
    <s v="4916737529"/>
    <s v="M001"/>
    <x v="85"/>
    <x v="51"/>
    <s v="17:27:24"/>
    <s v="JURASDOK"/>
    <s v="0001"/>
    <s v=""/>
    <s v="0000"/>
    <s v=""/>
    <s v="0000000000"/>
    <s v=""/>
    <s v=""/>
    <s v=""/>
    <s v="53001001"/>
    <s v=""/>
    <s v=""/>
    <s v=""/>
    <s v=""/>
    <m/>
    <x v="2"/>
    <n v="15817"/>
    <n v="2686675.62"/>
    <d v="2026-07-20T00:00:00"/>
    <d v="2026-07-15T00:00:00"/>
    <m/>
    <d v="2026-07-20T00:00:00"/>
    <n v="7908500"/>
    <x v="2"/>
    <s v="59"/>
    <s v="ต้นทุนผลิตโอน F/G"/>
    <m/>
    <n v="169.86"/>
    <e v="#N/A"/>
    <e v="#N/A"/>
  </r>
  <r>
    <x v="18"/>
    <x v="18"/>
    <s v="0328"/>
    <x v="4"/>
    <s v="GI for order"/>
    <s v="4916737796"/>
    <s v="P002"/>
    <x v="52"/>
    <x v="52"/>
    <s v="17:31:31"/>
    <s v="JURASDOK"/>
    <s v="0002"/>
    <s v=""/>
    <s v="0000"/>
    <s v=""/>
    <s v="0151651087"/>
    <s v=""/>
    <s v=""/>
    <s v=""/>
    <s v="53001003"/>
    <s v=""/>
    <s v=""/>
    <s v=""/>
    <s v=""/>
    <m/>
    <x v="3"/>
    <n v="-8183.1"/>
    <n v="-2216310.7999999998"/>
    <d v="2026-07-20T00:00:00"/>
    <d v="2026-07-16T00:00:00"/>
    <m/>
    <d v="2026-07-20T00:00:00"/>
    <n v="-8183100"/>
    <x v="4"/>
    <s v="57"/>
    <s v="ต้นทุนผลิตกึ่งสำเร็จ"/>
    <m/>
    <n v="270.83999951118767"/>
    <e v="#N/A"/>
    <e v="#N/A"/>
  </r>
  <r>
    <x v="17"/>
    <x v="17"/>
    <s v="0328"/>
    <x v="4"/>
    <s v="GI for order"/>
    <s v="4916737796"/>
    <s v="P002"/>
    <x v="79"/>
    <x v="52"/>
    <s v="17:31:31"/>
    <s v="JURASDOK"/>
    <s v="0003"/>
    <s v=""/>
    <s v="0000"/>
    <s v=""/>
    <s v="0151651087"/>
    <s v=""/>
    <s v=""/>
    <s v=""/>
    <s v="53001003"/>
    <s v=""/>
    <s v=""/>
    <s v=""/>
    <s v=""/>
    <m/>
    <x v="3"/>
    <n v="-841.34"/>
    <n v="-227860.11"/>
    <d v="2026-07-20T00:00:00"/>
    <d v="2026-07-16T00:00:00"/>
    <m/>
    <d v="2026-07-20T00:00:00"/>
    <n v="-841340"/>
    <x v="4"/>
    <s v="57"/>
    <s v="ต้นทุนผลิตกึ่งสำเร็จ"/>
    <m/>
    <n v="270.8299973851237"/>
    <e v="#N/A"/>
    <e v="#N/A"/>
  </r>
  <r>
    <x v="19"/>
    <x v="19"/>
    <s v="0328"/>
    <x v="4"/>
    <s v="GI for order"/>
    <s v="4916737796"/>
    <s v="P002"/>
    <x v="8"/>
    <x v="52"/>
    <s v="17:31:31"/>
    <s v="JURASDOK"/>
    <s v="0004"/>
    <s v=""/>
    <s v="0000"/>
    <s v=""/>
    <s v="0151651087"/>
    <s v=""/>
    <s v=""/>
    <s v=""/>
    <s v="53001003"/>
    <s v=""/>
    <s v=""/>
    <s v=""/>
    <s v=""/>
    <m/>
    <x v="3"/>
    <n v="-2258.2600000000002"/>
    <n v="-361163.52000000002"/>
    <d v="2026-07-20T00:00:00"/>
    <d v="2026-07-16T00:00:00"/>
    <m/>
    <d v="2026-07-20T00:00:00"/>
    <n v="-2258260"/>
    <x v="4"/>
    <s v="57"/>
    <s v="ต้นทุนผลิตกึ่งสำเร็จ"/>
    <m/>
    <n v="159.92999920292613"/>
    <e v="#N/A"/>
    <e v="#N/A"/>
  </r>
  <r>
    <x v="23"/>
    <x v="23"/>
    <s v="0328"/>
    <x v="5"/>
    <s v="GR for order"/>
    <s v="4916737796"/>
    <s v="P003"/>
    <x v="86"/>
    <x v="52"/>
    <s v="17:31:31"/>
    <s v="JURASDOK"/>
    <s v="0001"/>
    <s v=""/>
    <s v="0000"/>
    <s v=""/>
    <s v="0000000000"/>
    <s v=""/>
    <s v=""/>
    <s v=""/>
    <s v="53001004"/>
    <s v=""/>
    <s v=""/>
    <s v=""/>
    <s v=""/>
    <m/>
    <x v="3"/>
    <n v="9086.34"/>
    <n v="2954332.59"/>
    <d v="2026-07-20T00:00:00"/>
    <d v="2026-07-16T00:00:00"/>
    <m/>
    <d v="2026-07-20T00:00:00"/>
    <n v="9086340"/>
    <x v="4"/>
    <s v="57"/>
    <s v="ต้นทุนผลิตโอน Semi"/>
    <m/>
    <n v="325.14000026413271"/>
    <e v="#N/A"/>
    <e v="#N/A"/>
  </r>
  <r>
    <x v="18"/>
    <x v="18"/>
    <s v="0328"/>
    <x v="4"/>
    <s v="GI for order"/>
    <s v="4916738052"/>
    <s v="P002"/>
    <x v="52"/>
    <x v="53"/>
    <s v="17:39:38"/>
    <s v="JURASDOK"/>
    <s v="0004"/>
    <s v=""/>
    <s v="0000"/>
    <s v=""/>
    <s v="0000000000"/>
    <s v=""/>
    <s v="เมล็ดกาแฟ Clean Arabica Size L"/>
    <s v=""/>
    <s v="53001003"/>
    <s v=""/>
    <s v=""/>
    <s v=""/>
    <s v=""/>
    <m/>
    <x v="3"/>
    <n v="-1160.74"/>
    <n v="-314374.82"/>
    <d v="2026-07-20T00:00:00"/>
    <d v="2026-07-17T00:00:00"/>
    <m/>
    <d v="2026-07-20T00:00:00"/>
    <n v="-1160740"/>
    <x v="4"/>
    <s v="57"/>
    <s v="ต้นทุนผลิตกึ่งสำเร็จ"/>
    <m/>
    <n v="270.83999862156901"/>
    <e v="#N/A"/>
    <e v="#N/A"/>
  </r>
  <r>
    <x v="18"/>
    <x v="18"/>
    <s v="0328"/>
    <x v="4"/>
    <s v="GI for order"/>
    <s v="4916738052"/>
    <s v="P002"/>
    <x v="25"/>
    <x v="53"/>
    <s v="17:39:38"/>
    <s v="JURASDOK"/>
    <s v="0002"/>
    <s v=""/>
    <s v="0000"/>
    <s v=""/>
    <s v="0151651102"/>
    <s v=""/>
    <s v=""/>
    <s v=""/>
    <s v="53001003"/>
    <s v=""/>
    <s v=""/>
    <s v=""/>
    <s v=""/>
    <m/>
    <x v="3"/>
    <n v="-6136.36"/>
    <n v="-1661971.74"/>
    <d v="2026-07-20T00:00:00"/>
    <d v="2026-07-17T00:00:00"/>
    <m/>
    <d v="2026-07-20T00:00:00"/>
    <n v="-6136360"/>
    <x v="4"/>
    <s v="57"/>
    <s v="ต้นทุนผลิตกึ่งสำเร็จ"/>
    <m/>
    <n v="270.83999960888866"/>
    <e v="#N/A"/>
    <e v="#N/A"/>
  </r>
  <r>
    <x v="19"/>
    <x v="19"/>
    <s v="0328"/>
    <x v="4"/>
    <s v="GI for order"/>
    <s v="4916738052"/>
    <s v="P002"/>
    <x v="8"/>
    <x v="53"/>
    <s v="17:39:38"/>
    <s v="JURASDOK"/>
    <s v="0003"/>
    <s v=""/>
    <s v="0000"/>
    <s v=""/>
    <s v="0151651102"/>
    <s v=""/>
    <s v=""/>
    <s v=""/>
    <s v="53001003"/>
    <s v=""/>
    <s v=""/>
    <s v=""/>
    <s v=""/>
    <m/>
    <x v="3"/>
    <n v="-1825.96"/>
    <n v="-292025.78000000003"/>
    <d v="2026-07-20T00:00:00"/>
    <d v="2026-07-17T00:00:00"/>
    <m/>
    <d v="2026-07-20T00:00:00"/>
    <n v="-1825960"/>
    <x v="4"/>
    <s v="57"/>
    <s v="ต้นทุนผลิตกึ่งสำเร็จ"/>
    <m/>
    <n v="159.92999846656008"/>
    <e v="#N/A"/>
    <e v="#N/A"/>
  </r>
  <r>
    <x v="23"/>
    <x v="23"/>
    <s v="0328"/>
    <x v="5"/>
    <s v="GR for order"/>
    <s v="4916738052"/>
    <s v="P003"/>
    <x v="87"/>
    <x v="53"/>
    <s v="17:39:38"/>
    <s v="JURASDOK"/>
    <s v="0001"/>
    <s v=""/>
    <s v="0000"/>
    <s v=""/>
    <s v="0000000000"/>
    <s v=""/>
    <s v=""/>
    <s v=""/>
    <s v="53001004"/>
    <s v=""/>
    <s v=""/>
    <s v=""/>
    <s v=""/>
    <m/>
    <x v="3"/>
    <n v="7341.83"/>
    <n v="2387122.61"/>
    <d v="2026-07-20T00:00:00"/>
    <d v="2026-07-17T00:00:00"/>
    <m/>
    <d v="2026-07-20T00:00:00"/>
    <n v="7341830"/>
    <x v="4"/>
    <s v="57"/>
    <s v="ต้นทุนผลิตโอน Semi"/>
    <m/>
    <n v="325.14000051758211"/>
    <e v="#N/A"/>
    <e v="#N/A"/>
  </r>
  <r>
    <x v="17"/>
    <x v="17"/>
    <s v="0328"/>
    <x v="4"/>
    <s v="GI for order"/>
    <s v="4916738159"/>
    <s v="P002"/>
    <x v="79"/>
    <x v="54"/>
    <s v="17:44:42"/>
    <s v="JURASDOK"/>
    <s v="0002"/>
    <s v=""/>
    <s v="0000"/>
    <s v=""/>
    <s v="0000000000"/>
    <s v=""/>
    <s v="เมล็ดกาแฟ Clean Arabica B"/>
    <s v=""/>
    <s v="53001003"/>
    <s v=""/>
    <s v=""/>
    <s v=""/>
    <s v=""/>
    <m/>
    <x v="3"/>
    <n v="-192"/>
    <n v="-51999.360000000001"/>
    <d v="2026-07-20T00:00:00"/>
    <d v="2026-07-17T00:00:00"/>
    <m/>
    <d v="2026-07-20T00:00:00"/>
    <n v="-192000"/>
    <x v="4"/>
    <s v="57"/>
    <s v="ต้นทุนผลิตกึ่งสำเร็จ"/>
    <m/>
    <n v="270.83"/>
    <e v="#N/A"/>
    <e v="#N/A"/>
  </r>
  <r>
    <x v="20"/>
    <x v="20"/>
    <s v="0328"/>
    <x v="4"/>
    <s v="GI for order"/>
    <s v="4916738159"/>
    <s v="P002"/>
    <x v="71"/>
    <x v="54"/>
    <s v="17:44:42"/>
    <s v="JURASDOK"/>
    <s v="0003"/>
    <s v=""/>
    <s v="0000"/>
    <s v=""/>
    <s v="0000000000"/>
    <s v=""/>
    <s v="เมล็ดกาแฟ Clean Robusta B"/>
    <s v=""/>
    <s v="53001003"/>
    <s v=""/>
    <s v=""/>
    <s v=""/>
    <s v=""/>
    <m/>
    <x v="3"/>
    <n v="-288.3"/>
    <n v="-46107.82"/>
    <d v="2026-07-20T00:00:00"/>
    <d v="2026-07-17T00:00:00"/>
    <m/>
    <d v="2026-07-20T00:00:00"/>
    <n v="-288300"/>
    <x v="4"/>
    <s v="57"/>
    <s v="ต้นทุนผลิตกึ่งสำเร็จ"/>
    <m/>
    <n v="159.93000346860907"/>
    <e v="#N/A"/>
    <e v="#N/A"/>
  </r>
  <r>
    <x v="28"/>
    <x v="28"/>
    <s v="0328"/>
    <x v="5"/>
    <s v="GR for order"/>
    <s v="4916738159"/>
    <s v="P003"/>
    <x v="88"/>
    <x v="54"/>
    <s v="17:44:42"/>
    <s v="JURASDOK"/>
    <s v="0001"/>
    <s v=""/>
    <s v="0000"/>
    <s v=""/>
    <s v="0000000000"/>
    <s v=""/>
    <s v=""/>
    <s v=""/>
    <s v="53001004"/>
    <s v=""/>
    <s v=""/>
    <s v=""/>
    <s v=""/>
    <m/>
    <x v="3"/>
    <n v="380"/>
    <n v="102478.39999999999"/>
    <d v="2026-07-20T00:00:00"/>
    <d v="2026-07-17T00:00:00"/>
    <m/>
    <d v="2026-07-20T00:00:00"/>
    <n v="380000"/>
    <x v="4"/>
    <s v="57"/>
    <s v="ต้นทุนผลิตโอน Semi"/>
    <m/>
    <n v="269.68"/>
    <e v="#N/A"/>
    <e v="#N/A"/>
  </r>
  <r>
    <x v="23"/>
    <x v="23"/>
    <s v="0328"/>
    <x v="4"/>
    <s v="GI for order"/>
    <s v="4916742033"/>
    <s v="P003"/>
    <x v="86"/>
    <x v="55"/>
    <s v="18:39:13"/>
    <s v="JURASDOK"/>
    <s v="0002"/>
    <s v=""/>
    <s v="0000"/>
    <s v=""/>
    <s v="0151653497"/>
    <s v=""/>
    <s v=""/>
    <s v=""/>
    <s v="53001003"/>
    <s v=""/>
    <s v=""/>
    <s v=""/>
    <s v=""/>
    <m/>
    <x v="3"/>
    <n v="-9086.34"/>
    <n v="-2954332.59"/>
    <d v="2026-07-20T00:00:00"/>
    <d v="2026-07-16T00:00:00"/>
    <m/>
    <d v="2026-07-20T00:00:00"/>
    <n v="-9086340"/>
    <x v="2"/>
    <s v="57"/>
    <s v="ต้นทุนผลิตกึ่งสำเร็จ"/>
    <m/>
    <n v="325.14000026413271"/>
    <e v="#N/A"/>
    <e v="#N/A"/>
  </r>
  <r>
    <x v="11"/>
    <x v="11"/>
    <s v="0328"/>
    <x v="4"/>
    <s v="GI for order"/>
    <s v="4916742033"/>
    <s v="P003"/>
    <x v="20"/>
    <x v="55"/>
    <s v="18:39:13"/>
    <s v="JURASDOK"/>
    <s v="0003"/>
    <s v=""/>
    <s v="0000"/>
    <s v=""/>
    <s v="0151653497"/>
    <s v=""/>
    <s v=""/>
    <s v=""/>
    <s v="53003000"/>
    <s v=""/>
    <s v=""/>
    <s v=""/>
    <s v=""/>
    <m/>
    <x v="0"/>
    <n v="-18388"/>
    <n v="-15551.98"/>
    <d v="2026-07-20T00:00:00"/>
    <d v="2026-07-16T00:00:00"/>
    <m/>
    <d v="2026-07-20T00:00:00"/>
    <n v="-18388"/>
    <x v="2"/>
    <s v="58"/>
    <s v="ต้นทุนผลิตหีบห่อ"/>
    <m/>
    <n v="0.84576789210354575"/>
    <e v="#N/A"/>
    <e v="#N/A"/>
  </r>
  <r>
    <x v="12"/>
    <x v="12"/>
    <s v="0328"/>
    <x v="4"/>
    <s v="GI for order"/>
    <s v="4916742033"/>
    <s v="P003"/>
    <x v="1"/>
    <x v="55"/>
    <s v="18:39:13"/>
    <s v="JURASDOK"/>
    <s v="0004"/>
    <s v=""/>
    <s v="0000"/>
    <s v=""/>
    <s v="0151653497"/>
    <s v=""/>
    <s v=""/>
    <s v=""/>
    <s v="53003000"/>
    <s v=""/>
    <s v=""/>
    <s v=""/>
    <s v=""/>
    <m/>
    <x v="0"/>
    <n v="-18388"/>
    <n v="-38311.160000000003"/>
    <d v="2026-07-20T00:00:00"/>
    <d v="2026-07-16T00:00:00"/>
    <m/>
    <d v="2026-07-20T00:00:00"/>
    <n v="-18388"/>
    <x v="2"/>
    <s v="58"/>
    <s v="ต้นทุนผลิตหีบห่อ"/>
    <m/>
    <n v="2.0834870567761588"/>
    <e v="#N/A"/>
    <e v="#N/A"/>
  </r>
  <r>
    <x v="13"/>
    <x v="13"/>
    <s v="0328"/>
    <x v="4"/>
    <s v="GI for order"/>
    <s v="4916742033"/>
    <s v="P003"/>
    <x v="65"/>
    <x v="55"/>
    <s v="18:39:13"/>
    <s v="JURASDOK"/>
    <s v="0005"/>
    <s v=""/>
    <s v="0000"/>
    <s v=""/>
    <s v="0151653497"/>
    <s v=""/>
    <s v=""/>
    <s v=""/>
    <s v="53003000"/>
    <s v=""/>
    <s v=""/>
    <s v=""/>
    <s v=""/>
    <m/>
    <x v="0"/>
    <n v="-3037"/>
    <n v="-15185"/>
    <d v="2026-07-20T00:00:00"/>
    <d v="2026-07-16T00:00:00"/>
    <m/>
    <d v="2026-07-20T00:00:00"/>
    <n v="-3037"/>
    <x v="2"/>
    <s v="58"/>
    <s v="ต้นทุนผลิตหีบห่อ"/>
    <m/>
    <n v="5"/>
    <e v="#N/A"/>
    <e v="#N/A"/>
  </r>
  <r>
    <x v="5"/>
    <x v="5"/>
    <s v="0328"/>
    <x v="5"/>
    <s v="GR for order"/>
    <s v="4916742033"/>
    <s v="M001"/>
    <x v="89"/>
    <x v="55"/>
    <s v="18:39:13"/>
    <s v="JURASDOK"/>
    <s v="0001"/>
    <s v=""/>
    <s v="0000"/>
    <s v=""/>
    <s v="0000000000"/>
    <s v=""/>
    <s v=""/>
    <s v=""/>
    <s v="53001001"/>
    <s v=""/>
    <s v=""/>
    <s v=""/>
    <s v=""/>
    <m/>
    <x v="2"/>
    <n v="18160"/>
    <n v="3084657.6"/>
    <d v="2026-07-20T00:00:00"/>
    <d v="2026-07-16T00:00:00"/>
    <m/>
    <d v="2026-07-20T00:00:00"/>
    <n v="9080000"/>
    <x v="2"/>
    <s v="59"/>
    <s v="ต้นทุนผลิตโอน F/G"/>
    <m/>
    <n v="169.86"/>
    <e v="#N/A"/>
    <e v="#N/A"/>
  </r>
  <r>
    <x v="23"/>
    <x v="23"/>
    <s v="0328"/>
    <x v="4"/>
    <s v="GI for order"/>
    <s v="4916742347"/>
    <s v="P003"/>
    <x v="87"/>
    <x v="56"/>
    <s v="18:52:23"/>
    <s v="JURASDOK"/>
    <s v="0002"/>
    <s v=""/>
    <s v="0000"/>
    <s v=""/>
    <s v="0151653504"/>
    <s v=""/>
    <s v=""/>
    <s v=""/>
    <s v="53001003"/>
    <s v=""/>
    <s v=""/>
    <s v=""/>
    <s v=""/>
    <m/>
    <x v="3"/>
    <n v="-7341.83"/>
    <n v="-2387122.61"/>
    <d v="2026-07-20T00:00:00"/>
    <d v="2026-07-17T00:00:00"/>
    <m/>
    <d v="2026-07-20T00:00:00"/>
    <n v="-7341830"/>
    <x v="2"/>
    <s v="57"/>
    <s v="ต้นทุนผลิตกึ่งสำเร็จ"/>
    <m/>
    <n v="325.14000051758211"/>
    <e v="#N/A"/>
    <e v="#N/A"/>
  </r>
  <r>
    <x v="11"/>
    <x v="11"/>
    <s v="0328"/>
    <x v="4"/>
    <s v="GI for order"/>
    <s v="4916742347"/>
    <s v="P003"/>
    <x v="20"/>
    <x v="56"/>
    <s v="18:52:23"/>
    <s v="JURASDOK"/>
    <s v="0003"/>
    <s v=""/>
    <s v="0000"/>
    <s v=""/>
    <s v="0151653504"/>
    <s v=""/>
    <s v=""/>
    <s v=""/>
    <s v="53003000"/>
    <s v=""/>
    <s v=""/>
    <s v=""/>
    <s v=""/>
    <m/>
    <x v="0"/>
    <n v="-39"/>
    <n v="-32.979999999999997"/>
    <d v="2026-07-20T00:00:00"/>
    <d v="2026-07-17T00:00:00"/>
    <m/>
    <d v="2026-07-20T00:00:00"/>
    <n v="-39"/>
    <x v="2"/>
    <s v="58"/>
    <s v="ต้นทุนผลิตหีบห่อ"/>
    <m/>
    <n v="0.84564102564102561"/>
    <e v="#N/A"/>
    <e v="#N/A"/>
  </r>
  <r>
    <x v="11"/>
    <x v="11"/>
    <s v="0328"/>
    <x v="4"/>
    <s v="GI for order"/>
    <s v="4916742347"/>
    <s v="P003"/>
    <x v="14"/>
    <x v="56"/>
    <s v="18:52:23"/>
    <s v="JURASDOK"/>
    <s v="0006"/>
    <s v=""/>
    <s v="0000"/>
    <s v=""/>
    <s v="0000000000"/>
    <s v=""/>
    <s v="WIPF WICOVALVE W009"/>
    <s v=""/>
    <s v="53003000"/>
    <s v=""/>
    <s v=""/>
    <s v=""/>
    <s v=""/>
    <m/>
    <x v="0"/>
    <n v="-14938"/>
    <n v="-12634.08"/>
    <d v="2026-07-20T00:00:00"/>
    <d v="2026-07-17T00:00:00"/>
    <m/>
    <d v="2026-07-20T00:00:00"/>
    <n v="-14938"/>
    <x v="2"/>
    <s v="58"/>
    <s v="ต้นทุนผลิตหีบห่อ"/>
    <m/>
    <n v="0.84576784040701569"/>
    <e v="#N/A"/>
    <e v="#N/A"/>
  </r>
  <r>
    <x v="12"/>
    <x v="12"/>
    <s v="0328"/>
    <x v="4"/>
    <s v="GI for order"/>
    <s v="4916742347"/>
    <s v="P003"/>
    <x v="1"/>
    <x v="56"/>
    <s v="18:52:23"/>
    <s v="JURASDOK"/>
    <s v="0004"/>
    <s v=""/>
    <s v="0000"/>
    <s v=""/>
    <s v="0151653504"/>
    <s v=""/>
    <s v=""/>
    <s v=""/>
    <s v="53003000"/>
    <s v=""/>
    <s v=""/>
    <s v=""/>
    <s v=""/>
    <m/>
    <x v="0"/>
    <n v="-14977"/>
    <n v="-31204.39"/>
    <d v="2026-07-20T00:00:00"/>
    <d v="2026-07-17T00:00:00"/>
    <m/>
    <d v="2026-07-20T00:00:00"/>
    <n v="-14977"/>
    <x v="2"/>
    <s v="58"/>
    <s v="ต้นทุนผลิตหีบห่อ"/>
    <m/>
    <n v="2.0834873472658075"/>
    <e v="#N/A"/>
    <e v="#N/A"/>
  </r>
  <r>
    <x v="13"/>
    <x v="13"/>
    <s v="0328"/>
    <x v="4"/>
    <s v="GI for order"/>
    <s v="4916742347"/>
    <s v="P003"/>
    <x v="65"/>
    <x v="56"/>
    <s v="18:52:23"/>
    <s v="JURASDOK"/>
    <s v="0005"/>
    <s v=""/>
    <s v="0000"/>
    <s v=""/>
    <s v="0151653504"/>
    <s v=""/>
    <s v=""/>
    <s v=""/>
    <s v="53003000"/>
    <s v=""/>
    <s v=""/>
    <s v=""/>
    <s v=""/>
    <m/>
    <x v="0"/>
    <n v="-2473"/>
    <n v="-12365"/>
    <d v="2026-07-20T00:00:00"/>
    <d v="2026-07-17T00:00:00"/>
    <m/>
    <d v="2026-07-20T00:00:00"/>
    <n v="-2473"/>
    <x v="2"/>
    <s v="58"/>
    <s v="ต้นทุนผลิตหีบห่อ"/>
    <m/>
    <n v="5"/>
    <e v="#N/A"/>
    <e v="#N/A"/>
  </r>
  <r>
    <x v="5"/>
    <x v="5"/>
    <s v="0328"/>
    <x v="5"/>
    <s v="GR for order"/>
    <s v="4916742347"/>
    <s v="M001"/>
    <x v="90"/>
    <x v="56"/>
    <s v="18:52:23"/>
    <s v="JURASDOK"/>
    <s v="0001"/>
    <s v=""/>
    <s v="0000"/>
    <s v=""/>
    <s v="0000000000"/>
    <s v=""/>
    <s v=""/>
    <s v=""/>
    <s v="53001001"/>
    <s v=""/>
    <s v=""/>
    <s v=""/>
    <s v=""/>
    <m/>
    <x v="2"/>
    <n v="14674"/>
    <n v="2492525.64"/>
    <d v="2026-07-20T00:00:00"/>
    <d v="2026-07-17T00:00:00"/>
    <m/>
    <d v="2026-07-20T00:00:00"/>
    <n v="7337000"/>
    <x v="2"/>
    <s v="59"/>
    <s v="ต้นทุนผลิตโอน F/G"/>
    <m/>
    <n v="169.86"/>
    <e v="#N/A"/>
    <e v="#N/A"/>
  </r>
  <r>
    <x v="28"/>
    <x v="28"/>
    <s v="0328"/>
    <x v="4"/>
    <s v="GI for order"/>
    <s v="4916742442"/>
    <s v="P003"/>
    <x v="88"/>
    <x v="57"/>
    <s v="18:56:25"/>
    <s v="JURASDOK"/>
    <s v="0002"/>
    <s v=""/>
    <s v="0000"/>
    <s v=""/>
    <s v="0151653561"/>
    <s v=""/>
    <s v=""/>
    <s v=""/>
    <s v="53001003"/>
    <s v=""/>
    <s v=""/>
    <s v=""/>
    <s v=""/>
    <m/>
    <x v="3"/>
    <n v="-380"/>
    <n v="-102478.39999999999"/>
    <d v="2026-07-20T00:00:00"/>
    <d v="2026-07-17T00:00:00"/>
    <m/>
    <d v="2026-07-20T00:00:00"/>
    <n v="-380000"/>
    <x v="2"/>
    <s v="57"/>
    <s v="ต้นทุนผลิตกึ่งสำเร็จ"/>
    <m/>
    <n v="269.68"/>
    <e v="#N/A"/>
    <e v="#N/A"/>
  </r>
  <r>
    <x v="11"/>
    <x v="11"/>
    <s v="0328"/>
    <x v="4"/>
    <s v="GI for order"/>
    <s v="4916742442"/>
    <s v="P003"/>
    <x v="14"/>
    <x v="57"/>
    <s v="18:56:25"/>
    <s v="JURASDOK"/>
    <s v="0003"/>
    <s v=""/>
    <s v="0000"/>
    <s v=""/>
    <s v="0151653561"/>
    <s v=""/>
    <s v=""/>
    <s v=""/>
    <s v="53003000"/>
    <s v=""/>
    <s v=""/>
    <s v=""/>
    <s v=""/>
    <m/>
    <x v="0"/>
    <n v="-878"/>
    <n v="-742.58"/>
    <d v="2026-07-20T00:00:00"/>
    <d v="2026-07-17T00:00:00"/>
    <m/>
    <d v="2026-07-20T00:00:00"/>
    <n v="-878"/>
    <x v="2"/>
    <s v="58"/>
    <s v="ต้นทุนผลิตหีบห่อ"/>
    <m/>
    <n v="0.84576309794988613"/>
    <e v="#N/A"/>
    <e v="#N/A"/>
  </r>
  <r>
    <x v="0"/>
    <x v="0"/>
    <s v="0328"/>
    <x v="4"/>
    <s v="GI for order"/>
    <s v="4916742442"/>
    <s v="P003"/>
    <x v="65"/>
    <x v="57"/>
    <s v="18:56:25"/>
    <s v="JURASDOK"/>
    <s v="0006"/>
    <s v=""/>
    <s v="0000"/>
    <s v=""/>
    <s v="0000000000"/>
    <s v=""/>
    <s v="(4seal) กล่องกระดาษ5ชั้น 450*330*300 mm"/>
    <s v=""/>
    <s v="53003000"/>
    <s v=""/>
    <s v=""/>
    <s v=""/>
    <s v=""/>
    <m/>
    <x v="0"/>
    <n v="-32"/>
    <n v="-704"/>
    <d v="2026-07-20T00:00:00"/>
    <d v="2026-07-17T00:00:00"/>
    <m/>
    <d v="2026-07-20T00:00:00"/>
    <n v="-32"/>
    <x v="2"/>
    <s v="58"/>
    <s v="ต้นทุนผลิตหีบห่อ"/>
    <m/>
    <n v="22"/>
    <e v="#N/A"/>
    <e v="#N/A"/>
  </r>
  <r>
    <x v="0"/>
    <x v="0"/>
    <s v="0328"/>
    <x v="4"/>
    <s v="GI for order"/>
    <s v="4916742442"/>
    <s v="P003"/>
    <x v="0"/>
    <x v="57"/>
    <s v="18:56:25"/>
    <s v="JURASDOK"/>
    <s v="0005"/>
    <s v=""/>
    <s v="0000"/>
    <s v=""/>
    <s v="0151653561"/>
    <s v=""/>
    <s v=""/>
    <s v=""/>
    <s v="53003000"/>
    <s v=""/>
    <s v=""/>
    <s v=""/>
    <s v=""/>
    <m/>
    <x v="0"/>
    <n v="-6"/>
    <n v="-132"/>
    <d v="2026-07-20T00:00:00"/>
    <d v="2026-07-17T00:00:00"/>
    <m/>
    <d v="2026-07-20T00:00:00"/>
    <n v="-6"/>
    <x v="2"/>
    <s v="58"/>
    <s v="ต้นทุนผลิตหีบห่อ"/>
    <m/>
    <n v="22"/>
    <e v="#N/A"/>
    <e v="#N/A"/>
  </r>
  <r>
    <x v="4"/>
    <x v="4"/>
    <s v="0328"/>
    <x v="4"/>
    <s v="GI for order"/>
    <s v="4916742442"/>
    <s v="P003"/>
    <x v="5"/>
    <x v="57"/>
    <s v="18:56:25"/>
    <s v="JURASDOK"/>
    <s v="0004"/>
    <s v=""/>
    <s v="0000"/>
    <s v=""/>
    <s v="0151653561"/>
    <s v=""/>
    <s v=""/>
    <s v=""/>
    <s v="53003000"/>
    <s v=""/>
    <s v=""/>
    <s v=""/>
    <s v=""/>
    <m/>
    <x v="0"/>
    <n v="-878"/>
    <n v="-1507.23"/>
    <d v="2026-07-20T00:00:00"/>
    <d v="2026-07-17T00:00:00"/>
    <m/>
    <d v="2026-07-20T00:00:00"/>
    <n v="-878"/>
    <x v="2"/>
    <s v="58"/>
    <s v="ต้นทุนผลิตหีบห่อ"/>
    <m/>
    <n v="1.7166628701594533"/>
    <e v="#N/A"/>
    <e v="#N/A"/>
  </r>
  <r>
    <x v="29"/>
    <x v="29"/>
    <s v="0328"/>
    <x v="5"/>
    <s v="GR for order"/>
    <s v="4916742442"/>
    <s v="M001"/>
    <x v="91"/>
    <x v="57"/>
    <s v="18:56:25"/>
    <s v="JURASDOK"/>
    <s v="0001"/>
    <s v=""/>
    <s v="0000"/>
    <s v=""/>
    <s v="0000000000"/>
    <s v=""/>
    <s v=""/>
    <s v=""/>
    <s v="53001001"/>
    <s v=""/>
    <s v=""/>
    <s v=""/>
    <s v=""/>
    <m/>
    <x v="2"/>
    <n v="760"/>
    <n v="107623.6"/>
    <d v="2026-07-20T00:00:00"/>
    <d v="2026-07-17T00:00:00"/>
    <m/>
    <d v="2026-07-20T00:00:00"/>
    <n v="380000"/>
    <x v="2"/>
    <s v="59"/>
    <s v="ต้นทุนผลิตโอน F/G"/>
    <m/>
    <n v="141.61000000000001"/>
    <e v="#N/A"/>
    <e v="#N/A"/>
  </r>
  <r>
    <x v="6"/>
    <x v="6"/>
    <s v="0328"/>
    <x v="3"/>
    <s v="TF trfr within plant"/>
    <s v="4916742573"/>
    <s v="M001"/>
    <x v="10"/>
    <x v="0"/>
    <s v="19:02:41"/>
    <s v="JURASDOK"/>
    <s v="0003"/>
    <s v=""/>
    <s v="0000"/>
    <s v=""/>
    <s v="0000000000"/>
    <s v=""/>
    <s v=""/>
    <s v=""/>
    <s v=""/>
    <s v=""/>
    <s v=""/>
    <s v=""/>
    <s v=""/>
    <m/>
    <x v="2"/>
    <n v="-600"/>
    <n v="0"/>
    <d v="2026-07-20T00:00:00"/>
    <d v="2026-07-20T00:00:00"/>
    <m/>
    <d v="2026-07-20T00:00:00"/>
    <n v="-300000"/>
    <x v="0"/>
    <s v="59"/>
    <e v="#N/A"/>
    <m/>
    <n v="0"/>
    <e v="#N/A"/>
    <e v="#N/A"/>
  </r>
  <r>
    <x v="6"/>
    <x v="6"/>
    <s v="0328"/>
    <x v="3"/>
    <s v="TF trfr within plant"/>
    <s v="4916742573"/>
    <s v="P004"/>
    <x v="10"/>
    <x v="0"/>
    <s v="19:02:41"/>
    <s v="JURASDOK"/>
    <s v="0004"/>
    <s v=""/>
    <s v="0000"/>
    <s v=""/>
    <s v="0000000000"/>
    <s v=""/>
    <s v=""/>
    <s v=""/>
    <s v=""/>
    <s v=""/>
    <s v=""/>
    <s v=""/>
    <s v=""/>
    <m/>
    <x v="2"/>
    <n v="600"/>
    <n v="0"/>
    <d v="2026-07-20T00:00:00"/>
    <d v="2026-07-20T00:00:00"/>
    <m/>
    <d v="2026-07-20T00:00:00"/>
    <n v="300000"/>
    <x v="0"/>
    <s v="59"/>
    <e v="#N/A"/>
    <m/>
    <n v="0"/>
    <e v="#N/A"/>
    <e v="#N/A"/>
  </r>
  <r>
    <x v="29"/>
    <x v="29"/>
    <s v="0328"/>
    <x v="3"/>
    <s v="TF trfr within plant"/>
    <s v="4916742573"/>
    <s v="M001"/>
    <x v="91"/>
    <x v="0"/>
    <s v="19:02:41"/>
    <s v="JURASDOK"/>
    <s v="0001"/>
    <s v=""/>
    <s v="0000"/>
    <s v=""/>
    <s v="0000000000"/>
    <s v=""/>
    <s v=""/>
    <s v=""/>
    <s v=""/>
    <s v=""/>
    <s v=""/>
    <s v=""/>
    <s v=""/>
    <m/>
    <x v="2"/>
    <n v="-759"/>
    <n v="0"/>
    <d v="2026-07-20T00:00:00"/>
    <d v="2026-07-20T00:00:00"/>
    <m/>
    <d v="2026-07-20T00:00:00"/>
    <n v="-379500"/>
    <x v="0"/>
    <s v="59"/>
    <e v="#N/A"/>
    <m/>
    <n v="0"/>
    <e v="#N/A"/>
    <e v="#N/A"/>
  </r>
  <r>
    <x v="29"/>
    <x v="29"/>
    <s v="0328"/>
    <x v="3"/>
    <s v="TF trfr within plant"/>
    <s v="4916742573"/>
    <s v="P004"/>
    <x v="91"/>
    <x v="0"/>
    <s v="19:02:41"/>
    <s v="JURASDOK"/>
    <s v="0002"/>
    <s v=""/>
    <s v="0000"/>
    <s v=""/>
    <s v="0000000000"/>
    <s v=""/>
    <s v=""/>
    <s v=""/>
    <s v=""/>
    <s v=""/>
    <s v=""/>
    <s v=""/>
    <s v=""/>
    <m/>
    <x v="2"/>
    <n v="759"/>
    <n v="0"/>
    <d v="2026-07-20T00:00:00"/>
    <d v="2026-07-20T00:00:00"/>
    <m/>
    <d v="2026-07-20T00:00:00"/>
    <n v="379500"/>
    <x v="0"/>
    <s v="59"/>
    <e v="#N/A"/>
    <m/>
    <n v="0"/>
    <e v="#N/A"/>
    <e v="#N/A"/>
  </r>
  <r>
    <x v="6"/>
    <x v="6"/>
    <s v="0328"/>
    <x v="4"/>
    <s v="GI for order"/>
    <s v="4916742671"/>
    <s v="M001"/>
    <x v="10"/>
    <x v="58"/>
    <s v="19:07:40"/>
    <s v="JURASDOK"/>
    <s v="0002"/>
    <s v=""/>
    <s v="0000"/>
    <s v=""/>
    <s v="0000000000"/>
    <s v=""/>
    <s v="เมล็ดกาแฟ CPR Coffee Bean  MF. 500 G."/>
    <s v=""/>
    <s v="53001000"/>
    <s v=""/>
    <s v=""/>
    <s v=""/>
    <s v=""/>
    <m/>
    <x v="2"/>
    <n v="-603"/>
    <n v="-102401.46"/>
    <d v="2026-07-20T00:00:00"/>
    <d v="2026-07-20T00:00:00"/>
    <m/>
    <d v="2026-07-20T00:00:00"/>
    <n v="-301500"/>
    <x v="1"/>
    <s v="59"/>
    <s v="ต้นทุนผลิต-สินค้าสำเร็จรูป"/>
    <m/>
    <n v="169.82000000000002"/>
    <e v="#N/A"/>
    <e v="#N/A"/>
  </r>
  <r>
    <x v="8"/>
    <x v="8"/>
    <s v="0328"/>
    <x v="5"/>
    <s v="GR for order"/>
    <s v="4916742671"/>
    <s v="M001"/>
    <x v="10"/>
    <x v="58"/>
    <s v="19:07:40"/>
    <s v="JURASDOK"/>
    <s v="0001"/>
    <s v=""/>
    <s v="0000"/>
    <s v=""/>
    <s v="0000000000"/>
    <s v=""/>
    <s v=""/>
    <s v=""/>
    <s v="53001001"/>
    <s v=""/>
    <s v=""/>
    <s v=""/>
    <s v=""/>
    <m/>
    <x v="2"/>
    <n v="603"/>
    <n v="102401.46"/>
    <d v="2026-07-20T00:00:00"/>
    <d v="2026-07-20T00:00:00"/>
    <m/>
    <d v="2026-07-20T00:00:00"/>
    <n v="301500"/>
    <x v="1"/>
    <s v="59"/>
    <s v="ต้นทุนผลิตโอน F/G"/>
    <m/>
    <n v="169.82000000000002"/>
    <e v="#N/A"/>
    <e v="#N/A"/>
  </r>
  <r>
    <x v="8"/>
    <x v="8"/>
    <s v="0328"/>
    <x v="0"/>
    <s v="TF trfr plnt to plnt"/>
    <s v="4916742673"/>
    <s v="M001"/>
    <x v="10"/>
    <x v="0"/>
    <s v="19:08:27"/>
    <s v="JURASDOK"/>
    <s v="0001"/>
    <s v=""/>
    <s v="0000"/>
    <s v=""/>
    <s v="0151648964"/>
    <s v=""/>
    <s v=""/>
    <s v=""/>
    <s v=""/>
    <s v=""/>
    <s v=""/>
    <s v=""/>
    <s v=""/>
    <m/>
    <x v="2"/>
    <n v="-600"/>
    <n v="-101892"/>
    <d v="2026-07-20T00:00:00"/>
    <d v="2026-07-20T00:00:00"/>
    <m/>
    <d v="2026-07-20T00:00:00"/>
    <n v="-300000"/>
    <x v="0"/>
    <s v="59"/>
    <e v="#N/A"/>
    <m/>
    <n v="169.82"/>
    <e v="#N/A"/>
    <e v="#N/A"/>
  </r>
  <r>
    <x v="29"/>
    <x v="29"/>
    <s v="0328"/>
    <x v="2"/>
    <s v="GD goods issue:delvy"/>
    <s v="4916789588"/>
    <s v="P004"/>
    <x v="92"/>
    <x v="0"/>
    <s v="09:52:12"/>
    <s v="THANAWIS"/>
    <s v="0001"/>
    <s v=""/>
    <s v="0000"/>
    <s v=""/>
    <s v="0000000000"/>
    <s v=""/>
    <s v=""/>
    <s v=""/>
    <s v="51003100"/>
    <s v=""/>
    <s v=""/>
    <s v=""/>
    <s v="2000126175"/>
    <m/>
    <x v="2"/>
    <n v="-185"/>
    <n v="-26197.85"/>
    <d v="2026-07-21T00:00:00"/>
    <d v="2026-07-21T00:00:00"/>
    <m/>
    <d v="2026-07-21T00:00:00"/>
    <n v="-92500"/>
    <x v="0"/>
    <s v="59"/>
    <s v="ต้นทุนขาย"/>
    <m/>
    <n v="141.60999999999999"/>
    <e v="#N/A"/>
    <e v="#N/A"/>
  </r>
  <r>
    <x v="29"/>
    <x v="29"/>
    <s v="0328"/>
    <x v="2"/>
    <s v="GD goods issue:delvy"/>
    <s v="4916789588"/>
    <s v="P004"/>
    <x v="91"/>
    <x v="0"/>
    <s v="09:52:12"/>
    <s v="THANAWIS"/>
    <s v="0002"/>
    <s v=""/>
    <s v="0000"/>
    <s v=""/>
    <s v="0000000000"/>
    <s v=""/>
    <s v=""/>
    <s v=""/>
    <s v="51003100"/>
    <s v=""/>
    <s v=""/>
    <s v=""/>
    <s v="2000126175"/>
    <m/>
    <x v="2"/>
    <n v="-215"/>
    <n v="-30446.15"/>
    <d v="2026-07-21T00:00:00"/>
    <d v="2026-07-21T00:00:00"/>
    <m/>
    <d v="2026-07-21T00:00:00"/>
    <n v="-107500"/>
    <x v="0"/>
    <s v="59"/>
    <s v="ต้นทุนขาย"/>
    <m/>
    <n v="141.61000000000001"/>
    <e v="#N/A"/>
    <e v="#N/A"/>
  </r>
  <r>
    <x v="29"/>
    <x v="29"/>
    <s v="0328"/>
    <x v="2"/>
    <s v="GD goods issue:delvy"/>
    <s v="4916789662"/>
    <s v="P004"/>
    <x v="91"/>
    <x v="0"/>
    <s v="09:52:44"/>
    <s v="THANAWIS"/>
    <s v="0001"/>
    <s v=""/>
    <s v="0000"/>
    <s v=""/>
    <s v="0000000000"/>
    <s v=""/>
    <s v=""/>
    <s v=""/>
    <s v="51003100"/>
    <s v=""/>
    <s v=""/>
    <s v=""/>
    <s v="2000126176"/>
    <m/>
    <x v="2"/>
    <n v="-200"/>
    <n v="-28322"/>
    <d v="2026-07-21T00:00:00"/>
    <d v="2026-07-21T00:00:00"/>
    <m/>
    <d v="2026-07-21T00:00:00"/>
    <n v="-100000"/>
    <x v="0"/>
    <s v="59"/>
    <s v="ต้นทุนขาย"/>
    <m/>
    <n v="141.61000000000001"/>
    <e v="#N/A"/>
    <e v="#N/A"/>
  </r>
  <r>
    <x v="29"/>
    <x v="29"/>
    <s v="0328"/>
    <x v="2"/>
    <s v="GD goods issue:delvy"/>
    <s v="4916789665"/>
    <s v="P004"/>
    <x v="91"/>
    <x v="0"/>
    <s v="09:53:29"/>
    <s v="THANAWIS"/>
    <s v="0001"/>
    <s v=""/>
    <s v="0000"/>
    <s v=""/>
    <s v="0000000000"/>
    <s v=""/>
    <s v=""/>
    <s v=""/>
    <s v="51003100"/>
    <s v=""/>
    <s v=""/>
    <s v=""/>
    <s v="2000126177"/>
    <m/>
    <x v="2"/>
    <n v="-280"/>
    <n v="-39650.800000000003"/>
    <d v="2026-07-21T00:00:00"/>
    <d v="2026-07-21T00:00:00"/>
    <m/>
    <d v="2026-07-21T00:00:00"/>
    <n v="-140000"/>
    <x v="0"/>
    <s v="59"/>
    <s v="ต้นทุนขาย"/>
    <m/>
    <n v="141.61000000000001"/>
    <e v="#N/A"/>
    <e v="#N/A"/>
  </r>
  <r>
    <x v="6"/>
    <x v="6"/>
    <s v="0328"/>
    <x v="2"/>
    <s v="GD goods issue:delvy"/>
    <s v="4916790728"/>
    <s v="P004"/>
    <x v="10"/>
    <x v="0"/>
    <s v="10:19:13"/>
    <s v="SONGPCHI"/>
    <s v="0001"/>
    <s v=""/>
    <s v="0000"/>
    <s v=""/>
    <s v="0000000000"/>
    <s v=""/>
    <s v=""/>
    <s v=""/>
    <s v="51003100"/>
    <s v=""/>
    <s v=""/>
    <s v=""/>
    <s v="2000126178"/>
    <m/>
    <x v="2"/>
    <n v="-78"/>
    <n v="-13245.96"/>
    <d v="2026-07-21T00:00:00"/>
    <d v="2026-07-21T00:00:00"/>
    <m/>
    <d v="2026-07-21T00:00:00"/>
    <n v="-39000"/>
    <x v="0"/>
    <s v="59"/>
    <s v="ต้นทุนขาย"/>
    <m/>
    <n v="169.82"/>
    <e v="#N/A"/>
    <e v="#N/A"/>
  </r>
  <r>
    <x v="13"/>
    <x v="13"/>
    <s v="0328"/>
    <x v="3"/>
    <s v="TF trfr within plant"/>
    <s v="4916797107"/>
    <s v="M003"/>
    <x v="93"/>
    <x v="0"/>
    <s v="13:08:43"/>
    <s v="PRONDTAN"/>
    <s v="0001"/>
    <s v=""/>
    <s v="0000"/>
    <s v=""/>
    <s v="0000000000"/>
    <s v=""/>
    <s v=""/>
    <s v=""/>
    <s v=""/>
    <s v=""/>
    <s v=""/>
    <s v=""/>
    <s v=""/>
    <m/>
    <x v="0"/>
    <n v="-3000"/>
    <n v="0"/>
    <d v="2026-07-21T00:00:00"/>
    <d v="2026-07-21T00:00:00"/>
    <m/>
    <d v="2026-07-21T00:00:00"/>
    <n v="-3000"/>
    <x v="0"/>
    <s v="58"/>
    <e v="#N/A"/>
    <m/>
    <n v="0"/>
    <e v="#N/A"/>
    <e v="#N/A"/>
  </r>
  <r>
    <x v="13"/>
    <x v="13"/>
    <s v="0328"/>
    <x v="3"/>
    <s v="TF trfr within plant"/>
    <s v="4916797107"/>
    <s v="P003"/>
    <x v="93"/>
    <x v="0"/>
    <s v="13:08:43"/>
    <s v="PRONDTAN"/>
    <s v="0002"/>
    <s v=""/>
    <s v="0000"/>
    <s v=""/>
    <s v="0000000000"/>
    <s v=""/>
    <s v=""/>
    <s v=""/>
    <s v=""/>
    <s v=""/>
    <s v=""/>
    <s v=""/>
    <s v=""/>
    <m/>
    <x v="0"/>
    <n v="3000"/>
    <n v="0"/>
    <d v="2026-07-21T00:00:00"/>
    <d v="2026-07-21T00:00:00"/>
    <m/>
    <d v="2026-07-21T00:00:00"/>
    <n v="3000"/>
    <x v="0"/>
    <s v="58"/>
    <e v="#N/A"/>
    <m/>
    <n v="0"/>
    <e v="#N/A"/>
    <e v="#N/A"/>
  </r>
  <r>
    <x v="6"/>
    <x v="6"/>
    <s v="0328"/>
    <x v="2"/>
    <s v="GD goods issue:delvy"/>
    <s v="4916797801"/>
    <s v="P004"/>
    <x v="10"/>
    <x v="0"/>
    <s v="13:27:34"/>
    <s v="SONGPCHI"/>
    <s v="0001"/>
    <s v=""/>
    <s v="0000"/>
    <s v=""/>
    <s v="0000000000"/>
    <s v=""/>
    <s v=""/>
    <s v=""/>
    <s v="51003100"/>
    <s v=""/>
    <s v=""/>
    <s v=""/>
    <s v="2000126188"/>
    <m/>
    <x v="2"/>
    <n v="-2"/>
    <n v="-339.64"/>
    <d v="2026-07-21T00:00:00"/>
    <d v="2026-07-21T00:00:00"/>
    <m/>
    <d v="2026-07-21T00:00:00"/>
    <n v="-1000"/>
    <x v="0"/>
    <s v="59"/>
    <s v="ต้นทุนขาย"/>
    <m/>
    <n v="169.82"/>
    <e v="#N/A"/>
    <e v="#N/A"/>
  </r>
  <r>
    <x v="6"/>
    <x v="6"/>
    <s v="0328"/>
    <x v="2"/>
    <s v="GD goods issue:delvy"/>
    <s v="4916815629"/>
    <s v="P004"/>
    <x v="10"/>
    <x v="0"/>
    <s v="15:47:17"/>
    <s v="CHONMPRA"/>
    <s v="0001"/>
    <s v=""/>
    <s v="0000"/>
    <s v=""/>
    <s v="0000000000"/>
    <s v=""/>
    <s v=""/>
    <s v=""/>
    <s v="51003100"/>
    <s v=""/>
    <s v=""/>
    <s v=""/>
    <s v="2000126221"/>
    <m/>
    <x v="2"/>
    <n v="-42"/>
    <n v="-7132.44"/>
    <d v="2026-07-21T00:00:00"/>
    <d v="2026-07-21T00:00:00"/>
    <m/>
    <d v="2026-07-21T00:00:00"/>
    <n v="-21000"/>
    <x v="0"/>
    <s v="59"/>
    <s v="ต้นทุนขาย"/>
    <m/>
    <n v="169.82"/>
    <e v="#N/A"/>
    <e v="#N/A"/>
  </r>
  <r>
    <x v="25"/>
    <x v="25"/>
    <s v="0328"/>
    <x v="11"/>
    <s v="GI for cost center"/>
    <s v="4916819114"/>
    <s v="P004"/>
    <x v="39"/>
    <x v="0"/>
    <s v="16:48:26"/>
    <s v="THANAWIS"/>
    <s v="0001"/>
    <s v=""/>
    <s v="0000"/>
    <s v=""/>
    <s v="0151665239"/>
    <s v=""/>
    <s v="เบิกเทสให้ลูกค้า บริษัท Exion"/>
    <s v="403002"/>
    <s v="66001000"/>
    <s v=""/>
    <s v=""/>
    <s v=""/>
    <s v=""/>
    <m/>
    <x v="2"/>
    <n v="-3"/>
    <n v="-555.05999999999995"/>
    <d v="2026-07-21T00:00:00"/>
    <d v="2026-07-21T00:00:00"/>
    <m/>
    <d v="2026-07-21T00:00:00"/>
    <n v="-1500"/>
    <x v="0"/>
    <s v="59"/>
    <s v="วัสดุสิ้นเปลือง"/>
    <m/>
    <n v="185.01999999999998"/>
    <e v="#N/A"/>
    <e v="#N/A"/>
  </r>
  <r>
    <x v="5"/>
    <x v="5"/>
    <s v="0328"/>
    <x v="2"/>
    <s v="GD goods issue:delvy"/>
    <s v="4916821449"/>
    <s v="M001"/>
    <x v="63"/>
    <x v="0"/>
    <s v="17:28:50"/>
    <s v="RAPEESAN01"/>
    <s v="0001"/>
    <s v=""/>
    <s v="0000"/>
    <s v=""/>
    <s v="0000000000"/>
    <s v=""/>
    <s v=""/>
    <s v=""/>
    <s v="51003100"/>
    <s v=""/>
    <s v=""/>
    <s v=""/>
    <s v="2000126227"/>
    <m/>
    <x v="4"/>
    <n v="-1547"/>
    <n v="-1576640.52"/>
    <d v="2026-07-21T00:00:00"/>
    <d v="2026-07-21T00:00:00"/>
    <m/>
    <d v="2026-07-21T00:00:00"/>
    <n v="-4641000"/>
    <x v="0"/>
    <s v="59"/>
    <s v="ต้นทุนขาย"/>
    <m/>
    <n v="1019.16"/>
    <e v="#N/A"/>
    <e v="#N/A"/>
  </r>
  <r>
    <x v="5"/>
    <x v="5"/>
    <s v="0328"/>
    <x v="2"/>
    <s v="GD goods issue:delvy"/>
    <s v="4916821449"/>
    <s v="M001"/>
    <x v="64"/>
    <x v="0"/>
    <s v="17:28:50"/>
    <s v="RAPEESAN01"/>
    <s v="0002"/>
    <s v=""/>
    <s v="0000"/>
    <s v=""/>
    <s v="0000000000"/>
    <s v=""/>
    <s v=""/>
    <s v=""/>
    <s v="51003100"/>
    <s v=""/>
    <s v=""/>
    <s v=""/>
    <s v="2000126227"/>
    <m/>
    <x v="4"/>
    <n v="-1333"/>
    <n v="-1358540.28"/>
    <d v="2026-07-21T00:00:00"/>
    <d v="2026-07-21T00:00:00"/>
    <m/>
    <d v="2026-07-21T00:00:00"/>
    <n v="-3999000"/>
    <x v="0"/>
    <s v="59"/>
    <s v="ต้นทุนขาย"/>
    <m/>
    <n v="1019.16"/>
    <e v="#N/A"/>
    <e v="#N/A"/>
  </r>
  <r>
    <x v="5"/>
    <x v="5"/>
    <s v="0328"/>
    <x v="1"/>
    <s v="GI ค่าวิจัยและพัฒนา"/>
    <s v="4916821586"/>
    <s v="M001"/>
    <x v="63"/>
    <x v="0"/>
    <s v="17:30:59"/>
    <s v="RAPEESAN01"/>
    <s v="0001"/>
    <s v=""/>
    <s v="0000"/>
    <s v=""/>
    <s v="0151670917"/>
    <s v=""/>
    <s v="เพื่อส่งให้ RD'QA 7-11 ตรวจสอบ"/>
    <s v="405053"/>
    <s v="67501100"/>
    <s v=""/>
    <s v=""/>
    <s v=""/>
    <s v=""/>
    <m/>
    <x v="2"/>
    <n v="-2"/>
    <n v="-339.72"/>
    <d v="2026-07-23T00:00:00"/>
    <d v="2026-07-23T00:00:00"/>
    <m/>
    <d v="2026-07-21T00:00:00"/>
    <n v="-1000"/>
    <x v="0"/>
    <s v="59"/>
    <s v="ค่าวิจัยและพัฒนาอื่น"/>
    <m/>
    <n v="169.86"/>
    <e v="#N/A"/>
    <e v="#N/A"/>
  </r>
  <r>
    <x v="29"/>
    <x v="29"/>
    <s v="0328"/>
    <x v="1"/>
    <s v="GI ค่าวิจัยและพัฒนา"/>
    <s v="4916829503"/>
    <s v="M001"/>
    <x v="91"/>
    <x v="0"/>
    <s v="19:59:04"/>
    <s v="PRONDTAN"/>
    <s v="0001"/>
    <s v=""/>
    <s v="0000"/>
    <s v=""/>
    <s v="0151691506"/>
    <s v=""/>
    <s v="ตรวจปล่อย 17.07.26"/>
    <s v="405053"/>
    <s v="67501001"/>
    <s v=""/>
    <s v=""/>
    <s v=""/>
    <s v=""/>
    <m/>
    <x v="2"/>
    <n v="-1"/>
    <n v="-141.61000000000001"/>
    <d v="2026-07-21T00:00:00"/>
    <d v="2026-07-21T00:00:00"/>
    <m/>
    <d v="2026-07-21T00:00:00"/>
    <n v="-500"/>
    <x v="0"/>
    <s v="59"/>
    <s v="ค่าวิจัยคุณภาพสินค้า"/>
    <m/>
    <n v="141.61000000000001"/>
    <e v="#N/A"/>
    <e v="#N/A"/>
  </r>
  <r>
    <x v="5"/>
    <x v="5"/>
    <s v="0328"/>
    <x v="1"/>
    <s v="GI ค่าวิจัยและพัฒนา"/>
    <s v="4916829541"/>
    <s v="M001"/>
    <x v="63"/>
    <x v="0"/>
    <s v="20:02:04"/>
    <s v="PRONDTAN"/>
    <s v="0002"/>
    <s v=""/>
    <s v="0000"/>
    <s v=""/>
    <s v="0151653302"/>
    <s v=""/>
    <s v="Retain 18.07.26.2 A012R002"/>
    <s v="405053"/>
    <s v="67501001"/>
    <s v=""/>
    <s v=""/>
    <s v=""/>
    <s v=""/>
    <m/>
    <x v="2"/>
    <n v="-1"/>
    <n v="-169.86"/>
    <d v="2026-07-21T00:00:00"/>
    <d v="2026-07-21T00:00:00"/>
    <m/>
    <d v="2026-07-21T00:00:00"/>
    <n v="-5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6829541"/>
    <s v="M001"/>
    <x v="64"/>
    <x v="0"/>
    <s v="20:02:04"/>
    <s v="PRONDTAN"/>
    <s v="0001"/>
    <s v=""/>
    <s v="0000"/>
    <s v=""/>
    <s v="0151653302"/>
    <s v=""/>
    <s v="Routine 18.07.26.2 A012R002"/>
    <s v="405053"/>
    <s v="67501001"/>
    <s v=""/>
    <s v=""/>
    <s v=""/>
    <s v=""/>
    <m/>
    <x v="2"/>
    <n v="-6"/>
    <n v="-1019.16"/>
    <d v="2026-07-21T00:00:00"/>
    <d v="2026-07-21T00:00:00"/>
    <m/>
    <d v="2026-07-21T00:00:00"/>
    <n v="-30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6829541"/>
    <s v="M001"/>
    <x v="64"/>
    <x v="0"/>
    <s v="20:02:04"/>
    <s v="PRONDTAN"/>
    <s v="0003"/>
    <s v=""/>
    <s v="0000"/>
    <s v=""/>
    <s v="0151653302"/>
    <s v=""/>
    <s v="Retain 18.07.26.2 A012R002"/>
    <s v="405053"/>
    <s v="67501001"/>
    <s v=""/>
    <s v=""/>
    <s v=""/>
    <s v=""/>
    <m/>
    <x v="2"/>
    <n v="-5"/>
    <n v="-849.3"/>
    <d v="2026-07-21T00:00:00"/>
    <d v="2026-07-21T00:00:00"/>
    <m/>
    <d v="2026-07-21T00:00:00"/>
    <n v="-2500"/>
    <x v="0"/>
    <s v="59"/>
    <s v="ค่าวิจัยคุณภาพสินค้า"/>
    <m/>
    <n v="169.85999999999999"/>
    <e v="#N/A"/>
    <e v="#N/A"/>
  </r>
  <r>
    <x v="6"/>
    <x v="6"/>
    <s v="0328"/>
    <x v="6"/>
    <s v="GIส่งเสริมการขายอื่น"/>
    <s v="4916870906"/>
    <s v="P004"/>
    <x v="7"/>
    <x v="0"/>
    <s v="08:45:24"/>
    <s v="THANAWIS"/>
    <s v="0001"/>
    <s v=""/>
    <s v="0000"/>
    <s v=""/>
    <s v="0151686420"/>
    <s v=""/>
    <s v="ให้ลค.ไฮไลฟ์ มัลติวิลล่าทดลอง"/>
    <s v="403002"/>
    <s v="65109000"/>
    <s v=""/>
    <s v=""/>
    <s v=""/>
    <s v=""/>
    <m/>
    <x v="2"/>
    <n v="-1"/>
    <n v="-169.82"/>
    <d v="2026-07-22T00:00:00"/>
    <d v="2026-07-22T00:00:00"/>
    <m/>
    <d v="2026-07-22T00:00:00"/>
    <n v="-500"/>
    <x v="0"/>
    <s v="59"/>
    <s v="ส่งเสริมฯ อื่น"/>
    <m/>
    <n v="169.82"/>
    <e v="#N/A"/>
    <e v="#N/A"/>
  </r>
  <r>
    <x v="25"/>
    <x v="25"/>
    <s v="0328"/>
    <x v="6"/>
    <s v="GIส่งเสริมการขายอื่น"/>
    <s v="4916870906"/>
    <s v="P004"/>
    <x v="39"/>
    <x v="0"/>
    <s v="08:45:24"/>
    <s v="THANAWIS"/>
    <s v="0002"/>
    <s v=""/>
    <s v="0000"/>
    <s v=""/>
    <s v="0151686420"/>
    <s v=""/>
    <s v="ให้ลค.ไฮไลฟ์ มัลติวิลล่าทดลอง"/>
    <s v="403002"/>
    <s v="65109000"/>
    <s v=""/>
    <s v=""/>
    <s v=""/>
    <s v=""/>
    <m/>
    <x v="2"/>
    <n v="-1"/>
    <n v="-185.02"/>
    <d v="2026-07-22T00:00:00"/>
    <d v="2026-07-22T00:00:00"/>
    <m/>
    <d v="2026-07-22T00:00:00"/>
    <n v="-500"/>
    <x v="0"/>
    <s v="59"/>
    <s v="ส่งเสริมฯ อื่น"/>
    <m/>
    <n v="185.02"/>
    <e v="#N/A"/>
    <e v="#N/A"/>
  </r>
  <r>
    <x v="6"/>
    <x v="6"/>
    <s v="0328"/>
    <x v="0"/>
    <s v="TF trfr plnt to plnt"/>
    <s v="4916871019"/>
    <s v="M001"/>
    <x v="10"/>
    <x v="0"/>
    <s v="08:50:47"/>
    <s v="THANAWIS"/>
    <s v="0002"/>
    <s v=""/>
    <s v="0000"/>
    <s v=""/>
    <s v="0000000000"/>
    <s v="คืนยอด ตัด So ผิดSloc"/>
    <s v="4915918356 / DO 2000125511"/>
    <s v=""/>
    <s v=""/>
    <s v=""/>
    <s v=""/>
    <s v=""/>
    <s v=""/>
    <m/>
    <x v="2"/>
    <n v="2"/>
    <n v="0"/>
    <d v="2026-07-22T00:00:00"/>
    <d v="2026-07-22T00:00:00"/>
    <m/>
    <d v="2026-07-22T00:00:00"/>
    <n v="1000"/>
    <x v="0"/>
    <s v="59"/>
    <e v="#N/A"/>
    <m/>
    <n v="0"/>
    <e v="#N/A"/>
    <e v="#N/A"/>
  </r>
  <r>
    <x v="6"/>
    <x v="6"/>
    <s v="0328"/>
    <x v="0"/>
    <s v="TF trfr plnt to plnt"/>
    <s v="4916871019"/>
    <s v="P004"/>
    <x v="10"/>
    <x v="0"/>
    <s v="08:50:47"/>
    <s v="THANAWIS"/>
    <s v="0001"/>
    <s v=""/>
    <s v="0000"/>
    <s v=""/>
    <s v="0000000000"/>
    <s v="คืนยอด ตัด So ผิดSloc"/>
    <s v="4915918356 / DO 2000125511"/>
    <s v=""/>
    <s v=""/>
    <s v=""/>
    <s v=""/>
    <s v=""/>
    <s v=""/>
    <m/>
    <x v="2"/>
    <n v="-2"/>
    <n v="0"/>
    <d v="2026-07-22T00:00:00"/>
    <d v="2026-07-22T00:00:00"/>
    <m/>
    <d v="2026-07-22T00:00:00"/>
    <n v="-1000"/>
    <x v="0"/>
    <s v="59"/>
    <e v="#N/A"/>
    <m/>
    <n v="0"/>
    <e v="#N/A"/>
    <e v="#N/A"/>
  </r>
  <r>
    <x v="6"/>
    <x v="6"/>
    <s v="0328"/>
    <x v="15"/>
    <s v="RE for cost center"/>
    <s v="4916874886"/>
    <s v="P004"/>
    <x v="7"/>
    <x v="0"/>
    <s v="10:12:31"/>
    <s v="SARANSUP03"/>
    <s v="0003"/>
    <s v=""/>
    <s v="0000"/>
    <s v=""/>
    <s v="0151515109"/>
    <s v="ยกเลิก"/>
    <s v="CC.4916409185เนื่องจากลงGLผิด ยิ้ม/Akewatee"/>
    <s v="403002"/>
    <s v="67001000"/>
    <s v=""/>
    <s v=""/>
    <s v=""/>
    <s v=""/>
    <m/>
    <x v="2"/>
    <n v="1"/>
    <n v="169.82"/>
    <d v="2026-07-16T00:00:00"/>
    <d v="2026-07-22T00:00:00"/>
    <m/>
    <d v="2026-07-22T00:00:00"/>
    <n v="500"/>
    <x v="0"/>
    <s v="59"/>
    <e v="#N/A"/>
    <m/>
    <n v="169.82"/>
    <e v="#N/A"/>
    <e v="#N/A"/>
  </r>
  <r>
    <x v="25"/>
    <x v="25"/>
    <s v="0328"/>
    <x v="15"/>
    <s v="RE for cost center"/>
    <s v="4916874886"/>
    <s v="P004"/>
    <x v="39"/>
    <x v="0"/>
    <s v="10:12:31"/>
    <s v="SARANSUP03"/>
    <s v="0001"/>
    <s v=""/>
    <s v="0000"/>
    <s v=""/>
    <s v="0151515109"/>
    <s v="ยกเลิก"/>
    <s v="CC.4916409185เนื่องจากลงGLผิด ยิ้ม/Akewatee"/>
    <s v="403002"/>
    <s v="67001000"/>
    <s v=""/>
    <s v=""/>
    <s v=""/>
    <s v=""/>
    <m/>
    <x v="2"/>
    <n v="2"/>
    <n v="370.04"/>
    <d v="2026-07-16T00:00:00"/>
    <d v="2026-07-22T00:00:00"/>
    <m/>
    <d v="2026-07-22T00:00:00"/>
    <n v="1000"/>
    <x v="0"/>
    <s v="59"/>
    <e v="#N/A"/>
    <m/>
    <n v="185.02"/>
    <e v="#N/A"/>
    <e v="#N/A"/>
  </r>
  <r>
    <x v="27"/>
    <x v="27"/>
    <s v="0328"/>
    <x v="15"/>
    <s v="RE for cost center"/>
    <s v="4916874886"/>
    <s v="P004"/>
    <x v="68"/>
    <x v="0"/>
    <s v="10:12:31"/>
    <s v="SARANSUP03"/>
    <s v="0002"/>
    <s v=""/>
    <s v="0000"/>
    <s v=""/>
    <s v="0151515109"/>
    <s v="ยกเลิก"/>
    <s v="CC.4916409185เนื่องจากลงGLผิด ยิ้ม/Akewatee"/>
    <s v="403002"/>
    <s v="67001000"/>
    <s v=""/>
    <s v=""/>
    <s v=""/>
    <s v=""/>
    <m/>
    <x v="2"/>
    <n v="1"/>
    <n v="189.99"/>
    <d v="2026-07-16T00:00:00"/>
    <d v="2026-07-22T00:00:00"/>
    <m/>
    <d v="2026-07-22T00:00:00"/>
    <n v="500"/>
    <x v="0"/>
    <s v="59"/>
    <e v="#N/A"/>
    <m/>
    <n v="189.99"/>
    <e v="#N/A"/>
    <e v="#N/A"/>
  </r>
  <r>
    <x v="14"/>
    <x v="14"/>
    <s v="0328"/>
    <x v="1"/>
    <s v="GI ค่าวิจัยและพัฒนา"/>
    <s v="4916876311"/>
    <s v="P001"/>
    <x v="52"/>
    <x v="0"/>
    <s v="10:41:38"/>
    <s v="SUTEESEA"/>
    <s v="0001"/>
    <s v=""/>
    <s v="0000"/>
    <s v=""/>
    <s v="0151407634"/>
    <s v=""/>
    <s v="A.CPBF 25.03.26 CL 09:25 Silo 3"/>
    <s v="405053"/>
    <s v="67501001"/>
    <s v=""/>
    <s v=""/>
    <s v=""/>
    <s v=""/>
    <m/>
    <x v="5"/>
    <n v="-500"/>
    <n v="-132.21"/>
    <d v="2026-07-14T00:00:00"/>
    <d v="2026-07-14T00:00:00"/>
    <m/>
    <d v="2026-07-22T00:00:00"/>
    <n v="-500"/>
    <x v="0"/>
    <s v="54"/>
    <s v="ค่าวิจัยคุณภาพสินค้า"/>
    <m/>
    <n v="0.26441999999999999"/>
    <e v="#N/A"/>
    <e v="#N/A"/>
  </r>
  <r>
    <x v="14"/>
    <x v="14"/>
    <s v="0328"/>
    <x v="1"/>
    <s v="GI ค่าวิจัยและพัฒนา"/>
    <s v="4916876772"/>
    <s v="P001"/>
    <x v="52"/>
    <x v="0"/>
    <s v="10:52:04"/>
    <s v="SUTEESEA"/>
    <s v="0001"/>
    <s v=""/>
    <s v="0000"/>
    <s v=""/>
    <s v="0151675756"/>
    <s v=""/>
    <s v="A.CPBF 27.03.2026 CL 9:00 Silo1"/>
    <s v="405053"/>
    <s v="67501001"/>
    <s v=""/>
    <s v=""/>
    <s v=""/>
    <s v=""/>
    <m/>
    <x v="5"/>
    <n v="-500"/>
    <n v="-132.21"/>
    <d v="2026-07-21T00:00:00"/>
    <d v="2026-07-21T00:00:00"/>
    <m/>
    <d v="2026-07-22T00:00:00"/>
    <n v="-500"/>
    <x v="0"/>
    <s v="54"/>
    <s v="ค่าวิจัยคุณภาพสินค้า"/>
    <m/>
    <n v="0.26441999999999999"/>
    <e v="#N/A"/>
    <e v="#N/A"/>
  </r>
  <r>
    <x v="7"/>
    <x v="7"/>
    <s v="0328"/>
    <x v="1"/>
    <s v="GI ค่าวิจัยและพัฒนา"/>
    <s v="4916876772"/>
    <s v="P001"/>
    <x v="8"/>
    <x v="0"/>
    <s v="10:52:04"/>
    <s v="SUTEESEA"/>
    <s v="0002"/>
    <s v=""/>
    <s v="0000"/>
    <s v=""/>
    <s v="0151675756"/>
    <s v=""/>
    <s v="R.BBB 16.06.26 CL13:30 Silo6"/>
    <s v="405053"/>
    <s v="67501001"/>
    <s v=""/>
    <s v=""/>
    <s v=""/>
    <s v=""/>
    <m/>
    <x v="5"/>
    <n v="-500"/>
    <n v="-77.900000000000006"/>
    <d v="2026-07-21T00:00:00"/>
    <d v="2026-07-21T00:00:00"/>
    <m/>
    <d v="2026-07-22T00:00:00"/>
    <n v="-500"/>
    <x v="0"/>
    <s v="54"/>
    <s v="ค่าวิจัยคุณภาพสินค้า"/>
    <m/>
    <n v="0.15580000000000002"/>
    <e v="#N/A"/>
    <e v="#N/A"/>
  </r>
  <r>
    <x v="14"/>
    <x v="14"/>
    <s v="0328"/>
    <x v="1"/>
    <s v="GI ค่าวิจัยและพัฒนา"/>
    <s v="4916876921"/>
    <s v="P001"/>
    <x v="52"/>
    <x v="0"/>
    <s v="10:55:52"/>
    <s v="SUTEESEA"/>
    <s v="0001"/>
    <s v=""/>
    <s v="0000"/>
    <s v=""/>
    <s v="0151521877"/>
    <s v=""/>
    <s v="A.CPBF 25.03.26 CL 9.35 Silo 2"/>
    <s v="405053"/>
    <s v="67501001"/>
    <s v=""/>
    <s v=""/>
    <s v=""/>
    <s v=""/>
    <m/>
    <x v="5"/>
    <n v="-500"/>
    <n v="-132.21"/>
    <d v="2026-07-16T00:00:00"/>
    <d v="2026-07-16T00:00:00"/>
    <m/>
    <d v="2026-07-22T00:00:00"/>
    <n v="-500"/>
    <x v="0"/>
    <s v="54"/>
    <s v="ค่าวิจัยคุณภาพสินค้า"/>
    <m/>
    <n v="0.26441999999999999"/>
    <e v="#N/A"/>
    <e v="#N/A"/>
  </r>
  <r>
    <x v="6"/>
    <x v="6"/>
    <s v="0328"/>
    <x v="11"/>
    <s v="GI for cost center"/>
    <s v="4916877492"/>
    <s v="P004"/>
    <x v="7"/>
    <x v="0"/>
    <s v="11:12:38"/>
    <s v="THANAWIS"/>
    <s v="0003"/>
    <s v=""/>
    <s v="0000"/>
    <s v=""/>
    <s v="0151710076"/>
    <s v=""/>
    <s v="เดโม่เครื่องชงกาแฟ ร้าน Acorn Café"/>
    <s v="403002"/>
    <s v="66001000"/>
    <s v=""/>
    <s v=""/>
    <s v=""/>
    <s v=""/>
    <m/>
    <x v="2"/>
    <n v="-1"/>
    <n v="-169.82"/>
    <d v="2026-07-22T00:00:00"/>
    <d v="2026-07-22T00:00:00"/>
    <m/>
    <d v="2026-07-22T00:00:00"/>
    <n v="-500"/>
    <x v="0"/>
    <s v="59"/>
    <s v="วัสดุสิ้นเปลือง"/>
    <m/>
    <n v="169.82"/>
    <e v="#N/A"/>
    <e v="#N/A"/>
  </r>
  <r>
    <x v="25"/>
    <x v="25"/>
    <s v="0328"/>
    <x v="11"/>
    <s v="GI for cost center"/>
    <s v="4916877492"/>
    <s v="P004"/>
    <x v="39"/>
    <x v="0"/>
    <s v="11:12:38"/>
    <s v="THANAWIS"/>
    <s v="0001"/>
    <s v=""/>
    <s v="0000"/>
    <s v=""/>
    <s v="0151710076"/>
    <s v=""/>
    <s v="เดโม่เครื่องชงกาแฟ ร้าน Acorn Café"/>
    <s v="403002"/>
    <s v="66001000"/>
    <s v=""/>
    <s v=""/>
    <s v=""/>
    <s v=""/>
    <m/>
    <x v="2"/>
    <n v="-2"/>
    <n v="-370.04"/>
    <d v="2026-07-22T00:00:00"/>
    <d v="2026-07-22T00:00:00"/>
    <m/>
    <d v="2026-07-22T00:00:00"/>
    <n v="-1000"/>
    <x v="0"/>
    <s v="59"/>
    <s v="วัสดุสิ้นเปลือง"/>
    <m/>
    <n v="185.02"/>
    <e v="#N/A"/>
    <e v="#N/A"/>
  </r>
  <r>
    <x v="27"/>
    <x v="27"/>
    <s v="0328"/>
    <x v="11"/>
    <s v="GI for cost center"/>
    <s v="4916877492"/>
    <s v="P004"/>
    <x v="68"/>
    <x v="0"/>
    <s v="11:12:38"/>
    <s v="THANAWIS"/>
    <s v="0002"/>
    <s v=""/>
    <s v="0000"/>
    <s v=""/>
    <s v="0151710076"/>
    <s v=""/>
    <s v="เดโม่เครื่องชงกาแฟ ร้าน Acorn Café"/>
    <s v="403002"/>
    <s v="66001000"/>
    <s v=""/>
    <s v=""/>
    <s v=""/>
    <s v=""/>
    <m/>
    <x v="2"/>
    <n v="-1"/>
    <n v="-189.99"/>
    <d v="2026-07-22T00:00:00"/>
    <d v="2026-07-22T00:00:00"/>
    <m/>
    <d v="2026-07-22T00:00:00"/>
    <n v="-500"/>
    <x v="0"/>
    <s v="59"/>
    <s v="วัสดุสิ้นเปลือง"/>
    <m/>
    <n v="189.99"/>
    <e v="#N/A"/>
    <e v="#N/A"/>
  </r>
  <r>
    <x v="14"/>
    <x v="14"/>
    <s v="0328"/>
    <x v="1"/>
    <s v="GI ค่าวิจัยและพัฒนา"/>
    <s v="4916877588"/>
    <s v="P001"/>
    <x v="52"/>
    <x v="0"/>
    <s v="11:17:25"/>
    <s v="SUTEESEA"/>
    <s v="0001"/>
    <s v=""/>
    <s v="0000"/>
    <s v=""/>
    <s v="0151557043"/>
    <s v=""/>
    <s v="A.CPBF 27.03.26 CL 9.40 Silo 3"/>
    <s v="405053"/>
    <s v="67501001"/>
    <s v=""/>
    <s v=""/>
    <s v=""/>
    <s v=""/>
    <m/>
    <x v="5"/>
    <n v="-500"/>
    <n v="-132.21"/>
    <d v="2026-07-17T00:00:00"/>
    <d v="2026-07-17T00:00:00"/>
    <m/>
    <d v="2026-07-22T00:00:00"/>
    <n v="-500"/>
    <x v="0"/>
    <s v="54"/>
    <s v="ค่าวิจัยคุณภาพสินค้า"/>
    <m/>
    <n v="0.26441999999999999"/>
    <e v="#N/A"/>
    <e v="#N/A"/>
  </r>
  <r>
    <x v="5"/>
    <x v="5"/>
    <s v="0328"/>
    <x v="2"/>
    <s v="GD goods issue:delvy"/>
    <s v="4916881372"/>
    <s v="M001"/>
    <x v="76"/>
    <x v="0"/>
    <s v="12:41:57"/>
    <s v="RAPEESAN01"/>
    <s v="0002"/>
    <s v=""/>
    <s v="0000"/>
    <s v=""/>
    <s v="0000000000"/>
    <s v=""/>
    <s v=""/>
    <s v=""/>
    <s v="51003100"/>
    <s v=""/>
    <s v=""/>
    <s v=""/>
    <s v="2000126249"/>
    <m/>
    <x v="4"/>
    <n v="-101"/>
    <n v="-102935.16"/>
    <d v="2026-07-22T00:00:00"/>
    <d v="2026-07-22T00:00:00"/>
    <m/>
    <d v="2026-07-22T00:00:00"/>
    <n v="-303000"/>
    <x v="0"/>
    <s v="59"/>
    <s v="ต้นทุนขาย"/>
    <m/>
    <n v="1019.1600000000001"/>
    <e v="#N/A"/>
    <e v="#N/A"/>
  </r>
  <r>
    <x v="5"/>
    <x v="5"/>
    <s v="0328"/>
    <x v="2"/>
    <s v="GD goods issue:delvy"/>
    <s v="4916881372"/>
    <s v="M001"/>
    <x v="64"/>
    <x v="0"/>
    <s v="12:41:57"/>
    <s v="RAPEESAN01"/>
    <s v="0001"/>
    <s v=""/>
    <s v="0000"/>
    <s v=""/>
    <s v="0000000000"/>
    <s v=""/>
    <s v=""/>
    <s v=""/>
    <s v="51003100"/>
    <s v=""/>
    <s v=""/>
    <s v=""/>
    <s v="2000126249"/>
    <m/>
    <x v="4"/>
    <n v="-1819"/>
    <n v="-1853852.04"/>
    <d v="2026-07-22T00:00:00"/>
    <d v="2026-07-22T00:00:00"/>
    <m/>
    <d v="2026-07-22T00:00:00"/>
    <n v="-5457000"/>
    <x v="0"/>
    <s v="59"/>
    <s v="ต้นทุนขาย"/>
    <m/>
    <n v="1019.16"/>
    <e v="#N/A"/>
    <e v="#N/A"/>
  </r>
  <r>
    <x v="5"/>
    <x v="5"/>
    <s v="0328"/>
    <x v="2"/>
    <s v="GD goods issue:delvy"/>
    <s v="4916881405"/>
    <s v="M001"/>
    <x v="76"/>
    <x v="0"/>
    <s v="12:43:32"/>
    <s v="RAPEESAN01"/>
    <s v="0001"/>
    <s v=""/>
    <s v="0000"/>
    <s v=""/>
    <s v="0000000000"/>
    <s v=""/>
    <s v=""/>
    <s v=""/>
    <s v="51003100"/>
    <s v=""/>
    <s v=""/>
    <s v=""/>
    <s v="2000126250"/>
    <m/>
    <x v="4"/>
    <n v="-1920"/>
    <n v="-1956787.2"/>
    <d v="2026-07-22T00:00:00"/>
    <d v="2026-07-22T00:00:00"/>
    <m/>
    <d v="2026-07-22T00:00:00"/>
    <n v="-5760000"/>
    <x v="0"/>
    <s v="59"/>
    <s v="ต้นทุนขาย"/>
    <m/>
    <n v="1019.16"/>
    <e v="#N/A"/>
    <e v="#N/A"/>
  </r>
  <r>
    <x v="5"/>
    <x v="5"/>
    <s v="0328"/>
    <x v="1"/>
    <s v="GI ค่าวิจัยและพัฒนา"/>
    <s v="4916881457"/>
    <s v="M001"/>
    <x v="64"/>
    <x v="0"/>
    <s v="12:45:53"/>
    <s v="RAPEESAN01"/>
    <s v="0001"/>
    <s v=""/>
    <s v="0000"/>
    <s v=""/>
    <s v="0151718539"/>
    <s v=""/>
    <s v="เพื่อส่งให้ RD'QA 7-11 ตรวจสอบ"/>
    <s v="405053"/>
    <s v="67501001"/>
    <s v=""/>
    <s v=""/>
    <s v=""/>
    <s v=""/>
    <m/>
    <x v="2"/>
    <n v="-2"/>
    <n v="-339.72"/>
    <d v="2026-07-24T00:00:00"/>
    <d v="2026-07-24T00:00:00"/>
    <m/>
    <d v="2026-07-22T00:00:00"/>
    <n v="-10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6881457"/>
    <s v="M001"/>
    <x v="76"/>
    <x v="0"/>
    <s v="12:45:53"/>
    <s v="RAPEESAN01"/>
    <s v="0002"/>
    <s v=""/>
    <s v="0000"/>
    <s v=""/>
    <s v="0151718539"/>
    <s v=""/>
    <s v="เพื่อส่งให้ RD'QA 7-11 ตรวจสอบ"/>
    <s v="405053"/>
    <s v="67501001"/>
    <s v=""/>
    <s v=""/>
    <s v=""/>
    <s v=""/>
    <m/>
    <x v="2"/>
    <n v="-2"/>
    <n v="-339.72"/>
    <d v="2026-07-24T00:00:00"/>
    <d v="2026-07-24T00:00:00"/>
    <m/>
    <d v="2026-07-22T00:00:00"/>
    <n v="-1000"/>
    <x v="0"/>
    <s v="59"/>
    <s v="ค่าวิจัยคุณภาพสินค้า"/>
    <m/>
    <n v="169.86"/>
    <e v="#N/A"/>
    <e v="#N/A"/>
  </r>
  <r>
    <x v="6"/>
    <x v="6"/>
    <s v="0328"/>
    <x v="2"/>
    <s v="GD goods issue:delvy"/>
    <s v="4916892472"/>
    <s v="P004"/>
    <x v="10"/>
    <x v="0"/>
    <s v="14:31:39"/>
    <s v="THANAWIS"/>
    <s v="0001"/>
    <s v=""/>
    <s v="0000"/>
    <s v=""/>
    <s v="0000000000"/>
    <s v=""/>
    <s v=""/>
    <s v=""/>
    <s v="51003100"/>
    <s v=""/>
    <s v=""/>
    <s v=""/>
    <s v="2000126253"/>
    <m/>
    <x v="2"/>
    <n v="-40"/>
    <n v="-6792.8"/>
    <d v="2026-07-22T00:00:00"/>
    <d v="2026-07-22T00:00:00"/>
    <m/>
    <d v="2026-07-22T00:00:00"/>
    <n v="-20000"/>
    <x v="0"/>
    <s v="59"/>
    <s v="ต้นทุนขาย"/>
    <m/>
    <n v="169.82"/>
    <e v="#N/A"/>
    <e v="#N/A"/>
  </r>
  <r>
    <x v="17"/>
    <x v="17"/>
    <s v="0328"/>
    <x v="16"/>
    <s v="TF tfr ps.mat.to mat"/>
    <s v="4916897839"/>
    <s v="P002"/>
    <x v="74"/>
    <x v="0"/>
    <s v="14:54:02"/>
    <s v="JURASDOK"/>
    <s v="0001"/>
    <s v=""/>
    <s v="0000"/>
    <s v=""/>
    <s v="0000000000"/>
    <s v=""/>
    <s v="คั่วกาแฟคุณศุภกิจ"/>
    <s v=""/>
    <s v=""/>
    <s v=""/>
    <s v=""/>
    <s v=""/>
    <s v=""/>
    <m/>
    <x v="3"/>
    <n v="-20.8"/>
    <n v="-5633.26"/>
    <d v="2026-07-13T00:00:00"/>
    <d v="2026-07-13T00:00:00"/>
    <m/>
    <d v="2026-07-22T00:00:00"/>
    <n v="-20800"/>
    <x v="0"/>
    <s v="57"/>
    <e v="#N/A"/>
    <m/>
    <n v="270.82980769230767"/>
    <e v="#N/A"/>
    <e v="#N/A"/>
  </r>
  <r>
    <x v="11"/>
    <x v="11"/>
    <s v="0328"/>
    <x v="3"/>
    <s v="TF trfr within plant"/>
    <s v="4916903045"/>
    <s v="P003"/>
    <x v="14"/>
    <x v="0"/>
    <s v="15:40:28"/>
    <s v="PRONDTAN"/>
    <s v="0008"/>
    <s v=""/>
    <s v="0000"/>
    <s v=""/>
    <s v="0000000000"/>
    <s v=""/>
    <s v=""/>
    <s v=""/>
    <s v=""/>
    <s v=""/>
    <s v=""/>
    <s v=""/>
    <s v=""/>
    <m/>
    <x v="0"/>
    <n v="20000"/>
    <n v="0"/>
    <d v="2026-07-22T00:00:00"/>
    <d v="2026-07-22T00:00:00"/>
    <m/>
    <d v="2026-07-22T00:00:00"/>
    <n v="20000"/>
    <x v="0"/>
    <s v="58"/>
    <e v="#N/A"/>
    <m/>
    <n v="0"/>
    <e v="#N/A"/>
    <e v="#N/A"/>
  </r>
  <r>
    <x v="11"/>
    <x v="11"/>
    <s v="0328"/>
    <x v="3"/>
    <s v="TF trfr within plant"/>
    <s v="4916903045"/>
    <s v="M003"/>
    <x v="14"/>
    <x v="0"/>
    <s v="15:40:28"/>
    <s v="PRONDTAN"/>
    <s v="0007"/>
    <s v=""/>
    <s v="0000"/>
    <s v=""/>
    <s v="0000000000"/>
    <s v=""/>
    <s v=""/>
    <s v=""/>
    <s v=""/>
    <s v=""/>
    <s v=""/>
    <s v=""/>
    <s v=""/>
    <m/>
    <x v="0"/>
    <n v="-20000"/>
    <n v="0"/>
    <d v="2026-07-22T00:00:00"/>
    <d v="2026-07-22T00:00:00"/>
    <m/>
    <d v="2026-07-22T00:00:00"/>
    <n v="-20000"/>
    <x v="0"/>
    <s v="58"/>
    <e v="#N/A"/>
    <m/>
    <n v="0"/>
    <e v="#N/A"/>
    <e v="#N/A"/>
  </r>
  <r>
    <x v="12"/>
    <x v="12"/>
    <s v="0328"/>
    <x v="3"/>
    <s v="TF trfr within plant"/>
    <s v="4916903045"/>
    <s v="M003"/>
    <x v="1"/>
    <x v="0"/>
    <s v="15:40:28"/>
    <s v="PRONDTAN"/>
    <s v="0003"/>
    <s v=""/>
    <s v="0000"/>
    <s v=""/>
    <s v="0000000000"/>
    <s v=""/>
    <s v=""/>
    <s v=""/>
    <s v=""/>
    <s v=""/>
    <s v=""/>
    <s v=""/>
    <s v=""/>
    <m/>
    <x v="0"/>
    <n v="-12832"/>
    <n v="0"/>
    <d v="2026-07-22T00:00:00"/>
    <d v="2026-07-22T00:00:00"/>
    <m/>
    <d v="2026-07-22T00:00:00"/>
    <n v="-12832"/>
    <x v="0"/>
    <s v="58"/>
    <e v="#N/A"/>
    <m/>
    <n v="0"/>
    <e v="#N/A"/>
    <e v="#N/A"/>
  </r>
  <r>
    <x v="12"/>
    <x v="12"/>
    <s v="0328"/>
    <x v="3"/>
    <s v="TF trfr within plant"/>
    <s v="4916903045"/>
    <s v="P003"/>
    <x v="1"/>
    <x v="0"/>
    <s v="15:40:28"/>
    <s v="PRONDTAN"/>
    <s v="0004"/>
    <s v=""/>
    <s v="0000"/>
    <s v=""/>
    <s v="0000000000"/>
    <s v=""/>
    <s v=""/>
    <s v=""/>
    <s v=""/>
    <s v=""/>
    <s v=""/>
    <s v=""/>
    <s v=""/>
    <m/>
    <x v="0"/>
    <n v="12832"/>
    <n v="0"/>
    <d v="2026-07-22T00:00:00"/>
    <d v="2026-07-22T00:00:00"/>
    <m/>
    <d v="2026-07-22T00:00:00"/>
    <n v="12832"/>
    <x v="0"/>
    <s v="58"/>
    <e v="#N/A"/>
    <m/>
    <n v="0"/>
    <e v="#N/A"/>
    <e v="#N/A"/>
  </r>
  <r>
    <x v="12"/>
    <x v="12"/>
    <s v="0328"/>
    <x v="3"/>
    <s v="TF trfr within plant"/>
    <s v="4916903045"/>
    <s v="M003"/>
    <x v="47"/>
    <x v="0"/>
    <s v="15:40:28"/>
    <s v="PRONDTAN"/>
    <s v="0005"/>
    <s v=""/>
    <s v="0000"/>
    <s v=""/>
    <s v="0000000000"/>
    <s v=""/>
    <s v=""/>
    <s v=""/>
    <s v=""/>
    <s v=""/>
    <s v=""/>
    <s v=""/>
    <s v=""/>
    <m/>
    <x v="0"/>
    <n v="-11168"/>
    <n v="0"/>
    <d v="2026-07-22T00:00:00"/>
    <d v="2026-07-22T00:00:00"/>
    <m/>
    <d v="2026-07-22T00:00:00"/>
    <n v="-11168"/>
    <x v="0"/>
    <s v="58"/>
    <e v="#N/A"/>
    <m/>
    <n v="0"/>
    <e v="#N/A"/>
    <e v="#N/A"/>
  </r>
  <r>
    <x v="12"/>
    <x v="12"/>
    <s v="0328"/>
    <x v="3"/>
    <s v="TF trfr within plant"/>
    <s v="4916903045"/>
    <s v="P003"/>
    <x v="47"/>
    <x v="0"/>
    <s v="15:40:28"/>
    <s v="PRONDTAN"/>
    <s v="0006"/>
    <s v=""/>
    <s v="0000"/>
    <s v=""/>
    <s v="0000000000"/>
    <s v=""/>
    <s v=""/>
    <s v=""/>
    <s v=""/>
    <s v=""/>
    <s v=""/>
    <s v=""/>
    <s v=""/>
    <m/>
    <x v="0"/>
    <n v="11168"/>
    <n v="0"/>
    <d v="2026-07-22T00:00:00"/>
    <d v="2026-07-22T00:00:00"/>
    <m/>
    <d v="2026-07-22T00:00:00"/>
    <n v="11168"/>
    <x v="0"/>
    <s v="58"/>
    <e v="#N/A"/>
    <m/>
    <n v="0"/>
    <e v="#N/A"/>
    <e v="#N/A"/>
  </r>
  <r>
    <x v="13"/>
    <x v="13"/>
    <s v="0328"/>
    <x v="3"/>
    <s v="TF trfr within plant"/>
    <s v="4916903045"/>
    <s v="P003"/>
    <x v="93"/>
    <x v="0"/>
    <s v="15:40:28"/>
    <s v="PRONDTAN"/>
    <s v="0002"/>
    <s v=""/>
    <s v="0000"/>
    <s v=""/>
    <s v="0000000000"/>
    <s v=""/>
    <s v=""/>
    <s v=""/>
    <s v=""/>
    <s v=""/>
    <s v=""/>
    <s v=""/>
    <s v=""/>
    <m/>
    <x v="0"/>
    <n v="3000"/>
    <n v="0"/>
    <d v="2026-07-22T00:00:00"/>
    <d v="2026-07-22T00:00:00"/>
    <m/>
    <d v="2026-07-22T00:00:00"/>
    <n v="3000"/>
    <x v="0"/>
    <s v="58"/>
    <e v="#N/A"/>
    <m/>
    <n v="0"/>
    <e v="#N/A"/>
    <e v="#N/A"/>
  </r>
  <r>
    <x v="13"/>
    <x v="13"/>
    <s v="0328"/>
    <x v="3"/>
    <s v="TF trfr within plant"/>
    <s v="4916903045"/>
    <s v="M003"/>
    <x v="93"/>
    <x v="0"/>
    <s v="15:40:28"/>
    <s v="PRONDTAN"/>
    <s v="0001"/>
    <s v=""/>
    <s v="0000"/>
    <s v=""/>
    <s v="0000000000"/>
    <s v=""/>
    <s v=""/>
    <s v=""/>
    <s v=""/>
    <s v=""/>
    <s v=""/>
    <s v=""/>
    <s v=""/>
    <m/>
    <x v="0"/>
    <n v="-3000"/>
    <n v="0"/>
    <d v="2026-07-22T00:00:00"/>
    <d v="2026-07-22T00:00:00"/>
    <m/>
    <d v="2026-07-22T00:00:00"/>
    <n v="-3000"/>
    <x v="0"/>
    <s v="58"/>
    <e v="#N/A"/>
    <m/>
    <n v="0"/>
    <e v="#N/A"/>
    <e v="#N/A"/>
  </r>
  <r>
    <x v="20"/>
    <x v="20"/>
    <s v="0328"/>
    <x v="16"/>
    <s v="TF tfr ps.mat.to mat"/>
    <s v="4916907341"/>
    <s v="P002"/>
    <x v="94"/>
    <x v="0"/>
    <s v="17:28:21"/>
    <s v="JURASDOK"/>
    <s v="0002"/>
    <s v=""/>
    <s v="0000"/>
    <s v=""/>
    <s v="0000000000"/>
    <s v="ย้ายมาโรงคั่วสุวรรณ"/>
    <s v="โอนย้ายมาโรงคั่วสุวรรณ"/>
    <s v=""/>
    <s v=""/>
    <s v=""/>
    <s v=""/>
    <s v=""/>
    <s v=""/>
    <m/>
    <x v="5"/>
    <n v="286800"/>
    <n v="45867.92"/>
    <d v="2026-07-22T00:00:00"/>
    <d v="2026-07-22T00:00:00"/>
    <m/>
    <d v="2026-07-22T00:00:00"/>
    <n v="286800"/>
    <x v="0"/>
    <s v="57"/>
    <e v="#N/A"/>
    <m/>
    <n v="0.1599299860529986"/>
    <e v="#N/A"/>
    <e v="#N/A"/>
  </r>
  <r>
    <x v="6"/>
    <x v="6"/>
    <s v="0328"/>
    <x v="12"/>
    <s v="GD Goods deliv. rev."/>
    <s v="4916972123"/>
    <s v="P004"/>
    <x v="10"/>
    <x v="0"/>
    <s v="13:13:22"/>
    <s v="SONGPCHI"/>
    <s v="0001"/>
    <s v=""/>
    <s v="0000"/>
    <s v=""/>
    <s v="0000000000"/>
    <s v=""/>
    <s v=""/>
    <s v=""/>
    <s v="51003100"/>
    <s v=""/>
    <s v=""/>
    <s v=""/>
    <s v="2000126178"/>
    <m/>
    <x v="2"/>
    <n v="78"/>
    <n v="13245.96"/>
    <d v="2026-07-21T00:00:00"/>
    <d v="2026-07-23T00:00:00"/>
    <m/>
    <d v="2026-07-23T00:00:00"/>
    <n v="39000"/>
    <x v="0"/>
    <s v="59"/>
    <s v="ต้นทุนขาย"/>
    <m/>
    <n v="169.82"/>
    <e v="#N/A"/>
    <e v="#N/A"/>
  </r>
  <r>
    <x v="6"/>
    <x v="6"/>
    <s v="0328"/>
    <x v="2"/>
    <s v="GD goods issue:delvy"/>
    <s v="4916972477"/>
    <s v="P004"/>
    <x v="10"/>
    <x v="0"/>
    <s v="13:23:26"/>
    <s v="SONGPCHI"/>
    <s v="0001"/>
    <s v=""/>
    <s v="0000"/>
    <s v=""/>
    <s v="0000000000"/>
    <s v=""/>
    <s v=""/>
    <s v=""/>
    <s v="51003100"/>
    <s v=""/>
    <s v=""/>
    <s v=""/>
    <s v="2000126327"/>
    <m/>
    <x v="2"/>
    <n v="-120"/>
    <n v="-20378.400000000001"/>
    <d v="2026-07-23T00:00:00"/>
    <d v="2026-07-23T00:00:00"/>
    <m/>
    <d v="2026-07-23T00:00:00"/>
    <n v="-60000"/>
    <x v="0"/>
    <s v="59"/>
    <s v="ต้นทุนขาย"/>
    <m/>
    <n v="169.82000000000002"/>
    <e v="#N/A"/>
    <e v="#N/A"/>
  </r>
  <r>
    <x v="11"/>
    <x v="11"/>
    <s v="0328"/>
    <x v="3"/>
    <s v="TF trfr within plant"/>
    <s v="4916973643"/>
    <s v="M003"/>
    <x v="14"/>
    <x v="0"/>
    <s v="13:55:32"/>
    <s v="PRONDTAN"/>
    <s v="0001"/>
    <s v=""/>
    <s v="0000"/>
    <s v=""/>
    <s v="0000000000"/>
    <s v=""/>
    <s v=""/>
    <s v=""/>
    <s v=""/>
    <s v=""/>
    <s v=""/>
    <s v=""/>
    <s v=""/>
    <m/>
    <x v="0"/>
    <n v="-20000"/>
    <n v="0"/>
    <d v="2026-07-23T00:00:00"/>
    <d v="2026-07-23T00:00:00"/>
    <m/>
    <d v="2026-07-23T00:00:00"/>
    <n v="-20000"/>
    <x v="0"/>
    <s v="58"/>
    <e v="#N/A"/>
    <m/>
    <n v="0"/>
    <e v="#N/A"/>
    <e v="#N/A"/>
  </r>
  <r>
    <x v="11"/>
    <x v="11"/>
    <s v="0328"/>
    <x v="3"/>
    <s v="TF trfr within plant"/>
    <s v="4916973643"/>
    <s v="P003"/>
    <x v="14"/>
    <x v="0"/>
    <s v="13:55:32"/>
    <s v="PRONDTAN"/>
    <s v="0002"/>
    <s v=""/>
    <s v="0000"/>
    <s v=""/>
    <s v="0000000000"/>
    <s v=""/>
    <s v=""/>
    <s v=""/>
    <s v=""/>
    <s v=""/>
    <s v=""/>
    <s v=""/>
    <s v=""/>
    <m/>
    <x v="0"/>
    <n v="20000"/>
    <n v="0"/>
    <d v="2026-07-23T00:00:00"/>
    <d v="2026-07-23T00:00:00"/>
    <m/>
    <d v="2026-07-23T00:00:00"/>
    <n v="20000"/>
    <x v="0"/>
    <s v="58"/>
    <e v="#N/A"/>
    <m/>
    <n v="0"/>
    <e v="#N/A"/>
    <e v="#N/A"/>
  </r>
  <r>
    <x v="12"/>
    <x v="12"/>
    <s v="0328"/>
    <x v="3"/>
    <s v="TF trfr within plant"/>
    <s v="4916973643"/>
    <s v="P003"/>
    <x v="47"/>
    <x v="0"/>
    <s v="13:55:32"/>
    <s v="PRONDTAN"/>
    <s v="0004"/>
    <s v=""/>
    <s v="0000"/>
    <s v=""/>
    <s v="0000000000"/>
    <s v=""/>
    <s v=""/>
    <s v=""/>
    <s v=""/>
    <s v=""/>
    <s v=""/>
    <s v=""/>
    <s v=""/>
    <m/>
    <x v="0"/>
    <n v="36000"/>
    <n v="0"/>
    <d v="2026-07-23T00:00:00"/>
    <d v="2026-07-23T00:00:00"/>
    <m/>
    <d v="2026-07-23T00:00:00"/>
    <n v="36000"/>
    <x v="0"/>
    <s v="58"/>
    <e v="#N/A"/>
    <m/>
    <n v="0"/>
    <e v="#N/A"/>
    <e v="#N/A"/>
  </r>
  <r>
    <x v="12"/>
    <x v="12"/>
    <s v="0328"/>
    <x v="3"/>
    <s v="TF trfr within plant"/>
    <s v="4916973643"/>
    <s v="M003"/>
    <x v="47"/>
    <x v="0"/>
    <s v="13:55:32"/>
    <s v="PRONDTAN"/>
    <s v="0003"/>
    <s v=""/>
    <s v="0000"/>
    <s v=""/>
    <s v="0000000000"/>
    <s v=""/>
    <s v=""/>
    <s v=""/>
    <s v=""/>
    <s v=""/>
    <s v=""/>
    <s v=""/>
    <s v=""/>
    <m/>
    <x v="0"/>
    <n v="-36000"/>
    <n v="0"/>
    <d v="2026-07-23T00:00:00"/>
    <d v="2026-07-23T00:00:00"/>
    <m/>
    <d v="2026-07-23T00:00:00"/>
    <n v="-36000"/>
    <x v="0"/>
    <s v="58"/>
    <e v="#N/A"/>
    <m/>
    <n v="0"/>
    <e v="#N/A"/>
    <e v="#N/A"/>
  </r>
  <r>
    <x v="13"/>
    <x v="13"/>
    <s v="0328"/>
    <x v="3"/>
    <s v="TF trfr within plant"/>
    <s v="4916973643"/>
    <s v="P003"/>
    <x v="93"/>
    <x v="0"/>
    <s v="13:55:32"/>
    <s v="PRONDTAN"/>
    <s v="0006"/>
    <s v=""/>
    <s v="0000"/>
    <s v=""/>
    <s v="0000000000"/>
    <s v=""/>
    <s v=""/>
    <s v=""/>
    <s v=""/>
    <s v=""/>
    <s v=""/>
    <s v=""/>
    <s v=""/>
    <m/>
    <x v="0"/>
    <n v="3000"/>
    <n v="0"/>
    <d v="2026-07-23T00:00:00"/>
    <d v="2026-07-23T00:00:00"/>
    <m/>
    <d v="2026-07-23T00:00:00"/>
    <n v="3000"/>
    <x v="0"/>
    <s v="58"/>
    <e v="#N/A"/>
    <m/>
    <n v="0"/>
    <e v="#N/A"/>
    <e v="#N/A"/>
  </r>
  <r>
    <x v="13"/>
    <x v="13"/>
    <s v="0328"/>
    <x v="3"/>
    <s v="TF trfr within plant"/>
    <s v="4916973643"/>
    <s v="M003"/>
    <x v="93"/>
    <x v="0"/>
    <s v="13:55:32"/>
    <s v="PRONDTAN"/>
    <s v="0005"/>
    <s v=""/>
    <s v="0000"/>
    <s v=""/>
    <s v="0000000000"/>
    <s v=""/>
    <s v=""/>
    <s v=""/>
    <s v=""/>
    <s v=""/>
    <s v=""/>
    <s v=""/>
    <s v=""/>
    <m/>
    <x v="0"/>
    <n v="-3000"/>
    <n v="0"/>
    <d v="2026-07-23T00:00:00"/>
    <d v="2026-07-23T00:00:00"/>
    <m/>
    <d v="2026-07-23T00:00:00"/>
    <n v="-3000"/>
    <x v="0"/>
    <s v="58"/>
    <e v="#N/A"/>
    <m/>
    <n v="0"/>
    <e v="#N/A"/>
    <e v="#N/A"/>
  </r>
  <r>
    <x v="6"/>
    <x v="6"/>
    <s v="0328"/>
    <x v="2"/>
    <s v="GD goods issue:delvy"/>
    <s v="4916979364"/>
    <s v="P004"/>
    <x v="10"/>
    <x v="0"/>
    <s v="14:24:05"/>
    <s v="SONGPCHI"/>
    <s v="0001"/>
    <s v=""/>
    <s v="0000"/>
    <s v=""/>
    <s v="0000000000"/>
    <s v=""/>
    <s v=""/>
    <s v=""/>
    <s v="51003100"/>
    <s v=""/>
    <s v=""/>
    <s v=""/>
    <s v="2000126342"/>
    <m/>
    <x v="2"/>
    <n v="-2"/>
    <n v="-339.64"/>
    <d v="2026-07-23T00:00:00"/>
    <d v="2026-07-23T00:00:00"/>
    <m/>
    <d v="2026-07-23T00:00:00"/>
    <n v="-1000"/>
    <x v="0"/>
    <s v="59"/>
    <s v="ต้นทุนขาย"/>
    <m/>
    <n v="169.82"/>
    <e v="#N/A"/>
    <e v="#N/A"/>
  </r>
  <r>
    <x v="5"/>
    <x v="5"/>
    <s v="0328"/>
    <x v="2"/>
    <s v="GD goods issue:delvy"/>
    <s v="4916990328"/>
    <s v="M001"/>
    <x v="76"/>
    <x v="0"/>
    <s v="16:14:06"/>
    <s v="RAPEESAN01"/>
    <s v="0001"/>
    <s v=""/>
    <s v="0000"/>
    <s v=""/>
    <s v="0000000000"/>
    <s v=""/>
    <s v=""/>
    <s v=""/>
    <s v="51003100"/>
    <s v=""/>
    <s v=""/>
    <s v=""/>
    <s v="2000126393"/>
    <m/>
    <x v="4"/>
    <n v="-1324"/>
    <n v="-1349367.84"/>
    <d v="2026-07-23T00:00:00"/>
    <d v="2026-07-23T00:00:00"/>
    <m/>
    <d v="2026-07-23T00:00:00"/>
    <n v="-3972000"/>
    <x v="0"/>
    <s v="59"/>
    <s v="ต้นทุนขาย"/>
    <m/>
    <n v="1019.1600000000001"/>
    <e v="#N/A"/>
    <e v="#N/A"/>
  </r>
  <r>
    <x v="5"/>
    <x v="5"/>
    <s v="0328"/>
    <x v="2"/>
    <s v="GD goods issue:delvy"/>
    <s v="4916990328"/>
    <s v="M001"/>
    <x v="77"/>
    <x v="0"/>
    <s v="16:14:06"/>
    <s v="RAPEESAN01"/>
    <s v="0002"/>
    <s v=""/>
    <s v="0000"/>
    <s v=""/>
    <s v="0000000000"/>
    <s v=""/>
    <s v=""/>
    <s v=""/>
    <s v="51003100"/>
    <s v=""/>
    <s v=""/>
    <s v=""/>
    <s v="2000126393"/>
    <m/>
    <x v="4"/>
    <n v="-1556"/>
    <n v="-1585812.96"/>
    <d v="2026-07-23T00:00:00"/>
    <d v="2026-07-23T00:00:00"/>
    <m/>
    <d v="2026-07-23T00:00:00"/>
    <n v="-4668000"/>
    <x v="0"/>
    <s v="59"/>
    <s v="ต้นทุนขาย"/>
    <m/>
    <n v="1019.16"/>
    <e v="#N/A"/>
    <e v="#N/A"/>
  </r>
  <r>
    <x v="5"/>
    <x v="5"/>
    <s v="0328"/>
    <x v="1"/>
    <s v="GI ค่าวิจัยและพัฒนา"/>
    <s v="4916990463"/>
    <s v="M001"/>
    <x v="76"/>
    <x v="0"/>
    <s v="16:15:44"/>
    <s v="RAPEESAN01"/>
    <s v="0001"/>
    <s v=""/>
    <s v="0000"/>
    <s v=""/>
    <s v="0151763328"/>
    <s v=""/>
    <s v="เพื่อส่งให้ RD'QA 7-11 ตรวจสอบ"/>
    <s v="405053"/>
    <s v="67501001"/>
    <s v=""/>
    <s v=""/>
    <s v=""/>
    <s v=""/>
    <m/>
    <x v="2"/>
    <n v="-2"/>
    <n v="-339.72"/>
    <d v="2026-07-25T00:00:00"/>
    <d v="2026-07-25T00:00:00"/>
    <m/>
    <d v="2026-07-23T00:00:00"/>
    <n v="-10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6999906"/>
    <s v="M001"/>
    <x v="76"/>
    <x v="0"/>
    <s v="19:55:08"/>
    <s v="PRONDTAN"/>
    <s v="0001"/>
    <s v=""/>
    <s v="0000"/>
    <s v=""/>
    <s v="0151784679"/>
    <s v=""/>
    <s v="ตรวจเพิ่ม 23.07.26.1 A012R002 P.19"/>
    <s v="405053"/>
    <s v="67501001"/>
    <s v=""/>
    <s v=""/>
    <s v=""/>
    <s v=""/>
    <m/>
    <x v="2"/>
    <n v="-1"/>
    <n v="-169.86"/>
    <d v="2026-07-23T00:00:00"/>
    <d v="2026-07-23T00:00:00"/>
    <m/>
    <d v="2026-07-23T00:00:00"/>
    <n v="-5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6999962"/>
    <s v="M001"/>
    <x v="76"/>
    <x v="0"/>
    <s v="19:57:30"/>
    <s v="PRONDTAN"/>
    <s v="0001"/>
    <s v=""/>
    <s v="0000"/>
    <s v=""/>
    <s v="0151784582"/>
    <s v=""/>
    <s v="ตรวจเพิ่ม 18.07.26.4 A012R002 P 36,35"/>
    <s v="405053"/>
    <s v="67501001"/>
    <s v=""/>
    <s v=""/>
    <s v=""/>
    <s v=""/>
    <m/>
    <x v="2"/>
    <n v="-2"/>
    <n v="-339.72"/>
    <d v="2026-07-23T00:00:00"/>
    <d v="2026-07-23T00:00:00"/>
    <m/>
    <d v="2026-07-23T00:00:00"/>
    <n v="-10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6999968"/>
    <s v="M001"/>
    <x v="77"/>
    <x v="0"/>
    <s v="19:59:50"/>
    <s v="PRONDTAN"/>
    <s v="0002"/>
    <s v=""/>
    <s v="0000"/>
    <s v=""/>
    <s v="0151784591"/>
    <s v=""/>
    <s v="Retain 18.07.26.4 A012R002"/>
    <s v="405053"/>
    <s v="67501001"/>
    <s v=""/>
    <s v=""/>
    <s v=""/>
    <s v=""/>
    <m/>
    <x v="2"/>
    <n v="-6"/>
    <n v="-1019.16"/>
    <d v="2026-07-23T00:00:00"/>
    <d v="2026-07-23T00:00:00"/>
    <m/>
    <d v="2026-07-23T00:00:00"/>
    <n v="-30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6999968"/>
    <s v="M001"/>
    <x v="77"/>
    <x v="0"/>
    <s v="19:59:50"/>
    <s v="PRONDTAN"/>
    <s v="0001"/>
    <s v=""/>
    <s v="0000"/>
    <s v=""/>
    <s v="0151784591"/>
    <s v=""/>
    <s v="Routine 18.07.26.4 A012R002"/>
    <s v="405053"/>
    <s v="67501001"/>
    <s v=""/>
    <s v=""/>
    <s v=""/>
    <s v=""/>
    <m/>
    <x v="2"/>
    <n v="-6"/>
    <n v="-1019.16"/>
    <d v="2026-07-23T00:00:00"/>
    <d v="2026-07-23T00:00:00"/>
    <m/>
    <d v="2026-07-23T00:00:00"/>
    <n v="-30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7000129"/>
    <s v="M001"/>
    <x v="77"/>
    <x v="0"/>
    <s v="20:04:44"/>
    <s v="PRONDTAN"/>
    <s v="0002"/>
    <s v=""/>
    <s v="0000"/>
    <s v=""/>
    <s v="0151690947"/>
    <s v=""/>
    <s v="Retain 18.07.26.3 A012R002"/>
    <s v="405053"/>
    <s v="67501001"/>
    <s v=""/>
    <s v=""/>
    <s v=""/>
    <s v=""/>
    <m/>
    <x v="2"/>
    <n v="-6"/>
    <n v="-1019.16"/>
    <d v="2026-07-23T00:00:00"/>
    <d v="2026-07-23T00:00:00"/>
    <m/>
    <d v="2026-07-23T00:00:00"/>
    <n v="-30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7000129"/>
    <s v="M001"/>
    <x v="77"/>
    <x v="0"/>
    <s v="20:04:44"/>
    <s v="PRONDTAN"/>
    <s v="0001"/>
    <s v=""/>
    <s v="0000"/>
    <s v=""/>
    <s v="0151690947"/>
    <s v=""/>
    <s v="Routine 18.07.26.3 A012R002"/>
    <s v="405053"/>
    <s v="67501001"/>
    <s v=""/>
    <s v=""/>
    <s v=""/>
    <s v=""/>
    <m/>
    <x v="2"/>
    <n v="-6"/>
    <n v="-1019.16"/>
    <d v="2026-07-23T00:00:00"/>
    <d v="2026-07-23T00:00:00"/>
    <m/>
    <d v="2026-07-23T00:00:00"/>
    <n v="-30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7000321"/>
    <s v="M001"/>
    <x v="77"/>
    <x v="0"/>
    <s v="20:11:11"/>
    <s v="PRONDTAN"/>
    <s v="0002"/>
    <s v=""/>
    <s v="0000"/>
    <s v=""/>
    <s v="0151784554"/>
    <s v=""/>
    <s v="Retain 23.07.26.1 A012R002"/>
    <s v="405053"/>
    <s v="67501001"/>
    <s v=""/>
    <s v=""/>
    <s v=""/>
    <s v=""/>
    <m/>
    <x v="2"/>
    <n v="-6"/>
    <n v="-1019.16"/>
    <d v="2026-07-23T00:00:00"/>
    <d v="2026-07-23T00:00:00"/>
    <m/>
    <d v="2026-07-23T00:00:00"/>
    <n v="-30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7000321"/>
    <s v="M001"/>
    <x v="77"/>
    <x v="0"/>
    <s v="20:11:11"/>
    <s v="PRONDTAN"/>
    <s v="0001"/>
    <s v=""/>
    <s v="0000"/>
    <s v=""/>
    <s v="0151784554"/>
    <s v=""/>
    <s v="Routine 23.07.26.1 A012R002"/>
    <s v="405053"/>
    <s v="67501001"/>
    <s v=""/>
    <s v=""/>
    <s v=""/>
    <s v=""/>
    <m/>
    <x v="2"/>
    <n v="-6"/>
    <n v="-1019.16"/>
    <d v="2026-07-23T00:00:00"/>
    <d v="2026-07-23T00:00:00"/>
    <m/>
    <d v="2026-07-23T00:00:00"/>
    <n v="-3000"/>
    <x v="0"/>
    <s v="59"/>
    <s v="ค่าวิจัยคุณภาพสินค้า"/>
    <m/>
    <n v="169.85999999999999"/>
    <e v="#N/A"/>
    <e v="#N/A"/>
  </r>
  <r>
    <x v="12"/>
    <x v="12"/>
    <s v="0328"/>
    <x v="3"/>
    <s v="TF trfr within plant"/>
    <s v="4917057306"/>
    <s v="P003"/>
    <x v="47"/>
    <x v="0"/>
    <s v="13:24:58"/>
    <s v="PRONDTAN"/>
    <s v="0004"/>
    <s v=""/>
    <s v="0000"/>
    <s v=""/>
    <s v="0000000000"/>
    <s v=""/>
    <s v=""/>
    <s v=""/>
    <s v=""/>
    <s v=""/>
    <s v=""/>
    <s v=""/>
    <s v=""/>
    <m/>
    <x v="0"/>
    <n v="36000"/>
    <n v="0"/>
    <d v="2026-07-24T00:00:00"/>
    <d v="2026-07-24T00:00:00"/>
    <m/>
    <d v="2026-07-24T00:00:00"/>
    <n v="36000"/>
    <x v="0"/>
    <s v="58"/>
    <e v="#N/A"/>
    <m/>
    <n v="0"/>
    <e v="#N/A"/>
    <e v="#N/A"/>
  </r>
  <r>
    <x v="12"/>
    <x v="12"/>
    <s v="0328"/>
    <x v="3"/>
    <s v="TF trfr within plant"/>
    <s v="4917057306"/>
    <s v="M003"/>
    <x v="47"/>
    <x v="0"/>
    <s v="13:24:58"/>
    <s v="PRONDTAN"/>
    <s v="0003"/>
    <s v=""/>
    <s v="0000"/>
    <s v=""/>
    <s v="0000000000"/>
    <s v=""/>
    <s v=""/>
    <s v=""/>
    <s v=""/>
    <s v=""/>
    <s v=""/>
    <s v=""/>
    <s v=""/>
    <m/>
    <x v="0"/>
    <n v="-36000"/>
    <n v="0"/>
    <d v="2026-07-24T00:00:00"/>
    <d v="2026-07-24T00:00:00"/>
    <m/>
    <d v="2026-07-24T00:00:00"/>
    <n v="-36000"/>
    <x v="0"/>
    <s v="58"/>
    <e v="#N/A"/>
    <m/>
    <n v="0"/>
    <e v="#N/A"/>
    <e v="#N/A"/>
  </r>
  <r>
    <x v="13"/>
    <x v="13"/>
    <s v="0328"/>
    <x v="3"/>
    <s v="TF trfr within plant"/>
    <s v="4917057306"/>
    <s v="P003"/>
    <x v="93"/>
    <x v="0"/>
    <s v="13:24:58"/>
    <s v="PRONDTAN"/>
    <s v="0002"/>
    <s v=""/>
    <s v="0000"/>
    <s v=""/>
    <s v="0000000000"/>
    <s v=""/>
    <s v=""/>
    <s v=""/>
    <s v=""/>
    <s v=""/>
    <s v=""/>
    <s v=""/>
    <s v=""/>
    <m/>
    <x v="0"/>
    <n v="3000"/>
    <n v="0"/>
    <d v="2026-07-24T00:00:00"/>
    <d v="2026-07-24T00:00:00"/>
    <m/>
    <d v="2026-07-24T00:00:00"/>
    <n v="3000"/>
    <x v="0"/>
    <s v="58"/>
    <e v="#N/A"/>
    <m/>
    <n v="0"/>
    <e v="#N/A"/>
    <e v="#N/A"/>
  </r>
  <r>
    <x v="13"/>
    <x v="13"/>
    <s v="0328"/>
    <x v="3"/>
    <s v="TF trfr within plant"/>
    <s v="4917057306"/>
    <s v="M003"/>
    <x v="93"/>
    <x v="0"/>
    <s v="13:24:58"/>
    <s v="PRONDTAN"/>
    <s v="0001"/>
    <s v=""/>
    <s v="0000"/>
    <s v=""/>
    <s v="0000000000"/>
    <s v=""/>
    <s v=""/>
    <s v=""/>
    <s v=""/>
    <s v=""/>
    <s v=""/>
    <s v=""/>
    <s v=""/>
    <m/>
    <x v="0"/>
    <n v="-3000"/>
    <n v="0"/>
    <d v="2026-07-24T00:00:00"/>
    <d v="2026-07-24T00:00:00"/>
    <m/>
    <d v="2026-07-24T00:00:00"/>
    <n v="-3000"/>
    <x v="0"/>
    <s v="58"/>
    <e v="#N/A"/>
    <m/>
    <n v="0"/>
    <e v="#N/A"/>
    <e v="#N/A"/>
  </r>
  <r>
    <x v="6"/>
    <x v="6"/>
    <s v="0328"/>
    <x v="2"/>
    <s v="GD goods issue:delvy"/>
    <s v="4917058403"/>
    <s v="P004"/>
    <x v="10"/>
    <x v="0"/>
    <s v="13:48:10"/>
    <s v="SONGPCHI"/>
    <s v="0001"/>
    <s v=""/>
    <s v="0000"/>
    <s v=""/>
    <s v="0000000000"/>
    <s v=""/>
    <s v=""/>
    <s v=""/>
    <s v="51003100"/>
    <s v=""/>
    <s v=""/>
    <s v=""/>
    <s v="2000126475"/>
    <m/>
    <x v="2"/>
    <n v="-6"/>
    <n v="-1018.92"/>
    <d v="2026-07-24T00:00:00"/>
    <d v="2026-07-24T00:00:00"/>
    <m/>
    <d v="2026-07-24T00:00:00"/>
    <n v="-3000"/>
    <x v="0"/>
    <s v="59"/>
    <s v="ต้นทุนขาย"/>
    <m/>
    <n v="169.82"/>
    <e v="#N/A"/>
    <e v="#N/A"/>
  </r>
  <r>
    <x v="5"/>
    <x v="5"/>
    <s v="0328"/>
    <x v="2"/>
    <s v="GD goods issue:delvy"/>
    <s v="4917058495"/>
    <s v="M001"/>
    <x v="77"/>
    <x v="0"/>
    <s v="13:49:48"/>
    <s v="SUTTISIT02"/>
    <s v="0001"/>
    <s v=""/>
    <s v="0000"/>
    <s v=""/>
    <s v="0000000000"/>
    <s v=""/>
    <s v=""/>
    <s v=""/>
    <s v="51003100"/>
    <s v=""/>
    <s v=""/>
    <s v=""/>
    <s v="2000126476"/>
    <m/>
    <x v="4"/>
    <n v="-1336"/>
    <n v="-1361597.76"/>
    <d v="2026-07-24T00:00:00"/>
    <d v="2026-07-24T00:00:00"/>
    <m/>
    <d v="2026-07-24T00:00:00"/>
    <n v="-4008000"/>
    <x v="0"/>
    <s v="59"/>
    <s v="ต้นทุนขาย"/>
    <m/>
    <n v="1019.16"/>
    <e v="#N/A"/>
    <e v="#N/A"/>
  </r>
  <r>
    <x v="5"/>
    <x v="5"/>
    <s v="0328"/>
    <x v="2"/>
    <s v="GD goods issue:delvy"/>
    <s v="4917058495"/>
    <s v="M001"/>
    <x v="81"/>
    <x v="0"/>
    <s v="13:49:48"/>
    <s v="SUTTISIT02"/>
    <s v="0002"/>
    <s v=""/>
    <s v="0000"/>
    <s v=""/>
    <s v="0000000000"/>
    <s v=""/>
    <s v=""/>
    <s v=""/>
    <s v="51003100"/>
    <s v=""/>
    <s v=""/>
    <s v=""/>
    <s v="2000126476"/>
    <m/>
    <x v="4"/>
    <n v="-2504"/>
    <n v="-2551976.64"/>
    <d v="2026-07-24T00:00:00"/>
    <d v="2026-07-24T00:00:00"/>
    <m/>
    <d v="2026-07-24T00:00:00"/>
    <n v="-7512000"/>
    <x v="0"/>
    <s v="59"/>
    <s v="ต้นทุนขาย"/>
    <m/>
    <n v="1019.1600000000001"/>
    <e v="#N/A"/>
    <e v="#N/A"/>
  </r>
  <r>
    <x v="5"/>
    <x v="5"/>
    <s v="0328"/>
    <x v="2"/>
    <s v="GD goods issue:delvy"/>
    <s v="4917058619"/>
    <s v="M001"/>
    <x v="81"/>
    <x v="0"/>
    <s v="13:52:14"/>
    <s v="SUTTISIT02"/>
    <s v="0001"/>
    <s v=""/>
    <s v="0000"/>
    <s v=""/>
    <s v="0000000000"/>
    <s v=""/>
    <s v=""/>
    <s v=""/>
    <s v="51003100"/>
    <s v=""/>
    <s v=""/>
    <s v=""/>
    <s v="2000126477"/>
    <m/>
    <x v="4"/>
    <n v="-598"/>
    <n v="-609457.68000000005"/>
    <d v="2026-07-24T00:00:00"/>
    <d v="2026-07-24T00:00:00"/>
    <m/>
    <d v="2026-07-24T00:00:00"/>
    <n v="-1794000"/>
    <x v="0"/>
    <s v="59"/>
    <s v="ต้นทุนขาย"/>
    <m/>
    <n v="1019.1600000000001"/>
    <e v="#N/A"/>
    <e v="#N/A"/>
  </r>
  <r>
    <x v="5"/>
    <x v="5"/>
    <s v="0328"/>
    <x v="2"/>
    <s v="GD goods issue:delvy"/>
    <s v="4917058619"/>
    <s v="M001"/>
    <x v="83"/>
    <x v="0"/>
    <s v="13:52:14"/>
    <s v="SUTTISIT02"/>
    <s v="0002"/>
    <s v=""/>
    <s v="0000"/>
    <s v=""/>
    <s v="0000000000"/>
    <s v=""/>
    <s v=""/>
    <s v=""/>
    <s v="51003100"/>
    <s v=""/>
    <s v=""/>
    <s v=""/>
    <s v="2000126477"/>
    <m/>
    <x v="4"/>
    <n v="-2282"/>
    <n v="-2325723.12"/>
    <d v="2026-07-24T00:00:00"/>
    <d v="2026-07-24T00:00:00"/>
    <m/>
    <d v="2026-07-24T00:00:00"/>
    <n v="-6846000"/>
    <x v="0"/>
    <s v="59"/>
    <s v="ต้นทุนขาย"/>
    <m/>
    <n v="1019.1600000000001"/>
    <e v="#N/A"/>
    <e v="#N/A"/>
  </r>
  <r>
    <x v="5"/>
    <x v="5"/>
    <s v="0328"/>
    <x v="1"/>
    <s v="GI ค่าวิจัยและพัฒนา"/>
    <s v="4917058799"/>
    <s v="M001"/>
    <x v="77"/>
    <x v="0"/>
    <s v="13:59:55"/>
    <s v="SUTTISIT02"/>
    <s v="0001"/>
    <s v=""/>
    <s v="0000"/>
    <s v=""/>
    <s v="0151802995"/>
    <s v=""/>
    <s v="เพื่อส่งให้ RD'QA 7-11 ตรวจสอบ"/>
    <s v="405053"/>
    <s v="67501001"/>
    <s v=""/>
    <s v=""/>
    <s v=""/>
    <s v=""/>
    <m/>
    <x v="2"/>
    <n v="-2"/>
    <n v="-339.72"/>
    <d v="2026-07-24T00:00:00"/>
    <d v="2026-07-24T00:00:00"/>
    <m/>
    <d v="2026-07-24T00:00:00"/>
    <n v="-10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7058799"/>
    <s v="M001"/>
    <x v="81"/>
    <x v="0"/>
    <s v="13:59:55"/>
    <s v="SUTTISIT02"/>
    <s v="0002"/>
    <s v=""/>
    <s v="0000"/>
    <s v=""/>
    <s v="0151802995"/>
    <s v=""/>
    <s v="เพื่อส่งให้ RD'QA 7-11 ตรวจสอบ"/>
    <s v="405053"/>
    <s v="67501001"/>
    <s v=""/>
    <s v=""/>
    <s v=""/>
    <s v=""/>
    <m/>
    <x v="2"/>
    <n v="-2"/>
    <n v="-339.72"/>
    <d v="2026-07-24T00:00:00"/>
    <d v="2026-07-24T00:00:00"/>
    <m/>
    <d v="2026-07-24T00:00:00"/>
    <n v="-1000"/>
    <x v="0"/>
    <s v="59"/>
    <s v="ค่าวิจัยคุณภาพสินค้า"/>
    <m/>
    <n v="169.86"/>
    <e v="#N/A"/>
    <e v="#N/A"/>
  </r>
  <r>
    <x v="9"/>
    <x v="9"/>
    <s v="0328"/>
    <x v="2"/>
    <s v="GD goods issue:delvy"/>
    <s v="4917080357"/>
    <s v="P004"/>
    <x v="12"/>
    <x v="0"/>
    <s v="16:11:32"/>
    <s v="THANAWIS"/>
    <s v="0001"/>
    <s v=""/>
    <s v="0000"/>
    <s v=""/>
    <s v="0000000000"/>
    <s v=""/>
    <s v=""/>
    <s v=""/>
    <s v="51003100"/>
    <s v=""/>
    <s v=""/>
    <s v=""/>
    <s v="2000126533"/>
    <m/>
    <x v="2"/>
    <n v="-40"/>
    <n v="-5723.6"/>
    <d v="2026-07-24T00:00:00"/>
    <d v="2026-07-24T00:00:00"/>
    <m/>
    <d v="2026-07-24T00:00:00"/>
    <n v="-20000"/>
    <x v="0"/>
    <s v="59"/>
    <s v="ต้นทุนขาย"/>
    <m/>
    <n v="143.09"/>
    <e v="#N/A"/>
    <e v="#N/A"/>
  </r>
  <r>
    <x v="5"/>
    <x v="5"/>
    <s v="0328"/>
    <x v="1"/>
    <s v="GI ค่าวิจัยและพัฒนา"/>
    <s v="4917088357"/>
    <s v="M001"/>
    <x v="83"/>
    <x v="0"/>
    <s v="18:42:35"/>
    <s v="PRONDTAN"/>
    <s v="0002"/>
    <s v=""/>
    <s v="0000"/>
    <s v=""/>
    <s v="0151823278"/>
    <s v=""/>
    <s v="Retain 23.07.26.2 A012R002"/>
    <s v="405053"/>
    <s v="67501001"/>
    <s v=""/>
    <s v=""/>
    <s v=""/>
    <s v=""/>
    <m/>
    <x v="2"/>
    <n v="-6"/>
    <n v="-1019.16"/>
    <d v="2026-07-24T00:00:00"/>
    <d v="2026-07-24T00:00:00"/>
    <m/>
    <d v="2026-07-24T00:00:00"/>
    <n v="-30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7088357"/>
    <s v="M001"/>
    <x v="83"/>
    <x v="0"/>
    <s v="18:42:35"/>
    <s v="PRONDTAN"/>
    <s v="0001"/>
    <s v=""/>
    <s v="0000"/>
    <s v=""/>
    <s v="0151823278"/>
    <s v=""/>
    <s v="Routine 23.07.26.2 A012R002"/>
    <s v="405053"/>
    <s v="67501001"/>
    <s v=""/>
    <s v=""/>
    <s v=""/>
    <s v=""/>
    <m/>
    <x v="2"/>
    <n v="-6"/>
    <n v="-1019.16"/>
    <d v="2026-07-24T00:00:00"/>
    <d v="2026-07-24T00:00:00"/>
    <m/>
    <d v="2026-07-24T00:00:00"/>
    <n v="-30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7088576"/>
    <s v="M001"/>
    <x v="81"/>
    <x v="0"/>
    <s v="18:50:47"/>
    <s v="PRONDTAN"/>
    <s v="0001"/>
    <s v=""/>
    <s v="0000"/>
    <s v=""/>
    <s v="0151823306"/>
    <s v=""/>
    <s v="ตรวจเพิ่ม 23.07.26.2 A012R002 P.9"/>
    <s v="405053"/>
    <s v="67501001"/>
    <s v=""/>
    <s v=""/>
    <s v=""/>
    <s v=""/>
    <m/>
    <x v="2"/>
    <n v="-1"/>
    <n v="-169.86"/>
    <d v="2026-07-24T00:00:00"/>
    <d v="2026-07-24T00:00:00"/>
    <m/>
    <d v="2026-07-24T00:00:00"/>
    <n v="-5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7088643"/>
    <s v="M001"/>
    <x v="83"/>
    <x v="0"/>
    <s v="18:53:37"/>
    <s v="PRONDTAN"/>
    <s v="0001"/>
    <s v=""/>
    <s v="0000"/>
    <s v=""/>
    <s v="0151823301"/>
    <s v=""/>
    <s v="ตรวจเพิ่ม 23.07.26.1 A012R002 P.20,21,22"/>
    <s v="405053"/>
    <s v="67501001"/>
    <s v=""/>
    <s v=""/>
    <s v=""/>
    <s v=""/>
    <m/>
    <x v="2"/>
    <n v="-3"/>
    <n v="-509.58"/>
    <d v="2026-07-24T00:00:00"/>
    <d v="2026-07-24T00:00:00"/>
    <m/>
    <d v="2026-07-24T00:00:00"/>
    <n v="-1500"/>
    <x v="0"/>
    <s v="59"/>
    <s v="ค่าวิจัยคุณภาพสินค้า"/>
    <m/>
    <n v="169.85999999999999"/>
    <e v="#N/A"/>
    <e v="#N/A"/>
  </r>
  <r>
    <x v="11"/>
    <x v="11"/>
    <s v="0328"/>
    <x v="0"/>
    <s v="TF trfr plnt to plnt"/>
    <s v="4917149959"/>
    <s v="M003"/>
    <x v="20"/>
    <x v="0"/>
    <s v="13:44:26"/>
    <s v="SUTTISIT02"/>
    <s v="0001"/>
    <s v=""/>
    <s v="0000"/>
    <s v=""/>
    <s v="0000000000"/>
    <s v=""/>
    <s v=""/>
    <s v=""/>
    <s v=""/>
    <s v=""/>
    <s v=""/>
    <s v=""/>
    <s v=""/>
    <m/>
    <x v="0"/>
    <n v="-20000"/>
    <n v="0"/>
    <d v="2026-07-25T00:00:00"/>
    <d v="2026-07-25T00:00:00"/>
    <m/>
    <d v="2026-07-25T00:00:00"/>
    <n v="-20000"/>
    <x v="0"/>
    <s v="58"/>
    <e v="#N/A"/>
    <m/>
    <n v="0"/>
    <e v="#N/A"/>
    <e v="#N/A"/>
  </r>
  <r>
    <x v="11"/>
    <x v="11"/>
    <s v="0328"/>
    <x v="0"/>
    <s v="TF trfr plnt to plnt"/>
    <s v="4917149959"/>
    <s v="P003"/>
    <x v="20"/>
    <x v="0"/>
    <s v="13:44:26"/>
    <s v="SUTTISIT02"/>
    <s v="0002"/>
    <s v=""/>
    <s v="0000"/>
    <s v=""/>
    <s v="0000000000"/>
    <s v=""/>
    <s v=""/>
    <s v=""/>
    <s v=""/>
    <s v=""/>
    <s v=""/>
    <s v=""/>
    <s v=""/>
    <m/>
    <x v="0"/>
    <n v="20000"/>
    <n v="0"/>
    <d v="2026-07-25T00:00:00"/>
    <d v="2026-07-25T00:00:00"/>
    <m/>
    <d v="2026-07-25T00:00:00"/>
    <n v="20000"/>
    <x v="0"/>
    <s v="58"/>
    <e v="#N/A"/>
    <m/>
    <n v="0"/>
    <e v="#N/A"/>
    <e v="#N/A"/>
  </r>
  <r>
    <x v="13"/>
    <x v="13"/>
    <s v="0328"/>
    <x v="0"/>
    <s v="TF trfr plnt to plnt"/>
    <s v="4917149959"/>
    <s v="P003"/>
    <x v="93"/>
    <x v="0"/>
    <s v="13:44:26"/>
    <s v="SUTTISIT02"/>
    <s v="0004"/>
    <s v=""/>
    <s v="0000"/>
    <s v=""/>
    <s v="0000000000"/>
    <s v=""/>
    <s v=""/>
    <s v=""/>
    <s v=""/>
    <s v=""/>
    <s v=""/>
    <s v=""/>
    <s v=""/>
    <m/>
    <x v="0"/>
    <n v="3000"/>
    <n v="0"/>
    <d v="2026-07-25T00:00:00"/>
    <d v="2026-07-25T00:00:00"/>
    <m/>
    <d v="2026-07-25T00:00:00"/>
    <n v="3000"/>
    <x v="0"/>
    <s v="58"/>
    <e v="#N/A"/>
    <m/>
    <n v="0"/>
    <e v="#N/A"/>
    <e v="#N/A"/>
  </r>
  <r>
    <x v="13"/>
    <x v="13"/>
    <s v="0328"/>
    <x v="0"/>
    <s v="TF trfr plnt to plnt"/>
    <s v="4917149959"/>
    <s v="M003"/>
    <x v="93"/>
    <x v="0"/>
    <s v="13:44:26"/>
    <s v="SUTTISIT02"/>
    <s v="0003"/>
    <s v=""/>
    <s v="0000"/>
    <s v=""/>
    <s v="0000000000"/>
    <s v=""/>
    <s v=""/>
    <s v=""/>
    <s v=""/>
    <s v=""/>
    <s v=""/>
    <s v=""/>
    <s v=""/>
    <m/>
    <x v="0"/>
    <n v="-3000"/>
    <n v="0"/>
    <d v="2026-07-25T00:00:00"/>
    <d v="2026-07-25T00:00:00"/>
    <m/>
    <d v="2026-07-25T00:00:00"/>
    <n v="-3000"/>
    <x v="0"/>
    <s v="58"/>
    <e v="#N/A"/>
    <m/>
    <n v="0"/>
    <e v="#N/A"/>
    <e v="#N/A"/>
  </r>
  <r>
    <x v="14"/>
    <x v="14"/>
    <s v="0328"/>
    <x v="0"/>
    <s v="TF trfr plnt to plnt"/>
    <s v="4917158592"/>
    <s v="M002"/>
    <x v="95"/>
    <x v="0"/>
    <s v="14:22:14"/>
    <s v="SUTTISIT02"/>
    <s v="0001"/>
    <s v=""/>
    <s v="0000"/>
    <s v=""/>
    <s v="0000000000"/>
    <s v=""/>
    <s v=""/>
    <s v=""/>
    <s v=""/>
    <s v=""/>
    <s v=""/>
    <s v=""/>
    <s v=""/>
    <m/>
    <x v="3"/>
    <n v="-29997"/>
    <n v="0"/>
    <d v="2026-07-25T00:00:00"/>
    <d v="2026-07-25T00:00:00"/>
    <m/>
    <d v="2026-07-25T00:00:00"/>
    <n v="-29997000"/>
    <x v="0"/>
    <s v="54"/>
    <e v="#N/A"/>
    <m/>
    <n v="0"/>
    <e v="#N/A"/>
    <e v="#N/A"/>
  </r>
  <r>
    <x v="14"/>
    <x v="14"/>
    <s v="0328"/>
    <x v="0"/>
    <s v="TF trfr plnt to plnt"/>
    <s v="4917158592"/>
    <s v="P001"/>
    <x v="96"/>
    <x v="0"/>
    <s v="14:22:14"/>
    <s v="SUTTISIT02"/>
    <s v="0004"/>
    <s v=""/>
    <s v="0000"/>
    <s v=""/>
    <s v="0000000000"/>
    <s v=""/>
    <s v=""/>
    <s v=""/>
    <s v=""/>
    <s v=""/>
    <s v=""/>
    <s v=""/>
    <s v=""/>
    <m/>
    <x v="3"/>
    <n v="40057.599999999999"/>
    <n v="0"/>
    <d v="2026-07-25T00:00:00"/>
    <d v="2026-07-25T00:00:00"/>
    <m/>
    <d v="2026-07-25T00:00:00"/>
    <n v="40057600"/>
    <x v="0"/>
    <s v="54"/>
    <e v="#N/A"/>
    <m/>
    <n v="0"/>
    <e v="#N/A"/>
    <e v="#N/A"/>
  </r>
  <r>
    <x v="14"/>
    <x v="14"/>
    <s v="0328"/>
    <x v="0"/>
    <s v="TF trfr plnt to plnt"/>
    <s v="4917158592"/>
    <s v="M002"/>
    <x v="96"/>
    <x v="0"/>
    <s v="14:22:14"/>
    <s v="SUTTISIT02"/>
    <s v="0003"/>
    <s v=""/>
    <s v="0000"/>
    <s v=""/>
    <s v="0000000000"/>
    <s v=""/>
    <s v=""/>
    <s v=""/>
    <s v=""/>
    <s v=""/>
    <s v=""/>
    <s v=""/>
    <s v=""/>
    <m/>
    <x v="3"/>
    <n v="-40057.599999999999"/>
    <n v="0"/>
    <d v="2026-07-25T00:00:00"/>
    <d v="2026-07-25T00:00:00"/>
    <m/>
    <d v="2026-07-25T00:00:00"/>
    <n v="-40057600"/>
    <x v="0"/>
    <s v="54"/>
    <e v="#N/A"/>
    <m/>
    <n v="0"/>
    <e v="#N/A"/>
    <e v="#N/A"/>
  </r>
  <r>
    <x v="14"/>
    <x v="14"/>
    <s v="0328"/>
    <x v="0"/>
    <s v="TF trfr plnt to plnt"/>
    <s v="4917158592"/>
    <s v="P001"/>
    <x v="95"/>
    <x v="0"/>
    <s v="14:22:14"/>
    <s v="SUTTISIT02"/>
    <s v="0002"/>
    <s v=""/>
    <s v="0000"/>
    <s v=""/>
    <s v="0000000000"/>
    <s v=""/>
    <s v=""/>
    <s v=""/>
    <s v=""/>
    <s v=""/>
    <s v=""/>
    <s v=""/>
    <s v=""/>
    <m/>
    <x v="3"/>
    <n v="29997"/>
    <n v="0"/>
    <d v="2026-07-25T00:00:00"/>
    <d v="2026-07-25T00:00:00"/>
    <m/>
    <d v="2026-07-25T00:00:00"/>
    <n v="29997000"/>
    <x v="0"/>
    <s v="54"/>
    <e v="#N/A"/>
    <m/>
    <n v="0"/>
    <e v="#N/A"/>
    <e v="#N/A"/>
  </r>
  <r>
    <x v="7"/>
    <x v="7"/>
    <s v="0328"/>
    <x v="0"/>
    <s v="TF trfr plnt to plnt"/>
    <s v="4917158592"/>
    <s v="P001"/>
    <x v="8"/>
    <x v="0"/>
    <s v="14:22:14"/>
    <s v="SUTTISIT02"/>
    <s v="0006"/>
    <s v=""/>
    <s v="0000"/>
    <s v=""/>
    <s v="0000000000"/>
    <s v=""/>
    <s v=""/>
    <s v=""/>
    <s v=""/>
    <s v=""/>
    <s v=""/>
    <s v=""/>
    <s v=""/>
    <m/>
    <x v="3"/>
    <n v="9976.39"/>
    <n v="0"/>
    <d v="2026-07-25T00:00:00"/>
    <d v="2026-07-25T00:00:00"/>
    <m/>
    <d v="2026-07-25T00:00:00"/>
    <n v="9976390"/>
    <x v="0"/>
    <s v="54"/>
    <e v="#N/A"/>
    <m/>
    <n v="0"/>
    <e v="#N/A"/>
    <e v="#N/A"/>
  </r>
  <r>
    <x v="7"/>
    <x v="7"/>
    <s v="0328"/>
    <x v="0"/>
    <s v="TF trfr plnt to plnt"/>
    <s v="4917158592"/>
    <s v="M002"/>
    <x v="8"/>
    <x v="0"/>
    <s v="14:22:14"/>
    <s v="SUTTISIT02"/>
    <s v="0005"/>
    <s v=""/>
    <s v="0000"/>
    <s v=""/>
    <s v="0000000000"/>
    <s v=""/>
    <s v=""/>
    <s v=""/>
    <s v=""/>
    <s v=""/>
    <s v=""/>
    <s v=""/>
    <s v=""/>
    <m/>
    <x v="3"/>
    <n v="-9976.39"/>
    <n v="0"/>
    <d v="2026-07-25T00:00:00"/>
    <d v="2026-07-25T00:00:00"/>
    <m/>
    <d v="2026-07-25T00:00:00"/>
    <n v="-9976390"/>
    <x v="0"/>
    <s v="54"/>
    <e v="#N/A"/>
    <m/>
    <n v="0"/>
    <e v="#N/A"/>
    <e v="#N/A"/>
  </r>
  <r>
    <x v="14"/>
    <x v="14"/>
    <s v="0328"/>
    <x v="1"/>
    <s v="GI ค่าวิจัยและพัฒนา"/>
    <s v="4917164048"/>
    <s v="P001"/>
    <x v="95"/>
    <x v="0"/>
    <s v="14:39:36"/>
    <s v="SUTEESEA"/>
    <s v="0001"/>
    <s v=""/>
    <s v="0000"/>
    <s v=""/>
    <s v="0151675717"/>
    <s v=""/>
    <s v="A.CPBF 27.03.2026 CL 10:30 Silo 2"/>
    <s v="405053"/>
    <s v="67501001"/>
    <s v=""/>
    <s v=""/>
    <s v=""/>
    <s v=""/>
    <m/>
    <x v="5"/>
    <n v="-500"/>
    <n v="-132.21"/>
    <d v="2026-07-21T00:00:00"/>
    <d v="2026-07-21T00:00:00"/>
    <m/>
    <d v="2026-07-25T00:00:00"/>
    <n v="-500"/>
    <x v="0"/>
    <s v="54"/>
    <s v="ค่าวิจัยคุณภาพสินค้า"/>
    <m/>
    <n v="0.26441999999999999"/>
    <e v="#N/A"/>
    <e v="#N/A"/>
  </r>
  <r>
    <x v="14"/>
    <x v="14"/>
    <s v="0328"/>
    <x v="1"/>
    <s v="GI ค่าวิจัยและพัฒนา"/>
    <s v="4917164576"/>
    <s v="P001"/>
    <x v="52"/>
    <x v="0"/>
    <s v="14:42:34"/>
    <s v="SUTEESEA"/>
    <s v="0001"/>
    <s v=""/>
    <s v="0000"/>
    <s v=""/>
    <s v="0151243473"/>
    <s v=""/>
    <s v="A.RPT 20.3.26 CL10.15"/>
    <s v="405053"/>
    <s v="67501001"/>
    <s v=""/>
    <s v=""/>
    <s v=""/>
    <s v=""/>
    <m/>
    <x v="5"/>
    <n v="-500"/>
    <n v="-132.21"/>
    <d v="2026-07-10T00:00:00"/>
    <d v="2026-07-10T00:00:00"/>
    <m/>
    <d v="2026-07-25T00:00:00"/>
    <n v="-500"/>
    <x v="0"/>
    <s v="54"/>
    <s v="ค่าวิจัยคุณภาพสินค้า"/>
    <m/>
    <n v="0.26441999999999999"/>
    <e v="#N/A"/>
    <e v="#N/A"/>
  </r>
  <r>
    <x v="7"/>
    <x v="7"/>
    <s v="0328"/>
    <x v="1"/>
    <s v="GI ค่าวิจัยและพัฒนา"/>
    <s v="4917164576"/>
    <s v="P001"/>
    <x v="8"/>
    <x v="0"/>
    <s v="14:42:34"/>
    <s v="SUTEESEA"/>
    <s v="0002"/>
    <s v=""/>
    <s v="0000"/>
    <s v=""/>
    <s v="0151243473"/>
    <s v=""/>
    <s v="R.BBB 16.6.26 CL 16.40"/>
    <s v="405053"/>
    <s v="67501001"/>
    <s v=""/>
    <s v=""/>
    <s v=""/>
    <s v=""/>
    <m/>
    <x v="5"/>
    <n v="-500"/>
    <n v="-77.569999999999993"/>
    <d v="2026-07-10T00:00:00"/>
    <d v="2026-07-10T00:00:00"/>
    <m/>
    <d v="2026-07-25T00:00:00"/>
    <n v="-500"/>
    <x v="0"/>
    <s v="54"/>
    <s v="ค่าวิจัยคุณภาพสินค้า"/>
    <m/>
    <n v="0.15514"/>
    <e v="#N/A"/>
    <e v="#N/A"/>
  </r>
  <r>
    <x v="14"/>
    <x v="14"/>
    <s v="0328"/>
    <x v="1"/>
    <s v="GI ค่าวิจัยและพัฒนา"/>
    <s v="4917164803"/>
    <s v="P001"/>
    <x v="95"/>
    <x v="0"/>
    <s v="14:45:11"/>
    <s v="SUTEESEA"/>
    <s v="0002"/>
    <s v=""/>
    <s v="0000"/>
    <s v=""/>
    <s v="0151372589"/>
    <s v=""/>
    <s v="A.CPBF 25.3.26 CL13:25 S3"/>
    <s v="405053"/>
    <s v="67501001"/>
    <s v=""/>
    <s v=""/>
    <s v=""/>
    <s v=""/>
    <m/>
    <x v="5"/>
    <n v="-500"/>
    <n v="-132.21"/>
    <d v="2026-07-13T00:00:00"/>
    <d v="2026-07-13T00:00:00"/>
    <m/>
    <d v="2026-07-25T00:00:00"/>
    <n v="-500"/>
    <x v="0"/>
    <s v="54"/>
    <s v="ค่าวิจัยคุณภาพสินค้า"/>
    <m/>
    <n v="0.26441999999999999"/>
    <e v="#N/A"/>
    <e v="#N/A"/>
  </r>
  <r>
    <x v="14"/>
    <x v="14"/>
    <s v="0328"/>
    <x v="1"/>
    <s v="GI ค่าวิจัยและพัฒนา"/>
    <s v="4917164803"/>
    <s v="P001"/>
    <x v="52"/>
    <x v="0"/>
    <s v="14:45:11"/>
    <s v="SUTEESEA"/>
    <s v="0001"/>
    <s v=""/>
    <s v="0000"/>
    <s v=""/>
    <s v="0151372589"/>
    <s v=""/>
    <s v="A.RPT 23.3.26 CL9:25 S2"/>
    <s v="405053"/>
    <s v="67501001"/>
    <s v=""/>
    <s v=""/>
    <s v=""/>
    <s v=""/>
    <m/>
    <x v="5"/>
    <n v="-500"/>
    <n v="-132.21"/>
    <d v="2026-07-13T00:00:00"/>
    <d v="2026-07-13T00:00:00"/>
    <m/>
    <d v="2026-07-25T00:00:00"/>
    <n v="-500"/>
    <x v="0"/>
    <s v="54"/>
    <s v="ค่าวิจัยคุณภาพสินค้า"/>
    <m/>
    <n v="0.26441999999999999"/>
    <e v="#N/A"/>
    <e v="#N/A"/>
  </r>
  <r>
    <x v="14"/>
    <x v="14"/>
    <s v="0328"/>
    <x v="1"/>
    <s v="GI ค่าวิจัยและพัฒนา"/>
    <s v="4917164978"/>
    <s v="P001"/>
    <x v="52"/>
    <x v="0"/>
    <s v="14:47:12"/>
    <s v="SUTEESEA"/>
    <s v="0001"/>
    <s v=""/>
    <s v="0000"/>
    <s v=""/>
    <s v="0151491857"/>
    <s v=""/>
    <s v="A.RPT 23.3.26 CL10.00"/>
    <s v="405053"/>
    <s v="67501001"/>
    <s v=""/>
    <s v=""/>
    <s v=""/>
    <s v=""/>
    <m/>
    <x v="5"/>
    <n v="-500"/>
    <n v="-132.21"/>
    <d v="2026-07-15T00:00:00"/>
    <d v="2026-07-15T00:00:00"/>
    <m/>
    <d v="2026-07-25T00:00:00"/>
    <n v="-500"/>
    <x v="0"/>
    <s v="54"/>
    <s v="ค่าวิจัยคุณภาพสินค้า"/>
    <m/>
    <n v="0.26441999999999999"/>
    <e v="#N/A"/>
    <e v="#N/A"/>
  </r>
  <r>
    <x v="7"/>
    <x v="7"/>
    <s v="0328"/>
    <x v="1"/>
    <s v="GI ค่าวิจัยและพัฒนา"/>
    <s v="4917164978"/>
    <s v="P001"/>
    <x v="8"/>
    <x v="0"/>
    <s v="14:47:12"/>
    <s v="SUTEESEA"/>
    <s v="0002"/>
    <s v=""/>
    <s v="0000"/>
    <s v=""/>
    <s v="0151491857"/>
    <s v=""/>
    <s v="R.BBB 16.6.26 CL 16.00"/>
    <s v="405053"/>
    <s v="67501001"/>
    <s v=""/>
    <s v=""/>
    <s v=""/>
    <s v=""/>
    <m/>
    <x v="5"/>
    <n v="-500"/>
    <n v="-77.569999999999993"/>
    <d v="2026-07-15T00:00:00"/>
    <d v="2026-07-15T00:00:00"/>
    <m/>
    <d v="2026-07-25T00:00:00"/>
    <n v="-500"/>
    <x v="0"/>
    <s v="54"/>
    <s v="ค่าวิจัยคุณภาพสินค้า"/>
    <m/>
    <n v="0.15514"/>
    <e v="#N/A"/>
    <e v="#N/A"/>
  </r>
  <r>
    <x v="14"/>
    <x v="14"/>
    <s v="0328"/>
    <x v="4"/>
    <s v="GI for order"/>
    <s v="4917168121"/>
    <s v="P001"/>
    <x v="95"/>
    <x v="59"/>
    <s v="15:38:32"/>
    <s v="SUTEESEA"/>
    <s v="0001"/>
    <s v=""/>
    <s v="0000"/>
    <s v=""/>
    <s v="0151860263"/>
    <s v=""/>
    <s v=""/>
    <s v=""/>
    <s v="53002000"/>
    <s v=""/>
    <s v=""/>
    <s v=""/>
    <s v=""/>
    <m/>
    <x v="3"/>
    <n v="-29996"/>
    <n v="-7931674.1100000003"/>
    <d v="2026-07-25T00:00:00"/>
    <d v="2026-07-21T00:00:00"/>
    <m/>
    <d v="2026-07-25T00:00:00"/>
    <n v="-29996000"/>
    <x v="3"/>
    <s v="54"/>
    <s v="ต้นทุนผลิต-วัตถุดิบ"/>
    <m/>
    <n v="264.42439358581146"/>
    <e v="#N/A"/>
    <e v="#N/A"/>
  </r>
  <r>
    <x v="7"/>
    <x v="7"/>
    <s v="0328"/>
    <x v="4"/>
    <s v="GI for order"/>
    <s v="4917169026"/>
    <s v="P001"/>
    <x v="8"/>
    <x v="60"/>
    <s v="15:55:32"/>
    <s v="SUTEESEA"/>
    <s v="0001"/>
    <s v=""/>
    <s v="0000"/>
    <s v=""/>
    <s v="0151860578"/>
    <s v=""/>
    <s v=""/>
    <s v=""/>
    <s v="53002000"/>
    <s v=""/>
    <s v=""/>
    <s v=""/>
    <s v=""/>
    <m/>
    <x v="3"/>
    <n v="-9981.2999999999993"/>
    <n v="-1548504.05"/>
    <d v="2026-07-25T00:00:00"/>
    <d v="2026-07-22T00:00:00"/>
    <m/>
    <d v="2026-07-25T00:00:00"/>
    <n v="-9981300"/>
    <x v="3"/>
    <s v="54"/>
    <s v="ต้นทุนผลิต-วัตถุดิบ"/>
    <m/>
    <n v="155.1405177682266"/>
    <e v="#N/A"/>
    <e v="#N/A"/>
  </r>
  <r>
    <x v="5"/>
    <x v="5"/>
    <s v="0328"/>
    <x v="1"/>
    <s v="GI ค่าวิจัยและพัฒนา"/>
    <s v="4917174603"/>
    <s v="M001"/>
    <x v="83"/>
    <x v="0"/>
    <s v="18:26:32"/>
    <s v="PRONDTAN"/>
    <s v="0001"/>
    <s v=""/>
    <s v="0000"/>
    <s v=""/>
    <s v="0151862499"/>
    <s v=""/>
    <s v="ตรวจเพิ่ม 23.7.26.1 A012R002 P.24,26,33,35,18,23"/>
    <s v="405053"/>
    <s v="67501001"/>
    <s v=""/>
    <s v=""/>
    <s v=""/>
    <s v=""/>
    <m/>
    <x v="2"/>
    <n v="-6"/>
    <n v="-1019.16"/>
    <d v="2026-07-25T00:00:00"/>
    <d v="2026-07-25T00:00:00"/>
    <m/>
    <d v="2026-07-25T00:00:00"/>
    <n v="-30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7174603"/>
    <s v="M001"/>
    <x v="83"/>
    <x v="0"/>
    <s v="18:26:32"/>
    <s v="PRONDTAN"/>
    <s v="0002"/>
    <s v=""/>
    <s v="0000"/>
    <s v=""/>
    <s v="0151862499"/>
    <s v=""/>
    <s v="ตรวจเพิ่ม 23.7.26.2 A012R002 P.29,12,14,30,8,10"/>
    <s v="405053"/>
    <s v="67501001"/>
    <s v=""/>
    <s v=""/>
    <s v=""/>
    <s v=""/>
    <m/>
    <x v="2"/>
    <n v="-8"/>
    <n v="-1358.88"/>
    <d v="2026-07-25T00:00:00"/>
    <d v="2026-07-25T00:00:00"/>
    <m/>
    <d v="2026-07-25T00:00:00"/>
    <n v="-40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7174603"/>
    <s v="M001"/>
    <x v="83"/>
    <x v="0"/>
    <s v="18:26:32"/>
    <s v="PRONDTAN"/>
    <s v="0003"/>
    <s v=""/>
    <s v="0000"/>
    <s v=""/>
    <s v="0151862499"/>
    <s v=""/>
    <s v="ตรวจเพิ่ม 23.7.26.3 A012R002 P.3"/>
    <s v="405053"/>
    <s v="67501001"/>
    <s v=""/>
    <s v=""/>
    <s v=""/>
    <s v=""/>
    <m/>
    <x v="2"/>
    <n v="-1"/>
    <n v="-169.86"/>
    <d v="2026-07-25T00:00:00"/>
    <d v="2026-07-25T00:00:00"/>
    <m/>
    <d v="2026-07-25T00:00:00"/>
    <n v="-5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7175364"/>
    <s v="M001"/>
    <x v="83"/>
    <x v="0"/>
    <s v="18:30:45"/>
    <s v="PRONDTAN"/>
    <s v="0001"/>
    <s v=""/>
    <s v="0000"/>
    <s v=""/>
    <s v="0151862521"/>
    <s v=""/>
    <s v="Routine 23.7.26.3A012R002"/>
    <s v="405053"/>
    <s v="67501001"/>
    <s v=""/>
    <s v=""/>
    <s v=""/>
    <s v=""/>
    <m/>
    <x v="2"/>
    <n v="-6"/>
    <n v="-1019.16"/>
    <d v="2026-07-25T00:00:00"/>
    <d v="2026-07-25T00:00:00"/>
    <m/>
    <d v="2026-07-25T00:00:00"/>
    <n v="-30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7175364"/>
    <s v="M001"/>
    <x v="83"/>
    <x v="0"/>
    <s v="18:30:45"/>
    <s v="PRONDTAN"/>
    <s v="0002"/>
    <s v=""/>
    <s v="0000"/>
    <s v=""/>
    <s v="0151862521"/>
    <s v=""/>
    <s v="Retain 23.7.26.3A012R002"/>
    <s v="405053"/>
    <s v="67501001"/>
    <s v=""/>
    <s v=""/>
    <s v=""/>
    <s v=""/>
    <m/>
    <x v="2"/>
    <n v="-6"/>
    <n v="-1019.16"/>
    <d v="2026-07-25T00:00:00"/>
    <d v="2026-07-25T00:00:00"/>
    <m/>
    <d v="2026-07-25T00:00:00"/>
    <n v="-3000"/>
    <x v="0"/>
    <s v="59"/>
    <s v="ค่าวิจัยคุณภาพสินค้า"/>
    <m/>
    <n v="169.85999999999999"/>
    <e v="#N/A"/>
    <e v="#N/A"/>
  </r>
  <r>
    <x v="5"/>
    <x v="5"/>
    <s v="0328"/>
    <x v="2"/>
    <s v="GD goods issue:delvy"/>
    <s v="4917293209"/>
    <s v="M001"/>
    <x v="83"/>
    <x v="0"/>
    <s v="09:54:43"/>
    <s v="RAPEESAN01"/>
    <s v="0001"/>
    <s v=""/>
    <s v="0000"/>
    <s v=""/>
    <s v="0000000000"/>
    <s v=""/>
    <s v=""/>
    <s v=""/>
    <s v="51003100"/>
    <s v=""/>
    <s v=""/>
    <s v=""/>
    <s v="2000126551"/>
    <m/>
    <x v="4"/>
    <n v="-486"/>
    <n v="-495311.76"/>
    <d v="2026-07-27T00:00:00"/>
    <d v="2026-07-27T00:00:00"/>
    <m/>
    <d v="2026-07-27T00:00:00"/>
    <n v="-1458000"/>
    <x v="0"/>
    <s v="59"/>
    <s v="ต้นทุนขาย"/>
    <m/>
    <n v="1019.16"/>
    <e v="#N/A"/>
    <e v="#N/A"/>
  </r>
  <r>
    <x v="5"/>
    <x v="5"/>
    <s v="0328"/>
    <x v="2"/>
    <s v="GD goods issue:delvy"/>
    <s v="4917293209"/>
    <s v="M001"/>
    <x v="85"/>
    <x v="0"/>
    <s v="09:54:43"/>
    <s v="RAPEESAN01"/>
    <s v="0002"/>
    <s v=""/>
    <s v="0000"/>
    <s v=""/>
    <s v="0000000000"/>
    <s v=""/>
    <s v=""/>
    <s v=""/>
    <s v="51003100"/>
    <s v=""/>
    <s v=""/>
    <s v=""/>
    <s v="2000126551"/>
    <m/>
    <x v="4"/>
    <n v="-1434"/>
    <n v="-1461475.44"/>
    <d v="2026-07-27T00:00:00"/>
    <d v="2026-07-27T00:00:00"/>
    <m/>
    <d v="2026-07-27T00:00:00"/>
    <n v="-4302000"/>
    <x v="0"/>
    <s v="59"/>
    <s v="ต้นทุนขาย"/>
    <m/>
    <n v="1019.16"/>
    <e v="#N/A"/>
    <e v="#N/A"/>
  </r>
  <r>
    <x v="5"/>
    <x v="5"/>
    <s v="0328"/>
    <x v="2"/>
    <s v="GD goods issue:delvy"/>
    <s v="4917293490"/>
    <s v="M001"/>
    <x v="89"/>
    <x v="0"/>
    <s v="09:58:49"/>
    <s v="RAPEESAN01"/>
    <s v="0002"/>
    <s v=""/>
    <s v="0000"/>
    <s v=""/>
    <s v="0000000000"/>
    <s v=""/>
    <s v=""/>
    <s v=""/>
    <s v="51003100"/>
    <s v=""/>
    <s v=""/>
    <s v=""/>
    <s v="2000126552"/>
    <m/>
    <x v="4"/>
    <n v="-718"/>
    <n v="-731756.88"/>
    <d v="2026-07-27T00:00:00"/>
    <d v="2026-07-27T00:00:00"/>
    <m/>
    <d v="2026-07-27T00:00:00"/>
    <n v="-2154000"/>
    <x v="0"/>
    <s v="59"/>
    <s v="ต้นทุนขาย"/>
    <m/>
    <n v="1019.16"/>
    <e v="#N/A"/>
    <e v="#N/A"/>
  </r>
  <r>
    <x v="5"/>
    <x v="5"/>
    <s v="0328"/>
    <x v="2"/>
    <s v="GD goods issue:delvy"/>
    <s v="4917293490"/>
    <s v="M001"/>
    <x v="85"/>
    <x v="0"/>
    <s v="09:58:49"/>
    <s v="RAPEESAN01"/>
    <s v="0001"/>
    <s v=""/>
    <s v="0000"/>
    <s v=""/>
    <s v="0000000000"/>
    <s v=""/>
    <s v=""/>
    <s v=""/>
    <s v="51003100"/>
    <s v=""/>
    <s v=""/>
    <s v=""/>
    <s v="2000126552"/>
    <m/>
    <x v="4"/>
    <n v="-1202"/>
    <n v="-1225030.32"/>
    <d v="2026-07-27T00:00:00"/>
    <d v="2026-07-27T00:00:00"/>
    <m/>
    <d v="2026-07-27T00:00:00"/>
    <n v="-3606000"/>
    <x v="0"/>
    <s v="59"/>
    <s v="ต้นทุนขาย"/>
    <m/>
    <n v="1019.1600000000001"/>
    <e v="#N/A"/>
    <e v="#N/A"/>
  </r>
  <r>
    <x v="5"/>
    <x v="5"/>
    <s v="0328"/>
    <x v="2"/>
    <s v="GD goods issue:delvy"/>
    <s v="4917293533"/>
    <s v="M001"/>
    <x v="89"/>
    <x v="0"/>
    <s v="09:59:51"/>
    <s v="RAPEESAN01"/>
    <s v="0001"/>
    <s v=""/>
    <s v="0000"/>
    <s v=""/>
    <s v="0000000000"/>
    <s v=""/>
    <s v=""/>
    <s v=""/>
    <s v="51003100"/>
    <s v=""/>
    <s v=""/>
    <s v=""/>
    <s v="2000126554"/>
    <m/>
    <x v="4"/>
    <n v="-1920"/>
    <n v="-1956787.2"/>
    <d v="2026-07-27T00:00:00"/>
    <d v="2026-07-27T00:00:00"/>
    <m/>
    <d v="2026-07-27T00:00:00"/>
    <n v="-5760000"/>
    <x v="0"/>
    <s v="59"/>
    <s v="ต้นทุนขาย"/>
    <m/>
    <n v="1019.16"/>
    <e v="#N/A"/>
    <e v="#N/A"/>
  </r>
  <r>
    <x v="14"/>
    <x v="14"/>
    <s v="0328"/>
    <x v="4"/>
    <s v="GI for order"/>
    <s v="4917295228"/>
    <s v="P001"/>
    <x v="96"/>
    <x v="61"/>
    <s v="10:30:46"/>
    <s v="SUTEESEA"/>
    <s v="0001"/>
    <s v=""/>
    <s v="0000"/>
    <s v=""/>
    <s v="0151907367"/>
    <s v=""/>
    <s v=""/>
    <s v=""/>
    <s v="53002000"/>
    <s v=""/>
    <s v=""/>
    <s v=""/>
    <s v=""/>
    <m/>
    <x v="3"/>
    <n v="-40057.599999999999"/>
    <n v="-10592206.59"/>
    <d v="2026-07-27T00:00:00"/>
    <d v="2026-07-24T00:00:00"/>
    <m/>
    <d v="2026-07-27T00:00:00"/>
    <n v="-40057600"/>
    <x v="3"/>
    <s v="54"/>
    <s v="ต้นทุนผลิต-วัตถุดิบ"/>
    <m/>
    <n v="264.4243936231826"/>
    <e v="#N/A"/>
    <e v="#N/A"/>
  </r>
  <r>
    <x v="6"/>
    <x v="6"/>
    <s v="0328"/>
    <x v="4"/>
    <s v="GI for order"/>
    <s v="4917302352"/>
    <s v="M001"/>
    <x v="10"/>
    <x v="62"/>
    <s v="13:25:31"/>
    <s v="JURASDOK"/>
    <s v="0002"/>
    <s v=""/>
    <s v="0000"/>
    <s v=""/>
    <s v="0000000000"/>
    <s v=""/>
    <s v="เมล็ดกาแฟ CPR Coffee Bean  MF. 500 G."/>
    <s v=""/>
    <s v="53001000"/>
    <s v=""/>
    <s v=""/>
    <s v=""/>
    <s v=""/>
    <m/>
    <x v="2"/>
    <n v="-1295"/>
    <n v="-219916.9"/>
    <d v="2026-07-27T00:00:00"/>
    <d v="2026-07-24T00:00:00"/>
    <m/>
    <d v="2026-07-27T00:00:00"/>
    <n v="-647500"/>
    <x v="1"/>
    <s v="59"/>
    <s v="ต้นทุนผลิต-สินค้าสำเร็จรูป"/>
    <m/>
    <n v="169.82"/>
    <e v="#N/A"/>
    <e v="#N/A"/>
  </r>
  <r>
    <x v="8"/>
    <x v="8"/>
    <s v="0328"/>
    <x v="5"/>
    <s v="GR for order"/>
    <s v="4917302352"/>
    <s v="M001"/>
    <x v="10"/>
    <x v="62"/>
    <s v="13:25:31"/>
    <s v="JURASDOK"/>
    <s v="0001"/>
    <s v=""/>
    <s v="0000"/>
    <s v=""/>
    <s v="0000000000"/>
    <s v=""/>
    <s v=""/>
    <s v=""/>
    <s v="53001001"/>
    <s v=""/>
    <s v=""/>
    <s v=""/>
    <s v=""/>
    <m/>
    <x v="2"/>
    <n v="1295"/>
    <n v="219916.9"/>
    <d v="2026-07-27T00:00:00"/>
    <d v="2026-07-24T00:00:00"/>
    <m/>
    <d v="2026-07-27T00:00:00"/>
    <n v="647500"/>
    <x v="1"/>
    <s v="59"/>
    <s v="ต้นทุนผลิตโอน F/G"/>
    <m/>
    <n v="169.82"/>
    <e v="#N/A"/>
    <e v="#N/A"/>
  </r>
  <r>
    <x v="6"/>
    <x v="6"/>
    <s v="0328"/>
    <x v="4"/>
    <s v="GI for order"/>
    <s v="4917302358"/>
    <s v="M001"/>
    <x v="35"/>
    <x v="63"/>
    <s v="13:28:18"/>
    <s v="JURASDOK"/>
    <s v="0002"/>
    <s v=""/>
    <s v="0000"/>
    <s v=""/>
    <s v="0000000000"/>
    <s v=""/>
    <s v="เมล็ดกาแฟ CPR Coffee Bean  MF. 500 G."/>
    <s v=""/>
    <s v="53001000"/>
    <s v=""/>
    <s v=""/>
    <s v=""/>
    <s v=""/>
    <m/>
    <x v="2"/>
    <n v="-497"/>
    <n v="-84400.54"/>
    <d v="2026-07-27T00:00:00"/>
    <d v="2026-07-24T00:00:00"/>
    <m/>
    <d v="2026-07-27T00:00:00"/>
    <n v="-248500"/>
    <x v="1"/>
    <s v="59"/>
    <s v="ต้นทุนผลิต-สินค้าสำเร็จรูป"/>
    <m/>
    <n v="169.82"/>
    <e v="#N/A"/>
    <e v="#N/A"/>
  </r>
  <r>
    <x v="8"/>
    <x v="8"/>
    <s v="0328"/>
    <x v="5"/>
    <s v="GR for order"/>
    <s v="4917302358"/>
    <s v="M001"/>
    <x v="35"/>
    <x v="63"/>
    <s v="13:28:18"/>
    <s v="JURASDOK"/>
    <s v="0001"/>
    <s v=""/>
    <s v="0000"/>
    <s v=""/>
    <s v="0000000000"/>
    <s v=""/>
    <s v=""/>
    <s v=""/>
    <s v="53001001"/>
    <s v=""/>
    <s v=""/>
    <s v=""/>
    <s v=""/>
    <m/>
    <x v="2"/>
    <n v="497"/>
    <n v="84400.54"/>
    <d v="2026-07-27T00:00:00"/>
    <d v="2026-07-24T00:00:00"/>
    <m/>
    <d v="2026-07-27T00:00:00"/>
    <n v="248500"/>
    <x v="1"/>
    <s v="59"/>
    <s v="ต้นทุนผลิตโอน F/G"/>
    <m/>
    <n v="169.82"/>
    <e v="#N/A"/>
    <e v="#N/A"/>
  </r>
  <r>
    <x v="5"/>
    <x v="5"/>
    <s v="0328"/>
    <x v="1"/>
    <s v="GI ค่าวิจัยและพัฒนา"/>
    <s v="4917307218"/>
    <s v="M001"/>
    <x v="85"/>
    <x v="0"/>
    <s v="14:15:16"/>
    <s v="RAPEESAN01"/>
    <s v="0002"/>
    <s v=""/>
    <s v="0000"/>
    <s v=""/>
    <s v="0151817882"/>
    <s v=""/>
    <s v="เพื่อส่งให้ RD'QA 7-11 ตรวจสอบ"/>
    <s v="405053"/>
    <s v="67501001"/>
    <s v=""/>
    <s v=""/>
    <s v=""/>
    <s v=""/>
    <m/>
    <x v="2"/>
    <n v="-1"/>
    <n v="-169.86"/>
    <d v="2026-07-31T00:00:00"/>
    <d v="2026-07-31T00:00:00"/>
    <m/>
    <d v="2026-07-27T00:00:00"/>
    <n v="-5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7307218"/>
    <s v="M001"/>
    <x v="83"/>
    <x v="0"/>
    <s v="14:15:16"/>
    <s v="RAPEESAN01"/>
    <s v="0001"/>
    <s v=""/>
    <s v="0000"/>
    <s v=""/>
    <s v="0151817882"/>
    <s v=""/>
    <s v="เพื่อส่งให้ RD'QA 7-11 ตรวจสอบ"/>
    <s v="405053"/>
    <s v="67501001"/>
    <s v=""/>
    <s v=""/>
    <s v=""/>
    <s v=""/>
    <m/>
    <x v="2"/>
    <n v="-3"/>
    <n v="-509.58"/>
    <d v="2026-07-31T00:00:00"/>
    <d v="2026-07-31T00:00:00"/>
    <m/>
    <d v="2026-07-27T00:00:00"/>
    <n v="-15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7307896"/>
    <s v="M001"/>
    <x v="89"/>
    <x v="0"/>
    <s v="14:16:23"/>
    <s v="SUTTISIT02"/>
    <s v="0001"/>
    <s v=""/>
    <s v="0000"/>
    <s v=""/>
    <s v="0151817858"/>
    <s v=""/>
    <s v="เพื่อส่งให้ RD'QA 7-11 ตรวจสอบ"/>
    <s v="405053"/>
    <s v="67501001"/>
    <s v=""/>
    <s v=""/>
    <s v=""/>
    <s v=""/>
    <m/>
    <x v="2"/>
    <n v="-2"/>
    <n v="-339.72"/>
    <d v="2026-07-27T00:00:00"/>
    <d v="2026-07-27T00:00:00"/>
    <m/>
    <d v="2026-07-27T00:00:00"/>
    <n v="-1000"/>
    <x v="0"/>
    <s v="59"/>
    <s v="ค่าวิจัยคุณภาพสินค้า"/>
    <m/>
    <n v="169.86"/>
    <e v="#N/A"/>
    <e v="#N/A"/>
  </r>
  <r>
    <x v="6"/>
    <x v="6"/>
    <s v="0328"/>
    <x v="2"/>
    <s v="GD goods issue:delvy"/>
    <s v="4917308805"/>
    <s v="P004"/>
    <x v="10"/>
    <x v="0"/>
    <s v="14:19:02"/>
    <s v="SONGPCHI"/>
    <s v="0001"/>
    <s v=""/>
    <s v="0000"/>
    <s v=""/>
    <s v="0000000000"/>
    <s v=""/>
    <s v=""/>
    <s v=""/>
    <s v="51003100"/>
    <s v=""/>
    <s v=""/>
    <s v=""/>
    <s v="2000126565"/>
    <m/>
    <x v="2"/>
    <n v="-2"/>
    <n v="-339.64"/>
    <d v="2026-07-27T00:00:00"/>
    <d v="2026-07-27T00:00:00"/>
    <m/>
    <d v="2026-07-27T00:00:00"/>
    <n v="-1000"/>
    <x v="0"/>
    <s v="59"/>
    <s v="ต้นทุนขาย"/>
    <m/>
    <n v="169.82"/>
    <e v="#N/A"/>
    <e v="#N/A"/>
  </r>
  <r>
    <x v="8"/>
    <x v="8"/>
    <s v="0328"/>
    <x v="0"/>
    <s v="TF trfr plnt to plnt"/>
    <s v="4917309452"/>
    <s v="M001"/>
    <x v="35"/>
    <x v="0"/>
    <s v="14:20:06"/>
    <s v="JURASDOK"/>
    <s v="0003"/>
    <s v=""/>
    <s v="0000"/>
    <s v=""/>
    <s v="0151803741"/>
    <s v=""/>
    <s v=""/>
    <s v=""/>
    <s v=""/>
    <s v=""/>
    <s v=""/>
    <s v=""/>
    <s v=""/>
    <m/>
    <x v="2"/>
    <n v="-496"/>
    <n v="-84230.720000000001"/>
    <d v="2026-07-27T00:00:00"/>
    <d v="2026-07-27T00:00:00"/>
    <m/>
    <d v="2026-07-27T00:00:00"/>
    <n v="-248000"/>
    <x v="0"/>
    <s v="59"/>
    <e v="#N/A"/>
    <m/>
    <n v="169.82"/>
    <e v="#N/A"/>
    <e v="#N/A"/>
  </r>
  <r>
    <x v="8"/>
    <x v="8"/>
    <s v="0328"/>
    <x v="0"/>
    <s v="TF trfr plnt to plnt"/>
    <s v="4917309452"/>
    <s v="M001"/>
    <x v="10"/>
    <x v="0"/>
    <s v="14:20:06"/>
    <s v="JURASDOK"/>
    <s v="0001"/>
    <s v=""/>
    <s v="0000"/>
    <s v=""/>
    <s v="0151803741"/>
    <s v=""/>
    <s v=""/>
    <s v=""/>
    <s v=""/>
    <s v=""/>
    <s v=""/>
    <s v=""/>
    <s v=""/>
    <m/>
    <x v="2"/>
    <n v="-1298"/>
    <n v="-220426.36"/>
    <d v="2026-07-27T00:00:00"/>
    <d v="2026-07-27T00:00:00"/>
    <m/>
    <d v="2026-07-27T00:00:00"/>
    <n v="-649000"/>
    <x v="0"/>
    <s v="59"/>
    <e v="#N/A"/>
    <m/>
    <n v="169.82"/>
    <e v="#N/A"/>
    <e v="#N/A"/>
  </r>
  <r>
    <x v="6"/>
    <x v="6"/>
    <s v="0328"/>
    <x v="2"/>
    <s v="GD goods issue:delvy"/>
    <s v="4917310172"/>
    <s v="P004"/>
    <x v="10"/>
    <x v="0"/>
    <s v="14:22:26"/>
    <s v="SONGPCHI"/>
    <s v="0001"/>
    <s v=""/>
    <s v="0000"/>
    <s v=""/>
    <s v="0000000000"/>
    <s v=""/>
    <s v=""/>
    <s v=""/>
    <s v="51003100"/>
    <s v=""/>
    <s v=""/>
    <s v=""/>
    <s v="2000126568"/>
    <m/>
    <x v="2"/>
    <n v="-2"/>
    <n v="-339.64"/>
    <d v="2026-07-27T00:00:00"/>
    <d v="2026-07-27T00:00:00"/>
    <m/>
    <d v="2026-07-27T00:00:00"/>
    <n v="-1000"/>
    <x v="0"/>
    <s v="59"/>
    <s v="ต้นทุนขาย"/>
    <m/>
    <n v="169.82"/>
    <e v="#N/A"/>
    <e v="#N/A"/>
  </r>
  <r>
    <x v="6"/>
    <x v="6"/>
    <s v="0328"/>
    <x v="2"/>
    <s v="GD goods issue:delvy"/>
    <s v="4917311082"/>
    <s v="P004"/>
    <x v="10"/>
    <x v="0"/>
    <s v="14:26:15"/>
    <s v="CHONMPRA"/>
    <s v="0001"/>
    <s v=""/>
    <s v="0000"/>
    <s v=""/>
    <s v="0000000000"/>
    <s v=""/>
    <s v=""/>
    <s v=""/>
    <s v="51003100"/>
    <s v=""/>
    <s v=""/>
    <s v=""/>
    <s v="2000126573"/>
    <m/>
    <x v="2"/>
    <n v="-60"/>
    <n v="-10189.200000000001"/>
    <d v="2026-07-27T00:00:00"/>
    <d v="2026-07-27T00:00:00"/>
    <m/>
    <d v="2026-07-27T00:00:00"/>
    <n v="-30000"/>
    <x v="0"/>
    <s v="59"/>
    <s v="ต้นทุนขาย"/>
    <m/>
    <n v="169.82000000000002"/>
    <e v="#N/A"/>
    <e v="#N/A"/>
  </r>
  <r>
    <x v="6"/>
    <x v="6"/>
    <s v="0328"/>
    <x v="2"/>
    <s v="GD goods issue:delvy"/>
    <s v="4917312568"/>
    <s v="P004"/>
    <x v="10"/>
    <x v="0"/>
    <s v="14:31:15"/>
    <s v="SONGPCHI"/>
    <s v="0001"/>
    <s v=""/>
    <s v="0000"/>
    <s v=""/>
    <s v="0000000000"/>
    <s v=""/>
    <s v=""/>
    <s v=""/>
    <s v="51003100"/>
    <s v=""/>
    <s v=""/>
    <s v=""/>
    <s v="2000126576"/>
    <m/>
    <x v="2"/>
    <n v="-2"/>
    <n v="-339.64"/>
    <d v="2026-07-27T00:00:00"/>
    <d v="2026-07-27T00:00:00"/>
    <m/>
    <d v="2026-07-27T00:00:00"/>
    <n v="-1000"/>
    <x v="0"/>
    <s v="59"/>
    <s v="ต้นทุนขาย"/>
    <m/>
    <n v="169.82"/>
    <e v="#N/A"/>
    <e v="#N/A"/>
  </r>
  <r>
    <x v="6"/>
    <x v="6"/>
    <s v="0328"/>
    <x v="2"/>
    <s v="GD goods issue:delvy"/>
    <s v="4917321058"/>
    <s v="P004"/>
    <x v="10"/>
    <x v="0"/>
    <s v="15:03:02"/>
    <s v="SONGPCHI"/>
    <s v="0001"/>
    <s v=""/>
    <s v="0000"/>
    <s v=""/>
    <s v="0000000000"/>
    <s v=""/>
    <s v=""/>
    <s v=""/>
    <s v="51003100"/>
    <s v=""/>
    <s v=""/>
    <s v=""/>
    <s v="2000126582"/>
    <m/>
    <x v="2"/>
    <n v="-8"/>
    <n v="-1358.56"/>
    <d v="2026-07-27T00:00:00"/>
    <d v="2026-07-27T00:00:00"/>
    <m/>
    <d v="2026-07-27T00:00:00"/>
    <n v="-4000"/>
    <x v="0"/>
    <s v="59"/>
    <s v="ต้นทุนขาย"/>
    <m/>
    <n v="169.82"/>
    <e v="#N/A"/>
    <e v="#N/A"/>
  </r>
  <r>
    <x v="18"/>
    <x v="18"/>
    <s v="0328"/>
    <x v="4"/>
    <s v="GI for order"/>
    <s v="4917322271"/>
    <s v="P002"/>
    <x v="95"/>
    <x v="64"/>
    <s v="15:23:34"/>
    <s v="JURASDOK"/>
    <s v="0002"/>
    <s v=""/>
    <s v="0000"/>
    <s v=""/>
    <s v="0151653111"/>
    <s v=""/>
    <s v=""/>
    <s v=""/>
    <s v="53001003"/>
    <s v=""/>
    <s v=""/>
    <s v=""/>
    <s v=""/>
    <m/>
    <x v="3"/>
    <n v="-8064.3"/>
    <n v="-2184135.0099999998"/>
    <d v="2026-07-27T00:00:00"/>
    <d v="2026-07-18T00:00:00"/>
    <m/>
    <d v="2026-07-27T00:00:00"/>
    <n v="-8064300"/>
    <x v="4"/>
    <s v="57"/>
    <s v="ต้นทุนผลิตกึ่งสำเร็จ"/>
    <m/>
    <n v="270.83999975199333"/>
    <e v="#N/A"/>
    <e v="#N/A"/>
  </r>
  <r>
    <x v="19"/>
    <x v="19"/>
    <s v="0328"/>
    <x v="4"/>
    <s v="GI for order"/>
    <s v="4917322271"/>
    <s v="P002"/>
    <x v="8"/>
    <x v="64"/>
    <s v="15:23:34"/>
    <s v="JURASDOK"/>
    <s v="0003"/>
    <s v=""/>
    <s v="0000"/>
    <s v=""/>
    <s v="0151653111"/>
    <s v=""/>
    <s v=""/>
    <s v=""/>
    <s v="53001003"/>
    <s v=""/>
    <s v=""/>
    <s v=""/>
    <s v=""/>
    <m/>
    <x v="3"/>
    <n v="-2016.56"/>
    <n v="-322508.44"/>
    <d v="2026-07-27T00:00:00"/>
    <d v="2026-07-18T00:00:00"/>
    <m/>
    <d v="2026-07-27T00:00:00"/>
    <n v="-2016560"/>
    <x v="4"/>
    <s v="57"/>
    <s v="ต้นทุนผลิตกึ่งสำเร็จ"/>
    <m/>
    <n v="159.92999960328481"/>
    <e v="#N/A"/>
    <e v="#N/A"/>
  </r>
  <r>
    <x v="23"/>
    <x v="23"/>
    <s v="0328"/>
    <x v="5"/>
    <s v="GR for order"/>
    <s v="4917322271"/>
    <s v="P003"/>
    <x v="97"/>
    <x v="64"/>
    <s v="15:23:34"/>
    <s v="JURASDOK"/>
    <s v="0001"/>
    <s v=""/>
    <s v="0000"/>
    <s v=""/>
    <s v="0000000000"/>
    <s v=""/>
    <s v=""/>
    <s v=""/>
    <s v="53001004"/>
    <s v=""/>
    <s v=""/>
    <s v=""/>
    <s v=""/>
    <m/>
    <x v="3"/>
    <n v="8104.02"/>
    <n v="2634941.06"/>
    <d v="2026-07-27T00:00:00"/>
    <d v="2026-07-18T00:00:00"/>
    <m/>
    <d v="2026-07-27T00:00:00"/>
    <n v="8104020"/>
    <x v="4"/>
    <s v="57"/>
    <s v="ต้นทุนผลิตโอน Semi"/>
    <m/>
    <n v="325.13999965449244"/>
    <e v="#N/A"/>
    <e v="#N/A"/>
  </r>
  <r>
    <x v="18"/>
    <x v="18"/>
    <s v="0328"/>
    <x v="4"/>
    <s v="GI for order"/>
    <s v="4917322414"/>
    <s v="P002"/>
    <x v="95"/>
    <x v="65"/>
    <s v="15:26:42"/>
    <s v="JURASDOK"/>
    <s v="0002"/>
    <s v=""/>
    <s v="0000"/>
    <s v=""/>
    <s v="0151922367"/>
    <s v=""/>
    <s v=""/>
    <s v=""/>
    <s v="53001003"/>
    <s v=""/>
    <s v=""/>
    <s v=""/>
    <s v=""/>
    <m/>
    <x v="3"/>
    <n v="-8834"/>
    <n v="-2392600.56"/>
    <d v="2026-07-27T00:00:00"/>
    <d v="2026-07-20T00:00:00"/>
    <m/>
    <d v="2026-07-27T00:00:00"/>
    <n v="-8834000"/>
    <x v="4"/>
    <s v="57"/>
    <s v="ต้นทุนผลิตกึ่งสำเร็จ"/>
    <m/>
    <n v="270.84000000000003"/>
    <e v="#N/A"/>
    <e v="#N/A"/>
  </r>
  <r>
    <x v="19"/>
    <x v="19"/>
    <s v="0328"/>
    <x v="4"/>
    <s v="GI for order"/>
    <s v="4917322414"/>
    <s v="P002"/>
    <x v="8"/>
    <x v="65"/>
    <s v="15:26:42"/>
    <s v="JURASDOK"/>
    <s v="0003"/>
    <s v=""/>
    <s v="0000"/>
    <s v=""/>
    <s v="0151922367"/>
    <s v=""/>
    <s v=""/>
    <s v=""/>
    <s v="53001003"/>
    <s v=""/>
    <s v=""/>
    <s v=""/>
    <s v=""/>
    <m/>
    <x v="3"/>
    <n v="-2211.7199999999998"/>
    <n v="-353720.38"/>
    <d v="2026-07-27T00:00:00"/>
    <d v="2026-07-20T00:00:00"/>
    <m/>
    <d v="2026-07-27T00:00:00"/>
    <n v="-2211720"/>
    <x v="4"/>
    <s v="57"/>
    <s v="ต้นทุนผลิตกึ่งสำเร็จ"/>
    <m/>
    <n v="159.93000018085473"/>
    <e v="#N/A"/>
    <e v="#N/A"/>
  </r>
  <r>
    <x v="23"/>
    <x v="23"/>
    <s v="0328"/>
    <x v="5"/>
    <s v="GR for order"/>
    <s v="4917322414"/>
    <s v="P003"/>
    <x v="98"/>
    <x v="65"/>
    <s v="15:26:42"/>
    <s v="JURASDOK"/>
    <s v="0001"/>
    <s v=""/>
    <s v="0000"/>
    <s v=""/>
    <s v="0000000000"/>
    <s v=""/>
    <s v=""/>
    <s v=""/>
    <s v="53001004"/>
    <s v=""/>
    <s v=""/>
    <s v=""/>
    <s v=""/>
    <m/>
    <x v="3"/>
    <n v="8882"/>
    <n v="2887893.48"/>
    <d v="2026-07-27T00:00:00"/>
    <d v="2026-07-20T00:00:00"/>
    <m/>
    <d v="2026-07-27T00:00:00"/>
    <n v="8882000"/>
    <x v="4"/>
    <s v="57"/>
    <s v="ต้นทุนผลิตโอน Semi"/>
    <m/>
    <n v="325.14"/>
    <e v="#N/A"/>
    <e v="#N/A"/>
  </r>
  <r>
    <x v="18"/>
    <x v="18"/>
    <s v="0328"/>
    <x v="4"/>
    <s v="GI for order"/>
    <s v="4917322698"/>
    <s v="P002"/>
    <x v="95"/>
    <x v="66"/>
    <s v="15:31:27"/>
    <s v="JURASDOK"/>
    <s v="0002"/>
    <s v=""/>
    <s v="0000"/>
    <s v=""/>
    <s v="0151922520"/>
    <s v=""/>
    <s v=""/>
    <s v=""/>
    <s v="53001003"/>
    <s v=""/>
    <s v=""/>
    <s v=""/>
    <s v=""/>
    <m/>
    <x v="3"/>
    <n v="-10368.1"/>
    <n v="-2808096.21"/>
    <d v="2026-07-27T00:00:00"/>
    <d v="2026-07-21T00:00:00"/>
    <m/>
    <d v="2026-07-27T00:00:00"/>
    <n v="-10368100"/>
    <x v="4"/>
    <s v="57"/>
    <s v="ต้นทุนผลิตกึ่งสำเร็จ"/>
    <m/>
    <n v="270.8400005786981"/>
    <e v="#N/A"/>
    <e v="#N/A"/>
  </r>
  <r>
    <x v="19"/>
    <x v="19"/>
    <s v="0328"/>
    <x v="4"/>
    <s v="GI for order"/>
    <s v="4917322698"/>
    <s v="P002"/>
    <x v="8"/>
    <x v="66"/>
    <s v="15:31:27"/>
    <s v="JURASDOK"/>
    <s v="0003"/>
    <s v=""/>
    <s v="0000"/>
    <s v=""/>
    <s v="0151922520"/>
    <s v=""/>
    <s v=""/>
    <s v=""/>
    <s v="53001003"/>
    <s v=""/>
    <s v=""/>
    <s v=""/>
    <s v=""/>
    <m/>
    <x v="3"/>
    <n v="-2594.54"/>
    <n v="-414944.78"/>
    <d v="2026-07-27T00:00:00"/>
    <d v="2026-07-21T00:00:00"/>
    <m/>
    <d v="2026-07-27T00:00:00"/>
    <n v="-2594540"/>
    <x v="4"/>
    <s v="57"/>
    <s v="ต้นทุนผลิตกึ่งสำเร็จ"/>
    <m/>
    <n v="159.92999915206551"/>
    <e v="#N/A"/>
    <e v="#N/A"/>
  </r>
  <r>
    <x v="23"/>
    <x v="23"/>
    <s v="0328"/>
    <x v="5"/>
    <s v="GR for order"/>
    <s v="4917322698"/>
    <s v="P003"/>
    <x v="99"/>
    <x v="66"/>
    <s v="15:31:27"/>
    <s v="JURASDOK"/>
    <s v="0001"/>
    <s v=""/>
    <s v="0000"/>
    <s v=""/>
    <s v="0000000000"/>
    <s v=""/>
    <s v=""/>
    <s v=""/>
    <s v="53001004"/>
    <s v=""/>
    <s v=""/>
    <s v=""/>
    <s v=""/>
    <m/>
    <x v="3"/>
    <n v="10426.379999999999"/>
    <n v="3390033.19"/>
    <d v="2026-07-27T00:00:00"/>
    <d v="2026-07-21T00:00:00"/>
    <m/>
    <d v="2026-07-27T00:00:00"/>
    <n v="10426380"/>
    <x v="4"/>
    <s v="57"/>
    <s v="ต้นทุนผลิตโอน Semi"/>
    <m/>
    <n v="325.13999969308622"/>
    <e v="#N/A"/>
    <e v="#N/A"/>
  </r>
  <r>
    <x v="18"/>
    <x v="18"/>
    <s v="0328"/>
    <x v="4"/>
    <s v="GI for order"/>
    <s v="4917323256"/>
    <s v="P002"/>
    <x v="96"/>
    <x v="67"/>
    <s v="15:40:45"/>
    <s v="JURASDOK"/>
    <s v="0004"/>
    <s v=""/>
    <s v="0000"/>
    <s v=""/>
    <s v="0000000000"/>
    <s v=""/>
    <s v="เมล็ดกาแฟ Clean Arabica Size L"/>
    <s v=""/>
    <s v="53001003"/>
    <s v=""/>
    <s v=""/>
    <s v=""/>
    <s v=""/>
    <m/>
    <x v="3"/>
    <n v="-7839.9"/>
    <n v="-2123358.52"/>
    <d v="2026-07-27T00:00:00"/>
    <d v="2026-07-22T00:00:00"/>
    <m/>
    <d v="2026-07-27T00:00:00"/>
    <n v="-7839900"/>
    <x v="4"/>
    <s v="57"/>
    <s v="ต้นทุนผลิตกึ่งสำเร็จ"/>
    <m/>
    <n v="270.84000051021059"/>
    <e v="#N/A"/>
    <e v="#N/A"/>
  </r>
  <r>
    <x v="18"/>
    <x v="18"/>
    <s v="0328"/>
    <x v="4"/>
    <s v="GI for order"/>
    <s v="4917323256"/>
    <s v="P002"/>
    <x v="95"/>
    <x v="67"/>
    <s v="15:40:45"/>
    <s v="JURASDOK"/>
    <s v="0002"/>
    <s v=""/>
    <s v="0000"/>
    <s v=""/>
    <s v="0151922541"/>
    <s v=""/>
    <s v=""/>
    <s v=""/>
    <s v="53001003"/>
    <s v=""/>
    <s v=""/>
    <s v=""/>
    <s v=""/>
    <m/>
    <x v="3"/>
    <n v="-2720.6"/>
    <n v="-736847.3"/>
    <d v="2026-07-27T00:00:00"/>
    <d v="2026-07-22T00:00:00"/>
    <m/>
    <d v="2026-07-27T00:00:00"/>
    <n v="-2720600"/>
    <x v="4"/>
    <s v="57"/>
    <s v="ต้นทุนผลิตกึ่งสำเร็จ"/>
    <m/>
    <n v="270.83999852973614"/>
    <e v="#N/A"/>
    <e v="#N/A"/>
  </r>
  <r>
    <x v="19"/>
    <x v="19"/>
    <s v="0328"/>
    <x v="4"/>
    <s v="GI for order"/>
    <s v="4917323256"/>
    <s v="P002"/>
    <x v="8"/>
    <x v="67"/>
    <s v="15:40:45"/>
    <s v="JURASDOK"/>
    <s v="0003"/>
    <s v=""/>
    <s v="0000"/>
    <s v=""/>
    <s v="0151922541"/>
    <s v=""/>
    <s v=""/>
    <s v=""/>
    <s v="53001003"/>
    <s v=""/>
    <s v=""/>
    <s v=""/>
    <s v=""/>
    <m/>
    <x v="3"/>
    <n v="-2642.4"/>
    <n v="-422599.03"/>
    <d v="2026-07-27T00:00:00"/>
    <d v="2026-07-22T00:00:00"/>
    <m/>
    <d v="2026-07-27T00:00:00"/>
    <n v="-2642400"/>
    <x v="4"/>
    <s v="57"/>
    <s v="ต้นทุนผลิตกึ่งสำเร็จ"/>
    <m/>
    <n v="159.92999924311232"/>
    <e v="#N/A"/>
    <e v="#N/A"/>
  </r>
  <r>
    <x v="23"/>
    <x v="23"/>
    <s v="0328"/>
    <x v="5"/>
    <s v="GR for order"/>
    <s v="4917323256"/>
    <s v="P003"/>
    <x v="100"/>
    <x v="67"/>
    <s v="15:40:45"/>
    <s v="JURASDOK"/>
    <s v="0001"/>
    <s v=""/>
    <s v="0000"/>
    <s v=""/>
    <s v="0000000000"/>
    <s v=""/>
    <s v=""/>
    <s v=""/>
    <s v="53001004"/>
    <s v=""/>
    <s v=""/>
    <s v=""/>
    <s v=""/>
    <m/>
    <x v="3"/>
    <n v="10625.78"/>
    <n v="3454866.11"/>
    <d v="2026-07-27T00:00:00"/>
    <d v="2026-07-22T00:00:00"/>
    <m/>
    <d v="2026-07-27T00:00:00"/>
    <n v="10625780"/>
    <x v="4"/>
    <s v="57"/>
    <s v="ต้นทุนผลิตโอน Semi"/>
    <m/>
    <n v="325.14000007528858"/>
    <e v="#N/A"/>
    <e v="#N/A"/>
  </r>
  <r>
    <x v="18"/>
    <x v="18"/>
    <s v="0328"/>
    <x v="4"/>
    <s v="GI for order"/>
    <s v="4917323382"/>
    <s v="P002"/>
    <x v="96"/>
    <x v="68"/>
    <s v="15:43:05"/>
    <s v="JURASDOK"/>
    <s v="0002"/>
    <s v=""/>
    <s v="0000"/>
    <s v=""/>
    <s v="0151922723"/>
    <s v=""/>
    <s v=""/>
    <s v=""/>
    <s v="53001003"/>
    <s v=""/>
    <s v=""/>
    <s v=""/>
    <s v=""/>
    <m/>
    <x v="3"/>
    <n v="-9792.7999999999993"/>
    <n v="-2652281.9500000002"/>
    <d v="2026-07-27T00:00:00"/>
    <d v="2026-07-23T00:00:00"/>
    <m/>
    <d v="2026-07-27T00:00:00"/>
    <n v="-9792800"/>
    <x v="4"/>
    <s v="57"/>
    <s v="ต้นทุนผลิตกึ่งสำเร็จ"/>
    <m/>
    <n v="270.83999979576834"/>
    <e v="#N/A"/>
    <e v="#N/A"/>
  </r>
  <r>
    <x v="19"/>
    <x v="19"/>
    <s v="0328"/>
    <x v="4"/>
    <s v="GI for order"/>
    <s v="4917323382"/>
    <s v="P002"/>
    <x v="8"/>
    <x v="68"/>
    <s v="15:43:05"/>
    <s v="JURASDOK"/>
    <s v="0003"/>
    <s v=""/>
    <s v="0000"/>
    <s v=""/>
    <s v="0151922723"/>
    <s v=""/>
    <s v=""/>
    <s v=""/>
    <s v="53001003"/>
    <s v=""/>
    <s v=""/>
    <s v=""/>
    <s v=""/>
    <m/>
    <x v="3"/>
    <n v="-2460.6"/>
    <n v="-393523.76"/>
    <d v="2026-07-27T00:00:00"/>
    <d v="2026-07-23T00:00:00"/>
    <m/>
    <d v="2026-07-27T00:00:00"/>
    <n v="-2460600"/>
    <x v="4"/>
    <s v="57"/>
    <s v="ต้นทุนผลิตกึ่งสำเร็จ"/>
    <m/>
    <n v="159.93000081280988"/>
    <e v="#N/A"/>
    <e v="#N/A"/>
  </r>
  <r>
    <x v="23"/>
    <x v="23"/>
    <s v="0328"/>
    <x v="5"/>
    <s v="GR for order"/>
    <s v="4917323382"/>
    <s v="P003"/>
    <x v="101"/>
    <x v="68"/>
    <s v="15:43:05"/>
    <s v="JURASDOK"/>
    <s v="0001"/>
    <s v=""/>
    <s v="0000"/>
    <s v=""/>
    <s v="0000000000"/>
    <s v=""/>
    <s v=""/>
    <s v=""/>
    <s v="53001004"/>
    <s v=""/>
    <s v=""/>
    <s v=""/>
    <s v=""/>
    <m/>
    <x v="3"/>
    <n v="9836.16"/>
    <n v="3198129.06"/>
    <d v="2026-07-27T00:00:00"/>
    <d v="2026-07-23T00:00:00"/>
    <m/>
    <d v="2026-07-27T00:00:00"/>
    <n v="9836160"/>
    <x v="4"/>
    <s v="57"/>
    <s v="ต้นทุนผลิตโอน Semi"/>
    <m/>
    <n v="325.13999975600234"/>
    <e v="#N/A"/>
    <e v="#N/A"/>
  </r>
  <r>
    <x v="6"/>
    <x v="6"/>
    <s v="0328"/>
    <x v="2"/>
    <s v="GD goods issue:delvy"/>
    <s v="4917323431"/>
    <s v="P004"/>
    <x v="10"/>
    <x v="0"/>
    <s v="15:43:40"/>
    <s v="SONGPCHI"/>
    <s v="0001"/>
    <s v=""/>
    <s v="0000"/>
    <s v=""/>
    <s v="0000000000"/>
    <s v=""/>
    <s v=""/>
    <s v=""/>
    <s v="51003100"/>
    <s v=""/>
    <s v=""/>
    <s v=""/>
    <s v="2000126589"/>
    <m/>
    <x v="2"/>
    <n v="-2"/>
    <n v="-339.64"/>
    <d v="2026-07-27T00:00:00"/>
    <d v="2026-07-27T00:00:00"/>
    <m/>
    <d v="2026-07-27T00:00:00"/>
    <n v="-1000"/>
    <x v="0"/>
    <s v="59"/>
    <s v="ต้นทุนขาย"/>
    <m/>
    <n v="169.82"/>
    <e v="#N/A"/>
    <e v="#N/A"/>
  </r>
  <r>
    <x v="6"/>
    <x v="6"/>
    <s v="0328"/>
    <x v="12"/>
    <s v="GD Goods deliv. rev."/>
    <s v="4917324058"/>
    <s v="P004"/>
    <x v="10"/>
    <x v="0"/>
    <s v="15:56:50"/>
    <s v="SONGPCHI"/>
    <s v="0001"/>
    <s v=""/>
    <s v="0000"/>
    <s v=""/>
    <s v="0000000000"/>
    <s v=""/>
    <s v=""/>
    <s v=""/>
    <s v="51003100"/>
    <s v=""/>
    <s v=""/>
    <s v=""/>
    <s v="2000126589"/>
    <m/>
    <x v="2"/>
    <n v="2"/>
    <n v="339.64"/>
    <d v="2026-07-27T00:00:00"/>
    <d v="2026-07-27T00:00:00"/>
    <m/>
    <d v="2026-07-27T00:00:00"/>
    <n v="1000"/>
    <x v="0"/>
    <s v="59"/>
    <s v="ต้นทุนขาย"/>
    <m/>
    <n v="169.82"/>
    <e v="#N/A"/>
    <e v="#N/A"/>
  </r>
  <r>
    <x v="18"/>
    <x v="18"/>
    <s v="0328"/>
    <x v="4"/>
    <s v="GI for order"/>
    <s v="4917324261"/>
    <s v="P002"/>
    <x v="96"/>
    <x v="69"/>
    <s v="15:59:40"/>
    <s v="JURASDOK"/>
    <s v="0002"/>
    <s v=""/>
    <s v="0000"/>
    <s v=""/>
    <s v="0151922841"/>
    <s v=""/>
    <s v=""/>
    <s v=""/>
    <s v="53001003"/>
    <s v=""/>
    <s v=""/>
    <s v=""/>
    <s v=""/>
    <m/>
    <x v="3"/>
    <n v="-10176.799999999999"/>
    <n v="-2756284.51"/>
    <d v="2026-07-27T00:00:00"/>
    <d v="2026-07-24T00:00:00"/>
    <m/>
    <d v="2026-07-27T00:00:00"/>
    <n v="-10176800"/>
    <x v="4"/>
    <s v="57"/>
    <s v="ต้นทุนผลิตกึ่งสำเร็จ"/>
    <m/>
    <n v="270.83999980347454"/>
    <e v="#N/A"/>
    <e v="#N/A"/>
  </r>
  <r>
    <x v="19"/>
    <x v="19"/>
    <s v="0328"/>
    <x v="4"/>
    <s v="GI for order"/>
    <s v="4917324261"/>
    <s v="P002"/>
    <x v="8"/>
    <x v="69"/>
    <s v="15:59:40"/>
    <s v="JURASDOK"/>
    <s v="0003"/>
    <s v=""/>
    <s v="0000"/>
    <s v=""/>
    <s v="0151922841"/>
    <s v=""/>
    <s v=""/>
    <s v=""/>
    <s v="53001003"/>
    <s v=""/>
    <s v=""/>
    <s v=""/>
    <s v=""/>
    <m/>
    <x v="3"/>
    <n v="-2566.64"/>
    <n v="-410482.74"/>
    <d v="2026-07-27T00:00:00"/>
    <d v="2026-07-24T00:00:00"/>
    <m/>
    <d v="2026-07-27T00:00:00"/>
    <n v="-2566640"/>
    <x v="4"/>
    <s v="57"/>
    <s v="ต้นทุนผลิตกึ่งสำเร็จ"/>
    <m/>
    <n v="159.93000187014931"/>
    <e v="#N/A"/>
    <e v="#N/A"/>
  </r>
  <r>
    <x v="23"/>
    <x v="23"/>
    <s v="0328"/>
    <x v="5"/>
    <s v="GR for order"/>
    <s v="4917324261"/>
    <s v="P003"/>
    <x v="102"/>
    <x v="69"/>
    <s v="15:59:40"/>
    <s v="JURASDOK"/>
    <s v="0001"/>
    <s v=""/>
    <s v="0000"/>
    <s v=""/>
    <s v="0000000000"/>
    <s v=""/>
    <s v=""/>
    <s v=""/>
    <s v="53001004"/>
    <s v=""/>
    <s v=""/>
    <s v=""/>
    <s v=""/>
    <m/>
    <x v="3"/>
    <n v="10220.91"/>
    <n v="3323226.68"/>
    <d v="2026-07-27T00:00:00"/>
    <d v="2026-07-24T00:00:00"/>
    <m/>
    <d v="2026-07-27T00:00:00"/>
    <n v="10220910"/>
    <x v="4"/>
    <s v="57"/>
    <s v="ต้นทุนผลิตโอน Semi"/>
    <m/>
    <n v="325.14000025438048"/>
    <e v="#N/A"/>
    <e v="#N/A"/>
  </r>
  <r>
    <x v="23"/>
    <x v="23"/>
    <s v="0328"/>
    <x v="4"/>
    <s v="GI for order"/>
    <s v="4917324406"/>
    <s v="P003"/>
    <x v="97"/>
    <x v="70"/>
    <s v="16:03:11"/>
    <s v="JURASDOK"/>
    <s v="0002"/>
    <s v=""/>
    <s v="0000"/>
    <s v=""/>
    <s v="0151924083"/>
    <s v=""/>
    <s v=""/>
    <s v=""/>
    <s v="53001003"/>
    <s v=""/>
    <s v=""/>
    <s v=""/>
    <s v=""/>
    <m/>
    <x v="3"/>
    <n v="-8104.02"/>
    <n v="-2634941.06"/>
    <d v="2026-07-27T00:00:00"/>
    <d v="2026-07-18T00:00:00"/>
    <m/>
    <d v="2026-07-27T00:00:00"/>
    <n v="-8104020"/>
    <x v="2"/>
    <s v="57"/>
    <s v="ต้นทุนผลิตกึ่งสำเร็จ"/>
    <m/>
    <n v="325.13999965449244"/>
    <e v="#N/A"/>
    <e v="#N/A"/>
  </r>
  <r>
    <x v="11"/>
    <x v="11"/>
    <s v="0328"/>
    <x v="4"/>
    <s v="GI for order"/>
    <s v="4917324406"/>
    <s v="P003"/>
    <x v="20"/>
    <x v="70"/>
    <s v="16:03:11"/>
    <s v="JURASDOK"/>
    <s v="0003"/>
    <s v=""/>
    <s v="0000"/>
    <s v=""/>
    <s v="0151924083"/>
    <s v=""/>
    <s v=""/>
    <s v=""/>
    <s v="53003000"/>
    <s v=""/>
    <s v=""/>
    <s v=""/>
    <s v=""/>
    <m/>
    <x v="0"/>
    <n v="-16654"/>
    <n v="-14085.42"/>
    <d v="2026-07-27T00:00:00"/>
    <d v="2026-07-18T00:00:00"/>
    <m/>
    <d v="2026-07-27T00:00:00"/>
    <n v="-16654"/>
    <x v="2"/>
    <s v="58"/>
    <s v="ต้นทุนผลิตหีบห่อ"/>
    <m/>
    <n v="0.84576798366758732"/>
    <e v="#N/A"/>
    <e v="#N/A"/>
  </r>
  <r>
    <x v="12"/>
    <x v="12"/>
    <s v="0328"/>
    <x v="4"/>
    <s v="GI for order"/>
    <s v="4917324406"/>
    <s v="P003"/>
    <x v="1"/>
    <x v="70"/>
    <s v="16:03:11"/>
    <s v="JURASDOK"/>
    <s v="0004"/>
    <s v=""/>
    <s v="0000"/>
    <s v=""/>
    <s v="0151924083"/>
    <s v=""/>
    <s v=""/>
    <s v=""/>
    <s v="53003000"/>
    <s v=""/>
    <s v=""/>
    <s v=""/>
    <s v=""/>
    <m/>
    <x v="0"/>
    <n v="-16654"/>
    <n v="-34698.39"/>
    <d v="2026-07-27T00:00:00"/>
    <d v="2026-07-18T00:00:00"/>
    <m/>
    <d v="2026-07-27T00:00:00"/>
    <n v="-16654"/>
    <x v="2"/>
    <s v="58"/>
    <s v="ต้นทุนผลิตหีบห่อ"/>
    <m/>
    <n v="2.0834868500060044"/>
    <e v="#N/A"/>
    <e v="#N/A"/>
  </r>
  <r>
    <x v="13"/>
    <x v="13"/>
    <s v="0328"/>
    <x v="4"/>
    <s v="GI for order"/>
    <s v="4917324406"/>
    <s v="P003"/>
    <x v="65"/>
    <x v="70"/>
    <s v="16:03:11"/>
    <s v="JURASDOK"/>
    <s v="0005"/>
    <s v=""/>
    <s v="0000"/>
    <s v=""/>
    <s v="0151924083"/>
    <s v=""/>
    <s v=""/>
    <s v=""/>
    <s v="53003000"/>
    <s v=""/>
    <s v=""/>
    <s v=""/>
    <s v=""/>
    <m/>
    <x v="0"/>
    <n v="-2714"/>
    <n v="-13570"/>
    <d v="2026-07-27T00:00:00"/>
    <d v="2026-07-18T00:00:00"/>
    <m/>
    <d v="2026-07-27T00:00:00"/>
    <n v="-2714"/>
    <x v="2"/>
    <s v="58"/>
    <s v="ต้นทุนผลิตหีบห่อ"/>
    <m/>
    <n v="5"/>
    <e v="#N/A"/>
    <e v="#N/A"/>
  </r>
  <r>
    <x v="5"/>
    <x v="5"/>
    <s v="0328"/>
    <x v="5"/>
    <s v="GR for order"/>
    <s v="4917324406"/>
    <s v="M001"/>
    <x v="103"/>
    <x v="70"/>
    <s v="16:03:11"/>
    <s v="JURASDOK"/>
    <s v="0001"/>
    <s v=""/>
    <s v="0000"/>
    <s v=""/>
    <s v="0000000000"/>
    <s v=""/>
    <s v=""/>
    <s v=""/>
    <s v="53001001"/>
    <s v=""/>
    <s v=""/>
    <s v=""/>
    <s v=""/>
    <m/>
    <x v="2"/>
    <n v="16192"/>
    <n v="2750373.12"/>
    <d v="2026-07-27T00:00:00"/>
    <d v="2026-07-18T00:00:00"/>
    <m/>
    <d v="2026-07-27T00:00:00"/>
    <n v="8096000"/>
    <x v="2"/>
    <s v="59"/>
    <s v="ต้นทุนผลิตโอน F/G"/>
    <m/>
    <n v="169.86"/>
    <e v="#N/A"/>
    <e v="#N/A"/>
  </r>
  <r>
    <x v="23"/>
    <x v="23"/>
    <s v="0328"/>
    <x v="4"/>
    <s v="GI for order"/>
    <s v="4917324701"/>
    <s v="P003"/>
    <x v="98"/>
    <x v="71"/>
    <s v="16:06:51"/>
    <s v="JURASDOK"/>
    <s v="0002"/>
    <s v=""/>
    <s v="0000"/>
    <s v=""/>
    <s v="0151924802"/>
    <s v=""/>
    <s v=""/>
    <s v=""/>
    <s v="53001003"/>
    <s v=""/>
    <s v=""/>
    <s v=""/>
    <s v=""/>
    <m/>
    <x v="3"/>
    <n v="-8882"/>
    <n v="-2887893.48"/>
    <d v="2026-07-27T00:00:00"/>
    <d v="2026-07-20T00:00:00"/>
    <m/>
    <d v="2026-07-27T00:00:00"/>
    <n v="-8882000"/>
    <x v="2"/>
    <s v="57"/>
    <s v="ต้นทุนผลิตกึ่งสำเร็จ"/>
    <m/>
    <n v="325.14"/>
    <e v="#N/A"/>
    <e v="#N/A"/>
  </r>
  <r>
    <x v="11"/>
    <x v="11"/>
    <s v="0328"/>
    <x v="4"/>
    <s v="GI for order"/>
    <s v="4917324701"/>
    <s v="P003"/>
    <x v="14"/>
    <x v="71"/>
    <s v="16:06:51"/>
    <s v="JURASDOK"/>
    <s v="0006"/>
    <s v=""/>
    <s v="0000"/>
    <s v=""/>
    <s v="0000000000"/>
    <s v=""/>
    <s v="WIPF WICOVALVE W009"/>
    <s v=""/>
    <s v="53003000"/>
    <s v=""/>
    <s v=""/>
    <s v=""/>
    <s v=""/>
    <m/>
    <x v="0"/>
    <n v="-14640"/>
    <n v="-12382.04"/>
    <d v="2026-07-27T00:00:00"/>
    <d v="2026-07-20T00:00:00"/>
    <m/>
    <d v="2026-07-27T00:00:00"/>
    <n v="-14640"/>
    <x v="2"/>
    <s v="58"/>
    <s v="ต้นทุนผลิตหีบห่อ"/>
    <m/>
    <n v="0.84576775956284156"/>
    <e v="#N/A"/>
    <e v="#N/A"/>
  </r>
  <r>
    <x v="11"/>
    <x v="11"/>
    <s v="0328"/>
    <x v="4"/>
    <s v="GI for order"/>
    <s v="4917324701"/>
    <s v="P003"/>
    <x v="20"/>
    <x v="71"/>
    <s v="16:06:51"/>
    <s v="JURASDOK"/>
    <s v="0003"/>
    <s v=""/>
    <s v="0000"/>
    <s v=""/>
    <s v="0151924802"/>
    <s v=""/>
    <s v=""/>
    <s v=""/>
    <s v="53003000"/>
    <s v=""/>
    <s v=""/>
    <s v=""/>
    <s v=""/>
    <m/>
    <x v="0"/>
    <n v="-3346"/>
    <n v="-2829.94"/>
    <d v="2026-07-27T00:00:00"/>
    <d v="2026-07-20T00:00:00"/>
    <m/>
    <d v="2026-07-27T00:00:00"/>
    <n v="-3346"/>
    <x v="2"/>
    <s v="58"/>
    <s v="ต้นทุนผลิตหีบห่อ"/>
    <m/>
    <n v="0.84576808129109382"/>
    <e v="#N/A"/>
    <e v="#N/A"/>
  </r>
  <r>
    <x v="12"/>
    <x v="12"/>
    <s v="0328"/>
    <x v="4"/>
    <s v="GI for order"/>
    <s v="4917324701"/>
    <s v="P003"/>
    <x v="1"/>
    <x v="71"/>
    <s v="16:06:51"/>
    <s v="JURASDOK"/>
    <s v="0004"/>
    <s v=""/>
    <s v="0000"/>
    <s v=""/>
    <s v="0151924802"/>
    <s v=""/>
    <s v=""/>
    <s v=""/>
    <s v="53003000"/>
    <s v=""/>
    <s v=""/>
    <s v=""/>
    <s v=""/>
    <m/>
    <x v="0"/>
    <n v="-17986"/>
    <n v="-37473.599999999999"/>
    <d v="2026-07-27T00:00:00"/>
    <d v="2026-07-20T00:00:00"/>
    <m/>
    <d v="2026-07-27T00:00:00"/>
    <n v="-17986"/>
    <x v="2"/>
    <s v="58"/>
    <s v="ต้นทุนผลิตหีบห่อ"/>
    <m/>
    <n v="2.0834871566774158"/>
    <e v="#N/A"/>
    <e v="#N/A"/>
  </r>
  <r>
    <x v="13"/>
    <x v="13"/>
    <s v="0328"/>
    <x v="4"/>
    <s v="GI for order"/>
    <s v="4917324701"/>
    <s v="P003"/>
    <x v="65"/>
    <x v="71"/>
    <s v="16:06:51"/>
    <s v="JURASDOK"/>
    <s v="0005"/>
    <s v=""/>
    <s v="0000"/>
    <s v=""/>
    <s v="0151924802"/>
    <s v=""/>
    <s v=""/>
    <s v=""/>
    <s v="53003000"/>
    <s v=""/>
    <s v=""/>
    <s v=""/>
    <s v=""/>
    <m/>
    <x v="0"/>
    <n v="-2978"/>
    <n v="-14890"/>
    <d v="2026-07-27T00:00:00"/>
    <d v="2026-07-20T00:00:00"/>
    <m/>
    <d v="2026-07-27T00:00:00"/>
    <n v="-2978"/>
    <x v="2"/>
    <s v="58"/>
    <s v="ต้นทุนผลิตหีบห่อ"/>
    <m/>
    <n v="5"/>
    <e v="#N/A"/>
    <e v="#N/A"/>
  </r>
  <r>
    <x v="5"/>
    <x v="5"/>
    <s v="0328"/>
    <x v="5"/>
    <s v="GR for order"/>
    <s v="4917324701"/>
    <s v="M001"/>
    <x v="104"/>
    <x v="71"/>
    <s v="16:06:51"/>
    <s v="JURASDOK"/>
    <s v="0001"/>
    <s v=""/>
    <s v="0000"/>
    <s v=""/>
    <s v="0000000000"/>
    <s v=""/>
    <s v=""/>
    <s v=""/>
    <s v="53001001"/>
    <s v=""/>
    <s v=""/>
    <s v=""/>
    <s v=""/>
    <m/>
    <x v="2"/>
    <n v="17748"/>
    <n v="3014675.28"/>
    <d v="2026-07-27T00:00:00"/>
    <d v="2026-07-20T00:00:00"/>
    <m/>
    <d v="2026-07-27T00:00:00"/>
    <n v="8874000"/>
    <x v="2"/>
    <s v="59"/>
    <s v="ต้นทุนผลิตโอน F/G"/>
    <m/>
    <n v="169.85999999999999"/>
    <e v="#N/A"/>
    <e v="#N/A"/>
  </r>
  <r>
    <x v="6"/>
    <x v="6"/>
    <s v="0328"/>
    <x v="2"/>
    <s v="GD goods issue:delvy"/>
    <s v="4917325147"/>
    <s v="P004"/>
    <x v="10"/>
    <x v="0"/>
    <s v="16:16:02"/>
    <s v="SONGPCHI"/>
    <s v="0001"/>
    <s v=""/>
    <s v="0000"/>
    <s v=""/>
    <s v="0000000000"/>
    <s v=""/>
    <s v=""/>
    <s v=""/>
    <s v="51003100"/>
    <s v=""/>
    <s v=""/>
    <s v=""/>
    <s v="2000126592"/>
    <m/>
    <x v="2"/>
    <n v="-2"/>
    <n v="-339.64"/>
    <d v="2026-07-27T00:00:00"/>
    <d v="2026-07-27T00:00:00"/>
    <m/>
    <d v="2026-07-27T00:00:00"/>
    <n v="-1000"/>
    <x v="0"/>
    <s v="59"/>
    <s v="ต้นทุนขาย"/>
    <m/>
    <n v="169.82"/>
    <e v="#N/A"/>
    <e v="#N/A"/>
  </r>
  <r>
    <x v="23"/>
    <x v="23"/>
    <s v="0328"/>
    <x v="4"/>
    <s v="GI for order"/>
    <s v="4917325620"/>
    <s v="P003"/>
    <x v="99"/>
    <x v="72"/>
    <s v="16:27:18"/>
    <s v="JURASDOK"/>
    <s v="0002"/>
    <s v=""/>
    <s v="0000"/>
    <s v=""/>
    <s v="0151928566"/>
    <s v=""/>
    <s v=""/>
    <s v=""/>
    <s v="53001003"/>
    <s v=""/>
    <s v=""/>
    <s v=""/>
    <s v=""/>
    <m/>
    <x v="3"/>
    <n v="-10426.379999999999"/>
    <n v="-3390033.19"/>
    <d v="2026-07-27T00:00:00"/>
    <d v="2026-07-21T00:00:00"/>
    <m/>
    <d v="2026-07-27T00:00:00"/>
    <n v="-10426380"/>
    <x v="2"/>
    <s v="57"/>
    <s v="ต้นทุนผลิตกึ่งสำเร็จ"/>
    <m/>
    <n v="325.13999969308622"/>
    <e v="#N/A"/>
    <e v="#N/A"/>
  </r>
  <r>
    <x v="11"/>
    <x v="11"/>
    <s v="0328"/>
    <x v="4"/>
    <s v="GI for order"/>
    <s v="4917325620"/>
    <s v="P003"/>
    <x v="14"/>
    <x v="72"/>
    <s v="16:27:18"/>
    <s v="JURASDOK"/>
    <s v="0003"/>
    <s v=""/>
    <s v="0000"/>
    <s v=""/>
    <s v="0151928566"/>
    <s v=""/>
    <s v=""/>
    <s v=""/>
    <s v="53003000"/>
    <s v=""/>
    <s v=""/>
    <s v=""/>
    <s v=""/>
    <m/>
    <x v="0"/>
    <n v="-21093"/>
    <n v="-17839.78"/>
    <d v="2026-07-27T00:00:00"/>
    <d v="2026-07-21T00:00:00"/>
    <m/>
    <d v="2026-07-27T00:00:00"/>
    <n v="-21093"/>
    <x v="2"/>
    <s v="58"/>
    <s v="ต้นทุนผลิตหีบห่อ"/>
    <m/>
    <n v="0.84576779026217219"/>
    <e v="#N/A"/>
    <e v="#N/A"/>
  </r>
  <r>
    <x v="12"/>
    <x v="12"/>
    <s v="0328"/>
    <x v="4"/>
    <s v="GI for order"/>
    <s v="4917325620"/>
    <s v="P003"/>
    <x v="1"/>
    <x v="72"/>
    <s v="16:27:18"/>
    <s v="JURASDOK"/>
    <s v="0004"/>
    <s v=""/>
    <s v="0000"/>
    <s v=""/>
    <s v="0151928566"/>
    <s v=""/>
    <s v=""/>
    <s v=""/>
    <s v="53003000"/>
    <s v=""/>
    <s v=""/>
    <s v=""/>
    <s v=""/>
    <m/>
    <x v="0"/>
    <n v="-21093"/>
    <n v="-43946.99"/>
    <d v="2026-07-27T00:00:00"/>
    <d v="2026-07-21T00:00:00"/>
    <m/>
    <d v="2026-07-27T00:00:00"/>
    <n v="-21093"/>
    <x v="2"/>
    <s v="58"/>
    <s v="ต้นทุนผลิตหีบห่อ"/>
    <m/>
    <n v="2.0834869387948607"/>
    <e v="#N/A"/>
    <e v="#N/A"/>
  </r>
  <r>
    <x v="13"/>
    <x v="13"/>
    <s v="0328"/>
    <x v="4"/>
    <s v="GI for order"/>
    <s v="4917325620"/>
    <s v="P003"/>
    <x v="93"/>
    <x v="72"/>
    <s v="16:27:18"/>
    <s v="JURASDOK"/>
    <s v="0006"/>
    <s v=""/>
    <s v="0000"/>
    <s v=""/>
    <s v="0000000000"/>
    <s v=""/>
    <s v="All Cafe ลังกระดาษ (287*240*177 mm.)"/>
    <s v=""/>
    <s v="53003000"/>
    <s v=""/>
    <s v=""/>
    <s v=""/>
    <s v=""/>
    <m/>
    <x v="0"/>
    <n v="-798"/>
    <n v="-3990"/>
    <d v="2026-07-27T00:00:00"/>
    <d v="2026-07-21T00:00:00"/>
    <m/>
    <d v="2026-07-27T00:00:00"/>
    <n v="-798"/>
    <x v="2"/>
    <s v="58"/>
    <s v="ต้นทุนผลิตหีบห่อ"/>
    <m/>
    <n v="5"/>
    <e v="#N/A"/>
    <e v="#N/A"/>
  </r>
  <r>
    <x v="13"/>
    <x v="13"/>
    <s v="0328"/>
    <x v="4"/>
    <s v="GI for order"/>
    <s v="4917325620"/>
    <s v="P003"/>
    <x v="65"/>
    <x v="72"/>
    <s v="16:27:18"/>
    <s v="JURASDOK"/>
    <s v="0005"/>
    <s v=""/>
    <s v="0000"/>
    <s v=""/>
    <s v="0151928566"/>
    <s v=""/>
    <s v=""/>
    <s v=""/>
    <s v="53003000"/>
    <s v=""/>
    <s v=""/>
    <s v=""/>
    <s v=""/>
    <m/>
    <x v="0"/>
    <n v="-2686"/>
    <n v="-13430"/>
    <d v="2026-07-27T00:00:00"/>
    <d v="2026-07-21T00:00:00"/>
    <m/>
    <d v="2026-07-27T00:00:00"/>
    <n v="-2686"/>
    <x v="2"/>
    <s v="58"/>
    <s v="ต้นทุนผลิตหีบห่อ"/>
    <m/>
    <n v="5"/>
    <e v="#N/A"/>
    <e v="#N/A"/>
  </r>
  <r>
    <x v="5"/>
    <x v="5"/>
    <s v="0328"/>
    <x v="5"/>
    <s v="GR for order"/>
    <s v="4917325620"/>
    <s v="M001"/>
    <x v="105"/>
    <x v="72"/>
    <s v="16:27:18"/>
    <s v="JURASDOK"/>
    <s v="0001"/>
    <s v=""/>
    <s v="0000"/>
    <s v=""/>
    <s v="0000000000"/>
    <s v=""/>
    <s v=""/>
    <s v=""/>
    <s v="53001001"/>
    <s v=""/>
    <s v=""/>
    <s v=""/>
    <s v=""/>
    <m/>
    <x v="2"/>
    <n v="20844"/>
    <n v="3540561.84"/>
    <d v="2026-07-27T00:00:00"/>
    <d v="2026-07-21T00:00:00"/>
    <m/>
    <d v="2026-07-27T00:00:00"/>
    <n v="10422000"/>
    <x v="2"/>
    <s v="59"/>
    <s v="ต้นทุนผลิตโอน F/G"/>
    <m/>
    <n v="169.85999999999999"/>
    <e v="#N/A"/>
    <e v="#N/A"/>
  </r>
  <r>
    <x v="23"/>
    <x v="23"/>
    <s v="0328"/>
    <x v="4"/>
    <s v="GI for order"/>
    <s v="4917325770"/>
    <s v="P003"/>
    <x v="100"/>
    <x v="73"/>
    <s v="16:29:28"/>
    <s v="JURASDOK"/>
    <s v="0002"/>
    <s v=""/>
    <s v="0000"/>
    <s v=""/>
    <s v="0151928887"/>
    <s v=""/>
    <s v=""/>
    <s v=""/>
    <s v="53001003"/>
    <s v=""/>
    <s v=""/>
    <s v=""/>
    <s v=""/>
    <m/>
    <x v="3"/>
    <n v="-10625.78"/>
    <n v="-3454866.11"/>
    <d v="2026-07-27T00:00:00"/>
    <d v="2026-07-22T00:00:00"/>
    <m/>
    <d v="2026-07-27T00:00:00"/>
    <n v="-10625780"/>
    <x v="2"/>
    <s v="57"/>
    <s v="ต้นทุนผลิตกึ่งสำเร็จ"/>
    <m/>
    <n v="325.14000007528858"/>
    <e v="#N/A"/>
    <e v="#N/A"/>
  </r>
  <r>
    <x v="11"/>
    <x v="11"/>
    <s v="0328"/>
    <x v="4"/>
    <s v="GI for order"/>
    <s v="4917325770"/>
    <s v="P003"/>
    <x v="14"/>
    <x v="73"/>
    <s v="16:29:28"/>
    <s v="JURASDOK"/>
    <s v="0003"/>
    <s v=""/>
    <s v="0000"/>
    <s v=""/>
    <s v="0151928887"/>
    <s v=""/>
    <s v=""/>
    <s v=""/>
    <s v="53003000"/>
    <s v=""/>
    <s v=""/>
    <s v=""/>
    <s v=""/>
    <m/>
    <x v="0"/>
    <n v="-21433"/>
    <n v="-18127.34"/>
    <d v="2026-07-27T00:00:00"/>
    <d v="2026-07-22T00:00:00"/>
    <m/>
    <d v="2026-07-27T00:00:00"/>
    <n v="-21433"/>
    <x v="2"/>
    <s v="58"/>
    <s v="ต้นทุนผลิตหีบห่อ"/>
    <m/>
    <n v="0.84576774133345778"/>
    <e v="#N/A"/>
    <e v="#N/A"/>
  </r>
  <r>
    <x v="12"/>
    <x v="12"/>
    <s v="0328"/>
    <x v="4"/>
    <s v="GI for order"/>
    <s v="4917325770"/>
    <s v="P003"/>
    <x v="1"/>
    <x v="73"/>
    <s v="16:29:28"/>
    <s v="JURASDOK"/>
    <s v="0004"/>
    <s v=""/>
    <s v="0000"/>
    <s v=""/>
    <s v="0151928887"/>
    <s v=""/>
    <s v=""/>
    <s v=""/>
    <s v="53003000"/>
    <s v=""/>
    <s v=""/>
    <s v=""/>
    <s v=""/>
    <m/>
    <x v="0"/>
    <n v="-21433"/>
    <n v="-44655.38"/>
    <d v="2026-07-27T00:00:00"/>
    <d v="2026-07-22T00:00:00"/>
    <m/>
    <d v="2026-07-27T00:00:00"/>
    <n v="-21433"/>
    <x v="2"/>
    <s v="58"/>
    <s v="ต้นทุนผลิตหีบห่อ"/>
    <m/>
    <n v="2.0834871459898285"/>
    <e v="#N/A"/>
    <e v="#N/A"/>
  </r>
  <r>
    <x v="13"/>
    <x v="13"/>
    <s v="0328"/>
    <x v="4"/>
    <s v="GI for order"/>
    <s v="4917325770"/>
    <s v="P003"/>
    <x v="93"/>
    <x v="73"/>
    <s v="16:29:28"/>
    <s v="JURASDOK"/>
    <s v="0005"/>
    <s v=""/>
    <s v="0000"/>
    <s v=""/>
    <s v="0151928887"/>
    <s v=""/>
    <s v=""/>
    <s v=""/>
    <s v="53003000"/>
    <s v=""/>
    <s v=""/>
    <s v=""/>
    <s v=""/>
    <m/>
    <x v="0"/>
    <n v="-3536"/>
    <n v="-17680"/>
    <d v="2026-07-27T00:00:00"/>
    <d v="2026-07-22T00:00:00"/>
    <m/>
    <d v="2026-07-27T00:00:00"/>
    <n v="-3536"/>
    <x v="2"/>
    <s v="58"/>
    <s v="ต้นทุนผลิตหีบห่อ"/>
    <m/>
    <n v="5"/>
    <e v="#N/A"/>
    <e v="#N/A"/>
  </r>
  <r>
    <x v="5"/>
    <x v="5"/>
    <s v="0328"/>
    <x v="5"/>
    <s v="GR for order"/>
    <s v="4917325770"/>
    <s v="M001"/>
    <x v="106"/>
    <x v="73"/>
    <s v="16:29:28"/>
    <s v="JURASDOK"/>
    <s v="0001"/>
    <s v=""/>
    <s v="0000"/>
    <s v=""/>
    <s v="0000000000"/>
    <s v=""/>
    <s v=""/>
    <s v=""/>
    <s v="53001001"/>
    <s v=""/>
    <s v=""/>
    <s v=""/>
    <s v=""/>
    <m/>
    <x v="2"/>
    <n v="21174"/>
    <n v="3596615.64"/>
    <d v="2026-07-27T00:00:00"/>
    <d v="2026-07-22T00:00:00"/>
    <m/>
    <d v="2026-07-27T00:00:00"/>
    <n v="10587000"/>
    <x v="2"/>
    <s v="59"/>
    <s v="ต้นทุนผลิตโอน F/G"/>
    <m/>
    <n v="169.86"/>
    <e v="#N/A"/>
    <e v="#N/A"/>
  </r>
  <r>
    <x v="23"/>
    <x v="23"/>
    <s v="0328"/>
    <x v="4"/>
    <s v="GI for order"/>
    <s v="4917326050"/>
    <s v="P003"/>
    <x v="101"/>
    <x v="74"/>
    <s v="16:36:07"/>
    <s v="JURASDOK"/>
    <s v="0002"/>
    <s v=""/>
    <s v="0000"/>
    <s v=""/>
    <s v="0151928915"/>
    <s v=""/>
    <s v=""/>
    <s v=""/>
    <s v="53001003"/>
    <s v=""/>
    <s v=""/>
    <s v=""/>
    <s v=""/>
    <m/>
    <x v="3"/>
    <n v="-9836.16"/>
    <n v="-3198129.06"/>
    <d v="2026-07-27T00:00:00"/>
    <d v="2026-07-23T00:00:00"/>
    <m/>
    <d v="2026-07-27T00:00:00"/>
    <n v="-9836160"/>
    <x v="2"/>
    <s v="57"/>
    <s v="ต้นทุนผลิตกึ่งสำเร็จ"/>
    <m/>
    <n v="325.13999975600234"/>
    <e v="#N/A"/>
    <e v="#N/A"/>
  </r>
  <r>
    <x v="11"/>
    <x v="11"/>
    <s v="0328"/>
    <x v="4"/>
    <s v="GI for order"/>
    <s v="4917326050"/>
    <s v="P003"/>
    <x v="14"/>
    <x v="74"/>
    <s v="16:36:07"/>
    <s v="JURASDOK"/>
    <s v="0003"/>
    <s v=""/>
    <s v="0000"/>
    <s v=""/>
    <s v="0151928915"/>
    <s v=""/>
    <s v=""/>
    <s v=""/>
    <s v="53003000"/>
    <s v=""/>
    <s v=""/>
    <s v=""/>
    <s v=""/>
    <m/>
    <x v="0"/>
    <n v="-20075"/>
    <n v="-16978.79"/>
    <d v="2026-07-27T00:00:00"/>
    <d v="2026-07-23T00:00:00"/>
    <m/>
    <d v="2026-07-27T00:00:00"/>
    <n v="-20075"/>
    <x v="2"/>
    <s v="58"/>
    <s v="ต้นทุนผลิตหีบห่อ"/>
    <m/>
    <n v="0.8457678704856787"/>
    <e v="#N/A"/>
    <e v="#N/A"/>
  </r>
  <r>
    <x v="12"/>
    <x v="12"/>
    <s v="0328"/>
    <x v="4"/>
    <s v="GI for order"/>
    <s v="4917326050"/>
    <s v="P003"/>
    <x v="1"/>
    <x v="74"/>
    <s v="16:36:07"/>
    <s v="JURASDOK"/>
    <s v="0004"/>
    <s v=""/>
    <s v="0000"/>
    <s v=""/>
    <s v="0151928915"/>
    <s v=""/>
    <s v=""/>
    <s v=""/>
    <s v="53003000"/>
    <s v=""/>
    <s v=""/>
    <s v=""/>
    <s v=""/>
    <m/>
    <x v="0"/>
    <n v="-7366"/>
    <n v="-15346.97"/>
    <d v="2026-07-27T00:00:00"/>
    <d v="2026-07-23T00:00:00"/>
    <m/>
    <d v="2026-07-27T00:00:00"/>
    <n v="-7366"/>
    <x v="2"/>
    <s v="58"/>
    <s v="ต้นทุนผลิตหีบห่อ"/>
    <m/>
    <n v="2.0834876459408092"/>
    <e v="#N/A"/>
    <e v="#N/A"/>
  </r>
  <r>
    <x v="12"/>
    <x v="12"/>
    <s v="0328"/>
    <x v="4"/>
    <s v="GI for order"/>
    <s v="4917326050"/>
    <s v="P003"/>
    <x v="47"/>
    <x v="74"/>
    <s v="16:36:07"/>
    <s v="JURASDOK"/>
    <s v="0006"/>
    <s v=""/>
    <s v="0000"/>
    <s v=""/>
    <s v="0000000000"/>
    <s v=""/>
    <s v="Film roll All cafe500g.420mm*900m"/>
    <s v=""/>
    <s v="53003000"/>
    <s v=""/>
    <s v=""/>
    <s v=""/>
    <s v=""/>
    <m/>
    <x v="0"/>
    <n v="-12709"/>
    <n v="-26479.040000000001"/>
    <d v="2026-07-27T00:00:00"/>
    <d v="2026-07-23T00:00:00"/>
    <m/>
    <d v="2026-07-27T00:00:00"/>
    <n v="-12709"/>
    <x v="2"/>
    <s v="58"/>
    <s v="ต้นทุนผลิตหีบห่อ"/>
    <m/>
    <n v="2.0834872924699033"/>
    <e v="#N/A"/>
    <e v="#N/A"/>
  </r>
  <r>
    <x v="13"/>
    <x v="13"/>
    <s v="0328"/>
    <x v="4"/>
    <s v="GI for order"/>
    <s v="4917326050"/>
    <s v="P003"/>
    <x v="93"/>
    <x v="74"/>
    <s v="16:36:07"/>
    <s v="JURASDOK"/>
    <s v="0005"/>
    <s v=""/>
    <s v="0000"/>
    <s v=""/>
    <s v="0151928915"/>
    <s v=""/>
    <s v=""/>
    <s v=""/>
    <s v="53003000"/>
    <s v=""/>
    <s v=""/>
    <s v=""/>
    <s v=""/>
    <m/>
    <x v="0"/>
    <n v="-3277"/>
    <n v="-16385"/>
    <d v="2026-07-27T00:00:00"/>
    <d v="2026-07-23T00:00:00"/>
    <m/>
    <d v="2026-07-27T00:00:00"/>
    <n v="-3277"/>
    <x v="2"/>
    <s v="58"/>
    <s v="ต้นทุนผลิตหีบห่อ"/>
    <m/>
    <n v="5"/>
    <e v="#N/A"/>
    <e v="#N/A"/>
  </r>
  <r>
    <x v="5"/>
    <x v="5"/>
    <s v="0328"/>
    <x v="5"/>
    <s v="GR for order"/>
    <s v="4917326050"/>
    <s v="M001"/>
    <x v="107"/>
    <x v="74"/>
    <s v="16:36:07"/>
    <s v="JURASDOK"/>
    <s v="0001"/>
    <s v=""/>
    <s v="0000"/>
    <s v=""/>
    <s v="0000000000"/>
    <s v=""/>
    <s v=""/>
    <s v=""/>
    <s v="53001001"/>
    <s v=""/>
    <s v=""/>
    <s v=""/>
    <s v=""/>
    <m/>
    <x v="2"/>
    <n v="19651"/>
    <n v="3337918.86"/>
    <d v="2026-07-27T00:00:00"/>
    <d v="2026-07-23T00:00:00"/>
    <m/>
    <d v="2026-07-27T00:00:00"/>
    <n v="9825500"/>
    <x v="2"/>
    <s v="59"/>
    <s v="ต้นทุนผลิตโอน F/G"/>
    <m/>
    <n v="169.85999999999999"/>
    <e v="#N/A"/>
    <e v="#N/A"/>
  </r>
  <r>
    <x v="23"/>
    <x v="23"/>
    <s v="0328"/>
    <x v="4"/>
    <s v="GI for order"/>
    <s v="4917326417"/>
    <s v="P003"/>
    <x v="102"/>
    <x v="75"/>
    <s v="16:41:17"/>
    <s v="JURASDOK"/>
    <s v="0002"/>
    <s v=""/>
    <s v="0000"/>
    <s v=""/>
    <s v="0151928965"/>
    <s v=""/>
    <s v=""/>
    <s v=""/>
    <s v="53001003"/>
    <s v=""/>
    <s v=""/>
    <s v=""/>
    <s v=""/>
    <m/>
    <x v="3"/>
    <n v="-10220.91"/>
    <n v="-3323226.68"/>
    <d v="2026-07-27T00:00:00"/>
    <d v="2026-07-24T00:00:00"/>
    <m/>
    <d v="2026-07-27T00:00:00"/>
    <n v="-10220910"/>
    <x v="2"/>
    <s v="57"/>
    <s v="ต้นทุนผลิตกึ่งสำเร็จ"/>
    <m/>
    <n v="325.14000025438048"/>
    <e v="#N/A"/>
    <e v="#N/A"/>
  </r>
  <r>
    <x v="11"/>
    <x v="11"/>
    <s v="0328"/>
    <x v="4"/>
    <s v="GI for order"/>
    <s v="4917326417"/>
    <s v="P003"/>
    <x v="14"/>
    <x v="75"/>
    <s v="16:41:17"/>
    <s v="JURASDOK"/>
    <s v="0003"/>
    <s v=""/>
    <s v="0000"/>
    <s v=""/>
    <s v="0151928965"/>
    <s v=""/>
    <s v=""/>
    <s v=""/>
    <s v="53003000"/>
    <s v=""/>
    <s v=""/>
    <s v=""/>
    <s v=""/>
    <m/>
    <x v="0"/>
    <n v="-20830"/>
    <n v="-17617.34"/>
    <d v="2026-07-27T00:00:00"/>
    <d v="2026-07-24T00:00:00"/>
    <m/>
    <d v="2026-07-27T00:00:00"/>
    <n v="-20830"/>
    <x v="2"/>
    <s v="58"/>
    <s v="ต้นทุนผลิตหีบห่อ"/>
    <m/>
    <n v="0.84576764282285166"/>
    <e v="#N/A"/>
    <e v="#N/A"/>
  </r>
  <r>
    <x v="12"/>
    <x v="12"/>
    <s v="0328"/>
    <x v="4"/>
    <s v="GI for order"/>
    <s v="4917326417"/>
    <s v="P003"/>
    <x v="47"/>
    <x v="75"/>
    <s v="16:41:17"/>
    <s v="JURASDOK"/>
    <s v="0004"/>
    <s v=""/>
    <s v="0000"/>
    <s v=""/>
    <s v="0151928965"/>
    <s v=""/>
    <s v=""/>
    <s v=""/>
    <s v="53003000"/>
    <s v=""/>
    <s v=""/>
    <s v=""/>
    <s v=""/>
    <m/>
    <x v="0"/>
    <n v="-20830"/>
    <n v="-43399.03"/>
    <d v="2026-07-27T00:00:00"/>
    <d v="2026-07-24T00:00:00"/>
    <m/>
    <d v="2026-07-27T00:00:00"/>
    <n v="-20830"/>
    <x v="2"/>
    <s v="58"/>
    <s v="ต้นทุนผลิตหีบห่อ"/>
    <m/>
    <n v="2.0834867978876619"/>
    <e v="#N/A"/>
    <e v="#N/A"/>
  </r>
  <r>
    <x v="13"/>
    <x v="13"/>
    <s v="0328"/>
    <x v="4"/>
    <s v="GI for order"/>
    <s v="4917326417"/>
    <s v="P003"/>
    <x v="93"/>
    <x v="75"/>
    <s v="16:41:17"/>
    <s v="JURASDOK"/>
    <s v="0005"/>
    <s v=""/>
    <s v="0000"/>
    <s v=""/>
    <s v="0151928965"/>
    <s v=""/>
    <s v=""/>
    <s v=""/>
    <s v="53003000"/>
    <s v=""/>
    <s v=""/>
    <s v=""/>
    <s v=""/>
    <m/>
    <x v="0"/>
    <n v="-3411"/>
    <n v="-17055"/>
    <d v="2026-07-27T00:00:00"/>
    <d v="2026-07-24T00:00:00"/>
    <m/>
    <d v="2026-07-27T00:00:00"/>
    <n v="-3411"/>
    <x v="2"/>
    <s v="58"/>
    <s v="ต้นทุนผลิตหีบห่อ"/>
    <m/>
    <n v="5"/>
    <e v="#N/A"/>
    <e v="#N/A"/>
  </r>
  <r>
    <x v="5"/>
    <x v="5"/>
    <s v="0328"/>
    <x v="5"/>
    <s v="GR for order"/>
    <s v="4917326417"/>
    <s v="M001"/>
    <x v="108"/>
    <x v="75"/>
    <s v="16:41:17"/>
    <s v="JURASDOK"/>
    <s v="0001"/>
    <s v=""/>
    <s v="0000"/>
    <s v=""/>
    <s v="0000000000"/>
    <s v=""/>
    <s v=""/>
    <s v=""/>
    <s v="53001001"/>
    <s v=""/>
    <s v=""/>
    <s v=""/>
    <s v=""/>
    <m/>
    <x v="2"/>
    <n v="20425"/>
    <n v="3469390.5"/>
    <d v="2026-07-27T00:00:00"/>
    <d v="2026-07-24T00:00:00"/>
    <m/>
    <d v="2026-07-27T00:00:00"/>
    <n v="10212500"/>
    <x v="2"/>
    <s v="59"/>
    <s v="ต้นทุนผลิตโอน F/G"/>
    <m/>
    <n v="169.86"/>
    <e v="#N/A"/>
    <e v="#N/A"/>
  </r>
  <r>
    <x v="7"/>
    <x v="7"/>
    <s v="0328"/>
    <x v="1"/>
    <s v="GI ค่าวิจัยและพัฒนา"/>
    <s v="4917328281"/>
    <s v="P001"/>
    <x v="8"/>
    <x v="0"/>
    <s v="17:11:32"/>
    <s v="SUTEESEA"/>
    <s v="0001"/>
    <s v=""/>
    <s v="0000"/>
    <s v=""/>
    <s v="0151862333"/>
    <s v=""/>
    <s v="R.BBB 22.07.26 CL9:30 Silo6"/>
    <s v="405053"/>
    <s v="67501001"/>
    <s v=""/>
    <s v=""/>
    <s v=""/>
    <s v=""/>
    <m/>
    <x v="5"/>
    <n v="-500"/>
    <n v="-77.569999999999993"/>
    <d v="2026-07-25T00:00:00"/>
    <d v="2026-07-25T00:00:00"/>
    <m/>
    <d v="2026-07-27T00:00:00"/>
    <n v="-500"/>
    <x v="0"/>
    <s v="54"/>
    <s v="ค่าวิจัยคุณภาพสินค้า"/>
    <m/>
    <n v="0.15514"/>
    <e v="#N/A"/>
    <e v="#N/A"/>
  </r>
  <r>
    <x v="14"/>
    <x v="14"/>
    <s v="0328"/>
    <x v="1"/>
    <s v="GI ค่าวิจัยและพัฒนา"/>
    <s v="4917328435"/>
    <s v="P001"/>
    <x v="52"/>
    <x v="0"/>
    <s v="17:16:23"/>
    <s v="SUTEESEA"/>
    <s v="0001"/>
    <s v=""/>
    <s v="0000"/>
    <s v=""/>
    <s v="0151862426"/>
    <s v=""/>
    <s v="A.CPBF 22.04.26 CL9:20 Silo3"/>
    <s v="405053"/>
    <s v="67501001"/>
    <s v=""/>
    <s v=""/>
    <s v=""/>
    <s v=""/>
    <m/>
    <x v="5"/>
    <n v="-500"/>
    <n v="-132.21"/>
    <d v="2026-07-24T00:00:00"/>
    <d v="2026-07-24T00:00:00"/>
    <m/>
    <d v="2026-07-27T00:00:00"/>
    <n v="-500"/>
    <x v="0"/>
    <s v="54"/>
    <s v="ค่าวิจัยคุณภาพสินค้า"/>
    <m/>
    <n v="0.26441999999999999"/>
    <e v="#N/A"/>
    <e v="#N/A"/>
  </r>
  <r>
    <x v="14"/>
    <x v="14"/>
    <s v="0328"/>
    <x v="1"/>
    <s v="GI ค่าวิจัยและพัฒนา"/>
    <s v="4917328439"/>
    <s v="P001"/>
    <x v="52"/>
    <x v="0"/>
    <s v="17:18:52"/>
    <s v="SUTEESEA"/>
    <s v="0001"/>
    <s v=""/>
    <s v="0000"/>
    <s v=""/>
    <s v="0151784620"/>
    <s v=""/>
    <s v="A.CPBF 22.04.26 CL09.00 silo1"/>
    <s v="405053"/>
    <s v="67501001"/>
    <s v=""/>
    <s v=""/>
    <s v=""/>
    <s v=""/>
    <m/>
    <x v="5"/>
    <n v="-500"/>
    <n v="-132.21"/>
    <d v="2026-07-23T00:00:00"/>
    <d v="2026-07-23T00:00:00"/>
    <m/>
    <d v="2026-07-27T00:00:00"/>
    <n v="-500"/>
    <x v="0"/>
    <s v="54"/>
    <s v="ค่าวิจัยคุณภาพสินค้า"/>
    <m/>
    <n v="0.26441999999999999"/>
    <e v="#N/A"/>
    <e v="#N/A"/>
  </r>
  <r>
    <x v="5"/>
    <x v="5"/>
    <s v="0328"/>
    <x v="1"/>
    <s v="GI ค่าวิจัยและพัฒนา"/>
    <s v="4917335396"/>
    <s v="M001"/>
    <x v="89"/>
    <x v="0"/>
    <s v="20:58:57"/>
    <s v="PRONDTAN"/>
    <s v="0001"/>
    <s v=""/>
    <s v="0000"/>
    <s v=""/>
    <s v="0151929550"/>
    <s v=""/>
    <s v="Routine 23.7.26.4 A012R002"/>
    <s v="405053"/>
    <s v="67501001"/>
    <s v=""/>
    <s v=""/>
    <s v=""/>
    <s v=""/>
    <m/>
    <x v="2"/>
    <n v="-5"/>
    <n v="-849.3"/>
    <d v="2026-07-27T00:00:00"/>
    <d v="2026-07-27T00:00:00"/>
    <m/>
    <d v="2026-07-27T00:00:00"/>
    <n v="-25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7335396"/>
    <s v="M001"/>
    <x v="89"/>
    <x v="0"/>
    <s v="20:58:57"/>
    <s v="PRONDTAN"/>
    <s v="0002"/>
    <s v=""/>
    <s v="0000"/>
    <s v=""/>
    <s v="0151929550"/>
    <s v=""/>
    <s v="Retain 23.7.26.4 A012R002"/>
    <s v="405053"/>
    <s v="67501001"/>
    <s v=""/>
    <s v=""/>
    <s v=""/>
    <s v=""/>
    <m/>
    <x v="2"/>
    <n v="-5"/>
    <n v="-849.3"/>
    <d v="2026-07-27T00:00:00"/>
    <d v="2026-07-27T00:00:00"/>
    <m/>
    <d v="2026-07-27T00:00:00"/>
    <n v="-25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7335397"/>
    <s v="M001"/>
    <x v="89"/>
    <x v="0"/>
    <s v="21:01:57"/>
    <s v="PRONDTAN"/>
    <s v="0001"/>
    <s v=""/>
    <s v="0000"/>
    <s v=""/>
    <s v="0151929495"/>
    <s v=""/>
    <s v="ตรวจเพิ่ม 23.7.26.1A012R002 P.16,17"/>
    <s v="405053"/>
    <s v="67501001"/>
    <s v=""/>
    <s v=""/>
    <s v=""/>
    <s v=""/>
    <m/>
    <x v="2"/>
    <n v="-2"/>
    <n v="-339.72"/>
    <d v="2026-07-27T00:00:00"/>
    <d v="2026-07-27T00:00:00"/>
    <m/>
    <d v="2026-07-27T00:00:00"/>
    <n v="-1000"/>
    <x v="0"/>
    <s v="59"/>
    <s v="ค่าวิจัยคุณภาพสินค้า"/>
    <m/>
    <n v="169.86"/>
    <e v="#N/A"/>
    <e v="#N/A"/>
  </r>
  <r>
    <x v="5"/>
    <x v="5"/>
    <s v="0328"/>
    <x v="1"/>
    <s v="GI ค่าวิจัยและพัฒนา"/>
    <s v="4917335397"/>
    <s v="M001"/>
    <x v="89"/>
    <x v="0"/>
    <s v="21:01:57"/>
    <s v="PRONDTAN"/>
    <s v="0002"/>
    <s v=""/>
    <s v="0000"/>
    <s v=""/>
    <s v="0151929495"/>
    <s v=""/>
    <s v="ตรวจเพิ่ม 23.7.26.2A012R002 P.11,15,31,34,35"/>
    <s v="405053"/>
    <s v="67501001"/>
    <s v=""/>
    <s v=""/>
    <s v=""/>
    <s v=""/>
    <m/>
    <x v="2"/>
    <n v="-5"/>
    <n v="-849.3"/>
    <d v="2026-07-27T00:00:00"/>
    <d v="2026-07-27T00:00:00"/>
    <m/>
    <d v="2026-07-27T00:00:00"/>
    <n v="-25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7335397"/>
    <s v="M001"/>
    <x v="89"/>
    <x v="0"/>
    <s v="21:01:57"/>
    <s v="PRONDTAN"/>
    <s v="0003"/>
    <s v=""/>
    <s v="0000"/>
    <s v=""/>
    <s v="0151929495"/>
    <s v=""/>
    <s v="ตรวจเพิ่ม 23.7.26.3A012R002 P.5,7,30"/>
    <s v="405053"/>
    <s v="67501001"/>
    <s v=""/>
    <s v=""/>
    <s v=""/>
    <s v=""/>
    <m/>
    <x v="2"/>
    <n v="-3"/>
    <n v="-509.58"/>
    <d v="2026-07-27T00:00:00"/>
    <d v="2026-07-27T00:00:00"/>
    <m/>
    <d v="2026-07-27T00:00:00"/>
    <n v="-1500"/>
    <x v="0"/>
    <s v="59"/>
    <s v="ค่าวิจัยคุณภาพสินค้า"/>
    <m/>
    <n v="169.85999999999999"/>
    <e v="#N/A"/>
    <e v="#N/A"/>
  </r>
  <r>
    <x v="14"/>
    <x v="14"/>
    <s v="0328"/>
    <x v="17"/>
    <s v="REGIค่าวิจัยและพัฒนา"/>
    <s v="4917561210"/>
    <s v="P001"/>
    <x v="19"/>
    <x v="0"/>
    <s v="09:22:06"/>
    <s v="WASSAYUT"/>
    <s v="0001"/>
    <s v=""/>
    <s v="0000"/>
    <s v=""/>
    <s v="0150984885"/>
    <s v="ยกเลิก"/>
    <s v="CC.4915545494 เนื่องจาก วันที่ผิด สุธีร์ / อร"/>
    <s v="405053"/>
    <s v="67501001"/>
    <s v=""/>
    <s v=""/>
    <s v=""/>
    <s v=""/>
    <m/>
    <x v="5"/>
    <n v="500"/>
    <n v="131.94"/>
    <d v="2202-07-04T00:00:00"/>
    <d v="2026-07-30T00:00:00"/>
    <m/>
    <d v="2026-07-30T00:00:00"/>
    <n v="500"/>
    <x v="0"/>
    <s v="54"/>
    <s v="ค่าวิจัยคุณภาพสินค้า"/>
    <m/>
    <n v="0.26388"/>
    <e v="#N/A"/>
    <e v="#N/A"/>
  </r>
  <r>
    <x v="14"/>
    <x v="14"/>
    <s v="0328"/>
    <x v="3"/>
    <s v="TF trfr within plant"/>
    <s v="4917565313"/>
    <s v="M002"/>
    <x v="96"/>
    <x v="0"/>
    <s v="10:31:41"/>
    <s v="PRONDTAN"/>
    <s v="0001"/>
    <s v=""/>
    <s v="0000"/>
    <s v=""/>
    <s v="0000000000"/>
    <s v=""/>
    <s v=""/>
    <s v=""/>
    <s v=""/>
    <s v=""/>
    <s v=""/>
    <s v=""/>
    <s v=""/>
    <m/>
    <x v="3"/>
    <n v="-7975.9"/>
    <n v="0"/>
    <d v="2026-07-30T00:00:00"/>
    <d v="2026-07-30T00:00:00"/>
    <m/>
    <d v="2026-07-30T00:00:00"/>
    <n v="-7975900"/>
    <x v="0"/>
    <s v="54"/>
    <e v="#N/A"/>
    <m/>
    <n v="0"/>
    <e v="#N/A"/>
    <e v="#N/A"/>
  </r>
  <r>
    <x v="14"/>
    <x v="14"/>
    <s v="0328"/>
    <x v="3"/>
    <s v="TF trfr within plant"/>
    <s v="4917565313"/>
    <s v="P001"/>
    <x v="96"/>
    <x v="0"/>
    <s v="10:31:41"/>
    <s v="PRONDTAN"/>
    <s v="0002"/>
    <s v=""/>
    <s v="0000"/>
    <s v=""/>
    <s v="0000000000"/>
    <s v=""/>
    <s v=""/>
    <s v=""/>
    <s v=""/>
    <s v=""/>
    <s v=""/>
    <s v=""/>
    <s v=""/>
    <m/>
    <x v="3"/>
    <n v="7975.9"/>
    <n v="0"/>
    <d v="2026-07-30T00:00:00"/>
    <d v="2026-07-30T00:00:00"/>
    <m/>
    <d v="2026-07-30T00:00:00"/>
    <n v="7975900"/>
    <x v="0"/>
    <s v="54"/>
    <e v="#N/A"/>
    <m/>
    <n v="0"/>
    <e v="#N/A"/>
    <e v="#N/A"/>
  </r>
  <r>
    <x v="7"/>
    <x v="7"/>
    <s v="0328"/>
    <x v="3"/>
    <s v="TF trfr within plant"/>
    <s v="4917565313"/>
    <s v="P001"/>
    <x v="109"/>
    <x v="0"/>
    <s v="10:31:41"/>
    <s v="PRONDTAN"/>
    <s v="0004"/>
    <s v=""/>
    <s v="0000"/>
    <s v=""/>
    <s v="0000000000"/>
    <s v=""/>
    <s v=""/>
    <s v=""/>
    <s v=""/>
    <s v=""/>
    <s v=""/>
    <s v=""/>
    <s v=""/>
    <m/>
    <x v="3"/>
    <n v="10025.4"/>
    <n v="0"/>
    <d v="2026-07-30T00:00:00"/>
    <d v="2026-07-30T00:00:00"/>
    <m/>
    <d v="2026-07-30T00:00:00"/>
    <n v="10025400"/>
    <x v="0"/>
    <s v="54"/>
    <e v="#N/A"/>
    <m/>
    <n v="0"/>
    <e v="#N/A"/>
    <e v="#N/A"/>
  </r>
  <r>
    <x v="7"/>
    <x v="7"/>
    <s v="0328"/>
    <x v="3"/>
    <s v="TF trfr within plant"/>
    <s v="4917565313"/>
    <s v="M002"/>
    <x v="109"/>
    <x v="0"/>
    <s v="10:31:41"/>
    <s v="PRONDTAN"/>
    <s v="0003"/>
    <s v=""/>
    <s v="0000"/>
    <s v=""/>
    <s v="0000000000"/>
    <s v=""/>
    <s v=""/>
    <s v=""/>
    <s v=""/>
    <s v=""/>
    <s v=""/>
    <s v=""/>
    <s v=""/>
    <m/>
    <x v="3"/>
    <n v="-10025.4"/>
    <n v="0"/>
    <d v="2026-07-30T00:00:00"/>
    <d v="2026-07-30T00:00:00"/>
    <m/>
    <d v="2026-07-30T00:00:00"/>
    <n v="-10025400"/>
    <x v="0"/>
    <s v="54"/>
    <e v="#N/A"/>
    <m/>
    <n v="0"/>
    <e v="#N/A"/>
    <e v="#N/A"/>
  </r>
  <r>
    <x v="7"/>
    <x v="7"/>
    <s v="0328"/>
    <x v="4"/>
    <s v="GI for order"/>
    <s v="4917567358"/>
    <s v="P001"/>
    <x v="8"/>
    <x v="76"/>
    <s v="11:11:13"/>
    <s v="SUTEESEA"/>
    <s v="0001"/>
    <s v=""/>
    <s v="0000"/>
    <s v=""/>
    <s v="0152014816"/>
    <s v=""/>
    <s v=""/>
    <s v=""/>
    <s v="53002000"/>
    <s v=""/>
    <s v=""/>
    <s v=""/>
    <s v=""/>
    <m/>
    <x v="3"/>
    <n v="-220.9"/>
    <n v="-34270.54"/>
    <d v="2026-07-30T00:00:00"/>
    <d v="2026-07-27T00:00:00"/>
    <m/>
    <d v="2026-07-30T00:00:00"/>
    <n v="-220900"/>
    <x v="3"/>
    <s v="54"/>
    <s v="ต้นทุนผลิต-วัตถุดิบ"/>
    <m/>
    <n v="155.14051607062018"/>
    <e v="#N/A"/>
    <e v="#N/A"/>
  </r>
  <r>
    <x v="7"/>
    <x v="7"/>
    <s v="0328"/>
    <x v="4"/>
    <s v="GI for order"/>
    <s v="4917567358"/>
    <s v="P001"/>
    <x v="109"/>
    <x v="76"/>
    <s v="11:11:13"/>
    <s v="SUTEESEA"/>
    <s v="0002"/>
    <s v=""/>
    <s v="0000"/>
    <s v=""/>
    <s v="0000000000"/>
    <s v=""/>
    <s v="สารกาแฟโรบัสต้า"/>
    <s v=""/>
    <s v="53002000"/>
    <s v=""/>
    <s v=""/>
    <s v=""/>
    <s v=""/>
    <m/>
    <x v="3"/>
    <n v="-9804.5"/>
    <n v="-1521075.21"/>
    <d v="2026-07-30T00:00:00"/>
    <d v="2026-07-27T00:00:00"/>
    <m/>
    <d v="2026-07-30T00:00:00"/>
    <n v="-9804500"/>
    <x v="3"/>
    <s v="54"/>
    <s v="ต้นทุนผลิต-วัตถุดิบ"/>
    <m/>
    <n v="155.14051812943035"/>
    <e v="#N/A"/>
    <e v="#N/A"/>
  </r>
  <r>
    <x v="14"/>
    <x v="14"/>
    <s v="0328"/>
    <x v="4"/>
    <s v="GI for order"/>
    <s v="4917569032"/>
    <s v="P001"/>
    <x v="96"/>
    <x v="77"/>
    <s v="11:58:27"/>
    <s v="SUTEESEA"/>
    <s v="0001"/>
    <s v=""/>
    <s v="0000"/>
    <s v=""/>
    <s v="0152015385"/>
    <s v=""/>
    <s v=""/>
    <s v=""/>
    <s v="53002000"/>
    <s v=""/>
    <s v=""/>
    <s v=""/>
    <s v=""/>
    <m/>
    <x v="3"/>
    <n v="-7975.9"/>
    <n v="-2109022.52"/>
    <d v="2026-07-30T00:00:00"/>
    <d v="2026-07-27T00:00:00"/>
    <m/>
    <d v="2026-07-30T00:00:00"/>
    <n v="-7975900"/>
    <x v="3"/>
    <s v="54"/>
    <s v="ต้นทุนผลิต-วัตถุดิบ"/>
    <m/>
    <n v="264.42439348537471"/>
    <e v="#N/A"/>
    <e v="#N/A"/>
  </r>
  <r>
    <x v="5"/>
    <x v="5"/>
    <s v="0328"/>
    <x v="13"/>
    <s v="GD returns unrestr."/>
    <s v="4917575992"/>
    <s v="M001"/>
    <x v="89"/>
    <x v="0"/>
    <s v="14:00:44"/>
    <s v="JURASDOK"/>
    <s v="0001"/>
    <s v=""/>
    <s v="0000"/>
    <s v=""/>
    <s v="0000000000"/>
    <s v=""/>
    <s v=""/>
    <s v=""/>
    <s v="51003100"/>
    <s v=""/>
    <s v=""/>
    <s v=""/>
    <s v="2100000980"/>
    <m/>
    <x v="4"/>
    <n v="3"/>
    <n v="3057.48"/>
    <d v="2026-07-30T00:00:00"/>
    <d v="2026-07-30T00:00:00"/>
    <m/>
    <d v="2026-07-30T00:00:00"/>
    <n v="9000"/>
    <x v="0"/>
    <s v="59"/>
    <s v="ต้นทุนขาย"/>
    <m/>
    <n v="1019.16"/>
    <e v="#N/A"/>
    <e v="#N/A"/>
  </r>
  <r>
    <x v="5"/>
    <x v="5"/>
    <s v="0328"/>
    <x v="17"/>
    <s v="REGIค่าวิจัยและพัฒนา"/>
    <s v="4917576426"/>
    <s v="M001"/>
    <x v="63"/>
    <x v="0"/>
    <s v="14:03:00"/>
    <s v="WASSAYUT"/>
    <s v="0001"/>
    <s v=""/>
    <s v="0000"/>
    <s v=""/>
    <s v="0151670917"/>
    <s v="ยกเลิก"/>
    <s v="CC.4916821586 เนื่องจาก GL ผิด ต๋อง/ อร"/>
    <s v="405053"/>
    <s v="67501100"/>
    <s v=""/>
    <s v=""/>
    <s v=""/>
    <s v=""/>
    <m/>
    <x v="2"/>
    <n v="2"/>
    <n v="339.72"/>
    <d v="2026-07-23T00:00:00"/>
    <d v="2026-07-30T00:00:00"/>
    <m/>
    <d v="2026-07-30T00:00:00"/>
    <n v="1000"/>
    <x v="0"/>
    <s v="59"/>
    <s v="ค่าวิจัยและพัฒนาอื่น"/>
    <m/>
    <n v="169.86"/>
    <e v="#N/A"/>
    <e v="#N/A"/>
  </r>
  <r>
    <x v="5"/>
    <x v="5"/>
    <s v="0328"/>
    <x v="1"/>
    <s v="GI ค่าวิจัยและพัฒนา"/>
    <s v="4917579199"/>
    <s v="M001"/>
    <x v="63"/>
    <x v="0"/>
    <s v="14:17:20"/>
    <s v="JURASDOK"/>
    <s v="0001"/>
    <s v=""/>
    <s v="0000"/>
    <s v=""/>
    <s v="0152015374"/>
    <s v=""/>
    <s v="เพื่อส่งให้ RD'QA 7-11 ตรวจสอบ"/>
    <s v="405053"/>
    <s v="67501001"/>
    <s v=""/>
    <s v=""/>
    <s v=""/>
    <s v=""/>
    <m/>
    <x v="2"/>
    <n v="-2"/>
    <n v="-339.72"/>
    <d v="2026-07-30T00:00:00"/>
    <d v="2026-07-30T00:00:00"/>
    <m/>
    <d v="2026-07-30T00:00:00"/>
    <n v="-1000"/>
    <x v="0"/>
    <s v="59"/>
    <s v="ค่าวิจัยคุณภาพสินค้า"/>
    <m/>
    <n v="169.86"/>
    <e v="#N/A"/>
    <e v="#N/A"/>
  </r>
  <r>
    <x v="6"/>
    <x v="6"/>
    <s v="0328"/>
    <x v="2"/>
    <s v="GD goods issue:delvy"/>
    <s v="4917580827"/>
    <s v="P004"/>
    <x v="10"/>
    <x v="0"/>
    <s v="14:23:49"/>
    <s v="SONGPCHI"/>
    <s v="0001"/>
    <s v=""/>
    <s v="0000"/>
    <s v=""/>
    <s v="0000000000"/>
    <s v=""/>
    <s v=""/>
    <s v=""/>
    <s v="51003100"/>
    <s v=""/>
    <s v=""/>
    <s v=""/>
    <s v="2000126657"/>
    <m/>
    <x v="2"/>
    <n v="-2"/>
    <n v="-339.64"/>
    <d v="2026-07-30T00:00:00"/>
    <d v="2026-07-30T00:00:00"/>
    <m/>
    <d v="2026-07-30T00:00:00"/>
    <n v="-1000"/>
    <x v="0"/>
    <s v="59"/>
    <s v="ต้นทุนขาย"/>
    <m/>
    <n v="169.82"/>
    <e v="#N/A"/>
    <e v="#N/A"/>
  </r>
  <r>
    <x v="6"/>
    <x v="6"/>
    <s v="0328"/>
    <x v="2"/>
    <s v="GD goods issue:delvy"/>
    <s v="4917590898"/>
    <s v="P004"/>
    <x v="10"/>
    <x v="0"/>
    <s v="15:09:27"/>
    <s v="THANAWIS"/>
    <s v="0001"/>
    <s v=""/>
    <s v="0000"/>
    <s v=""/>
    <s v="0000000000"/>
    <s v=""/>
    <s v=""/>
    <s v=""/>
    <s v="51003100"/>
    <s v=""/>
    <s v=""/>
    <s v=""/>
    <s v="2000126658"/>
    <m/>
    <x v="2"/>
    <n v="-21"/>
    <n v="-3566.22"/>
    <d v="2026-07-30T00:00:00"/>
    <d v="2026-07-30T00:00:00"/>
    <m/>
    <d v="2026-07-30T00:00:00"/>
    <n v="-10500"/>
    <x v="0"/>
    <s v="59"/>
    <s v="ต้นทุนขาย"/>
    <m/>
    <n v="169.82"/>
    <e v="#N/A"/>
    <e v="#N/A"/>
  </r>
  <r>
    <x v="18"/>
    <x v="18"/>
    <s v="0328"/>
    <x v="4"/>
    <s v="GI for order"/>
    <s v="4917593171"/>
    <s v="P002"/>
    <x v="96"/>
    <x v="78"/>
    <s v="15:43:02"/>
    <s v="JURASDOK"/>
    <s v="0002"/>
    <s v=""/>
    <s v="0000"/>
    <s v=""/>
    <s v="0152027565"/>
    <s v=""/>
    <s v=""/>
    <s v=""/>
    <s v="53001003"/>
    <s v=""/>
    <s v=""/>
    <s v=""/>
    <s v=""/>
    <m/>
    <x v="3"/>
    <n v="-8832.42"/>
    <n v="-2392172.63"/>
    <d v="2026-07-30T00:00:00"/>
    <d v="2026-07-25T00:00:00"/>
    <m/>
    <d v="2026-07-30T00:00:00"/>
    <n v="-8832420"/>
    <x v="4"/>
    <s v="57"/>
    <s v="ต้นทุนผลิตกึ่งสำเร็จ"/>
    <m/>
    <n v="270.83999968298605"/>
    <e v="#N/A"/>
    <e v="#N/A"/>
  </r>
  <r>
    <x v="19"/>
    <x v="19"/>
    <s v="0328"/>
    <x v="4"/>
    <s v="GI for order"/>
    <s v="4917593171"/>
    <s v="P002"/>
    <x v="109"/>
    <x v="78"/>
    <s v="15:43:02"/>
    <s v="JURASDOK"/>
    <s v="0004"/>
    <s v=""/>
    <s v="0000"/>
    <s v=""/>
    <s v="0000000000"/>
    <s v=""/>
    <s v="เมล็ดกาแฟ Clean Robusta Size mix"/>
    <s v=""/>
    <s v="53001003"/>
    <s v=""/>
    <s v=""/>
    <s v=""/>
    <s v=""/>
    <m/>
    <x v="3"/>
    <n v="-2043.63"/>
    <n v="-326837.75"/>
    <d v="2026-07-30T00:00:00"/>
    <d v="2026-07-25T00:00:00"/>
    <m/>
    <d v="2026-07-30T00:00:00"/>
    <n v="-2043630"/>
    <x v="4"/>
    <s v="57"/>
    <s v="ต้นทุนผลิตกึ่งสำเร็จ"/>
    <m/>
    <n v="159.93000200623399"/>
    <e v="#N/A"/>
    <e v="#N/A"/>
  </r>
  <r>
    <x v="19"/>
    <x v="19"/>
    <s v="0328"/>
    <x v="4"/>
    <s v="GI for order"/>
    <s v="4917593171"/>
    <s v="P002"/>
    <x v="8"/>
    <x v="78"/>
    <s v="15:43:02"/>
    <s v="JURASDOK"/>
    <s v="0003"/>
    <s v=""/>
    <s v="0000"/>
    <s v=""/>
    <s v="0152027565"/>
    <s v=""/>
    <s v=""/>
    <s v=""/>
    <s v="53001003"/>
    <s v=""/>
    <s v=""/>
    <s v=""/>
    <s v=""/>
    <m/>
    <x v="3"/>
    <n v="-166.53"/>
    <n v="-26633.14"/>
    <d v="2026-07-30T00:00:00"/>
    <d v="2026-07-25T00:00:00"/>
    <m/>
    <d v="2026-07-30T00:00:00"/>
    <n v="-166530"/>
    <x v="4"/>
    <s v="57"/>
    <s v="ต้นทุนผลิตกึ่งสำเร็จ"/>
    <m/>
    <n v="159.9299825857203"/>
    <e v="#N/A"/>
    <e v="#N/A"/>
  </r>
  <r>
    <x v="23"/>
    <x v="23"/>
    <s v="0328"/>
    <x v="5"/>
    <s v="GR for order"/>
    <s v="4917593171"/>
    <s v="P003"/>
    <x v="110"/>
    <x v="78"/>
    <s v="15:43:02"/>
    <s v="JURASDOK"/>
    <s v="0001"/>
    <s v=""/>
    <s v="0000"/>
    <s v=""/>
    <s v="0000000000"/>
    <s v=""/>
    <s v=""/>
    <s v=""/>
    <s v="53001004"/>
    <s v=""/>
    <s v=""/>
    <s v=""/>
    <s v=""/>
    <m/>
    <x v="3"/>
    <n v="8849.23"/>
    <n v="2877238.64"/>
    <d v="2026-07-30T00:00:00"/>
    <d v="2026-07-25T00:00:00"/>
    <m/>
    <d v="2026-07-30T00:00:00"/>
    <n v="8849230"/>
    <x v="4"/>
    <s v="57"/>
    <s v="ต้นทุนผลิตโอน Semi"/>
    <m/>
    <n v="325.1399997513908"/>
    <e v="#N/A"/>
    <e v="#N/A"/>
  </r>
  <r>
    <x v="11"/>
    <x v="11"/>
    <s v="0328"/>
    <x v="3"/>
    <s v="TF trfr within plant"/>
    <s v="4917596112"/>
    <s v="M003"/>
    <x v="14"/>
    <x v="0"/>
    <s v="16:43:24"/>
    <s v="PRONDTAN"/>
    <s v="0001"/>
    <s v=""/>
    <s v="0000"/>
    <s v=""/>
    <s v="0000000000"/>
    <s v=""/>
    <s v=""/>
    <s v=""/>
    <s v=""/>
    <s v=""/>
    <s v=""/>
    <s v=""/>
    <s v=""/>
    <m/>
    <x v="0"/>
    <n v="-35782"/>
    <n v="0"/>
    <d v="2026-07-30T00:00:00"/>
    <d v="2026-07-30T00:00:00"/>
    <m/>
    <d v="2026-07-30T00:00:00"/>
    <n v="-35782"/>
    <x v="0"/>
    <s v="58"/>
    <e v="#N/A"/>
    <m/>
    <n v="0"/>
    <e v="#N/A"/>
    <e v="#N/A"/>
  </r>
  <r>
    <x v="11"/>
    <x v="11"/>
    <s v="0328"/>
    <x v="3"/>
    <s v="TF trfr within plant"/>
    <s v="4917596112"/>
    <s v="P003"/>
    <x v="14"/>
    <x v="0"/>
    <s v="16:43:24"/>
    <s v="PRONDTAN"/>
    <s v="0002"/>
    <s v=""/>
    <s v="0000"/>
    <s v=""/>
    <s v="0000000000"/>
    <s v=""/>
    <s v=""/>
    <s v=""/>
    <s v=""/>
    <s v=""/>
    <s v=""/>
    <s v=""/>
    <s v=""/>
    <m/>
    <x v="0"/>
    <n v="35782"/>
    <n v="0"/>
    <d v="2026-07-30T00:00:00"/>
    <d v="2026-07-30T00:00:00"/>
    <m/>
    <d v="2026-07-30T00:00:00"/>
    <n v="35782"/>
    <x v="0"/>
    <s v="58"/>
    <e v="#N/A"/>
    <m/>
    <n v="0"/>
    <e v="#N/A"/>
    <e v="#N/A"/>
  </r>
  <r>
    <x v="23"/>
    <x v="23"/>
    <s v="0328"/>
    <x v="4"/>
    <s v="GI for order"/>
    <s v="4917596345"/>
    <s v="P003"/>
    <x v="110"/>
    <x v="79"/>
    <s v="16:47:12"/>
    <s v="JURASDOK"/>
    <s v="0002"/>
    <s v=""/>
    <s v="0000"/>
    <s v=""/>
    <s v="0152033093"/>
    <s v=""/>
    <s v=""/>
    <s v=""/>
    <s v="53001003"/>
    <s v=""/>
    <s v=""/>
    <s v=""/>
    <s v=""/>
    <m/>
    <x v="3"/>
    <n v="-8849.23"/>
    <n v="-2877238.64"/>
    <d v="2026-07-30T00:00:00"/>
    <d v="2026-07-25T00:00:00"/>
    <m/>
    <d v="2026-07-30T00:00:00"/>
    <n v="-8849230"/>
    <x v="2"/>
    <s v="57"/>
    <s v="ต้นทุนผลิตกึ่งสำเร็จ"/>
    <m/>
    <n v="325.1399997513908"/>
    <e v="#N/A"/>
    <e v="#N/A"/>
  </r>
  <r>
    <x v="11"/>
    <x v="11"/>
    <s v="0328"/>
    <x v="4"/>
    <s v="GI for order"/>
    <s v="4917596345"/>
    <s v="P003"/>
    <x v="14"/>
    <x v="79"/>
    <s v="16:47:12"/>
    <s v="JURASDOK"/>
    <s v="0003"/>
    <s v=""/>
    <s v="0000"/>
    <s v=""/>
    <s v="0152033093"/>
    <s v=""/>
    <s v=""/>
    <s v=""/>
    <s v="53003000"/>
    <s v=""/>
    <s v=""/>
    <s v=""/>
    <s v=""/>
    <m/>
    <x v="0"/>
    <n v="-17947"/>
    <n v="-15178.99"/>
    <d v="2026-07-30T00:00:00"/>
    <d v="2026-07-25T00:00:00"/>
    <m/>
    <d v="2026-07-30T00:00:00"/>
    <n v="-17947"/>
    <x v="2"/>
    <s v="58"/>
    <s v="ต้นทุนผลิตหีบห่อ"/>
    <m/>
    <n v="0.84576753775004176"/>
    <e v="#N/A"/>
    <e v="#N/A"/>
  </r>
  <r>
    <x v="12"/>
    <x v="12"/>
    <s v="0328"/>
    <x v="4"/>
    <s v="GI for order"/>
    <s v="4917596345"/>
    <s v="P003"/>
    <x v="47"/>
    <x v="79"/>
    <s v="16:47:12"/>
    <s v="JURASDOK"/>
    <s v="0004"/>
    <s v=""/>
    <s v="0000"/>
    <s v=""/>
    <s v="0152033093"/>
    <s v=""/>
    <s v=""/>
    <s v=""/>
    <s v="53003000"/>
    <s v=""/>
    <s v=""/>
    <s v=""/>
    <s v=""/>
    <m/>
    <x v="0"/>
    <n v="-17947"/>
    <n v="-37392.339999999997"/>
    <d v="2026-07-30T00:00:00"/>
    <d v="2026-07-25T00:00:00"/>
    <m/>
    <d v="2026-07-30T00:00:00"/>
    <n v="-17947"/>
    <x v="2"/>
    <s v="58"/>
    <s v="ต้นทุนผลิตหีบห่อ"/>
    <m/>
    <n v="2.0834869337493731"/>
    <e v="#N/A"/>
    <e v="#N/A"/>
  </r>
  <r>
    <x v="13"/>
    <x v="13"/>
    <s v="0328"/>
    <x v="4"/>
    <s v="GI for order"/>
    <s v="4917596345"/>
    <s v="P003"/>
    <x v="93"/>
    <x v="79"/>
    <s v="16:47:12"/>
    <s v="JURASDOK"/>
    <s v="0005"/>
    <s v=""/>
    <s v="0000"/>
    <s v=""/>
    <s v="0152033093"/>
    <s v=""/>
    <s v=""/>
    <s v=""/>
    <s v="53003000"/>
    <s v=""/>
    <s v=""/>
    <s v=""/>
    <s v=""/>
    <m/>
    <x v="0"/>
    <n v="-2960"/>
    <n v="-14800"/>
    <d v="2026-07-30T00:00:00"/>
    <d v="2026-07-25T00:00:00"/>
    <m/>
    <d v="2026-07-30T00:00:00"/>
    <n v="-2960"/>
    <x v="2"/>
    <s v="58"/>
    <s v="ต้นทุนผลิตหีบห่อ"/>
    <m/>
    <n v="5"/>
    <e v="#N/A"/>
    <e v="#N/A"/>
  </r>
  <r>
    <x v="5"/>
    <x v="5"/>
    <s v="0328"/>
    <x v="5"/>
    <s v="GR for order"/>
    <s v="4917596345"/>
    <s v="M001"/>
    <x v="111"/>
    <x v="79"/>
    <s v="16:47:12"/>
    <s v="JURASDOK"/>
    <s v="0001"/>
    <s v=""/>
    <s v="0000"/>
    <s v=""/>
    <s v="0000000000"/>
    <s v=""/>
    <s v=""/>
    <s v=""/>
    <s v="53001001"/>
    <s v=""/>
    <s v=""/>
    <s v=""/>
    <s v=""/>
    <m/>
    <x v="2"/>
    <n v="17671"/>
    <n v="3001596.06"/>
    <d v="2026-07-30T00:00:00"/>
    <d v="2026-07-25T00:00:00"/>
    <m/>
    <d v="2026-07-30T00:00:00"/>
    <n v="8835500"/>
    <x v="2"/>
    <s v="59"/>
    <s v="ต้นทุนผลิตโอน F/G"/>
    <m/>
    <n v="169.86"/>
    <e v="#N/A"/>
    <e v="#N/A"/>
  </r>
  <r>
    <x v="5"/>
    <x v="5"/>
    <s v="0328"/>
    <x v="1"/>
    <s v="GI ค่าวิจัยและพัฒนา"/>
    <s v="4917636428"/>
    <s v="M001"/>
    <x v="89"/>
    <x v="0"/>
    <s v="06:22:30"/>
    <s v="PRONDTAN"/>
    <s v="0002"/>
    <s v=""/>
    <s v="0000"/>
    <s v=""/>
    <s v="0152034962"/>
    <s v=""/>
    <s v="ตรวจเพิ่ม 23.7.26.3A012R002 P.27,28,29"/>
    <s v="405053"/>
    <s v="67501001"/>
    <s v=""/>
    <s v=""/>
    <s v=""/>
    <s v=""/>
    <m/>
    <x v="2"/>
    <n v="-5"/>
    <n v="-849.3"/>
    <d v="2026-07-30T00:00:00"/>
    <d v="2026-07-31T00:00:00"/>
    <m/>
    <d v="2026-07-31T00:00:00"/>
    <n v="-2500"/>
    <x v="0"/>
    <s v="59"/>
    <s v="ค่าวิจัยคุณภาพสินค้า"/>
    <m/>
    <n v="169.85999999999999"/>
    <e v="#N/A"/>
    <e v="#N/A"/>
  </r>
  <r>
    <x v="5"/>
    <x v="5"/>
    <s v="0328"/>
    <x v="1"/>
    <s v="GI ค่าวิจัยและพัฒนา"/>
    <s v="4917636428"/>
    <s v="M001"/>
    <x v="89"/>
    <x v="0"/>
    <s v="06:22:30"/>
    <s v="PRONDTAN"/>
    <s v="0001"/>
    <s v=""/>
    <s v="0000"/>
    <s v=""/>
    <s v="0152034962"/>
    <s v=""/>
    <s v="ตรวจเพิ่ม 23.7.26.2A012R002 P.32,33"/>
    <s v="405053"/>
    <s v="67501001"/>
    <s v=""/>
    <s v=""/>
    <s v=""/>
    <s v=""/>
    <m/>
    <x v="2"/>
    <n v="-2"/>
    <n v="-339.72"/>
    <d v="2026-07-30T00:00:00"/>
    <d v="2026-07-31T00:00:00"/>
    <m/>
    <d v="2026-07-31T00:00:00"/>
    <n v="-1000"/>
    <x v="0"/>
    <s v="59"/>
    <s v="ค่าวิจัยคุณภาพสินค้า"/>
    <m/>
    <n v="169.86"/>
    <e v="#N/A"/>
    <e v="#N/A"/>
  </r>
  <r>
    <x v="18"/>
    <x v="18"/>
    <s v="0328"/>
    <x v="4"/>
    <s v="GI for order"/>
    <s v="4917651321"/>
    <s v="P002"/>
    <x v="96"/>
    <x v="80"/>
    <s v="09:18:54"/>
    <s v="JURASDOK"/>
    <s v="0002"/>
    <s v=""/>
    <s v="0000"/>
    <s v=""/>
    <s v="0152054828"/>
    <s v=""/>
    <s v=""/>
    <s v=""/>
    <s v="53001003"/>
    <s v=""/>
    <s v=""/>
    <s v=""/>
    <s v=""/>
    <m/>
    <x v="3"/>
    <n v="-8640.06"/>
    <n v="-2340073.85"/>
    <d v="2026-07-31T00:00:00"/>
    <d v="2026-07-27T00:00:00"/>
    <m/>
    <d v="2026-07-31T00:00:00"/>
    <n v="-8640060"/>
    <x v="4"/>
    <s v="57"/>
    <s v="ต้นทุนผลิตกึ่งสำเร็จ"/>
    <m/>
    <n v="270.83999995370408"/>
    <e v="#N/A"/>
    <e v="#N/A"/>
  </r>
  <r>
    <x v="19"/>
    <x v="19"/>
    <s v="0328"/>
    <x v="4"/>
    <s v="GI for order"/>
    <s v="4917651321"/>
    <s v="P002"/>
    <x v="109"/>
    <x v="80"/>
    <s v="09:18:54"/>
    <s v="JURASDOK"/>
    <s v="0003"/>
    <s v=""/>
    <s v="0000"/>
    <s v=""/>
    <s v="0152054828"/>
    <s v=""/>
    <s v=""/>
    <s v=""/>
    <s v="53001003"/>
    <s v=""/>
    <s v=""/>
    <s v=""/>
    <s v=""/>
    <m/>
    <x v="3"/>
    <n v="-2160.92"/>
    <n v="-345595.93"/>
    <d v="2026-07-31T00:00:00"/>
    <d v="2026-07-27T00:00:00"/>
    <m/>
    <d v="2026-07-31T00:00:00"/>
    <n v="-2160920"/>
    <x v="4"/>
    <s v="57"/>
    <s v="ต้นทุนผลิตกึ่งสำเร็จ"/>
    <m/>
    <n v="159.92999740851118"/>
    <e v="#N/A"/>
    <e v="#N/A"/>
  </r>
  <r>
    <x v="23"/>
    <x v="23"/>
    <s v="0328"/>
    <x v="5"/>
    <s v="GR for order"/>
    <s v="4917651321"/>
    <s v="P003"/>
    <x v="112"/>
    <x v="80"/>
    <s v="09:18:54"/>
    <s v="JURASDOK"/>
    <s v="0001"/>
    <s v=""/>
    <s v="0000"/>
    <s v=""/>
    <s v="0000000000"/>
    <s v=""/>
    <s v=""/>
    <s v=""/>
    <s v="53001004"/>
    <s v=""/>
    <s v=""/>
    <s v=""/>
    <s v=""/>
    <m/>
    <x v="3"/>
    <n v="8647.75"/>
    <n v="2811729.44"/>
    <d v="2026-07-31T00:00:00"/>
    <d v="2026-07-27T00:00:00"/>
    <m/>
    <d v="2026-07-31T00:00:00"/>
    <n v="8647750"/>
    <x v="4"/>
    <s v="57"/>
    <s v="ต้นทุนผลิตโอน Semi"/>
    <m/>
    <n v="325.1400005781851"/>
    <e v="#N/A"/>
    <e v="#N/A"/>
  </r>
  <r>
    <x v="13"/>
    <x v="13"/>
    <s v="0328"/>
    <x v="3"/>
    <s v="TF trfr within plant"/>
    <s v="4917651576"/>
    <s v="M003"/>
    <x v="113"/>
    <x v="0"/>
    <s v="09:25:29"/>
    <s v="JURASDOK"/>
    <s v="0001"/>
    <s v=""/>
    <s v="0000"/>
    <s v=""/>
    <s v="0000000000"/>
    <s v=""/>
    <s v=""/>
    <s v=""/>
    <s v=""/>
    <s v=""/>
    <s v=""/>
    <s v=""/>
    <s v=""/>
    <m/>
    <x v="0"/>
    <n v="-2000"/>
    <n v="0"/>
    <d v="2026-07-31T00:00:00"/>
    <d v="2026-07-31T00:00:00"/>
    <m/>
    <d v="2026-07-31T00:00:00"/>
    <n v="-2000"/>
    <x v="0"/>
    <s v="58"/>
    <e v="#N/A"/>
    <m/>
    <n v="0"/>
    <e v="#N/A"/>
    <e v="#N/A"/>
  </r>
  <r>
    <x v="13"/>
    <x v="13"/>
    <s v="0328"/>
    <x v="3"/>
    <s v="TF trfr within plant"/>
    <s v="4917651576"/>
    <s v="P003"/>
    <x v="113"/>
    <x v="0"/>
    <s v="09:25:29"/>
    <s v="JURASDOK"/>
    <s v="0002"/>
    <s v=""/>
    <s v="0000"/>
    <s v=""/>
    <s v="0000000000"/>
    <s v=""/>
    <s v=""/>
    <s v=""/>
    <s v=""/>
    <s v=""/>
    <s v=""/>
    <s v=""/>
    <s v=""/>
    <m/>
    <x v="0"/>
    <n v="2000"/>
    <n v="0"/>
    <d v="2026-07-31T00:00:00"/>
    <d v="2026-07-31T00:00:00"/>
    <m/>
    <d v="2026-07-31T00:00:00"/>
    <n v="2000"/>
    <x v="0"/>
    <s v="58"/>
    <e v="#N/A"/>
    <m/>
    <n v="0"/>
    <e v="#N/A"/>
    <e v="#N/A"/>
  </r>
  <r>
    <x v="23"/>
    <x v="23"/>
    <s v="0328"/>
    <x v="4"/>
    <s v="GI for order"/>
    <s v="4917651682"/>
    <s v="P003"/>
    <x v="112"/>
    <x v="81"/>
    <s v="09:26:28"/>
    <s v="JURASDOK"/>
    <s v="0002"/>
    <s v=""/>
    <s v="0000"/>
    <s v=""/>
    <s v="0152054872"/>
    <s v=""/>
    <s v=""/>
    <s v=""/>
    <s v="53001003"/>
    <s v=""/>
    <s v=""/>
    <s v=""/>
    <s v=""/>
    <m/>
    <x v="3"/>
    <n v="-8647.75"/>
    <n v="-2811729.44"/>
    <d v="2026-07-31T00:00:00"/>
    <d v="2026-07-27T00:00:00"/>
    <m/>
    <d v="2026-07-31T00:00:00"/>
    <n v="-8647750"/>
    <x v="2"/>
    <s v="57"/>
    <s v="ต้นทุนผลิตกึ่งสำเร็จ"/>
    <m/>
    <n v="325.1400005781851"/>
    <e v="#N/A"/>
    <e v="#N/A"/>
  </r>
  <r>
    <x v="11"/>
    <x v="11"/>
    <s v="0328"/>
    <x v="4"/>
    <s v="GI for order"/>
    <s v="4917651682"/>
    <s v="P003"/>
    <x v="14"/>
    <x v="81"/>
    <s v="09:26:28"/>
    <s v="JURASDOK"/>
    <s v="0003"/>
    <s v=""/>
    <s v="0000"/>
    <s v=""/>
    <s v="0152054872"/>
    <s v=""/>
    <s v=""/>
    <s v=""/>
    <s v="53003000"/>
    <s v=""/>
    <s v=""/>
    <s v=""/>
    <s v=""/>
    <m/>
    <x v="0"/>
    <n v="-17835"/>
    <n v="-15084.27"/>
    <d v="2026-07-31T00:00:00"/>
    <d v="2026-07-27T00:00:00"/>
    <m/>
    <d v="2026-07-31T00:00:00"/>
    <n v="-17835"/>
    <x v="2"/>
    <s v="58"/>
    <s v="ต้นทุนผลิตหีบห่อ"/>
    <m/>
    <n v="0.84576787216148031"/>
    <e v="#N/A"/>
    <e v="#N/A"/>
  </r>
  <r>
    <x v="12"/>
    <x v="12"/>
    <s v="0328"/>
    <x v="4"/>
    <s v="GI for order"/>
    <s v="4917651682"/>
    <s v="P003"/>
    <x v="47"/>
    <x v="81"/>
    <s v="09:26:28"/>
    <s v="JURASDOK"/>
    <s v="0004"/>
    <s v=""/>
    <s v="0000"/>
    <s v=""/>
    <s v="0152054872"/>
    <s v=""/>
    <s v=""/>
    <s v=""/>
    <s v="53003000"/>
    <s v=""/>
    <s v=""/>
    <s v=""/>
    <s v=""/>
    <m/>
    <x v="0"/>
    <n v="-17835"/>
    <n v="-37158.99"/>
    <d v="2026-07-31T00:00:00"/>
    <d v="2026-07-27T00:00:00"/>
    <m/>
    <d v="2026-07-31T00:00:00"/>
    <n v="-17835"/>
    <x v="2"/>
    <s v="58"/>
    <s v="ต้นทุนผลิตหีบห่อ"/>
    <m/>
    <n v="2.0834869638351554"/>
    <e v="#N/A"/>
    <e v="#N/A"/>
  </r>
  <r>
    <x v="13"/>
    <x v="13"/>
    <s v="0328"/>
    <x v="4"/>
    <s v="GI for order"/>
    <s v="4917651682"/>
    <s v="P003"/>
    <x v="93"/>
    <x v="81"/>
    <s v="09:26:28"/>
    <s v="JURASDOK"/>
    <s v="0005"/>
    <s v=""/>
    <s v="0000"/>
    <s v=""/>
    <s v="0152054872"/>
    <s v=""/>
    <s v=""/>
    <s v=""/>
    <s v="53003000"/>
    <s v=""/>
    <s v=""/>
    <s v=""/>
    <s v=""/>
    <m/>
    <x v="0"/>
    <n v="-1018"/>
    <n v="-5090"/>
    <d v="2026-07-31T00:00:00"/>
    <d v="2026-07-27T00:00:00"/>
    <m/>
    <d v="2026-07-31T00:00:00"/>
    <n v="-1018"/>
    <x v="2"/>
    <s v="58"/>
    <s v="ต้นทุนผลิตหีบห่อ"/>
    <m/>
    <n v="5"/>
    <e v="#N/A"/>
    <e v="#N/A"/>
  </r>
  <r>
    <x v="13"/>
    <x v="13"/>
    <s v="0328"/>
    <x v="4"/>
    <s v="GI for order"/>
    <s v="4917651682"/>
    <s v="P003"/>
    <x v="113"/>
    <x v="81"/>
    <s v="09:26:28"/>
    <s v="JURASDOK"/>
    <s v="0006"/>
    <s v=""/>
    <s v="0000"/>
    <s v=""/>
    <s v="0000000000"/>
    <s v=""/>
    <s v="All Cafe ลังกระดาษ (287*240*177 mm.)"/>
    <s v=""/>
    <s v="53003000"/>
    <s v=""/>
    <s v=""/>
    <s v=""/>
    <s v=""/>
    <m/>
    <x v="0"/>
    <n v="-1865"/>
    <n v="-9325"/>
    <d v="2026-07-31T00:00:00"/>
    <d v="2026-07-27T00:00:00"/>
    <m/>
    <d v="2026-07-31T00:00:00"/>
    <n v="-1865"/>
    <x v="2"/>
    <s v="58"/>
    <s v="ต้นทุนผลิตหีบห่อ"/>
    <m/>
    <n v="5"/>
    <e v="#N/A"/>
    <e v="#N/A"/>
  </r>
  <r>
    <x v="5"/>
    <x v="5"/>
    <s v="0328"/>
    <x v="5"/>
    <s v="GR for order"/>
    <s v="4917651682"/>
    <s v="M001"/>
    <x v="114"/>
    <x v="81"/>
    <s v="09:26:28"/>
    <s v="JURASDOK"/>
    <s v="0001"/>
    <s v=""/>
    <s v="0000"/>
    <s v=""/>
    <s v="0000000000"/>
    <s v=""/>
    <s v=""/>
    <s v=""/>
    <s v="53001001"/>
    <s v=""/>
    <s v=""/>
    <s v=""/>
    <s v=""/>
    <m/>
    <x v="2"/>
    <n v="17278"/>
    <n v="2934841.08"/>
    <d v="2026-07-31T00:00:00"/>
    <d v="2026-07-27T00:00:00"/>
    <m/>
    <d v="2026-07-31T00:00:00"/>
    <n v="8639000"/>
    <x v="2"/>
    <s v="59"/>
    <s v="ต้นทุนผลิตโอน F/G"/>
    <m/>
    <n v="169.86"/>
    <e v="#N/A"/>
    <e v="#N/A"/>
  </r>
  <r>
    <x v="26"/>
    <x v="26"/>
    <s v="0328"/>
    <x v="0"/>
    <s v="TF trfr plnt to plnt"/>
    <s v="4917651691"/>
    <s v="M001"/>
    <x v="13"/>
    <x v="0"/>
    <s v="09:26:32"/>
    <s v="THANAWIS"/>
    <s v="0002"/>
    <s v=""/>
    <s v="0000"/>
    <s v=""/>
    <s v="0000000000"/>
    <s v="เพื่อรีแพคสินค้า"/>
    <s v=""/>
    <s v=""/>
    <s v=""/>
    <s v=""/>
    <s v=""/>
    <s v=""/>
    <s v=""/>
    <m/>
    <x v="2"/>
    <n v="393"/>
    <n v="0"/>
    <d v="2026-07-31T00:00:00"/>
    <d v="2026-07-31T00:00:00"/>
    <m/>
    <d v="2026-07-31T00:00:00"/>
    <n v="98250"/>
    <x v="0"/>
    <s v="59"/>
    <e v="#N/A"/>
    <m/>
    <n v="0"/>
    <e v="#N/A"/>
    <e v="#N/A"/>
  </r>
  <r>
    <x v="26"/>
    <x v="26"/>
    <s v="0328"/>
    <x v="0"/>
    <s v="TF trfr plnt to plnt"/>
    <s v="4917651691"/>
    <s v="P004"/>
    <x v="13"/>
    <x v="0"/>
    <s v="09:26:32"/>
    <s v="THANAWIS"/>
    <s v="0001"/>
    <s v=""/>
    <s v="0000"/>
    <s v=""/>
    <s v="0000000000"/>
    <s v="เพื่อรีแพคสินค้า"/>
    <s v=""/>
    <s v=""/>
    <s v=""/>
    <s v=""/>
    <s v=""/>
    <s v=""/>
    <s v=""/>
    <m/>
    <x v="2"/>
    <n v="-393"/>
    <n v="0"/>
    <d v="2026-07-31T00:00:00"/>
    <d v="2026-07-31T00:00:00"/>
    <m/>
    <d v="2026-07-31T00:00:00"/>
    <n v="-98250"/>
    <x v="0"/>
    <s v="59"/>
    <e v="#N/A"/>
    <m/>
    <n v="0"/>
    <e v="#N/A"/>
    <e v="#N/A"/>
  </r>
  <r>
    <x v="10"/>
    <x v="10"/>
    <s v="0328"/>
    <x v="0"/>
    <s v="TF trfr plnt to plnt"/>
    <s v="4917651691"/>
    <s v="P004"/>
    <x v="13"/>
    <x v="0"/>
    <s v="09:26:32"/>
    <s v="THANAWIS"/>
    <s v="0003"/>
    <s v=""/>
    <s v="0000"/>
    <s v=""/>
    <s v="0000000000"/>
    <s v="เพื่อรีแพคสินค้า"/>
    <s v=""/>
    <s v=""/>
    <s v=""/>
    <s v=""/>
    <s v=""/>
    <s v=""/>
    <s v=""/>
    <m/>
    <x v="2"/>
    <n v="-728"/>
    <n v="0"/>
    <d v="2026-07-31T00:00:00"/>
    <d v="2026-07-31T00:00:00"/>
    <m/>
    <d v="2026-07-31T00:00:00"/>
    <n v="-364000"/>
    <x v="0"/>
    <s v="59"/>
    <e v="#N/A"/>
    <m/>
    <n v="0"/>
    <e v="#N/A"/>
    <e v="#N/A"/>
  </r>
  <r>
    <x v="10"/>
    <x v="10"/>
    <s v="0328"/>
    <x v="0"/>
    <s v="TF trfr plnt to plnt"/>
    <s v="4917651691"/>
    <s v="M001"/>
    <x v="13"/>
    <x v="0"/>
    <s v="09:26:32"/>
    <s v="THANAWIS"/>
    <s v="0004"/>
    <s v=""/>
    <s v="0000"/>
    <s v=""/>
    <s v="0000000000"/>
    <s v="เพื่อรีแพคสินค้า"/>
    <s v=""/>
    <s v=""/>
    <s v=""/>
    <s v=""/>
    <s v=""/>
    <s v=""/>
    <s v=""/>
    <m/>
    <x v="2"/>
    <n v="728"/>
    <n v="0"/>
    <d v="2026-07-31T00:00:00"/>
    <d v="2026-07-31T00:00:00"/>
    <m/>
    <d v="2026-07-31T00:00:00"/>
    <n v="364000"/>
    <x v="0"/>
    <s v="59"/>
    <e v="#N/A"/>
    <m/>
    <n v="0"/>
    <e v="#N/A"/>
    <e v="#N/A"/>
  </r>
  <r>
    <x v="30"/>
    <x v="30"/>
    <s v="0328"/>
    <x v="18"/>
    <s v="GI other expenses"/>
    <s v="4917652121"/>
    <s v="M004"/>
    <x v="115"/>
    <x v="0"/>
    <s v="09:35:19"/>
    <s v="JURASDOK"/>
    <s v="0001"/>
    <s v=""/>
    <s v="9904"/>
    <s v=""/>
    <s v="0000000000"/>
    <s v="ตัดแก๊สเดือน 7/26"/>
    <s v="ตัดแก๊สเดือน 07 -26"/>
    <s v="405051"/>
    <s v="67601000"/>
    <s v=""/>
    <s v=""/>
    <s v=""/>
    <s v=""/>
    <m/>
    <x v="0"/>
    <n v="-35"/>
    <n v="-36225"/>
    <d v="2026-07-31T00:00:00"/>
    <d v="2026-07-31T00:00:00"/>
    <m/>
    <d v="2026-07-31T00:00:00"/>
    <n v="-35"/>
    <x v="0"/>
    <s v="54"/>
    <s v="ค่าเชื้อเพลิง"/>
    <m/>
    <n v="1035"/>
    <e v="#N/A"/>
    <e v="#N/A"/>
  </r>
  <r>
    <x v="30"/>
    <x v="30"/>
    <s v="0328"/>
    <x v="18"/>
    <s v="GI other expenses"/>
    <s v="4917652121"/>
    <s v="M004"/>
    <x v="116"/>
    <x v="0"/>
    <s v="09:35:19"/>
    <s v="JURASDOK"/>
    <s v="0002"/>
    <s v=""/>
    <s v="9904"/>
    <s v=""/>
    <s v="0000000000"/>
    <s v="ตัดแก๊สเดือน 7/26"/>
    <s v="ตัดแก๊สเดือน 07 -26"/>
    <s v="405051"/>
    <s v="67601000"/>
    <s v=""/>
    <s v=""/>
    <s v=""/>
    <s v=""/>
    <m/>
    <x v="0"/>
    <n v="-311"/>
    <n v="-321885"/>
    <d v="2026-07-31T00:00:00"/>
    <d v="2026-07-31T00:00:00"/>
    <m/>
    <d v="2026-07-31T00:00:00"/>
    <n v="-311"/>
    <x v="0"/>
    <s v="54"/>
    <s v="ค่าเชื้อเพลิง"/>
    <m/>
    <n v="1035"/>
    <e v="#N/A"/>
    <e v="#N/A"/>
  </r>
  <r>
    <x v="14"/>
    <x v="14"/>
    <s v="0328"/>
    <x v="1"/>
    <s v="GI ค่าวิจัยและพัฒนา"/>
    <s v="4917653075"/>
    <s v="P001"/>
    <x v="19"/>
    <x v="0"/>
    <s v="09:50:56"/>
    <s v="SUTEESEA"/>
    <s v="0001"/>
    <s v=""/>
    <s v="0000"/>
    <s v=""/>
    <s v="0150984885"/>
    <s v=""/>
    <s v="A.CPBF 25.3.26 CL13:45 Silo1"/>
    <s v="405053"/>
    <s v="67501001"/>
    <s v=""/>
    <s v=""/>
    <s v=""/>
    <s v=""/>
    <m/>
    <x v="5"/>
    <n v="-500"/>
    <n v="-132.21"/>
    <d v="2026-07-04T00:00:00"/>
    <d v="2026-07-04T00:00:00"/>
    <m/>
    <d v="2026-07-31T00:00:00"/>
    <n v="-500"/>
    <x v="0"/>
    <s v="54"/>
    <s v="ค่าวิจัยคุณภาพสินค้า"/>
    <m/>
    <n v="0.26441999999999999"/>
    <e v="#N/A"/>
    <e v="#N/A"/>
  </r>
  <r>
    <x v="14"/>
    <x v="14"/>
    <s v="0328"/>
    <x v="1"/>
    <s v="GI ค่าวิจัยและพัฒนา"/>
    <s v="4917653377"/>
    <s v="P001"/>
    <x v="52"/>
    <x v="0"/>
    <s v="09:58:10"/>
    <s v="SUTEESEA"/>
    <s v="0001"/>
    <s v=""/>
    <s v="0000"/>
    <s v=""/>
    <s v="0152055047"/>
    <s v=""/>
    <s v="A.CPBF 22.04.26 CL09:30 Silo 1"/>
    <s v="405053"/>
    <s v="67501001"/>
    <s v=""/>
    <s v=""/>
    <s v=""/>
    <s v=""/>
    <m/>
    <x v="5"/>
    <n v="-500"/>
    <n v="-132.21"/>
    <d v="2026-07-31T00:00:00"/>
    <d v="2026-07-31T00:00:00"/>
    <m/>
    <d v="2026-07-31T00:00:00"/>
    <n v="-500"/>
    <x v="0"/>
    <s v="54"/>
    <s v="ค่าวิจัยคุณภาพสินค้า"/>
    <m/>
    <n v="0.26441999999999999"/>
    <e v="#N/A"/>
    <e v="#N/A"/>
  </r>
  <r>
    <x v="14"/>
    <x v="14"/>
    <s v="0328"/>
    <x v="1"/>
    <s v="GI ค่าวิจัยและพัฒนา"/>
    <s v="4917653588"/>
    <s v="P001"/>
    <x v="52"/>
    <x v="0"/>
    <s v="10:03:52"/>
    <s v="SUTEESEA"/>
    <s v="0001"/>
    <s v=""/>
    <s v="0000"/>
    <s v=""/>
    <s v="0152055067"/>
    <s v=""/>
    <s v="A.CF 23.06.26 CL09:30 Silo 3"/>
    <s v="405053"/>
    <s v="67501001"/>
    <s v=""/>
    <s v=""/>
    <s v=""/>
    <s v=""/>
    <m/>
    <x v="5"/>
    <n v="-500"/>
    <n v="-132.21"/>
    <d v="2026-07-31T00:00:00"/>
    <d v="2026-07-31T00:00:00"/>
    <m/>
    <d v="2026-07-31T00:00:00"/>
    <n v="-500"/>
    <x v="0"/>
    <s v="54"/>
    <s v="ค่าวิจัยคุณภาพสินค้า"/>
    <m/>
    <n v="0.26441999999999999"/>
    <e v="#N/A"/>
    <e v="#N/A"/>
  </r>
  <r>
    <x v="14"/>
    <x v="14"/>
    <s v="0328"/>
    <x v="3"/>
    <s v="TF trfr within plant"/>
    <s v="4917654746"/>
    <s v="P001"/>
    <x v="117"/>
    <x v="0"/>
    <s v="10:28:09"/>
    <s v="RAPEESAN01"/>
    <s v="0004"/>
    <s v=""/>
    <s v="0000"/>
    <s v=""/>
    <s v="0000000000"/>
    <s v=""/>
    <s v=""/>
    <s v=""/>
    <s v=""/>
    <s v=""/>
    <s v=""/>
    <s v=""/>
    <s v=""/>
    <m/>
    <x v="3"/>
    <n v="10006"/>
    <n v="0"/>
    <d v="2026-07-31T00:00:00"/>
    <d v="2026-07-31T00:00:00"/>
    <m/>
    <d v="2026-07-31T00:00:00"/>
    <n v="10006000"/>
    <x v="0"/>
    <s v="54"/>
    <e v="#N/A"/>
    <m/>
    <n v="0"/>
    <e v="#N/A"/>
    <e v="#N/A"/>
  </r>
  <r>
    <x v="14"/>
    <x v="14"/>
    <s v="0328"/>
    <x v="3"/>
    <s v="TF trfr within plant"/>
    <s v="4917654746"/>
    <s v="M002"/>
    <x v="117"/>
    <x v="0"/>
    <s v="10:28:09"/>
    <s v="RAPEESAN01"/>
    <s v="0003"/>
    <s v=""/>
    <s v="0000"/>
    <s v=""/>
    <s v="0000000000"/>
    <s v=""/>
    <s v=""/>
    <s v=""/>
    <s v=""/>
    <s v=""/>
    <s v=""/>
    <s v=""/>
    <s v=""/>
    <m/>
    <x v="3"/>
    <n v="-10006"/>
    <n v="0"/>
    <d v="2026-07-31T00:00:00"/>
    <d v="2026-07-31T00:00:00"/>
    <m/>
    <d v="2026-07-31T00:00:00"/>
    <n v="-10006000"/>
    <x v="0"/>
    <s v="54"/>
    <e v="#N/A"/>
    <m/>
    <n v="0"/>
    <e v="#N/A"/>
    <e v="#N/A"/>
  </r>
  <r>
    <x v="14"/>
    <x v="14"/>
    <s v="0328"/>
    <x v="3"/>
    <s v="TF trfr within plant"/>
    <s v="4917654746"/>
    <s v="P001"/>
    <x v="96"/>
    <x v="0"/>
    <s v="10:28:09"/>
    <s v="RAPEESAN01"/>
    <s v="0002"/>
    <s v=""/>
    <s v="0000"/>
    <s v=""/>
    <s v="0000000000"/>
    <s v=""/>
    <s v=""/>
    <s v=""/>
    <s v=""/>
    <s v=""/>
    <s v=""/>
    <s v=""/>
    <s v=""/>
    <m/>
    <x v="3"/>
    <n v="7975.9"/>
    <n v="0"/>
    <d v="2026-07-31T00:00:00"/>
    <d v="2026-07-31T00:00:00"/>
    <m/>
    <d v="2026-07-31T00:00:00"/>
    <n v="7975900"/>
    <x v="0"/>
    <s v="54"/>
    <e v="#N/A"/>
    <m/>
    <n v="0"/>
    <e v="#N/A"/>
    <e v="#N/A"/>
  </r>
  <r>
    <x v="14"/>
    <x v="14"/>
    <s v="0328"/>
    <x v="3"/>
    <s v="TF trfr within plant"/>
    <s v="4917654746"/>
    <s v="M002"/>
    <x v="96"/>
    <x v="0"/>
    <s v="10:28:09"/>
    <s v="RAPEESAN01"/>
    <s v="0001"/>
    <s v=""/>
    <s v="0000"/>
    <s v=""/>
    <s v="0000000000"/>
    <s v=""/>
    <s v=""/>
    <s v=""/>
    <s v=""/>
    <s v=""/>
    <s v=""/>
    <s v=""/>
    <s v=""/>
    <m/>
    <x v="3"/>
    <n v="-7975.9"/>
    <n v="0"/>
    <d v="2026-07-31T00:00:00"/>
    <d v="2026-07-31T00:00:00"/>
    <m/>
    <d v="2026-07-31T00:00:00"/>
    <n v="-7975900"/>
    <x v="0"/>
    <s v="54"/>
    <e v="#N/A"/>
    <m/>
    <n v="0"/>
    <e v="#N/A"/>
    <e v="#N/A"/>
  </r>
  <r>
    <x v="7"/>
    <x v="7"/>
    <s v="0328"/>
    <x v="3"/>
    <s v="TF trfr within plant"/>
    <s v="4917654746"/>
    <s v="M002"/>
    <x v="109"/>
    <x v="0"/>
    <s v="10:28:09"/>
    <s v="RAPEESAN01"/>
    <s v="0005"/>
    <s v=""/>
    <s v="0000"/>
    <s v=""/>
    <s v="0000000000"/>
    <s v=""/>
    <s v=""/>
    <s v=""/>
    <s v=""/>
    <s v=""/>
    <s v=""/>
    <s v=""/>
    <s v=""/>
    <m/>
    <x v="3"/>
    <n v="-10025.4"/>
    <n v="0"/>
    <d v="2026-07-31T00:00:00"/>
    <d v="2026-07-31T00:00:00"/>
    <m/>
    <d v="2026-07-31T00:00:00"/>
    <n v="-10025400"/>
    <x v="0"/>
    <s v="54"/>
    <e v="#N/A"/>
    <m/>
    <n v="0"/>
    <e v="#N/A"/>
    <e v="#N/A"/>
  </r>
  <r>
    <x v="7"/>
    <x v="7"/>
    <s v="0328"/>
    <x v="3"/>
    <s v="TF trfr within plant"/>
    <s v="4917654746"/>
    <s v="P001"/>
    <x v="109"/>
    <x v="0"/>
    <s v="10:28:09"/>
    <s v="RAPEESAN01"/>
    <s v="0006"/>
    <s v=""/>
    <s v="0000"/>
    <s v=""/>
    <s v="0000000000"/>
    <s v=""/>
    <s v=""/>
    <s v=""/>
    <s v=""/>
    <s v=""/>
    <s v=""/>
    <s v=""/>
    <s v=""/>
    <m/>
    <x v="3"/>
    <n v="10025.4"/>
    <n v="0"/>
    <d v="2026-07-31T00:00:00"/>
    <d v="2026-07-31T00:00:00"/>
    <m/>
    <d v="2026-07-31T00:00:00"/>
    <n v="10025400"/>
    <x v="0"/>
    <s v="54"/>
    <e v="#N/A"/>
    <m/>
    <n v="0"/>
    <e v="#N/A"/>
    <e v="#N/A"/>
  </r>
  <r>
    <x v="14"/>
    <x v="14"/>
    <s v="0328"/>
    <x v="4"/>
    <s v="GI for order"/>
    <s v="4917655741"/>
    <s v="P001"/>
    <x v="117"/>
    <x v="82"/>
    <s v="10:49:41"/>
    <s v="SUTEESEA"/>
    <s v="0001"/>
    <s v=""/>
    <s v="0000"/>
    <s v=""/>
    <s v="0152059193"/>
    <s v=""/>
    <s v=""/>
    <s v=""/>
    <s v="53002000"/>
    <s v=""/>
    <s v=""/>
    <s v=""/>
    <s v=""/>
    <m/>
    <x v="3"/>
    <n v="-9961"/>
    <n v="-2633931.38"/>
    <d v="2026-07-31T00:00:00"/>
    <d v="2026-07-31T00:00:00"/>
    <m/>
    <d v="2026-07-31T00:00:00"/>
    <n v="-9961000"/>
    <x v="3"/>
    <s v="54"/>
    <s v="ต้นทุนผลิต-วัตถุดิบ"/>
    <m/>
    <n v="264.42439313321955"/>
    <e v="#N/A"/>
    <e v="#N/A"/>
  </r>
  <r>
    <x v="14"/>
    <x v="14"/>
    <s v="0328"/>
    <x v="10"/>
    <s v="RE for order"/>
    <s v="4917656085"/>
    <s v="P001"/>
    <x v="117"/>
    <x v="82"/>
    <s v="10:59:09"/>
    <s v="SUTEESEA"/>
    <s v="0001"/>
    <s v=""/>
    <s v="0000"/>
    <s v=""/>
    <s v="0152059193"/>
    <s v=""/>
    <s v=""/>
    <s v=""/>
    <s v="53002000"/>
    <s v=""/>
    <s v=""/>
    <s v=""/>
    <s v=""/>
    <m/>
    <x v="3"/>
    <n v="9961"/>
    <n v="2633931.38"/>
    <d v="2026-07-31T00:00:00"/>
    <d v="2026-07-31T00:00:00"/>
    <m/>
    <d v="2026-07-31T00:00:00"/>
    <n v="9961000"/>
    <x v="3"/>
    <s v="54"/>
    <s v="ต้นทุนผลิต-วัตถุดิบ"/>
    <m/>
    <n v="264.42439313321955"/>
    <e v="#N/A"/>
    <e v="#N/A"/>
  </r>
  <r>
    <x v="14"/>
    <x v="14"/>
    <s v="0328"/>
    <x v="4"/>
    <s v="GI for order"/>
    <s v="4917656272"/>
    <s v="P001"/>
    <x v="117"/>
    <x v="82"/>
    <s v="11:03:03"/>
    <s v="SUTEESEA"/>
    <s v="0001"/>
    <s v=""/>
    <s v="0000"/>
    <s v=""/>
    <s v="0152059193"/>
    <s v=""/>
    <s v=""/>
    <s v=""/>
    <s v="53002000"/>
    <s v=""/>
    <s v=""/>
    <s v=""/>
    <s v=""/>
    <m/>
    <x v="3"/>
    <n v="-10006"/>
    <n v="-2645830.48"/>
    <d v="2026-07-31T00:00:00"/>
    <d v="2026-07-31T00:00:00"/>
    <m/>
    <d v="2026-07-31T00:00:00"/>
    <n v="-10006000"/>
    <x v="3"/>
    <s v="54"/>
    <s v="ต้นทุนผลิต-วัตถุดิบ"/>
    <m/>
    <n v="264.42439336398161"/>
    <e v="#N/A"/>
    <e v="#N/A"/>
  </r>
  <r>
    <x v="30"/>
    <x v="30"/>
    <s v="0328"/>
    <x v="5"/>
    <s v="GR goods receipt"/>
    <s v="5006449838"/>
    <s v="M004"/>
    <x v="116"/>
    <x v="0"/>
    <s v="16:21:07"/>
    <s v="WANTILER"/>
    <s v="0001"/>
    <s v="IVV0082606302835"/>
    <s v="0000"/>
    <s v=""/>
    <s v="0000000000"/>
    <s v="305056667"/>
    <s v=""/>
    <s v=""/>
    <s v=""/>
    <s v="305056667"/>
    <s v="2048975"/>
    <s v=""/>
    <s v="IVV0082606302835"/>
    <m/>
    <x v="0"/>
    <n v="10"/>
    <n v="10350"/>
    <d v="2026-07-01T00:00:00"/>
    <d v="2026-07-01T00:00:00"/>
    <m/>
    <d v="2026-07-01T00:00:00"/>
    <n v="10"/>
    <x v="0"/>
    <s v="54"/>
    <e v="#N/A"/>
    <m/>
    <n v="1035"/>
    <e v="#N/A"/>
    <e v="#N/A"/>
  </r>
  <r>
    <x v="30"/>
    <x v="30"/>
    <s v="0328"/>
    <x v="5"/>
    <s v="GR goods receipt"/>
    <s v="5006487961"/>
    <s v="M004"/>
    <x v="116"/>
    <x v="0"/>
    <s v="16:28:33"/>
    <s v="WANTILER"/>
    <s v="0001"/>
    <s v="IVV0082607010061"/>
    <s v="0000"/>
    <s v=""/>
    <s v="0000000000"/>
    <s v="305056667"/>
    <s v=""/>
    <s v=""/>
    <s v=""/>
    <s v="305056667"/>
    <s v="2048975"/>
    <s v=""/>
    <s v="IVV0082607010061"/>
    <m/>
    <x v="0"/>
    <n v="15"/>
    <n v="15525"/>
    <d v="2026-07-02T00:00:00"/>
    <d v="2026-07-02T00:00:00"/>
    <m/>
    <d v="2026-07-02T00:00:00"/>
    <n v="15"/>
    <x v="0"/>
    <s v="54"/>
    <e v="#N/A"/>
    <m/>
    <n v="1035"/>
    <e v="#N/A"/>
    <e v="#N/A"/>
  </r>
  <r>
    <x v="18"/>
    <x v="18"/>
    <s v="0328"/>
    <x v="5"/>
    <s v="GR for order"/>
    <s v="5006519400"/>
    <s v="P002"/>
    <x v="19"/>
    <x v="3"/>
    <s v="11:17:21"/>
    <s v="SUTEESEA"/>
    <s v="0001"/>
    <s v=""/>
    <s v="0000"/>
    <s v=""/>
    <s v="0000000000"/>
    <s v=""/>
    <s v="A.RPT L.20/03/2026"/>
    <s v=""/>
    <s v="53001004"/>
    <s v=""/>
    <s v=""/>
    <s v=""/>
    <s v="A.RPT 01/07/2026"/>
    <m/>
    <x v="3"/>
    <n v="9853.2000000000007"/>
    <n v="2658294.83"/>
    <d v="2026-07-01T00:00:00"/>
    <d v="2026-07-01T00:00:00"/>
    <m/>
    <d v="2026-07-03T00:00:00"/>
    <n v="9853200"/>
    <x v="3"/>
    <s v="57"/>
    <s v="ต้นทุนผลิตโอน Semi"/>
    <m/>
    <n v="269.79000020297974"/>
    <e v="#N/A"/>
    <e v="#N/A"/>
  </r>
  <r>
    <x v="17"/>
    <x v="17"/>
    <s v="0328"/>
    <x v="5"/>
    <s v="GR for order"/>
    <s v="5006519400"/>
    <s v="P002"/>
    <x v="19"/>
    <x v="3"/>
    <s v="11:17:21"/>
    <s v="SUTEESEA"/>
    <s v="0002"/>
    <s v=""/>
    <s v="0000"/>
    <s v=""/>
    <s v="0000000000"/>
    <s v=""/>
    <s v=""/>
    <s v=""/>
    <s v="53001004"/>
    <s v=""/>
    <s v=""/>
    <s v=""/>
    <s v="A.RPT 01/07/2026"/>
    <m/>
    <x v="3"/>
    <n v="171.8"/>
    <n v="46349.919999999998"/>
    <d v="2026-07-01T00:00:00"/>
    <d v="2026-07-01T00:00:00"/>
    <m/>
    <d v="2026-07-03T00:00:00"/>
    <n v="171800"/>
    <x v="3"/>
    <s v="57"/>
    <s v="ต้นทุนผลิตโอน Semi"/>
    <m/>
    <n v="269.78998835855646"/>
    <e v="#N/A"/>
    <e v="#N/A"/>
  </r>
  <r>
    <x v="19"/>
    <x v="19"/>
    <s v="0328"/>
    <x v="5"/>
    <s v="GR for order"/>
    <s v="5006525762"/>
    <s v="P002"/>
    <x v="8"/>
    <x v="4"/>
    <s v="17:03:02"/>
    <s v="SUTEESEA"/>
    <s v="0001"/>
    <s v=""/>
    <s v="0000"/>
    <s v=""/>
    <s v="0000000000"/>
    <s v=""/>
    <s v="R.BBB L.16/06/2026"/>
    <s v=""/>
    <s v="53001004"/>
    <s v=""/>
    <s v=""/>
    <s v=""/>
    <s v="R.BBB 02-07-26"/>
    <m/>
    <x v="3"/>
    <n v="9891"/>
    <n v="1588692.42"/>
    <d v="2026-07-02T00:00:00"/>
    <d v="2026-07-02T00:00:00"/>
    <m/>
    <d v="2026-07-03T00:00:00"/>
    <n v="9891000"/>
    <x v="3"/>
    <s v="57"/>
    <s v="ต้นทุนผลิตโอน Semi"/>
    <m/>
    <n v="160.62"/>
    <e v="#N/A"/>
    <e v="#N/A"/>
  </r>
  <r>
    <x v="20"/>
    <x v="20"/>
    <s v="0328"/>
    <x v="5"/>
    <s v="GR for order"/>
    <s v="5006525762"/>
    <s v="P002"/>
    <x v="8"/>
    <x v="4"/>
    <s v="17:03:02"/>
    <s v="SUTEESEA"/>
    <s v="0002"/>
    <s v=""/>
    <s v="0000"/>
    <s v=""/>
    <s v="0000000000"/>
    <s v=""/>
    <s v="R.BBB L.16/06/2026"/>
    <s v=""/>
    <s v="53001004"/>
    <s v=""/>
    <s v=""/>
    <s v=""/>
    <s v="R.BBB 02-07-26"/>
    <m/>
    <x v="3"/>
    <n v="139.19999999999999"/>
    <n v="22358.3"/>
    <d v="2026-07-02T00:00:00"/>
    <d v="2026-07-02T00:00:00"/>
    <m/>
    <d v="2026-07-03T00:00:00"/>
    <n v="139200"/>
    <x v="3"/>
    <s v="57"/>
    <s v="ต้นทุนผลิตโอน Semi"/>
    <m/>
    <n v="160.61997126436782"/>
    <e v="#N/A"/>
    <e v="#N/A"/>
  </r>
  <r>
    <x v="0"/>
    <x v="0"/>
    <s v="0328"/>
    <x v="5"/>
    <s v="GR goods receipt"/>
    <s v="5006555043"/>
    <s v="M003"/>
    <x v="65"/>
    <x v="0"/>
    <s v="09:57:24"/>
    <s v="SUTTISIT02"/>
    <s v="0001"/>
    <s v="6901266"/>
    <s v="0000"/>
    <s v=""/>
    <s v="0000000000"/>
    <s v="305057905"/>
    <s v=""/>
    <s v=""/>
    <s v=""/>
    <s v="305057905"/>
    <s v="2024222"/>
    <s v=""/>
    <s v="6901266"/>
    <m/>
    <x v="0"/>
    <n v="500"/>
    <n v="11000"/>
    <d v="2026-07-04T00:00:00"/>
    <d v="2026-07-04T00:00:00"/>
    <m/>
    <d v="2026-07-04T00:00:00"/>
    <n v="500"/>
    <x v="0"/>
    <s v="58"/>
    <e v="#N/A"/>
    <m/>
    <n v="22"/>
    <e v="#N/A"/>
    <e v="#N/A"/>
  </r>
  <r>
    <x v="13"/>
    <x v="13"/>
    <s v="0328"/>
    <x v="5"/>
    <s v="GR goods receipt"/>
    <s v="5006555516"/>
    <s v="M003"/>
    <x v="65"/>
    <x v="0"/>
    <s v="10:17:55"/>
    <s v="SUTTISIT02"/>
    <s v="0001"/>
    <s v="6901267"/>
    <s v="0000"/>
    <s v=""/>
    <s v="0000000000"/>
    <s v="305055037"/>
    <s v=""/>
    <s v=""/>
    <s v=""/>
    <s v="305055037"/>
    <s v="2024222"/>
    <s v=""/>
    <s v="6901267"/>
    <m/>
    <x v="0"/>
    <n v="15000"/>
    <n v="75000"/>
    <d v="2026-07-04T00:00:00"/>
    <d v="2026-07-04T00:00:00"/>
    <m/>
    <d v="2026-07-04T00:00:00"/>
    <n v="15000"/>
    <x v="0"/>
    <s v="58"/>
    <e v="#N/A"/>
    <m/>
    <n v="5"/>
    <e v="#N/A"/>
    <e v="#N/A"/>
  </r>
  <r>
    <x v="18"/>
    <x v="18"/>
    <s v="0328"/>
    <x v="5"/>
    <s v="GR for order"/>
    <s v="5006556455"/>
    <s v="P002"/>
    <x v="19"/>
    <x v="5"/>
    <s v="10:57:22"/>
    <s v="SUTEESEA"/>
    <s v="0001"/>
    <s v=""/>
    <s v="0000"/>
    <s v=""/>
    <s v="0000000000"/>
    <s v=""/>
    <s v="A.RPT 20/03/2026"/>
    <s v=""/>
    <s v="53001004"/>
    <s v=""/>
    <s v=""/>
    <s v=""/>
    <s v="A.RPT 03-07-26"/>
    <m/>
    <x v="3"/>
    <n v="14667.22"/>
    <n v="3957069.28"/>
    <d v="2026-07-03T00:00:00"/>
    <d v="2026-07-03T00:00:00"/>
    <m/>
    <d v="2026-07-04T00:00:00"/>
    <n v="14667220"/>
    <x v="3"/>
    <s v="57"/>
    <s v="ต้นทุนผลิตโอน Semi"/>
    <m/>
    <n v="269.78999974091886"/>
    <e v="#N/A"/>
    <e v="#N/A"/>
  </r>
  <r>
    <x v="17"/>
    <x v="17"/>
    <s v="0328"/>
    <x v="5"/>
    <s v="GR for order"/>
    <s v="5006556455"/>
    <s v="P002"/>
    <x v="19"/>
    <x v="5"/>
    <s v="10:57:22"/>
    <s v="SUTEESEA"/>
    <s v="0002"/>
    <s v=""/>
    <s v="0000"/>
    <s v=""/>
    <s v="0000000000"/>
    <s v=""/>
    <s v="A.RPT 20/03/2026"/>
    <s v=""/>
    <s v="53001004"/>
    <s v=""/>
    <s v=""/>
    <s v=""/>
    <s v="A.RPT 03-07-26"/>
    <m/>
    <x v="3"/>
    <n v="374.9"/>
    <n v="101144.27"/>
    <d v="2026-07-03T00:00:00"/>
    <d v="2026-07-03T00:00:00"/>
    <m/>
    <d v="2026-07-04T00:00:00"/>
    <n v="374900"/>
    <x v="3"/>
    <s v="57"/>
    <s v="ต้นทุนผลิตโอน Semi"/>
    <m/>
    <n v="269.78999733262208"/>
    <e v="#N/A"/>
    <e v="#N/A"/>
  </r>
  <r>
    <x v="30"/>
    <x v="30"/>
    <s v="0328"/>
    <x v="5"/>
    <s v="GR goods receipt"/>
    <s v="5006630743"/>
    <s v="M004"/>
    <x v="116"/>
    <x v="0"/>
    <s v="14:02:15"/>
    <s v="WANTILER"/>
    <s v="0001"/>
    <s v="IVV0082607020184"/>
    <s v="0000"/>
    <s v=""/>
    <s v="0000000000"/>
    <s v="305056667"/>
    <s v=""/>
    <s v=""/>
    <s v=""/>
    <s v="305056667"/>
    <s v="2048975"/>
    <s v=""/>
    <s v="IVV0082607020184"/>
    <m/>
    <x v="0"/>
    <n v="20"/>
    <n v="20700"/>
    <d v="2026-07-03T00:00:00"/>
    <d v="2026-07-06T00:00:00"/>
    <m/>
    <d v="2026-07-06T00:00:00"/>
    <n v="20"/>
    <x v="0"/>
    <s v="54"/>
    <e v="#N/A"/>
    <m/>
    <n v="1035"/>
    <e v="#N/A"/>
    <e v="#N/A"/>
  </r>
  <r>
    <x v="30"/>
    <x v="30"/>
    <s v="0328"/>
    <x v="5"/>
    <s v="GR goods receipt"/>
    <s v="5006630744"/>
    <s v="M004"/>
    <x v="116"/>
    <x v="0"/>
    <s v="14:03:33"/>
    <s v="WANTILER"/>
    <s v="0001"/>
    <s v="IVV0082607030234"/>
    <s v="0000"/>
    <s v=""/>
    <s v="0000000000"/>
    <s v="305058103"/>
    <s v=""/>
    <s v=""/>
    <s v=""/>
    <s v="305058103"/>
    <s v="2048975"/>
    <s v=""/>
    <s v="IVV0082607030234"/>
    <m/>
    <x v="0"/>
    <n v="20"/>
    <n v="20700"/>
    <d v="2026-07-04T00:00:00"/>
    <d v="2026-07-06T00:00:00"/>
    <m/>
    <d v="2026-07-06T00:00:00"/>
    <n v="20"/>
    <x v="0"/>
    <s v="54"/>
    <e v="#N/A"/>
    <m/>
    <n v="1035"/>
    <e v="#N/A"/>
    <e v="#N/A"/>
  </r>
  <r>
    <x v="30"/>
    <x v="30"/>
    <s v="0328"/>
    <x v="5"/>
    <s v="GR goods receipt"/>
    <s v="5006634715"/>
    <s v="M004"/>
    <x v="116"/>
    <x v="0"/>
    <s v="16:58:56"/>
    <s v="WANTILER"/>
    <s v="0001"/>
    <s v="IVV0082607050450"/>
    <s v="0000"/>
    <s v=""/>
    <s v="0000000000"/>
    <s v="305058103"/>
    <s v=""/>
    <s v=""/>
    <s v=""/>
    <s v="305058103"/>
    <s v="2048975"/>
    <s v=""/>
    <s v="IVV0082607050450"/>
    <m/>
    <x v="0"/>
    <n v="15"/>
    <n v="15525"/>
    <d v="2026-07-06T00:00:00"/>
    <d v="2026-07-06T00:00:00"/>
    <m/>
    <d v="2026-07-06T00:00:00"/>
    <n v="15"/>
    <x v="0"/>
    <s v="54"/>
    <e v="#N/A"/>
    <m/>
    <n v="1035"/>
    <e v="#N/A"/>
    <e v="#N/A"/>
  </r>
  <r>
    <x v="18"/>
    <x v="18"/>
    <s v="0328"/>
    <x v="5"/>
    <s v="GR for order"/>
    <s v="5006666984"/>
    <s v="P002"/>
    <x v="44"/>
    <x v="7"/>
    <s v="14:28:00"/>
    <s v="SUTEESEA"/>
    <s v="0001"/>
    <s v=""/>
    <s v="0000"/>
    <s v=""/>
    <s v="0000000000"/>
    <s v=""/>
    <s v="A.BF L.25/03/2026"/>
    <s v=""/>
    <s v="53001004"/>
    <s v=""/>
    <s v=""/>
    <s v=""/>
    <s v="A.BF 06-07-26"/>
    <m/>
    <x v="3"/>
    <n v="14889.54"/>
    <n v="4017049"/>
    <d v="2026-07-06T00:00:00"/>
    <d v="2026-07-06T00:00:00"/>
    <m/>
    <d v="2026-07-07T00:00:00"/>
    <n v="14889540"/>
    <x v="3"/>
    <s v="57"/>
    <s v="ต้นทุนผลิตโอน Semi"/>
    <m/>
    <n v="269.79000022834822"/>
    <e v="#N/A"/>
    <e v="#N/A"/>
  </r>
  <r>
    <x v="31"/>
    <x v="31"/>
    <s v="0328"/>
    <x v="5"/>
    <s v="GR goods receipt"/>
    <s v="5006667376"/>
    <s v="M003"/>
    <x v="118"/>
    <x v="0"/>
    <s v="14:43:53"/>
    <s v="SUTTISIT02"/>
    <s v="0001"/>
    <s v="260702"/>
    <s v="0000"/>
    <s v=""/>
    <s v="0000000000"/>
    <s v="305057904"/>
    <s v=""/>
    <s v=""/>
    <s v=""/>
    <s v="305057904"/>
    <s v="2026395"/>
    <s v=""/>
    <s v="260702"/>
    <m/>
    <x v="1"/>
    <n v="4500"/>
    <n v="5220"/>
    <d v="2026-07-07T00:00:00"/>
    <d v="2026-07-07T00:00:00"/>
    <m/>
    <d v="2026-07-07T00:00:00"/>
    <n v="4500"/>
    <x v="0"/>
    <s v="58"/>
    <e v="#N/A"/>
    <m/>
    <n v="1.1599999999999999"/>
    <e v="#N/A"/>
    <e v="#N/A"/>
  </r>
  <r>
    <x v="3"/>
    <x v="3"/>
    <s v="0328"/>
    <x v="5"/>
    <s v="GR goods receipt"/>
    <s v="5006667376"/>
    <s v="M003"/>
    <x v="118"/>
    <x v="0"/>
    <s v="14:43:53"/>
    <s v="SUTTISIT02"/>
    <s v="0002"/>
    <s v="260702"/>
    <s v="0000"/>
    <s v=""/>
    <s v="0000000000"/>
    <s v="305057904"/>
    <s v=""/>
    <s v=""/>
    <s v=""/>
    <s v="305057904"/>
    <s v="2026395"/>
    <s v=""/>
    <s v="260702"/>
    <m/>
    <x v="1"/>
    <n v="1500"/>
    <n v="1740"/>
    <d v="2026-07-07T00:00:00"/>
    <d v="2026-07-07T00:00:00"/>
    <m/>
    <d v="2026-07-07T00:00:00"/>
    <n v="1500"/>
    <x v="0"/>
    <s v="58"/>
    <e v="#N/A"/>
    <m/>
    <n v="1.1599999999999999"/>
    <e v="#N/A"/>
    <e v="#N/A"/>
  </r>
  <r>
    <x v="18"/>
    <x v="18"/>
    <s v="0328"/>
    <x v="5"/>
    <s v="GR for order"/>
    <s v="5006670037"/>
    <s v="P002"/>
    <x v="19"/>
    <x v="13"/>
    <s v="16:25:25"/>
    <s v="SUTEESEA"/>
    <s v="0001"/>
    <s v=""/>
    <s v="0000"/>
    <s v=""/>
    <s v="0000000000"/>
    <s v=""/>
    <s v="A.RPT 20/03/2026"/>
    <s v=""/>
    <s v="53001004"/>
    <s v=""/>
    <s v=""/>
    <s v=""/>
    <s v="A.RPT 06-07-26"/>
    <m/>
    <x v="3"/>
    <n v="3959.2"/>
    <n v="1068152.57"/>
    <d v="2026-07-06T00:00:00"/>
    <d v="2026-07-06T00:00:00"/>
    <m/>
    <d v="2026-07-07T00:00:00"/>
    <n v="3959200"/>
    <x v="3"/>
    <s v="57"/>
    <s v="ต้นทุนผลิตโอน Semi"/>
    <m/>
    <n v="269.79000050515259"/>
    <e v="#N/A"/>
    <e v="#N/A"/>
  </r>
  <r>
    <x v="30"/>
    <x v="30"/>
    <s v="0328"/>
    <x v="5"/>
    <s v="GR goods receipt"/>
    <s v="5006673536"/>
    <s v="M004"/>
    <x v="116"/>
    <x v="0"/>
    <s v="19:48:18"/>
    <s v="WANTILER"/>
    <s v="0001"/>
    <s v="IVV0082607060590"/>
    <s v="0000"/>
    <s v=""/>
    <s v="0000000000"/>
    <s v="305058103"/>
    <s v=""/>
    <s v=""/>
    <s v=""/>
    <s v="305058103"/>
    <s v="2048975"/>
    <s v=""/>
    <s v="IVV0082607060590"/>
    <m/>
    <x v="0"/>
    <n v="10"/>
    <n v="10350"/>
    <d v="2026-07-07T00:00:00"/>
    <d v="2026-07-07T00:00:00"/>
    <m/>
    <d v="2026-07-07T00:00:00"/>
    <n v="10"/>
    <x v="0"/>
    <s v="54"/>
    <e v="#N/A"/>
    <m/>
    <n v="1035"/>
    <e v="#N/A"/>
    <e v="#N/A"/>
  </r>
  <r>
    <x v="19"/>
    <x v="19"/>
    <s v="0328"/>
    <x v="5"/>
    <s v="GR for order"/>
    <s v="5006705744"/>
    <s v="P002"/>
    <x v="8"/>
    <x v="20"/>
    <s v="14:24:56"/>
    <s v="SUTEESEA"/>
    <s v="0001"/>
    <s v=""/>
    <s v="0000"/>
    <s v=""/>
    <s v="0000000000"/>
    <s v=""/>
    <s v="R.BBB L.16/06/2026"/>
    <s v=""/>
    <s v="53001004"/>
    <s v=""/>
    <s v=""/>
    <s v=""/>
    <s v="R.BBB 07-07-26"/>
    <m/>
    <x v="3"/>
    <n v="9776.02"/>
    <n v="1570224.33"/>
    <d v="2026-07-07T00:00:00"/>
    <d v="2026-07-07T00:00:00"/>
    <m/>
    <d v="2026-07-08T00:00:00"/>
    <n v="9776020"/>
    <x v="3"/>
    <s v="57"/>
    <s v="ต้นทุนผลิตโอน Semi"/>
    <m/>
    <n v="160.61999975450132"/>
    <e v="#N/A"/>
    <e v="#N/A"/>
  </r>
  <r>
    <x v="20"/>
    <x v="20"/>
    <s v="0328"/>
    <x v="5"/>
    <s v="GR for order"/>
    <s v="5006705744"/>
    <s v="P002"/>
    <x v="8"/>
    <x v="20"/>
    <s v="14:24:56"/>
    <s v="SUTEESEA"/>
    <s v="0002"/>
    <s v=""/>
    <s v="0000"/>
    <s v=""/>
    <s v="0000000000"/>
    <s v=""/>
    <s v="R.BBB L.16/06/2026"/>
    <s v=""/>
    <s v="53001004"/>
    <s v=""/>
    <s v=""/>
    <s v=""/>
    <s v="R.BBB 07-07-26"/>
    <m/>
    <x v="3"/>
    <n v="147.69999999999999"/>
    <n v="23723.57"/>
    <d v="2026-07-07T00:00:00"/>
    <d v="2026-07-07T00:00:00"/>
    <m/>
    <d v="2026-07-08T00:00:00"/>
    <n v="147700"/>
    <x v="3"/>
    <s v="57"/>
    <s v="ต้นทุนผลิตโอน Semi"/>
    <m/>
    <n v="160.6199729180772"/>
    <e v="#N/A"/>
    <e v="#N/A"/>
  </r>
  <r>
    <x v="30"/>
    <x v="30"/>
    <s v="0328"/>
    <x v="5"/>
    <s v="GR goods receipt"/>
    <s v="5006709264"/>
    <s v="M004"/>
    <x v="116"/>
    <x v="0"/>
    <s v="16:46:22"/>
    <s v="WANTILER"/>
    <s v="0001"/>
    <s v="IVV0082607070702"/>
    <s v="0000"/>
    <s v=""/>
    <s v="0000000000"/>
    <s v="305058103"/>
    <s v=""/>
    <s v=""/>
    <s v=""/>
    <s v="305058103"/>
    <s v="2048975"/>
    <s v=""/>
    <s v="IVV0082607070702"/>
    <m/>
    <x v="0"/>
    <n v="10"/>
    <n v="10350"/>
    <d v="2026-07-08T00:00:00"/>
    <d v="2026-07-08T00:00:00"/>
    <m/>
    <d v="2026-07-08T00:00:00"/>
    <n v="10"/>
    <x v="0"/>
    <s v="54"/>
    <e v="#N/A"/>
    <m/>
    <n v="1035"/>
    <e v="#N/A"/>
    <e v="#N/A"/>
  </r>
  <r>
    <x v="18"/>
    <x v="18"/>
    <s v="0328"/>
    <x v="5"/>
    <s v="GR for order"/>
    <s v="5006743440"/>
    <s v="P002"/>
    <x v="19"/>
    <x v="21"/>
    <s v="14:30:09"/>
    <s v="SUTEESEA"/>
    <s v="0001"/>
    <s v=""/>
    <s v="0000"/>
    <s v=""/>
    <s v="0000000000"/>
    <s v=""/>
    <s v="A.RPT 20/03/2026"/>
    <s v=""/>
    <s v="53001004"/>
    <s v=""/>
    <s v=""/>
    <s v=""/>
    <s v="A.RPT 08-07-26"/>
    <m/>
    <x v="3"/>
    <n v="14863.74"/>
    <n v="4025695.34"/>
    <d v="2026-07-08T00:00:00"/>
    <d v="2026-07-08T00:00:00"/>
    <m/>
    <d v="2026-07-09T00:00:00"/>
    <n v="14863740"/>
    <x v="3"/>
    <s v="57"/>
    <s v="ต้นทุนผลิตโอน Semi"/>
    <m/>
    <n v="270.83999989235548"/>
    <e v="#N/A"/>
    <e v="#N/A"/>
  </r>
  <r>
    <x v="17"/>
    <x v="17"/>
    <s v="0328"/>
    <x v="5"/>
    <s v="GR for order"/>
    <s v="5006743440"/>
    <s v="P002"/>
    <x v="19"/>
    <x v="21"/>
    <s v="14:30:09"/>
    <s v="SUTEESEA"/>
    <s v="0002"/>
    <s v=""/>
    <s v="0000"/>
    <s v=""/>
    <s v="0000000000"/>
    <s v=""/>
    <s v="A.RPT 20/03/2026"/>
    <s v=""/>
    <s v="53001004"/>
    <s v=""/>
    <s v=""/>
    <s v=""/>
    <s v="A.RPT 08-07-26"/>
    <m/>
    <x v="3"/>
    <n v="167.2"/>
    <n v="45282.78"/>
    <d v="2026-07-08T00:00:00"/>
    <d v="2026-07-08T00:00:00"/>
    <m/>
    <d v="2026-07-09T00:00:00"/>
    <n v="167200"/>
    <x v="3"/>
    <s v="57"/>
    <s v="ต้นทุนผลิตโอน Semi"/>
    <m/>
    <n v="270.83002392344497"/>
    <e v="#N/A"/>
    <e v="#N/A"/>
  </r>
  <r>
    <x v="30"/>
    <x v="30"/>
    <s v="0328"/>
    <x v="5"/>
    <s v="GR goods receipt"/>
    <s v="5006745209"/>
    <s v="M004"/>
    <x v="116"/>
    <x v="0"/>
    <s v="15:46:30"/>
    <s v="WANTILER"/>
    <s v="0001"/>
    <s v="IVV0082607080823"/>
    <s v="0000"/>
    <s v=""/>
    <s v="0000000000"/>
    <s v="305058103"/>
    <s v=""/>
    <s v=""/>
    <s v=""/>
    <s v="305058103"/>
    <s v="2048975"/>
    <s v=""/>
    <s v="IVV0082607080823"/>
    <m/>
    <x v="0"/>
    <n v="15"/>
    <n v="15525"/>
    <d v="2026-07-09T00:00:00"/>
    <d v="2026-07-09T00:00:00"/>
    <m/>
    <d v="2026-07-09T00:00:00"/>
    <n v="15"/>
    <x v="0"/>
    <s v="54"/>
    <e v="#N/A"/>
    <m/>
    <n v="1035"/>
    <e v="#N/A"/>
    <e v="#N/A"/>
  </r>
  <r>
    <x v="12"/>
    <x v="12"/>
    <s v="0328"/>
    <x v="5"/>
    <s v="GR goods receipt"/>
    <s v="5006748191"/>
    <s v="M003"/>
    <x v="119"/>
    <x v="0"/>
    <s v="17:23:09"/>
    <s v="PRONDTAN"/>
    <s v="0002"/>
    <s v="IV6907037"/>
    <s v="0000"/>
    <s v=""/>
    <s v="0000000000"/>
    <s v="305054599-5712"/>
    <s v=""/>
    <s v=""/>
    <s v=""/>
    <s v="305055712"/>
    <s v="2043579"/>
    <s v=""/>
    <s v="IV6907037"/>
    <m/>
    <x v="6"/>
    <n v="18.239999999999998"/>
    <n v="114000"/>
    <d v="2026-07-03T00:00:00"/>
    <d v="2026-07-09T00:00:00"/>
    <m/>
    <d v="2026-07-09T00:00:00"/>
    <n v="54720"/>
    <x v="0"/>
    <s v="58"/>
    <e v="#N/A"/>
    <m/>
    <n v="6250.0000000000009"/>
    <e v="#N/A"/>
    <e v="#N/A"/>
  </r>
  <r>
    <x v="12"/>
    <x v="12"/>
    <s v="0328"/>
    <x v="5"/>
    <s v="GR goods receipt"/>
    <s v="5006748191"/>
    <s v="M003"/>
    <x v="119"/>
    <x v="0"/>
    <s v="17:23:09"/>
    <s v="PRONDTAN"/>
    <s v="0001"/>
    <s v="IV6907037"/>
    <s v="0000"/>
    <s v=""/>
    <s v="0000000000"/>
    <s v="305054599-5712"/>
    <s v=""/>
    <s v=""/>
    <s v=""/>
    <s v="305054599"/>
    <s v="2043579"/>
    <s v=""/>
    <s v="IV6907037"/>
    <m/>
    <x v="6"/>
    <n v="29.76"/>
    <n v="186000"/>
    <d v="2026-07-03T00:00:00"/>
    <d v="2026-07-09T00:00:00"/>
    <m/>
    <d v="2026-07-09T00:00:00"/>
    <n v="89280"/>
    <x v="0"/>
    <s v="58"/>
    <e v="#N/A"/>
    <m/>
    <n v="6250"/>
    <e v="#N/A"/>
    <e v="#N/A"/>
  </r>
  <r>
    <x v="12"/>
    <x v="12"/>
    <s v="0328"/>
    <x v="5"/>
    <s v="GR goods receipt"/>
    <s v="5006781251"/>
    <s v="M003"/>
    <x v="120"/>
    <x v="0"/>
    <s v="14:18:15"/>
    <s v="SUTTISIT02"/>
    <s v="0001"/>
    <s v="IV6907109"/>
    <s v="0000"/>
    <s v=""/>
    <s v="0000000000"/>
    <s v="305057371"/>
    <s v=""/>
    <s v=""/>
    <s v=""/>
    <s v="305057371"/>
    <s v="2043579"/>
    <s v=""/>
    <s v="IV6907109"/>
    <m/>
    <x v="6"/>
    <n v="48"/>
    <n v="300000"/>
    <d v="2026-07-10T00:00:00"/>
    <d v="2026-07-10T00:00:00"/>
    <m/>
    <d v="2026-07-10T00:00:00"/>
    <n v="144000"/>
    <x v="0"/>
    <s v="58"/>
    <e v="#N/A"/>
    <m/>
    <n v="6250"/>
    <e v="#N/A"/>
    <e v="#N/A"/>
  </r>
  <r>
    <x v="30"/>
    <x v="30"/>
    <s v="0328"/>
    <x v="5"/>
    <s v="GR goods receipt"/>
    <s v="5006785574"/>
    <s v="M004"/>
    <x v="116"/>
    <x v="0"/>
    <s v="17:26:28"/>
    <s v="WANTILER"/>
    <s v="0001"/>
    <s v="IVV0082607090906"/>
    <s v="0000"/>
    <s v=""/>
    <s v="0000000000"/>
    <s v="305058103"/>
    <s v=""/>
    <s v=""/>
    <s v=""/>
    <s v="305058103"/>
    <s v="2048975"/>
    <s v=""/>
    <s v="IVV0082607090906"/>
    <m/>
    <x v="0"/>
    <n v="15"/>
    <n v="15525"/>
    <d v="2026-07-10T00:00:00"/>
    <d v="2026-07-10T00:00:00"/>
    <m/>
    <d v="2026-07-10T00:00:00"/>
    <n v="15"/>
    <x v="0"/>
    <s v="54"/>
    <e v="#N/A"/>
    <m/>
    <n v="1035"/>
    <e v="#N/A"/>
    <e v="#N/A"/>
  </r>
  <r>
    <x v="14"/>
    <x v="14"/>
    <s v="0328"/>
    <x v="5"/>
    <s v="GR goods receipt"/>
    <s v="5006786746"/>
    <s v="M002"/>
    <x v="121"/>
    <x v="0"/>
    <s v="18:27:55"/>
    <s v="RAPEESAN01"/>
    <s v="0001"/>
    <s v="RT-20260700005"/>
    <s v="0000"/>
    <s v=""/>
    <s v="0000000000"/>
    <s v="305057000"/>
    <s v=""/>
    <s v=""/>
    <s v=""/>
    <s v="305057000"/>
    <s v="2053774"/>
    <s v=""/>
    <s v="RT-20260700005"/>
    <m/>
    <x v="3"/>
    <n v="2010"/>
    <n v="546720"/>
    <d v="2026-07-10T00:00:00"/>
    <d v="2026-07-10T00:00:00"/>
    <m/>
    <d v="2026-07-10T00:00:00"/>
    <n v="2010000"/>
    <x v="0"/>
    <s v="54"/>
    <e v="#N/A"/>
    <m/>
    <n v="272"/>
    <e v="#N/A"/>
    <e v="#N/A"/>
  </r>
  <r>
    <x v="14"/>
    <x v="14"/>
    <s v="0328"/>
    <x v="5"/>
    <s v="GR goods receipt"/>
    <s v="5006786909"/>
    <s v="M002"/>
    <x v="121"/>
    <x v="0"/>
    <s v="18:36:18"/>
    <s v="RAPEESAN01"/>
    <s v="0001"/>
    <s v="RT-20260700005"/>
    <s v="0000"/>
    <s v=""/>
    <s v="0000000000"/>
    <s v="305056999"/>
    <s v=""/>
    <s v=""/>
    <s v=""/>
    <s v="305056999"/>
    <s v="2053774"/>
    <s v=""/>
    <s v="RT-20260700005"/>
    <m/>
    <x v="3"/>
    <n v="90.8"/>
    <n v="24697.599999999999"/>
    <d v="2026-07-10T00:00:00"/>
    <d v="2026-07-10T00:00:00"/>
    <m/>
    <d v="2026-07-10T00:00:00"/>
    <n v="90800"/>
    <x v="0"/>
    <s v="54"/>
    <e v="#N/A"/>
    <m/>
    <n v="272"/>
    <e v="#N/A"/>
    <e v="#N/A"/>
  </r>
  <r>
    <x v="13"/>
    <x v="13"/>
    <s v="0328"/>
    <x v="5"/>
    <s v="GR goods receipt"/>
    <s v="5006817242"/>
    <s v="M003"/>
    <x v="93"/>
    <x v="0"/>
    <s v="11:44:16"/>
    <s v="RAPEESAN01"/>
    <s v="0001"/>
    <s v="6901319"/>
    <s v="0000"/>
    <s v=""/>
    <s v="0000000000"/>
    <s v=""/>
    <s v=""/>
    <s v=""/>
    <s v=""/>
    <s v="305055037"/>
    <s v="2024222"/>
    <s v=""/>
    <s v="6901319"/>
    <m/>
    <x v="0"/>
    <n v="15000"/>
    <n v="75000"/>
    <d v="2026-07-11T00:00:00"/>
    <d v="2026-07-11T00:00:00"/>
    <m/>
    <d v="2026-07-11T00:00:00"/>
    <n v="15000"/>
    <x v="0"/>
    <s v="58"/>
    <e v="#N/A"/>
    <m/>
    <n v="5"/>
    <e v="#N/A"/>
    <e v="#N/A"/>
  </r>
  <r>
    <x v="18"/>
    <x v="18"/>
    <s v="0328"/>
    <x v="5"/>
    <s v="GR for order"/>
    <s v="5006819220"/>
    <s v="P002"/>
    <x v="25"/>
    <x v="22"/>
    <s v="13:51:41"/>
    <s v="SUTEESEA"/>
    <s v="0001"/>
    <s v=""/>
    <s v="0000"/>
    <s v=""/>
    <s v="0000000000"/>
    <s v=""/>
    <s v="A.BF L.25/03/2026"/>
    <s v=""/>
    <s v="53001004"/>
    <s v=""/>
    <s v=""/>
    <s v=""/>
    <s v="A.BF 09-07-26"/>
    <m/>
    <x v="3"/>
    <n v="13008.94"/>
    <n v="3523341.31"/>
    <d v="2026-07-09T00:00:00"/>
    <d v="2026-07-09T00:00:00"/>
    <m/>
    <d v="2026-07-11T00:00:00"/>
    <n v="13008940"/>
    <x v="3"/>
    <s v="57"/>
    <s v="ต้นทุนผลิตโอน Semi"/>
    <m/>
    <n v="270.84000003074806"/>
    <e v="#N/A"/>
    <e v="#N/A"/>
  </r>
  <r>
    <x v="18"/>
    <x v="18"/>
    <s v="0328"/>
    <x v="5"/>
    <s v="GR for order"/>
    <s v="5006819344"/>
    <s v="P002"/>
    <x v="19"/>
    <x v="23"/>
    <s v="13:58:00"/>
    <s v="SUTEESEA"/>
    <s v="0001"/>
    <s v=""/>
    <s v="0000"/>
    <s v=""/>
    <s v="0000000000"/>
    <s v=""/>
    <s v="A.RPT 20/03/2026"/>
    <s v=""/>
    <s v="53001004"/>
    <s v=""/>
    <s v=""/>
    <s v=""/>
    <s v="A.RPT 10-07-26"/>
    <m/>
    <x v="3"/>
    <n v="4806"/>
    <n v="1301657.04"/>
    <d v="2026-07-10T00:00:00"/>
    <d v="2026-07-10T00:00:00"/>
    <m/>
    <d v="2026-07-11T00:00:00"/>
    <n v="4806000"/>
    <x v="3"/>
    <s v="57"/>
    <s v="ต้นทุนผลิตโอน Semi"/>
    <m/>
    <n v="270.84000000000003"/>
    <e v="#N/A"/>
    <e v="#N/A"/>
  </r>
  <r>
    <x v="17"/>
    <x v="17"/>
    <s v="0328"/>
    <x v="5"/>
    <s v="GR for order"/>
    <s v="5006819344"/>
    <s v="P002"/>
    <x v="19"/>
    <x v="23"/>
    <s v="13:58:00"/>
    <s v="SUTEESEA"/>
    <s v="0002"/>
    <s v=""/>
    <s v="0000"/>
    <s v=""/>
    <s v="0000000000"/>
    <s v=""/>
    <s v="A.RPT 20/03/2026"/>
    <s v=""/>
    <s v="53001004"/>
    <s v=""/>
    <s v=""/>
    <s v=""/>
    <s v="A.RPT 10-07-26"/>
    <m/>
    <x v="3"/>
    <n v="171.72"/>
    <n v="46506.93"/>
    <d v="2026-07-10T00:00:00"/>
    <d v="2026-07-10T00:00:00"/>
    <m/>
    <d v="2026-07-11T00:00:00"/>
    <n v="171720"/>
    <x v="3"/>
    <s v="57"/>
    <s v="ต้นทุนผลิตโอน Semi"/>
    <m/>
    <n v="270.83001397624042"/>
    <e v="#N/A"/>
    <e v="#N/A"/>
  </r>
  <r>
    <x v="18"/>
    <x v="18"/>
    <s v="0328"/>
    <x v="5"/>
    <s v="GR for order"/>
    <s v="5006819348"/>
    <s v="P002"/>
    <x v="52"/>
    <x v="24"/>
    <s v="14:08:39"/>
    <s v="SUTEESEA"/>
    <s v="0001"/>
    <s v=""/>
    <s v="0000"/>
    <s v=""/>
    <s v="0000000000"/>
    <s v=""/>
    <s v="A.RPT 23/03/2026"/>
    <s v=""/>
    <s v="53001004"/>
    <s v=""/>
    <s v=""/>
    <s v=""/>
    <s v="A.RPT 10-07-26"/>
    <m/>
    <x v="3"/>
    <n v="2979.3"/>
    <n v="806913.61"/>
    <d v="2026-07-10T00:00:00"/>
    <d v="2026-07-10T00:00:00"/>
    <m/>
    <d v="2026-07-11T00:00:00"/>
    <n v="2979300"/>
    <x v="3"/>
    <s v="57"/>
    <s v="ต้นทุนผลิตโอน Semi"/>
    <m/>
    <n v="270.83999932870137"/>
    <e v="#N/A"/>
    <e v="#N/A"/>
  </r>
  <r>
    <x v="17"/>
    <x v="17"/>
    <s v="0328"/>
    <x v="5"/>
    <s v="GR for order"/>
    <s v="5006819348"/>
    <s v="P002"/>
    <x v="52"/>
    <x v="24"/>
    <s v="14:08:39"/>
    <s v="SUTEESEA"/>
    <s v="0002"/>
    <s v=""/>
    <s v="0000"/>
    <s v=""/>
    <s v="0000000000"/>
    <s v=""/>
    <s v="A.RPT 23/03/2026"/>
    <s v=""/>
    <s v="53001004"/>
    <s v=""/>
    <s v=""/>
    <s v=""/>
    <s v="A.RPT 10-07-26"/>
    <m/>
    <x v="3"/>
    <n v="35.880000000000003"/>
    <n v="9717.3799999999992"/>
    <d v="2026-07-10T00:00:00"/>
    <d v="2026-07-10T00:00:00"/>
    <m/>
    <d v="2026-07-11T00:00:00"/>
    <n v="35880"/>
    <x v="3"/>
    <s v="57"/>
    <s v="ต้นทุนผลิตโอน Semi"/>
    <m/>
    <n v="270.82998885172793"/>
    <e v="#N/A"/>
    <e v="#N/A"/>
  </r>
  <r>
    <x v="18"/>
    <x v="18"/>
    <s v="0328"/>
    <x v="5"/>
    <s v="GR for order"/>
    <s v="5006820756"/>
    <s v="P002"/>
    <x v="52"/>
    <x v="24"/>
    <s v="15:08:29"/>
    <s v="SUTEESEA"/>
    <s v="0001"/>
    <s v=""/>
    <s v="0000"/>
    <s v=""/>
    <s v="0000000000"/>
    <s v=""/>
    <s v="A.RPT 23/03/2026"/>
    <s v=""/>
    <s v="53001004"/>
    <s v=""/>
    <s v=""/>
    <s v=""/>
    <s v="A.RPT 10-07-26"/>
    <m/>
    <x v="3"/>
    <n v="71.760000000000005"/>
    <n v="19435.48"/>
    <d v="2026-07-10T00:00:00"/>
    <d v="2026-07-10T00:00:00"/>
    <m/>
    <d v="2026-07-11T00:00:00"/>
    <n v="71760"/>
    <x v="3"/>
    <s v="57"/>
    <s v="ต้นทุนผลิตโอน Semi"/>
    <m/>
    <n v="270.84002229654402"/>
    <e v="#N/A"/>
    <e v="#N/A"/>
  </r>
  <r>
    <x v="18"/>
    <x v="18"/>
    <s v="0328"/>
    <x v="19"/>
    <s v="GR for order    rev."/>
    <s v="5006885277"/>
    <s v="P002"/>
    <x v="52"/>
    <x v="24"/>
    <s v="10:35:30"/>
    <s v="JURASDOK"/>
    <s v="0001"/>
    <s v=""/>
    <s v="0000"/>
    <s v=""/>
    <s v="0000000000"/>
    <s v=""/>
    <s v="A.RPT 23/03/2026"/>
    <s v=""/>
    <s v="53001004"/>
    <s v=""/>
    <s v=""/>
    <s v=""/>
    <s v="A.RPT 10-07-26"/>
    <m/>
    <x v="3"/>
    <n v="-71.760000000000005"/>
    <n v="-19435.48"/>
    <d v="2026-07-10T00:00:00"/>
    <d v="2026-07-10T00:00:00"/>
    <m/>
    <d v="2026-07-13T00:00:00"/>
    <n v="-71760"/>
    <x v="3"/>
    <s v="57"/>
    <s v="ต้นทุนผลิตโอน Semi"/>
    <m/>
    <n v="270.84002229654402"/>
    <e v="#N/A"/>
    <e v="#N/A"/>
  </r>
  <r>
    <x v="18"/>
    <x v="18"/>
    <s v="0328"/>
    <x v="5"/>
    <s v="GR for order"/>
    <s v="5006885702"/>
    <s v="P002"/>
    <x v="52"/>
    <x v="24"/>
    <s v="10:43:03"/>
    <s v="SUTEESEA"/>
    <s v="0001"/>
    <s v=""/>
    <s v="0000"/>
    <s v=""/>
    <s v="0000000000"/>
    <s v=""/>
    <s v="A.RPT L23-03-2026"/>
    <s v=""/>
    <s v="53001004"/>
    <s v=""/>
    <s v=""/>
    <s v=""/>
    <s v="A.RPT 10-07-26"/>
    <m/>
    <x v="3"/>
    <n v="35.880000000000003"/>
    <n v="9717.74"/>
    <d v="2026-07-10T00:00:00"/>
    <d v="2026-07-10T00:00:00"/>
    <m/>
    <d v="2026-07-13T00:00:00"/>
    <n v="35880"/>
    <x v="3"/>
    <s v="57"/>
    <s v="ต้นทุนผลิตโอน Semi"/>
    <m/>
    <n v="270.84002229654402"/>
    <e v="#N/A"/>
    <e v="#N/A"/>
  </r>
  <r>
    <x v="18"/>
    <x v="18"/>
    <s v="0328"/>
    <x v="19"/>
    <s v="GR for order    rev."/>
    <s v="5006885966"/>
    <s v="P002"/>
    <x v="19"/>
    <x v="13"/>
    <s v="11:00:58"/>
    <s v="JURASDOK"/>
    <s v="0001"/>
    <s v=""/>
    <s v="0000"/>
    <s v=""/>
    <s v="0000000000"/>
    <s v=""/>
    <s v="A.RPT 20/03/2026"/>
    <s v=""/>
    <s v="53001004"/>
    <s v=""/>
    <s v=""/>
    <s v=""/>
    <s v="A.RPT 06-07-26"/>
    <m/>
    <x v="3"/>
    <n v="-3959.2"/>
    <n v="-1072309.73"/>
    <d v="2026-07-06T00:00:00"/>
    <d v="2026-07-06T00:00:00"/>
    <m/>
    <d v="2026-07-13T00:00:00"/>
    <n v="-3959200"/>
    <x v="3"/>
    <s v="57"/>
    <s v="ต้นทุนผลิตโอน Semi"/>
    <m/>
    <n v="270.84000050515255"/>
    <e v="#N/A"/>
    <e v="#N/A"/>
  </r>
  <r>
    <x v="18"/>
    <x v="18"/>
    <s v="0328"/>
    <x v="5"/>
    <s v="GR for order"/>
    <s v="5006886166"/>
    <s v="P002"/>
    <x v="19"/>
    <x v="13"/>
    <s v="11:08:50"/>
    <s v="SUTEESEA"/>
    <s v="0001"/>
    <s v=""/>
    <s v="0000"/>
    <s v=""/>
    <s v="0000000000"/>
    <s v=""/>
    <s v="A.RPT 20/03/2026"/>
    <s v=""/>
    <s v="53001004"/>
    <s v=""/>
    <s v=""/>
    <s v=""/>
    <s v="A.RPT 06-07-26"/>
    <m/>
    <x v="3"/>
    <n v="3861"/>
    <n v="1045713.24"/>
    <d v="2026-07-06T00:00:00"/>
    <d v="2026-07-06T00:00:00"/>
    <m/>
    <d v="2026-07-13T00:00:00"/>
    <n v="3861000"/>
    <x v="3"/>
    <s v="57"/>
    <s v="ต้นทุนผลิตโอน Semi"/>
    <m/>
    <n v="270.83999999999997"/>
    <e v="#N/A"/>
    <e v="#N/A"/>
  </r>
  <r>
    <x v="17"/>
    <x v="17"/>
    <s v="0328"/>
    <x v="5"/>
    <s v="GR for order"/>
    <s v="5006886166"/>
    <s v="P002"/>
    <x v="19"/>
    <x v="13"/>
    <s v="11:08:50"/>
    <s v="SUTEESEA"/>
    <s v="0002"/>
    <s v=""/>
    <s v="0000"/>
    <s v=""/>
    <s v="0000000000"/>
    <s v=""/>
    <s v="A.RPT 20/03/2026"/>
    <s v=""/>
    <s v="53001004"/>
    <s v=""/>
    <s v=""/>
    <s v=""/>
    <s v="A.RPT 06-07-26"/>
    <m/>
    <x v="3"/>
    <n v="98.2"/>
    <n v="26595.51"/>
    <d v="2026-07-06T00:00:00"/>
    <d v="2026-07-06T00:00:00"/>
    <m/>
    <d v="2026-07-13T00:00:00"/>
    <n v="98200"/>
    <x v="3"/>
    <s v="57"/>
    <s v="ต้นทุนผลิตโอน Semi"/>
    <m/>
    <n v="270.83004073319751"/>
    <e v="#N/A"/>
    <e v="#N/A"/>
  </r>
  <r>
    <x v="19"/>
    <x v="19"/>
    <s v="0328"/>
    <x v="5"/>
    <s v="GR for order"/>
    <s v="5006891052"/>
    <s v="P002"/>
    <x v="8"/>
    <x v="35"/>
    <s v="15:46:39"/>
    <s v="SUTEESEA"/>
    <s v="0001"/>
    <s v=""/>
    <s v="0000"/>
    <s v=""/>
    <s v="0000000000"/>
    <s v=""/>
    <s v="R.BBB L.16/06/2026"/>
    <s v=""/>
    <s v="53001004"/>
    <s v=""/>
    <s v=""/>
    <s v=""/>
    <s v="R.BBB 11-07-26"/>
    <m/>
    <x v="3"/>
    <n v="8833.9"/>
    <n v="1412805.63"/>
    <d v="2026-07-11T00:00:00"/>
    <d v="2026-07-11T00:00:00"/>
    <m/>
    <d v="2026-07-13T00:00:00"/>
    <n v="8833900"/>
    <x v="3"/>
    <s v="57"/>
    <s v="ต้นทุนผลิตโอน Semi"/>
    <m/>
    <n v="159.93000033960084"/>
    <e v="#N/A"/>
    <e v="#N/A"/>
  </r>
  <r>
    <x v="20"/>
    <x v="20"/>
    <s v="0328"/>
    <x v="5"/>
    <s v="GR for order"/>
    <s v="5006891052"/>
    <s v="P002"/>
    <x v="8"/>
    <x v="35"/>
    <s v="15:46:39"/>
    <s v="SUTEESEA"/>
    <s v="0002"/>
    <s v=""/>
    <s v="0000"/>
    <s v=""/>
    <s v="0000000000"/>
    <s v=""/>
    <s v="R.BBB L.16/06/2026"/>
    <s v=""/>
    <s v="53001004"/>
    <s v=""/>
    <s v=""/>
    <s v=""/>
    <s v="R.BBB 11-07-26"/>
    <m/>
    <x v="3"/>
    <n v="112.4"/>
    <n v="17976.13"/>
    <d v="2026-07-11T00:00:00"/>
    <d v="2026-07-11T00:00:00"/>
    <m/>
    <d v="2026-07-13T00:00:00"/>
    <n v="112400"/>
    <x v="3"/>
    <s v="57"/>
    <s v="ต้นทุนผลิตโอน Semi"/>
    <m/>
    <n v="159.9299822064057"/>
    <e v="#N/A"/>
    <e v="#N/A"/>
  </r>
  <r>
    <x v="30"/>
    <x v="30"/>
    <s v="0328"/>
    <x v="5"/>
    <s v="GR goods receipt"/>
    <s v="5006892734"/>
    <s v="M004"/>
    <x v="116"/>
    <x v="0"/>
    <s v="16:45:06"/>
    <s v="WANTILER"/>
    <s v="0001"/>
    <s v="IVV0082607101004"/>
    <s v="0000"/>
    <s v=""/>
    <s v="0000000000"/>
    <s v="305058103"/>
    <s v=""/>
    <s v=""/>
    <s v=""/>
    <s v="305058103"/>
    <s v="2048975"/>
    <s v=""/>
    <s v="IVV0082607101004"/>
    <m/>
    <x v="0"/>
    <n v="20"/>
    <n v="20700"/>
    <d v="2026-07-11T00:00:00"/>
    <d v="2026-07-13T00:00:00"/>
    <m/>
    <d v="2026-07-13T00:00:00"/>
    <n v="20"/>
    <x v="0"/>
    <s v="54"/>
    <e v="#N/A"/>
    <m/>
    <n v="1035"/>
    <e v="#N/A"/>
    <e v="#N/A"/>
  </r>
  <r>
    <x v="30"/>
    <x v="30"/>
    <s v="0328"/>
    <x v="5"/>
    <s v="GR goods receipt"/>
    <s v="5006892740"/>
    <s v="M004"/>
    <x v="116"/>
    <x v="0"/>
    <s v="16:46:24"/>
    <s v="WANTILER"/>
    <s v="0001"/>
    <s v="IVV0082607121142"/>
    <s v="0000"/>
    <s v=""/>
    <s v="0000000000"/>
    <s v="305058103"/>
    <s v=""/>
    <s v=""/>
    <s v=""/>
    <s v="305058103"/>
    <s v="2048975"/>
    <s v=""/>
    <s v="IVV0082607121142"/>
    <m/>
    <x v="0"/>
    <n v="15"/>
    <n v="15525"/>
    <d v="2026-07-13T00:00:00"/>
    <d v="2026-07-13T00:00:00"/>
    <m/>
    <d v="2026-07-13T00:00:00"/>
    <n v="15"/>
    <x v="0"/>
    <s v="54"/>
    <e v="#N/A"/>
    <m/>
    <n v="1035"/>
    <e v="#N/A"/>
    <e v="#N/A"/>
  </r>
  <r>
    <x v="30"/>
    <x v="30"/>
    <s v="0328"/>
    <x v="5"/>
    <s v="GR goods receipt"/>
    <s v="5006927801"/>
    <s v="M004"/>
    <x v="116"/>
    <x v="0"/>
    <s v="16:05:49"/>
    <s v="WANTILER"/>
    <s v="0001"/>
    <s v="IVV0082607141373"/>
    <s v="0000"/>
    <s v=""/>
    <s v="0000000000"/>
    <s v="305058103"/>
    <s v=""/>
    <s v=""/>
    <s v=""/>
    <s v="305058103"/>
    <s v="2048975"/>
    <s v=""/>
    <s v="IVV0082607141373"/>
    <m/>
    <x v="0"/>
    <n v="15"/>
    <n v="15525"/>
    <d v="2026-07-14T00:00:00"/>
    <d v="2026-07-14T00:00:00"/>
    <m/>
    <d v="2026-07-14T00:00:00"/>
    <n v="15"/>
    <x v="0"/>
    <s v="54"/>
    <e v="#N/A"/>
    <m/>
    <n v="1035"/>
    <e v="#N/A"/>
    <e v="#N/A"/>
  </r>
  <r>
    <x v="30"/>
    <x v="30"/>
    <s v="0328"/>
    <x v="5"/>
    <s v="GR goods receipt"/>
    <s v="5006965700"/>
    <s v="M004"/>
    <x v="116"/>
    <x v="0"/>
    <s v="16:35:50"/>
    <s v="WANTILER"/>
    <s v="0001"/>
    <s v="IVV0082607141408"/>
    <s v="0000"/>
    <s v=""/>
    <s v="0000000000"/>
    <s v="305058103"/>
    <s v=""/>
    <s v=""/>
    <s v=""/>
    <s v="305058103"/>
    <s v="2048975"/>
    <s v=""/>
    <s v="IVV0082607141408"/>
    <m/>
    <x v="0"/>
    <n v="10"/>
    <n v="10350"/>
    <d v="2026-07-15T00:00:00"/>
    <d v="2026-07-15T00:00:00"/>
    <m/>
    <d v="2026-07-15T00:00:00"/>
    <n v="10"/>
    <x v="0"/>
    <s v="54"/>
    <e v="#N/A"/>
    <m/>
    <n v="1035"/>
    <e v="#N/A"/>
    <e v="#N/A"/>
  </r>
  <r>
    <x v="30"/>
    <x v="30"/>
    <s v="0328"/>
    <x v="5"/>
    <s v="GR goods receipt"/>
    <s v="5007002312"/>
    <s v="M004"/>
    <x v="116"/>
    <x v="0"/>
    <s v="15:57:24"/>
    <s v="WANTILER"/>
    <s v="0001"/>
    <s v="IVV0082607151529"/>
    <s v="0000"/>
    <s v=""/>
    <s v="0000000000"/>
    <s v="305058103"/>
    <s v=""/>
    <s v=""/>
    <s v=""/>
    <s v="305058103"/>
    <s v="2048975"/>
    <s v=""/>
    <s v="IVV0082607151529"/>
    <m/>
    <x v="0"/>
    <n v="15"/>
    <n v="15525"/>
    <d v="2026-07-16T00:00:00"/>
    <d v="2026-07-16T00:00:00"/>
    <m/>
    <d v="2026-07-16T00:00:00"/>
    <n v="15"/>
    <x v="0"/>
    <s v="54"/>
    <e v="#N/A"/>
    <m/>
    <n v="1035"/>
    <e v="#N/A"/>
    <e v="#N/A"/>
  </r>
  <r>
    <x v="18"/>
    <x v="18"/>
    <s v="0328"/>
    <x v="5"/>
    <s v="GR for order"/>
    <s v="5007004008"/>
    <s v="P002"/>
    <x v="52"/>
    <x v="39"/>
    <s v="17:16:12"/>
    <s v="SUTEESEA"/>
    <s v="0001"/>
    <s v=""/>
    <s v="0000"/>
    <s v=""/>
    <s v="0000000000"/>
    <s v=""/>
    <s v="A.RPT L23-03-2026"/>
    <s v=""/>
    <s v="53001004"/>
    <s v=""/>
    <s v=""/>
    <s v=""/>
    <s v="A.RPT 13-07-26"/>
    <m/>
    <x v="3"/>
    <n v="13588.54"/>
    <n v="3680320.17"/>
    <d v="2026-07-13T00:00:00"/>
    <d v="2026-07-13T00:00:00"/>
    <m/>
    <d v="2026-07-16T00:00:00"/>
    <n v="13588540"/>
    <x v="3"/>
    <s v="57"/>
    <s v="ต้นทุนผลิตโอน Semi"/>
    <m/>
    <n v="270.83999973507088"/>
    <e v="#N/A"/>
    <e v="#N/A"/>
  </r>
  <r>
    <x v="17"/>
    <x v="17"/>
    <s v="0328"/>
    <x v="5"/>
    <s v="GR for order"/>
    <s v="5007004008"/>
    <s v="P002"/>
    <x v="52"/>
    <x v="39"/>
    <s v="17:16:12"/>
    <s v="SUTEESEA"/>
    <s v="0002"/>
    <s v=""/>
    <s v="0000"/>
    <s v=""/>
    <s v="0000000000"/>
    <s v=""/>
    <s v="A.RPT L23-03-2026"/>
    <s v=""/>
    <s v="53001004"/>
    <s v=""/>
    <s v=""/>
    <s v=""/>
    <s v="A.RPT 13-07-26"/>
    <m/>
    <x v="3"/>
    <n v="385.1"/>
    <n v="104296.63"/>
    <d v="2026-07-13T00:00:00"/>
    <d v="2026-07-13T00:00:00"/>
    <m/>
    <d v="2026-07-16T00:00:00"/>
    <n v="385100"/>
    <x v="3"/>
    <s v="57"/>
    <s v="ต้นทุนผลิตโอน Semi"/>
    <m/>
    <n v="270.8299922098156"/>
    <e v="#N/A"/>
    <e v="#N/A"/>
  </r>
  <r>
    <x v="18"/>
    <x v="18"/>
    <s v="0328"/>
    <x v="5"/>
    <s v="GR for order"/>
    <s v="5007004267"/>
    <s v="P002"/>
    <x v="25"/>
    <x v="41"/>
    <s v="17:26:02"/>
    <s v="SUTEESEA"/>
    <s v="0001"/>
    <s v=""/>
    <s v="0000"/>
    <s v=""/>
    <s v="0000000000"/>
    <s v=""/>
    <s v="A.BF.25/03/2026"/>
    <s v=""/>
    <s v="53001004"/>
    <s v=""/>
    <s v=""/>
    <s v=""/>
    <s v="A.BF 25-03-26"/>
    <m/>
    <x v="3"/>
    <n v="15026"/>
    <n v="4069641.84"/>
    <d v="2026-07-15T00:00:00"/>
    <d v="2026-07-15T00:00:00"/>
    <m/>
    <d v="2026-07-16T00:00:00"/>
    <n v="15026000"/>
    <x v="3"/>
    <s v="57"/>
    <s v="ต้นทุนผลิตโอน Semi"/>
    <m/>
    <n v="270.83999999999997"/>
    <e v="#N/A"/>
    <e v="#N/A"/>
  </r>
  <r>
    <x v="18"/>
    <x v="18"/>
    <s v="0328"/>
    <x v="5"/>
    <s v="GR for order"/>
    <s v="5007004558"/>
    <s v="P002"/>
    <x v="52"/>
    <x v="43"/>
    <s v="17:35:36"/>
    <s v="SUTEESEA"/>
    <s v="0001"/>
    <s v=""/>
    <s v="0000"/>
    <s v=""/>
    <s v="0000000000"/>
    <s v=""/>
    <s v="A.RPT L.23/03/2026"/>
    <s v=""/>
    <s v="53001004"/>
    <s v=""/>
    <s v=""/>
    <s v=""/>
    <s v="A.RPT 15-07-26"/>
    <m/>
    <x v="3"/>
    <n v="6966.9"/>
    <n v="1886915.2"/>
    <d v="2026-07-15T00:00:00"/>
    <d v="2026-07-15T00:00:00"/>
    <m/>
    <d v="2026-07-16T00:00:00"/>
    <n v="6966900"/>
    <x v="3"/>
    <s v="57"/>
    <s v="ต้นทุนผลิตโอน Semi"/>
    <m/>
    <n v="270.84000057414346"/>
    <e v="#N/A"/>
    <e v="#N/A"/>
  </r>
  <r>
    <x v="14"/>
    <x v="14"/>
    <s v="0328"/>
    <x v="5"/>
    <s v="GR goods receipt"/>
    <s v="5007034576"/>
    <s v="M002"/>
    <x v="122"/>
    <x v="0"/>
    <s v="10:12:54"/>
    <s v="RAPEESAN01"/>
    <s v="0001"/>
    <s v="I12607010"/>
    <s v="0000"/>
    <s v=""/>
    <s v="0000000000"/>
    <s v="305058458"/>
    <s v=""/>
    <s v=""/>
    <s v=""/>
    <s v="305058458"/>
    <s v="2020836"/>
    <s v=""/>
    <s v="I12607010"/>
    <m/>
    <x v="3"/>
    <n v="30000"/>
    <n v="8130000"/>
    <d v="2026-07-15T00:00:00"/>
    <d v="2026-07-15T00:00:00"/>
    <m/>
    <d v="2026-07-17T00:00:00"/>
    <n v="30000000"/>
    <x v="0"/>
    <s v="54"/>
    <e v="#N/A"/>
    <m/>
    <n v="271"/>
    <e v="#N/A"/>
    <e v="#N/A"/>
  </r>
  <r>
    <x v="30"/>
    <x v="30"/>
    <s v="0328"/>
    <x v="5"/>
    <s v="GR goods receipt"/>
    <s v="5007045625"/>
    <s v="M004"/>
    <x v="116"/>
    <x v="0"/>
    <s v="19:11:24"/>
    <s v="WANTILER"/>
    <s v="0001"/>
    <s v="IVV0082607161602"/>
    <s v="0000"/>
    <s v=""/>
    <s v="0000000000"/>
    <s v="305058103"/>
    <s v=""/>
    <s v=""/>
    <s v=""/>
    <s v="305058103"/>
    <s v="2048975"/>
    <s v=""/>
    <s v="IVV0082607161602"/>
    <m/>
    <x v="0"/>
    <n v="10"/>
    <n v="10350"/>
    <d v="2026-07-17T00:00:00"/>
    <d v="2026-07-17T00:00:00"/>
    <m/>
    <d v="2026-07-17T00:00:00"/>
    <n v="10"/>
    <x v="0"/>
    <s v="54"/>
    <e v="#N/A"/>
    <m/>
    <n v="1035"/>
    <e v="#N/A"/>
    <e v="#N/A"/>
  </r>
  <r>
    <x v="13"/>
    <x v="13"/>
    <s v="0328"/>
    <x v="5"/>
    <s v="GR goods receipt"/>
    <s v="5007075437"/>
    <s v="M003"/>
    <x v="113"/>
    <x v="0"/>
    <s v="11:55:56"/>
    <s v="RAPEESAN01"/>
    <s v="0001"/>
    <s v="6901370"/>
    <s v="0000"/>
    <s v=""/>
    <s v="0000000000"/>
    <s v="305055037"/>
    <s v=""/>
    <s v=""/>
    <s v=""/>
    <s v="305055037"/>
    <s v="2024222"/>
    <s v=""/>
    <s v="6901370"/>
    <m/>
    <x v="0"/>
    <n v="15000"/>
    <n v="75000"/>
    <d v="2026-07-18T00:00:00"/>
    <d v="2026-07-18T00:00:00"/>
    <m/>
    <d v="2026-07-18T00:00:00"/>
    <n v="15000"/>
    <x v="0"/>
    <s v="58"/>
    <e v="#N/A"/>
    <m/>
    <n v="5"/>
    <e v="#N/A"/>
    <e v="#N/A"/>
  </r>
  <r>
    <x v="30"/>
    <x v="30"/>
    <s v="0328"/>
    <x v="5"/>
    <s v="GR goods receipt"/>
    <s v="5007143552"/>
    <s v="M004"/>
    <x v="116"/>
    <x v="0"/>
    <s v="10:56:06"/>
    <s v="WANTILER"/>
    <s v="0001"/>
    <s v="IVV0082607171670"/>
    <s v="0000"/>
    <s v=""/>
    <s v="0000000000"/>
    <s v="305058103"/>
    <s v=""/>
    <s v=""/>
    <s v=""/>
    <s v="305058103"/>
    <s v="2048975"/>
    <s v=""/>
    <s v="IVV0082607171670"/>
    <m/>
    <x v="0"/>
    <n v="20"/>
    <n v="20700"/>
    <d v="2026-07-18T00:00:00"/>
    <d v="2026-07-20T00:00:00"/>
    <m/>
    <d v="2026-07-20T00:00:00"/>
    <n v="20"/>
    <x v="0"/>
    <s v="54"/>
    <e v="#N/A"/>
    <m/>
    <n v="1035"/>
    <e v="#N/A"/>
    <e v="#N/A"/>
  </r>
  <r>
    <x v="14"/>
    <x v="14"/>
    <s v="0328"/>
    <x v="5"/>
    <s v="GR goods receipt"/>
    <s v="5007144147"/>
    <s v="M002"/>
    <x v="122"/>
    <x v="0"/>
    <s v="11:48:21"/>
    <s v="RAPEESAN01"/>
    <s v="0001"/>
    <s v="305058630"/>
    <s v="0000"/>
    <s v=""/>
    <s v="0000000000"/>
    <s v="I12607013"/>
    <s v=""/>
    <s v=""/>
    <s v=""/>
    <s v="305058630"/>
    <s v="2020836"/>
    <s v=""/>
    <s v="305058630"/>
    <m/>
    <x v="3"/>
    <n v="49.4"/>
    <n v="13387.4"/>
    <d v="2026-07-15T00:00:00"/>
    <d v="2026-07-15T00:00:00"/>
    <m/>
    <d v="2026-07-20T00:00:00"/>
    <n v="49400"/>
    <x v="0"/>
    <s v="54"/>
    <e v="#N/A"/>
    <m/>
    <n v="271"/>
    <e v="#N/A"/>
    <e v="#N/A"/>
  </r>
  <r>
    <x v="19"/>
    <x v="19"/>
    <s v="0328"/>
    <x v="5"/>
    <s v="GR for order"/>
    <s v="5007147252"/>
    <s v="P002"/>
    <x v="8"/>
    <x v="48"/>
    <s v="15:00:32"/>
    <s v="SUTEESEA"/>
    <s v="0001"/>
    <s v=""/>
    <s v="0000"/>
    <s v=""/>
    <s v="0000000000"/>
    <s v=""/>
    <s v="R.BBB L.16/06/2026"/>
    <s v=""/>
    <s v="53001004"/>
    <s v=""/>
    <s v=""/>
    <s v=""/>
    <s v="R.BBB 16-07-26"/>
    <m/>
    <x v="3"/>
    <n v="8966"/>
    <n v="1433932.38"/>
    <d v="2026-07-16T00:00:00"/>
    <d v="2026-07-16T00:00:00"/>
    <m/>
    <d v="2026-07-20T00:00:00"/>
    <n v="8966000"/>
    <x v="3"/>
    <s v="57"/>
    <s v="ต้นทุนผลิตโอน Semi"/>
    <m/>
    <n v="159.92999999999998"/>
    <e v="#N/A"/>
    <e v="#N/A"/>
  </r>
  <r>
    <x v="18"/>
    <x v="18"/>
    <s v="0328"/>
    <x v="5"/>
    <s v="GR for order"/>
    <s v="5007150100"/>
    <s v="P002"/>
    <x v="25"/>
    <x v="49"/>
    <s v="17:02:18"/>
    <s v="SUTEESEA"/>
    <s v="0001"/>
    <s v=""/>
    <s v="0000"/>
    <s v=""/>
    <s v="0000000000"/>
    <s v=""/>
    <s v="A.BF L.25/03/2026"/>
    <s v=""/>
    <s v="53001004"/>
    <s v=""/>
    <s v=""/>
    <s v=""/>
    <s v="A.BF 16-07-26"/>
    <m/>
    <x v="3"/>
    <n v="6938.16"/>
    <n v="1879131.25"/>
    <d v="2026-07-16T00:00:00"/>
    <d v="2026-07-16T00:00:00"/>
    <m/>
    <d v="2026-07-20T00:00:00"/>
    <n v="6938160"/>
    <x v="3"/>
    <s v="57"/>
    <s v="ต้นทุนผลิตโอน Semi"/>
    <m/>
    <n v="270.83999936582609"/>
    <e v="#N/A"/>
    <e v="#N/A"/>
  </r>
  <r>
    <x v="30"/>
    <x v="30"/>
    <s v="0328"/>
    <x v="5"/>
    <s v="GR goods receipt"/>
    <s v="5007150168"/>
    <s v="M004"/>
    <x v="116"/>
    <x v="0"/>
    <s v="17:07:04"/>
    <s v="WANTILER"/>
    <s v="0001"/>
    <s v="IVV0082607191853"/>
    <s v="0000"/>
    <s v=""/>
    <s v="0000000000"/>
    <s v="305058103"/>
    <s v=""/>
    <s v=""/>
    <s v=""/>
    <s v="305058103"/>
    <s v="2048975"/>
    <s v=""/>
    <s v="IVV0082607191853"/>
    <m/>
    <x v="0"/>
    <n v="15"/>
    <n v="15525"/>
    <d v="2026-07-20T00:00:00"/>
    <d v="2026-07-20T00:00:00"/>
    <m/>
    <d v="2026-07-20T00:00:00"/>
    <n v="15"/>
    <x v="0"/>
    <s v="54"/>
    <e v="#N/A"/>
    <m/>
    <n v="1035"/>
    <e v="#N/A"/>
    <e v="#N/A"/>
  </r>
  <r>
    <x v="13"/>
    <x v="13"/>
    <s v="0328"/>
    <x v="5"/>
    <s v="GR goods receipt"/>
    <s v="5007182742"/>
    <s v="M003"/>
    <x v="123"/>
    <x v="0"/>
    <s v="14:08:28"/>
    <s v="PRONDTAN"/>
    <s v="0001"/>
    <s v="6901384"/>
    <s v="0000"/>
    <s v=""/>
    <s v="0000000000"/>
    <s v="305057907"/>
    <s v=""/>
    <s v=""/>
    <s v=""/>
    <s v="305057907"/>
    <s v="2024222"/>
    <s v=""/>
    <s v="6901384"/>
    <m/>
    <x v="0"/>
    <n v="15000"/>
    <n v="75000"/>
    <d v="2026-07-21T00:00:00"/>
    <d v="2026-07-21T00:00:00"/>
    <m/>
    <d v="2026-07-21T00:00:00"/>
    <n v="15000"/>
    <x v="0"/>
    <s v="58"/>
    <e v="#N/A"/>
    <m/>
    <n v="5"/>
    <e v="#N/A"/>
    <e v="#N/A"/>
  </r>
  <r>
    <x v="30"/>
    <x v="30"/>
    <s v="0328"/>
    <x v="5"/>
    <s v="GR goods receipt"/>
    <s v="5007188059"/>
    <s v="M004"/>
    <x v="116"/>
    <x v="0"/>
    <s v="17:48:32"/>
    <s v="WANTILER"/>
    <s v="0001"/>
    <s v="IVV0082607201972"/>
    <s v="0000"/>
    <s v=""/>
    <s v="0000000000"/>
    <s v="305058103"/>
    <s v=""/>
    <s v=""/>
    <s v=""/>
    <s v="305058103"/>
    <s v="2048975"/>
    <s v=""/>
    <s v="IVV0082607201972"/>
    <m/>
    <x v="0"/>
    <n v="10"/>
    <n v="10350"/>
    <d v="2026-07-21T00:00:00"/>
    <d v="2026-07-21T00:00:00"/>
    <m/>
    <d v="2026-07-21T00:00:00"/>
    <n v="10"/>
    <x v="0"/>
    <s v="54"/>
    <e v="#N/A"/>
    <m/>
    <n v="1035"/>
    <e v="#N/A"/>
    <e v="#N/A"/>
  </r>
  <r>
    <x v="7"/>
    <x v="7"/>
    <s v="0328"/>
    <x v="5"/>
    <s v="GR goods receipt"/>
    <s v="5007257389"/>
    <s v="M002"/>
    <x v="109"/>
    <x v="0"/>
    <s v="12:53:52"/>
    <s v="PRONDTAN"/>
    <s v="0001"/>
    <s v="TIB690722001"/>
    <s v="0000"/>
    <s v=""/>
    <s v="0000000000"/>
    <s v="305058457"/>
    <s v=""/>
    <s v=""/>
    <s v=""/>
    <s v="305058457"/>
    <s v="2039123"/>
    <s v=""/>
    <s v="TIB690722001"/>
    <m/>
    <x v="3"/>
    <n v="47835.3"/>
    <n v="7414471.5"/>
    <d v="2026-07-22T00:00:00"/>
    <d v="2026-07-23T00:00:00"/>
    <m/>
    <d v="2026-07-23T00:00:00"/>
    <n v="47835300"/>
    <x v="0"/>
    <s v="54"/>
    <e v="#N/A"/>
    <m/>
    <n v="155"/>
    <e v="#N/A"/>
    <e v="#N/A"/>
  </r>
  <r>
    <x v="30"/>
    <x v="30"/>
    <s v="0328"/>
    <x v="5"/>
    <s v="GR goods receipt"/>
    <s v="5007262736"/>
    <s v="M004"/>
    <x v="116"/>
    <x v="0"/>
    <s v="17:19:24"/>
    <s v="WANTILER"/>
    <s v="0001"/>
    <s v="IVV0082607212108"/>
    <s v="0000"/>
    <s v=""/>
    <s v="0000000000"/>
    <s v="305058103"/>
    <s v=""/>
    <s v=""/>
    <s v=""/>
    <s v="305058103"/>
    <s v="2048975"/>
    <s v=""/>
    <s v="IVV0082607212108"/>
    <m/>
    <x v="0"/>
    <n v="20"/>
    <n v="20700"/>
    <d v="2026-07-22T00:00:00"/>
    <d v="2026-07-23T00:00:00"/>
    <m/>
    <d v="2026-07-23T00:00:00"/>
    <n v="20"/>
    <x v="0"/>
    <s v="54"/>
    <e v="#N/A"/>
    <m/>
    <n v="1035"/>
    <e v="#N/A"/>
    <e v="#N/A"/>
  </r>
  <r>
    <x v="30"/>
    <x v="30"/>
    <s v="0328"/>
    <x v="5"/>
    <s v="GR goods receipt"/>
    <s v="5007262737"/>
    <s v="M004"/>
    <x v="116"/>
    <x v="0"/>
    <s v="17:20:26"/>
    <s v="WANTILER"/>
    <s v="0001"/>
    <s v="IVV0082607222167"/>
    <s v="0000"/>
    <s v=""/>
    <s v="0000000000"/>
    <s v="305058103"/>
    <s v=""/>
    <s v=""/>
    <s v=""/>
    <s v="305058103"/>
    <s v="2048975"/>
    <s v=""/>
    <s v="IVV0082607222167"/>
    <m/>
    <x v="0"/>
    <n v="15"/>
    <n v="15525"/>
    <d v="2026-07-23T00:00:00"/>
    <d v="2026-07-23T00:00:00"/>
    <m/>
    <d v="2026-07-23T00:00:00"/>
    <n v="15"/>
    <x v="0"/>
    <s v="54"/>
    <e v="#N/A"/>
    <m/>
    <n v="1035"/>
    <e v="#N/A"/>
    <e v="#N/A"/>
  </r>
  <r>
    <x v="30"/>
    <x v="30"/>
    <s v="0328"/>
    <x v="5"/>
    <s v="GR goods receipt"/>
    <s v="5007301415"/>
    <s v="M004"/>
    <x v="116"/>
    <x v="0"/>
    <s v="18:39:18"/>
    <s v="WANTILER"/>
    <s v="0001"/>
    <s v="IVV0082607232255"/>
    <s v="0000"/>
    <s v=""/>
    <s v="0000000000"/>
    <s v="305058103"/>
    <s v=""/>
    <s v=""/>
    <s v=""/>
    <s v="305058103"/>
    <s v="2048975"/>
    <s v=""/>
    <s v="IVV0082607232255"/>
    <m/>
    <x v="0"/>
    <n v="15"/>
    <n v="15525"/>
    <d v="2026-07-24T00:00:00"/>
    <d v="2026-07-24T00:00:00"/>
    <m/>
    <d v="2026-07-24T00:00:00"/>
    <n v="15"/>
    <x v="0"/>
    <s v="54"/>
    <e v="#N/A"/>
    <m/>
    <n v="1035"/>
    <e v="#N/A"/>
    <e v="#N/A"/>
  </r>
  <r>
    <x v="18"/>
    <x v="18"/>
    <s v="0328"/>
    <x v="5"/>
    <s v="GR for order"/>
    <s v="5007336463"/>
    <s v="P002"/>
    <x v="95"/>
    <x v="59"/>
    <s v="15:44:23"/>
    <s v="SUTEESEA"/>
    <s v="0001"/>
    <s v=""/>
    <s v="0000"/>
    <s v=""/>
    <s v="0000000000"/>
    <s v=""/>
    <s v="A.BF L.27/03/2026"/>
    <s v=""/>
    <s v="53001004"/>
    <s v=""/>
    <s v=""/>
    <s v=""/>
    <s v="A.BF 21-07-26"/>
    <m/>
    <x v="3"/>
    <n v="29987"/>
    <n v="8121679.0800000001"/>
    <d v="2026-07-21T00:00:00"/>
    <d v="2026-07-21T00:00:00"/>
    <m/>
    <d v="2026-07-25T00:00:00"/>
    <n v="29987000"/>
    <x v="3"/>
    <s v="57"/>
    <s v="ต้นทุนผลิตโอน Semi"/>
    <m/>
    <n v="270.83999999999997"/>
    <e v="#N/A"/>
    <e v="#N/A"/>
  </r>
  <r>
    <x v="19"/>
    <x v="19"/>
    <s v="0328"/>
    <x v="5"/>
    <s v="GR for order"/>
    <s v="5007337025"/>
    <s v="P002"/>
    <x v="8"/>
    <x v="60"/>
    <s v="16:02:22"/>
    <s v="SUTEESEA"/>
    <s v="0001"/>
    <s v=""/>
    <s v="0000"/>
    <s v=""/>
    <s v="0000000000"/>
    <s v=""/>
    <s v="R.BBB L.16/06/2026"/>
    <s v=""/>
    <s v="53001004"/>
    <s v=""/>
    <s v=""/>
    <s v=""/>
    <s v="R.BBB 22-07-26"/>
    <m/>
    <x v="3"/>
    <n v="9966"/>
    <n v="1593862.38"/>
    <d v="2026-07-22T00:00:00"/>
    <d v="2026-07-22T00:00:00"/>
    <m/>
    <d v="2026-07-25T00:00:00"/>
    <n v="9966000"/>
    <x v="3"/>
    <s v="57"/>
    <s v="ต้นทุนผลิตโอน Semi"/>
    <m/>
    <n v="159.92999999999998"/>
    <e v="#N/A"/>
    <e v="#N/A"/>
  </r>
  <r>
    <x v="18"/>
    <x v="18"/>
    <s v="0328"/>
    <x v="5"/>
    <s v="GR for order"/>
    <s v="5007401901"/>
    <s v="P002"/>
    <x v="96"/>
    <x v="61"/>
    <s v="10:40:42"/>
    <s v="SUTEESEA"/>
    <s v="0001"/>
    <s v=""/>
    <s v="0000"/>
    <s v=""/>
    <s v="0000000000"/>
    <s v=""/>
    <s v="A.BF L.22/04/2026"/>
    <s v=""/>
    <s v="53001004"/>
    <s v=""/>
    <s v=""/>
    <s v=""/>
    <s v="A.BF 24-07-26"/>
    <m/>
    <x v="3"/>
    <n v="39546.480000000003"/>
    <n v="10710768.640000001"/>
    <d v="2026-07-24T00:00:00"/>
    <d v="2026-07-24T00:00:00"/>
    <m/>
    <d v="2026-07-27T00:00:00"/>
    <n v="39546480"/>
    <x v="3"/>
    <s v="57"/>
    <s v="ต้นทุนผลิตโอน Semi"/>
    <m/>
    <n v="270.83999991908257"/>
    <e v="#N/A"/>
    <e v="#N/A"/>
  </r>
  <r>
    <x v="17"/>
    <x v="17"/>
    <s v="0328"/>
    <x v="5"/>
    <s v="GR for order"/>
    <s v="5007401901"/>
    <s v="P002"/>
    <x v="96"/>
    <x v="61"/>
    <s v="10:40:42"/>
    <s v="SUTEESEA"/>
    <s v="0002"/>
    <s v=""/>
    <s v="0000"/>
    <s v=""/>
    <s v="0000000000"/>
    <s v=""/>
    <s v="A.BF L.22/04/2026"/>
    <s v=""/>
    <s v="53001004"/>
    <s v=""/>
    <s v=""/>
    <s v=""/>
    <s v="A.BF 24-07-26"/>
    <m/>
    <x v="3"/>
    <n v="484.4"/>
    <n v="131190.04999999999"/>
    <d v="2026-07-24T00:00:00"/>
    <d v="2026-07-24T00:00:00"/>
    <m/>
    <d v="2026-07-27T00:00:00"/>
    <n v="484400"/>
    <x v="3"/>
    <s v="57"/>
    <s v="ต้นทุนผลิตโอน Semi"/>
    <m/>
    <n v="270.82999587118081"/>
    <e v="#N/A"/>
    <e v="#N/A"/>
  </r>
  <r>
    <x v="30"/>
    <x v="30"/>
    <s v="0328"/>
    <x v="5"/>
    <s v="GR goods receipt"/>
    <s v="5007409560"/>
    <s v="M004"/>
    <x v="116"/>
    <x v="0"/>
    <s v="17:18:07"/>
    <s v="JURASDOK"/>
    <s v="0001"/>
    <s v="V0082607262532"/>
    <s v="0000"/>
    <s v=""/>
    <s v="0000000000"/>
    <s v="305058103"/>
    <s v=""/>
    <s v=""/>
    <s v=""/>
    <s v="305058103"/>
    <s v="2048975"/>
    <s v=""/>
    <s v="V0082607262532"/>
    <m/>
    <x v="0"/>
    <n v="15"/>
    <n v="15525"/>
    <d v="2026-07-27T00:00:00"/>
    <d v="2026-07-27T00:00:00"/>
    <m/>
    <d v="2026-07-27T00:00:00"/>
    <n v="15"/>
    <x v="0"/>
    <s v="54"/>
    <e v="#N/A"/>
    <m/>
    <n v="1035"/>
    <e v="#N/A"/>
    <e v="#N/A"/>
  </r>
  <r>
    <x v="14"/>
    <x v="14"/>
    <s v="0328"/>
    <x v="19"/>
    <s v="GR for PO   reversal"/>
    <s v="5007410131"/>
    <s v="M002"/>
    <x v="122"/>
    <x v="0"/>
    <s v="17:39:42"/>
    <s v="JURASDOK"/>
    <s v="0001"/>
    <s v="305058630"/>
    <s v="0000"/>
    <s v=""/>
    <s v="0000000000"/>
    <s v="I12607013 (ยกเลิก)"/>
    <s v=""/>
    <s v=""/>
    <s v=""/>
    <s v="305058630"/>
    <s v="2020836"/>
    <s v=""/>
    <s v="305058630"/>
    <m/>
    <x v="3"/>
    <n v="-49.4"/>
    <n v="-13387.4"/>
    <d v="2026-07-15T00:00:00"/>
    <d v="2026-07-15T00:00:00"/>
    <m/>
    <d v="2026-07-27T00:00:00"/>
    <n v="-49400"/>
    <x v="0"/>
    <s v="54"/>
    <e v="#N/A"/>
    <m/>
    <n v="271"/>
    <e v="#N/A"/>
    <e v="#N/A"/>
  </r>
  <r>
    <x v="14"/>
    <x v="14"/>
    <s v="0328"/>
    <x v="5"/>
    <s v="GR goods receipt"/>
    <s v="5007410192"/>
    <s v="M002"/>
    <x v="122"/>
    <x v="0"/>
    <s v="17:43:18"/>
    <s v="JURASDOK"/>
    <s v="0001"/>
    <s v="I12607013"/>
    <s v="0000"/>
    <s v=""/>
    <s v="0000000000"/>
    <s v="305058630"/>
    <s v=""/>
    <s v=""/>
    <s v=""/>
    <s v="305058630"/>
    <s v="2020836"/>
    <s v=""/>
    <s v="I12607013"/>
    <m/>
    <x v="3"/>
    <n v="49.4"/>
    <n v="13387.4"/>
    <d v="2026-07-15T00:00:00"/>
    <d v="2026-07-15T00:00:00"/>
    <m/>
    <d v="2026-07-27T00:00:00"/>
    <n v="49400"/>
    <x v="0"/>
    <s v="54"/>
    <e v="#N/A"/>
    <m/>
    <n v="271"/>
    <e v="#N/A"/>
    <e v="#N/A"/>
  </r>
  <r>
    <x v="30"/>
    <x v="30"/>
    <s v="0328"/>
    <x v="5"/>
    <s v="GR goods receipt"/>
    <s v="5007507274"/>
    <s v="M004"/>
    <x v="116"/>
    <x v="0"/>
    <s v="10:00:37"/>
    <s v="WANTILER"/>
    <s v="0001"/>
    <s v="IVV0082607242395"/>
    <s v="0000"/>
    <s v=""/>
    <s v="0000000000"/>
    <s v="305058103"/>
    <s v=""/>
    <s v=""/>
    <s v=""/>
    <s v="305058103"/>
    <s v="2048975"/>
    <s v=""/>
    <s v="IVV0082607242395"/>
    <m/>
    <x v="0"/>
    <n v="20"/>
    <n v="20700"/>
    <d v="2026-07-30T00:00:00"/>
    <d v="2026-07-30T00:00:00"/>
    <m/>
    <d v="2026-07-30T00:00:00"/>
    <n v="20"/>
    <x v="0"/>
    <s v="54"/>
    <e v="#N/A"/>
    <m/>
    <n v="1035"/>
    <e v="#N/A"/>
    <e v="#N/A"/>
  </r>
  <r>
    <x v="13"/>
    <x v="13"/>
    <s v="0328"/>
    <x v="5"/>
    <s v="GR goods receipt"/>
    <s v="5007507345"/>
    <s v="M003"/>
    <x v="124"/>
    <x v="0"/>
    <s v="10:05:41"/>
    <s v="PRONDTAN"/>
    <s v="0001"/>
    <s v="6901440"/>
    <s v="0000"/>
    <s v=""/>
    <s v="0000000000"/>
    <s v="305057907"/>
    <s v=""/>
    <s v=""/>
    <s v=""/>
    <s v="305057907"/>
    <s v="2024222"/>
    <s v=""/>
    <s v="6901440"/>
    <m/>
    <x v="0"/>
    <n v="15000"/>
    <n v="75000"/>
    <d v="2026-07-30T00:00:00"/>
    <d v="2026-07-30T00:00:00"/>
    <m/>
    <d v="2026-07-30T00:00:00"/>
    <n v="15000"/>
    <x v="0"/>
    <s v="58"/>
    <e v="#N/A"/>
    <m/>
    <n v="5"/>
    <e v="#N/A"/>
    <e v="#N/A"/>
  </r>
  <r>
    <x v="30"/>
    <x v="30"/>
    <s v="0328"/>
    <x v="19"/>
    <s v="GR for PO   reversal"/>
    <s v="5007507351"/>
    <s v="M004"/>
    <x v="116"/>
    <x v="0"/>
    <s v="10:03:29"/>
    <s v="WANTILER"/>
    <s v="0001"/>
    <s v="IVV0082607242395"/>
    <s v="0000"/>
    <s v=""/>
    <s v="0000000000"/>
    <s v="305058103"/>
    <s v="ยกเลิก แก้ไขวันที่ผิด"/>
    <s v=""/>
    <s v=""/>
    <s v="305058103"/>
    <s v="2048975"/>
    <s v=""/>
    <s v="IVV0082607242395"/>
    <m/>
    <x v="0"/>
    <n v="-20"/>
    <n v="-20700"/>
    <d v="2026-07-30T00:00:00"/>
    <d v="2026-07-30T00:00:00"/>
    <m/>
    <d v="2026-07-30T00:00:00"/>
    <n v="-20"/>
    <x v="0"/>
    <s v="54"/>
    <e v="#N/A"/>
    <m/>
    <n v="1035"/>
    <e v="#N/A"/>
    <e v="#N/A"/>
  </r>
  <r>
    <x v="30"/>
    <x v="30"/>
    <s v="0328"/>
    <x v="5"/>
    <s v="GR goods receipt"/>
    <s v="5007507502"/>
    <s v="M004"/>
    <x v="116"/>
    <x v="0"/>
    <s v="10:08:22"/>
    <s v="WANTILER"/>
    <s v="0001"/>
    <s v="IVV0082607242395"/>
    <s v="0000"/>
    <s v=""/>
    <s v="0000000000"/>
    <s v="305058103"/>
    <s v=""/>
    <s v=""/>
    <s v=""/>
    <s v="305058103"/>
    <s v="2048975"/>
    <s v=""/>
    <s v="IVV0082607242395"/>
    <m/>
    <x v="0"/>
    <n v="20"/>
    <n v="20700"/>
    <d v="2026-07-25T00:00:00"/>
    <d v="2026-07-30T00:00:00"/>
    <m/>
    <d v="2026-07-30T00:00:00"/>
    <n v="20"/>
    <x v="0"/>
    <s v="54"/>
    <e v="#N/A"/>
    <m/>
    <n v="1035"/>
    <e v="#N/A"/>
    <e v="#N/A"/>
  </r>
  <r>
    <x v="31"/>
    <x v="31"/>
    <s v="0328"/>
    <x v="19"/>
    <s v="GR for PO   reversal"/>
    <s v="5007508821"/>
    <s v="M003"/>
    <x v="118"/>
    <x v="0"/>
    <s v="11:12:15"/>
    <s v="JURASDOK"/>
    <s v="0001"/>
    <s v="260702"/>
    <s v="0000"/>
    <s v=""/>
    <s v="0000000000"/>
    <s v="305057904(ยกเลิก)"/>
    <s v=""/>
    <s v=""/>
    <s v=""/>
    <s v="305057904"/>
    <s v="2026395"/>
    <s v=""/>
    <s v="260702"/>
    <m/>
    <x v="1"/>
    <n v="-4500"/>
    <n v="-5220"/>
    <d v="2026-07-07T00:00:00"/>
    <d v="2026-07-07T00:00:00"/>
    <m/>
    <d v="2026-07-30T00:00:00"/>
    <n v="-4500"/>
    <x v="0"/>
    <s v="58"/>
    <e v="#N/A"/>
    <m/>
    <n v="1.1599999999999999"/>
    <e v="#N/A"/>
    <e v="#N/A"/>
  </r>
  <r>
    <x v="3"/>
    <x v="3"/>
    <s v="0328"/>
    <x v="19"/>
    <s v="GR for PO   reversal"/>
    <s v="5007508821"/>
    <s v="M003"/>
    <x v="118"/>
    <x v="0"/>
    <s v="11:12:15"/>
    <s v="JURASDOK"/>
    <s v="0002"/>
    <s v="260702"/>
    <s v="0000"/>
    <s v=""/>
    <s v="0000000000"/>
    <s v="305057904(ยกเลิก)"/>
    <s v=""/>
    <s v=""/>
    <s v=""/>
    <s v="305057904"/>
    <s v="2026395"/>
    <s v=""/>
    <s v="260702"/>
    <m/>
    <x v="1"/>
    <n v="-1500"/>
    <n v="-1740"/>
    <d v="2026-07-07T00:00:00"/>
    <d v="2026-07-07T00:00:00"/>
    <m/>
    <d v="2026-07-30T00:00:00"/>
    <n v="-1500"/>
    <x v="0"/>
    <s v="58"/>
    <e v="#N/A"/>
    <m/>
    <n v="1.1599999999999999"/>
    <e v="#N/A"/>
    <e v="#N/A"/>
  </r>
  <r>
    <x v="19"/>
    <x v="19"/>
    <s v="0328"/>
    <x v="5"/>
    <s v="GR for order"/>
    <s v="5007508822"/>
    <s v="P002"/>
    <x v="109"/>
    <x v="76"/>
    <s v="11:17:55"/>
    <s v="SUTEESEA"/>
    <s v="0001"/>
    <s v=""/>
    <s v="0000"/>
    <s v=""/>
    <s v="0000000000"/>
    <s v=""/>
    <s v="R.BBB L.22/07/2026"/>
    <s v=""/>
    <s v="53001004"/>
    <s v=""/>
    <s v=""/>
    <s v=""/>
    <s v="R.BBB 27-07-26"/>
    <m/>
    <x v="3"/>
    <n v="10008"/>
    <n v="1600579.44"/>
    <d v="2026-07-27T00:00:00"/>
    <d v="2026-07-27T00:00:00"/>
    <m/>
    <d v="2026-07-30T00:00:00"/>
    <n v="10008000"/>
    <x v="3"/>
    <s v="57"/>
    <s v="ต้นทุนผลิตโอน Semi"/>
    <m/>
    <n v="159.93"/>
    <e v="#N/A"/>
    <e v="#N/A"/>
  </r>
  <r>
    <x v="31"/>
    <x v="31"/>
    <s v="0328"/>
    <x v="5"/>
    <s v="GR goods receipt"/>
    <s v="5007508823"/>
    <s v="M003"/>
    <x v="125"/>
    <x v="0"/>
    <s v="11:19:40"/>
    <s v="JURASDOK"/>
    <s v="0001"/>
    <s v="260702"/>
    <s v="0000"/>
    <s v=""/>
    <s v="0000000000"/>
    <s v="305057904"/>
    <s v=""/>
    <s v=""/>
    <s v=""/>
    <s v="305057904"/>
    <s v="2026395"/>
    <s v=""/>
    <s v="260702"/>
    <m/>
    <x v="1"/>
    <n v="4500"/>
    <n v="5220"/>
    <d v="2026-07-06T00:00:00"/>
    <d v="2026-07-30T00:00:00"/>
    <m/>
    <d v="2026-07-30T00:00:00"/>
    <n v="4500"/>
    <x v="0"/>
    <s v="58"/>
    <e v="#N/A"/>
    <m/>
    <n v="1.1599999999999999"/>
    <e v="#N/A"/>
    <e v="#N/A"/>
  </r>
  <r>
    <x v="3"/>
    <x v="3"/>
    <s v="0328"/>
    <x v="5"/>
    <s v="GR goods receipt"/>
    <s v="5007508823"/>
    <s v="M003"/>
    <x v="125"/>
    <x v="0"/>
    <s v="11:19:40"/>
    <s v="JURASDOK"/>
    <s v="0002"/>
    <s v="260702"/>
    <s v="0000"/>
    <s v=""/>
    <s v="0000000000"/>
    <s v="305057904"/>
    <s v=""/>
    <s v=""/>
    <s v=""/>
    <s v="305057904"/>
    <s v="2026395"/>
    <s v=""/>
    <s v="260702"/>
    <m/>
    <x v="1"/>
    <n v="1500"/>
    <n v="1740"/>
    <d v="2026-07-06T00:00:00"/>
    <d v="2026-07-30T00:00:00"/>
    <m/>
    <d v="2026-07-30T00:00:00"/>
    <n v="1500"/>
    <x v="0"/>
    <s v="58"/>
    <e v="#N/A"/>
    <m/>
    <n v="1.1599999999999999"/>
    <e v="#N/A"/>
    <e v="#N/A"/>
  </r>
  <r>
    <x v="18"/>
    <x v="18"/>
    <s v="0328"/>
    <x v="5"/>
    <s v="GR for order"/>
    <s v="5007509465"/>
    <s v="P002"/>
    <x v="96"/>
    <x v="77"/>
    <s v="12:04:24"/>
    <s v="SUTEESEA"/>
    <s v="0001"/>
    <s v=""/>
    <s v="0000"/>
    <s v=""/>
    <s v="0000000000"/>
    <s v=""/>
    <s v="A.BF L.22/04/2026"/>
    <s v=""/>
    <s v="53001004"/>
    <s v=""/>
    <s v=""/>
    <s v=""/>
    <s v="A.BF 27-07-26"/>
    <m/>
    <x v="3"/>
    <n v="7716.18"/>
    <n v="2089850.19"/>
    <d v="2026-07-27T00:00:00"/>
    <d v="2026-07-27T00:00:00"/>
    <m/>
    <d v="2026-07-30T00:00:00"/>
    <n v="7716180"/>
    <x v="3"/>
    <s v="57"/>
    <s v="ต้นทุนผลิตโอน Semi"/>
    <m/>
    <n v="270.83999984448263"/>
    <e v="#N/A"/>
    <e v="#N/A"/>
  </r>
  <r>
    <x v="17"/>
    <x v="17"/>
    <s v="0328"/>
    <x v="5"/>
    <s v="GR for order"/>
    <s v="5007509465"/>
    <s v="P002"/>
    <x v="96"/>
    <x v="77"/>
    <s v="12:04:24"/>
    <s v="SUTEESEA"/>
    <s v="0002"/>
    <s v=""/>
    <s v="0000"/>
    <s v=""/>
    <s v="0000000000"/>
    <s v=""/>
    <s v="A.BF L.22/04/2026"/>
    <s v=""/>
    <s v="53001004"/>
    <s v=""/>
    <s v=""/>
    <s v=""/>
    <s v="A.BF 27-07-26"/>
    <m/>
    <x v="3"/>
    <n v="221.8"/>
    <n v="60070.09"/>
    <d v="2026-07-27T00:00:00"/>
    <d v="2026-07-27T00:00:00"/>
    <m/>
    <d v="2026-07-30T00:00:00"/>
    <n v="221800"/>
    <x v="3"/>
    <s v="57"/>
    <s v="ต้นทุนผลิตโอน Semi"/>
    <m/>
    <n v="270.82998196573487"/>
    <e v="#N/A"/>
    <e v="#N/A"/>
  </r>
  <r>
    <x v="2"/>
    <x v="2"/>
    <s v="0328"/>
    <x v="5"/>
    <s v="GR goods receipt"/>
    <s v="5007515690"/>
    <s v="M003"/>
    <x v="124"/>
    <x v="0"/>
    <s v="16:50:28"/>
    <s v="PRONDTAN"/>
    <s v="0001"/>
    <s v="6901423"/>
    <s v="0000"/>
    <s v=""/>
    <s v="0000000000"/>
    <s v="305058904"/>
    <s v=""/>
    <s v=""/>
    <s v=""/>
    <s v="305058904"/>
    <s v="2024222"/>
    <s v=""/>
    <s v="6901423"/>
    <m/>
    <x v="0"/>
    <n v="4000"/>
    <n v="20000"/>
    <d v="2026-07-30T00:00:00"/>
    <d v="2026-07-30T00:00:00"/>
    <m/>
    <d v="2026-07-30T00:00:00"/>
    <n v="4000"/>
    <x v="0"/>
    <s v="58"/>
    <e v="#N/A"/>
    <m/>
    <n v="5"/>
    <e v="#N/A"/>
    <e v="#N/A"/>
  </r>
  <r>
    <x v="18"/>
    <x v="18"/>
    <s v="0328"/>
    <x v="5"/>
    <s v="GR for order"/>
    <s v="5007548622"/>
    <s v="P002"/>
    <x v="117"/>
    <x v="82"/>
    <s v="11:06:07"/>
    <s v="SUTEESEA"/>
    <s v="0001"/>
    <s v=""/>
    <s v="0000"/>
    <s v=""/>
    <s v="0000000000"/>
    <s v=""/>
    <s v="A.CF L.23/06/2026"/>
    <s v=""/>
    <s v="53001004"/>
    <s v=""/>
    <s v=""/>
    <s v=""/>
    <s v="A.CF 31-07-26"/>
    <m/>
    <x v="3"/>
    <n v="9961"/>
    <n v="2697837.24"/>
    <d v="2026-07-31T00:00:00"/>
    <d v="2026-07-31T00:00:00"/>
    <m/>
    <d v="2026-07-31T00:00:00"/>
    <n v="9961000"/>
    <x v="3"/>
    <s v="57"/>
    <s v="ต้นทุนผลิตโอน Semi"/>
    <m/>
    <n v="270.84000000000003"/>
    <e v="#N/A"/>
    <e v="#N/A"/>
  </r>
  <r>
    <x v="32"/>
    <x v="32"/>
    <m/>
    <x v="20"/>
    <m/>
    <m/>
    <m/>
    <x v="126"/>
    <x v="83"/>
    <m/>
    <m/>
    <m/>
    <m/>
    <m/>
    <m/>
    <m/>
    <m/>
    <m/>
    <m/>
    <m/>
    <m/>
    <m/>
    <m/>
    <m/>
    <m/>
    <x v="7"/>
    <m/>
    <m/>
    <m/>
    <m/>
    <m/>
    <m/>
    <m/>
    <x v="5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DAFAA4-760C-4D32-A354-33FE9A8907E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7" firstHeaderRow="0" firstDataRow="1" firstDataCol="2" rowPageCount="2" colPageCount="1"/>
  <pivotFields count="38">
    <pivotField axis="axisRow" outline="0" showAll="0" defaultSubtotal="0">
      <items count="39">
        <item x="32"/>
        <item x="23"/>
        <item x="37"/>
        <item x="33"/>
        <item x="34"/>
        <item x="35"/>
        <item x="26"/>
        <item x="11"/>
        <item x="12"/>
        <item x="4"/>
        <item x="13"/>
        <item x="14"/>
        <item x="28"/>
        <item x="15"/>
        <item x="31"/>
        <item x="16"/>
        <item x="30"/>
        <item x="36"/>
        <item x="29"/>
        <item x="5"/>
        <item x="17"/>
        <item x="6"/>
        <item x="18"/>
        <item x="7"/>
        <item x="24"/>
        <item x="27"/>
        <item x="19"/>
        <item x="20"/>
        <item x="21"/>
        <item x="25"/>
        <item x="22"/>
        <item x="1"/>
        <item x="2"/>
        <item x="9"/>
        <item x="0"/>
        <item x="3"/>
        <item x="8"/>
        <item x="10"/>
        <item x="38"/>
      </items>
    </pivotField>
    <pivotField axis="axisRow" outline="0" showAll="0" defaultSubtotal="0">
      <items count="38">
        <item h="1" x="19"/>
        <item h="1" x="7"/>
        <item h="1" x="33"/>
        <item h="1" x="25"/>
        <item h="1" x="6"/>
        <item h="1" x="17"/>
        <item h="1" x="22"/>
        <item h="1" x="2"/>
        <item h="1" x="20"/>
        <item h="1" x="21"/>
        <item h="1" x="0"/>
        <item h="1" x="5"/>
        <item h="1" x="3"/>
        <item h="1" x="31"/>
        <item h="1" x="23"/>
        <item h="1" x="14"/>
        <item h="1" x="13"/>
        <item h="1" x="27"/>
        <item h="1" x="15"/>
        <item h="1" x="30"/>
        <item h="1" x="10"/>
        <item h="1" x="1"/>
        <item h="1" x="4"/>
        <item h="1" x="29"/>
        <item h="1" x="8"/>
        <item h="1" x="16"/>
        <item h="1" x="35"/>
        <item h="1" x="9"/>
        <item h="1" x="28"/>
        <item h="1" x="18"/>
        <item h="1" x="34"/>
        <item h="1" x="26"/>
        <item h="1" x="24"/>
        <item x="12"/>
        <item x="32"/>
        <item x="11"/>
        <item h="1" x="36"/>
        <item h="1" x="37"/>
      </items>
    </pivotField>
    <pivotField showAll="0"/>
    <pivotField axis="axisPage" multipleItemSelectionAllowed="1" showAll="0">
      <items count="17">
        <item h="1" x="8"/>
        <item h="1" x="12"/>
        <item h="1" x="6"/>
        <item x="7"/>
        <item x="11"/>
        <item h="1" x="3"/>
        <item h="1" x="2"/>
        <item h="1" x="14"/>
        <item h="1" x="0"/>
        <item h="1" x="9"/>
        <item h="1" x="4"/>
        <item h="1" x="10"/>
        <item h="1" x="13"/>
        <item h="1" x="5"/>
        <item h="1" x="1"/>
        <item h="1"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x="3"/>
        <item h="1" x="1"/>
        <item h="1" x="4"/>
        <item h="1" x="2"/>
        <item h="1" x="0"/>
        <item h="1" x="5"/>
        <item t="default"/>
      </items>
    </pivotField>
    <pivotField showAll="0"/>
    <pivotField showAll="0"/>
    <pivotField showAll="0"/>
  </pivotFields>
  <rowFields count="2">
    <field x="0"/>
    <field x="1"/>
  </rowFields>
  <rowItems count="3">
    <i>
      <x v="7"/>
      <x v="35"/>
    </i>
    <i>
      <x v="8"/>
      <x v="33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-1"/>
    <pageField fld="34" hier="-1"/>
  </pageFields>
  <dataFields count="2">
    <dataField name="Sum of Quantity in UnE" fld="26" baseField="0" baseItem="0"/>
    <dataField name="Sum of Amt.in Loc.Cur." fld="2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CFF38-B21A-457A-A424-6622814FF3C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17" firstHeaderRow="0" firstDataRow="1" firstDataCol="2" rowPageCount="2" colPageCount="1"/>
  <pivotFields count="38">
    <pivotField axis="axisRow" outline="0" showAll="0" defaultSubtotal="0">
      <items count="39">
        <item h="1" x="32"/>
        <item h="1" x="23"/>
        <item h="1" x="37"/>
        <item h="1" x="33"/>
        <item h="1" x="34"/>
        <item h="1" x="35"/>
        <item h="1" x="26"/>
        <item h="1" x="11"/>
        <item h="1" x="12"/>
        <item h="1" x="4"/>
        <item x="13"/>
        <item x="14"/>
        <item x="28"/>
        <item x="15"/>
        <item x="31"/>
        <item h="1" x="16"/>
        <item h="1" x="30"/>
        <item h="1" x="36"/>
        <item h="1" x="29"/>
        <item h="1" x="5"/>
        <item h="1" x="17"/>
        <item h="1" x="6"/>
        <item h="1" x="18"/>
        <item h="1" x="7"/>
        <item h="1" x="24"/>
        <item h="1" x="27"/>
        <item h="1" x="19"/>
        <item h="1" x="20"/>
        <item h="1" x="21"/>
        <item h="1" x="25"/>
        <item h="1" x="22"/>
        <item h="1" x="1"/>
        <item h="1" x="2"/>
        <item h="1" x="9"/>
        <item h="1" x="0"/>
        <item h="1" x="3"/>
        <item h="1" x="8"/>
        <item h="1" x="10"/>
        <item h="1" x="38"/>
      </items>
    </pivotField>
    <pivotField axis="axisRow" showAll="0">
      <items count="39">
        <item x="19"/>
        <item x="7"/>
        <item x="33"/>
        <item x="25"/>
        <item x="6"/>
        <item x="17"/>
        <item x="22"/>
        <item x="2"/>
        <item x="20"/>
        <item x="21"/>
        <item x="0"/>
        <item x="5"/>
        <item x="3"/>
        <item x="31"/>
        <item x="23"/>
        <item x="14"/>
        <item x="13"/>
        <item x="27"/>
        <item x="15"/>
        <item x="30"/>
        <item x="10"/>
        <item x="1"/>
        <item x="4"/>
        <item x="29"/>
        <item x="8"/>
        <item x="16"/>
        <item x="35"/>
        <item x="9"/>
        <item x="28"/>
        <item x="18"/>
        <item x="34"/>
        <item x="26"/>
        <item x="24"/>
        <item x="12"/>
        <item x="32"/>
        <item x="11"/>
        <item x="36"/>
        <item x="37"/>
        <item t="default"/>
      </items>
    </pivotField>
    <pivotField showAll="0"/>
    <pivotField axis="axisPage" multipleItemSelectionAllowed="1" showAll="0">
      <items count="17">
        <item h="1" x="8"/>
        <item h="1" x="12"/>
        <item h="1" x="6"/>
        <item x="7"/>
        <item x="11"/>
        <item h="1" x="3"/>
        <item h="1" x="2"/>
        <item h="1" x="14"/>
        <item h="1" x="0"/>
        <item h="1" x="9"/>
        <item h="1" x="4"/>
        <item h="1" x="10"/>
        <item h="1" x="13"/>
        <item h="1" x="5"/>
        <item h="1" x="1"/>
        <item h="1"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h="1" x="1"/>
        <item x="4"/>
        <item h="1" x="2"/>
        <item h="1" x="0"/>
        <item h="1" x="5"/>
        <item t="default"/>
      </items>
    </pivotField>
    <pivotField showAll="0"/>
    <pivotField showAll="0"/>
    <pivotField showAll="0"/>
  </pivotFields>
  <rowFields count="2">
    <field x="0"/>
    <field x="1"/>
  </rowFields>
  <rowItems count="5">
    <i>
      <x v="10"/>
      <x v="16"/>
    </i>
    <i>
      <x v="11"/>
      <x v="15"/>
    </i>
    <i>
      <x v="12"/>
      <x v="17"/>
    </i>
    <i>
      <x v="13"/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-1"/>
    <pageField fld="34" hier="-1"/>
  </pageFields>
  <dataFields count="2">
    <dataField name="Sum of Quantity in UnE" fld="26" baseField="0" baseItem="0"/>
    <dataField name="Sum of Amt.in Loc.Cur." fld="2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94ECB9-4C2F-4C78-9990-2964202FE03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2" firstHeaderRow="0" firstDataRow="1" firstDataCol="4" rowPageCount="1" colPageCount="1"/>
  <pivotFields count="40">
    <pivotField axis="axisRow" outline="0" showAll="0" defaultSubtotal="0">
      <items count="49">
        <item x="30"/>
        <item x="14"/>
        <item x="7"/>
        <item m="1" x="33"/>
        <item x="18"/>
        <item x="17"/>
        <item x="19"/>
        <item x="20"/>
        <item x="23"/>
        <item x="22"/>
        <item x="11"/>
        <item x="1"/>
        <item x="12"/>
        <item x="2"/>
        <item x="13"/>
        <item x="0"/>
        <item m="1" x="48"/>
        <item m="1" x="34"/>
        <item x="4"/>
        <item m="1" x="45"/>
        <item x="16"/>
        <item m="1" x="44"/>
        <item m="1" x="35"/>
        <item m="1" x="36"/>
        <item x="6"/>
        <item x="5"/>
        <item x="25"/>
        <item x="9"/>
        <item m="1" x="37"/>
        <item m="1" x="47"/>
        <item x="26"/>
        <item x="8"/>
        <item x="32"/>
        <item x="28"/>
        <item x="31"/>
        <item m="1" x="46"/>
        <item x="15"/>
        <item m="1" x="41"/>
        <item m="1" x="42"/>
        <item m="1" x="43"/>
        <item m="1" x="39"/>
        <item x="29"/>
        <item m="1" x="40"/>
        <item x="21"/>
        <item m="1" x="38"/>
        <item x="24"/>
        <item x="27"/>
        <item x="10"/>
        <item x="3"/>
      </items>
    </pivotField>
    <pivotField axis="axisRow" outline="0" showAll="0" defaultSubtotal="0">
      <items count="48">
        <item x="0"/>
        <item x="13"/>
        <item x="12"/>
        <item x="1"/>
        <item x="4"/>
        <item x="5"/>
        <item m="1" x="47"/>
        <item m="1" x="34"/>
        <item x="9"/>
        <item x="11"/>
        <item x="26"/>
        <item m="1" x="37"/>
        <item m="1" x="35"/>
        <item x="16"/>
        <item m="1" x="36"/>
        <item m="1" x="45"/>
        <item m="1" x="44"/>
        <item x="18"/>
        <item m="1" x="33"/>
        <item x="19"/>
        <item x="20"/>
        <item x="8"/>
        <item x="6"/>
        <item m="1" x="46"/>
        <item x="17"/>
        <item x="23"/>
        <item x="22"/>
        <item x="25"/>
        <item x="2"/>
        <item x="7"/>
        <item x="14"/>
        <item x="30"/>
        <item x="32"/>
        <item x="28"/>
        <item x="31"/>
        <item x="15"/>
        <item m="1" x="41"/>
        <item m="1" x="42"/>
        <item m="1" x="43"/>
        <item m="1" x="39"/>
        <item x="29"/>
        <item m="1" x="40"/>
        <item x="21"/>
        <item m="1" x="38"/>
        <item x="24"/>
        <item x="27"/>
        <item x="10"/>
        <item x="3"/>
      </items>
    </pivotField>
    <pivotField showAll="0"/>
    <pivotField showAll="0"/>
    <pivotField showAll="0"/>
    <pivotField showAll="0"/>
    <pivotField showAll="0"/>
    <pivotField showAll="0"/>
    <pivotField axis="axisRow" outline="0" showAll="0" sumSubtotal="1">
      <items count="492">
        <item h="1" x="0"/>
        <item m="1" x="430"/>
        <item m="1" x="431"/>
        <item m="1" x="432"/>
        <item m="1" x="446"/>
        <item m="1" x="433"/>
        <item m="1" x="445"/>
        <item m="1" x="447"/>
        <item m="1" x="448"/>
        <item m="1" x="449"/>
        <item m="1" x="462"/>
        <item m="1" x="463"/>
        <item m="1" x="464"/>
        <item m="1" x="471"/>
        <item m="1" x="480"/>
        <item m="1" x="482"/>
        <item h="1" m="1" x="434"/>
        <item h="1" m="1" x="436"/>
        <item h="1" m="1" x="438"/>
        <item h="1" m="1" x="440"/>
        <item h="1" m="1" x="442"/>
        <item h="1" m="1" x="450"/>
        <item h="1" m="1" x="452"/>
        <item h="1" m="1" x="454"/>
        <item h="1" m="1" x="456"/>
        <item h="1" m="1" x="458"/>
        <item h="1" m="1" x="460"/>
        <item h="1" m="1" x="465"/>
        <item h="1" m="1" x="467"/>
        <item h="1" m="1" x="469"/>
        <item h="1" m="1" x="472"/>
        <item h="1" m="1" x="474"/>
        <item h="1" m="1" x="476"/>
        <item h="1" m="1" x="478"/>
        <item h="1" m="1" x="435"/>
        <item h="1" m="1" x="437"/>
        <item h="1" m="1" x="439"/>
        <item h="1" m="1" x="441"/>
        <item h="1" m="1" x="443"/>
        <item h="1" m="1" x="451"/>
        <item h="1" m="1" x="453"/>
        <item h="1" m="1" x="455"/>
        <item h="1" m="1" x="457"/>
        <item h="1" m="1" x="459"/>
        <item h="1" m="1" x="461"/>
        <item h="1" m="1" x="466"/>
        <item h="1" m="1" x="468"/>
        <item h="1" m="1" x="470"/>
        <item h="1" m="1" x="473"/>
        <item h="1" m="1" x="475"/>
        <item h="1" m="1" x="477"/>
        <item h="1" m="1" x="479"/>
        <item h="1" m="1" x="444"/>
        <item h="1" m="1" x="481"/>
        <item h="1" x="83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370"/>
        <item h="1" m="1" x="371"/>
        <item h="1" m="1" x="372"/>
        <item h="1" m="1" x="373"/>
        <item h="1" m="1" x="374"/>
        <item m="1" x="375"/>
        <item m="1" x="376"/>
        <item m="1" x="377"/>
        <item m="1" x="378"/>
        <item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m="1" x="387"/>
        <item m="1" x="388"/>
        <item m="1" x="389"/>
        <item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m="1" x="403"/>
        <item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m="1" x="412"/>
        <item m="1" x="413"/>
        <item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m="1" x="423"/>
        <item h="1" m="1" x="424"/>
        <item h="1" m="1" x="425"/>
        <item h="1" m="1" x="426"/>
        <item h="1" m="1" x="427"/>
        <item h="1" m="1" x="428"/>
        <item m="1" x="429"/>
        <item h="1" m="1" x="369"/>
        <item h="1" m="1" x="285"/>
        <item h="1" m="1" x="286"/>
        <item h="1" m="1" x="287"/>
        <item h="1" m="1" x="288"/>
        <item h="1" m="1" x="289"/>
        <item h="1" m="1" x="290"/>
        <item m="1" x="291"/>
        <item m="1" x="292"/>
        <item m="1" x="293"/>
        <item m="1" x="294"/>
        <item m="1" x="295"/>
        <item h="1" m="1" x="296"/>
        <item m="1" x="297"/>
        <item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m="1" x="325"/>
        <item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m="1" x="335"/>
        <item m="1" x="336"/>
        <item m="1" x="337"/>
        <item m="1" x="338"/>
        <item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m="1" x="354"/>
        <item m="1" x="355"/>
        <item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223"/>
        <item h="1" m="1" x="224"/>
        <item h="1" m="1" x="225"/>
        <item h="1" m="1" x="226"/>
        <item h="1" m="1" x="227"/>
        <item h="1" m="1" x="228"/>
        <item m="1" x="229"/>
        <item m="1" x="230"/>
        <item m="1" x="231"/>
        <item h="1" m="1" x="232"/>
        <item h="1" m="1" x="233"/>
        <item h="1" m="1" x="234"/>
        <item h="1" m="1" x="235"/>
        <item h="1" m="1" x="236"/>
        <item h="1" m="1" x="237"/>
        <item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m="1" x="247"/>
        <item m="1" x="248"/>
        <item m="1" x="249"/>
        <item h="1" m="1" x="250"/>
        <item h="1" m="1" x="251"/>
        <item h="1" m="1" x="252"/>
        <item h="1" m="1" x="253"/>
        <item h="1" m="1" x="254"/>
        <item m="1" x="255"/>
        <item m="1" x="256"/>
        <item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m="1" x="273"/>
        <item m="1" x="274"/>
        <item h="1" m="1" x="275"/>
        <item h="1" m="1" x="276"/>
        <item h="1" m="1" x="277"/>
        <item m="1" x="278"/>
        <item h="1" m="1" x="279"/>
        <item h="1" m="1" x="280"/>
        <item h="1" m="1" x="281"/>
        <item h="1" m="1" x="282"/>
        <item h="1" m="1" x="283"/>
        <item h="1" m="1" x="284"/>
        <item h="1" m="1" x="152"/>
        <item h="1" m="1" x="153"/>
        <item h="1" m="1" x="154"/>
        <item h="1" m="1" x="155"/>
        <item m="1" x="156"/>
        <item h="1" m="1" x="157"/>
        <item h="1" m="1" x="158"/>
        <item h="1" m="1" x="159"/>
        <item h="1" m="1" x="160"/>
        <item m="1" x="161"/>
        <item m="1" x="162"/>
        <item m="1" x="163"/>
        <item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m="1" x="179"/>
        <item m="1" x="180"/>
        <item m="1" x="181"/>
        <item m="1" x="182"/>
        <item h="1" m="1" x="183"/>
        <item h="1" m="1" x="184"/>
        <item h="1" m="1" x="185"/>
        <item h="1" m="1" x="186"/>
        <item h="1" m="1" x="187"/>
        <item m="1" x="188"/>
        <item m="1" x="189"/>
        <item h="1" m="1" x="190"/>
        <item h="1" m="1" x="191"/>
        <item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m="1" x="206"/>
        <item m="1" x="207"/>
        <item m="1" x="208"/>
        <item m="1" x="209"/>
        <item m="1" x="210"/>
        <item m="1" x="211"/>
        <item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m="1" x="84"/>
        <item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m="1" x="94"/>
        <item m="1" x="95"/>
        <item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m="1" x="105"/>
        <item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m="1" x="116"/>
        <item m="1" x="117"/>
        <item m="1" x="118"/>
        <item m="1" x="119"/>
        <item h="1" m="1" x="120"/>
        <item h="1" m="1" x="121"/>
        <item h="1" m="1" x="122"/>
        <item h="1" m="1" x="123"/>
        <item h="1" m="1" x="124"/>
        <item m="1" x="125"/>
        <item h="1" m="1" x="126"/>
        <item m="1" x="127"/>
        <item m="1" x="128"/>
        <item h="1" m="1" x="129"/>
        <item h="1" m="1" x="130"/>
        <item m="1" x="131"/>
        <item m="1" x="132"/>
        <item h="1" m="1" x="133"/>
        <item h="1" m="1" x="134"/>
        <item h="1" m="1" x="135"/>
        <item m="1" x="136"/>
        <item m="1" x="137"/>
        <item h="1" m="1" x="138"/>
        <item h="1" m="1" x="139"/>
        <item h="1" m="1" x="140"/>
        <item h="1" m="1" x="141"/>
        <item m="1" x="142"/>
        <item h="1" m="1" x="143"/>
        <item h="1" m="1" x="144"/>
        <item h="1" m="1" x="145"/>
        <item h="1" m="1" x="146"/>
        <item h="1" m="1" x="147"/>
        <item m="1" x="148"/>
        <item m="1" x="149"/>
        <item h="1" m="1" x="150"/>
        <item h="1" m="1" x="151"/>
        <item h="1" x="1"/>
        <item h="1" x="2"/>
        <item x="3"/>
        <item x="4"/>
        <item x="5"/>
        <item h="1" x="6"/>
        <item x="7"/>
        <item h="1" x="8"/>
        <item h="1" x="9"/>
        <item h="1" x="10"/>
        <item h="1" x="11"/>
        <item h="1" x="12"/>
        <item x="13"/>
        <item h="1" x="14"/>
        <item h="1" x="15"/>
        <item h="1" x="16"/>
        <item h="1" x="17"/>
        <item h="1" x="18"/>
        <item h="1" x="19"/>
        <item x="20"/>
        <item x="21"/>
        <item x="22"/>
        <item x="23"/>
        <item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x="35"/>
        <item h="1" x="36"/>
        <item h="1" x="37"/>
        <item h="1" x="38"/>
        <item x="39"/>
        <item h="1" x="40"/>
        <item x="41"/>
        <item h="1" x="42"/>
        <item x="43"/>
        <item h="1" x="44"/>
        <item h="1" x="45"/>
        <item h="1" x="46"/>
        <item h="1" x="47"/>
        <item x="48"/>
        <item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x="59"/>
        <item x="60"/>
        <item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x="76"/>
        <item x="77"/>
        <item h="1" x="78"/>
        <item h="1" x="79"/>
        <item h="1" x="80"/>
        <item h="1" x="81"/>
        <item x="82"/>
        <item t="sum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4"/>
        <item x="1"/>
        <item x="5"/>
        <item x="3"/>
        <item x="0"/>
        <item x="6"/>
        <item x="7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0"/>
        <item x="3"/>
        <item h="1" x="4"/>
        <item h="1" x="2"/>
        <item h="1"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4">
    <field x="8"/>
    <field x="0"/>
    <field x="1"/>
    <field x="25"/>
  </rowFields>
  <rowItems count="79">
    <i>
      <x v="411"/>
      <x v="1"/>
      <x v="30"/>
      <x v="4"/>
    </i>
    <i r="1">
      <x v="4"/>
      <x v="17"/>
      <x v="4"/>
    </i>
    <i r="1">
      <x v="5"/>
      <x v="24"/>
      <x v="4"/>
    </i>
    <i t="sum">
      <x v="411"/>
    </i>
    <i>
      <x v="412"/>
      <x v="2"/>
      <x v="29"/>
      <x v="4"/>
    </i>
    <i r="1">
      <x v="6"/>
      <x v="19"/>
      <x v="4"/>
    </i>
    <i r="1">
      <x v="7"/>
      <x v="20"/>
      <x v="4"/>
    </i>
    <i t="sum">
      <x v="412"/>
    </i>
    <i>
      <x v="413"/>
      <x v="1"/>
      <x v="30"/>
      <x v="4"/>
    </i>
    <i r="1">
      <x v="4"/>
      <x v="17"/>
      <x v="4"/>
    </i>
    <i r="1">
      <x v="5"/>
      <x v="24"/>
      <x v="4"/>
    </i>
    <i t="sum">
      <x v="413"/>
    </i>
    <i>
      <x v="415"/>
      <x v="1"/>
      <x v="30"/>
      <x v="4"/>
    </i>
    <i r="1">
      <x v="4"/>
      <x v="17"/>
      <x v="4"/>
    </i>
    <i t="sum">
      <x v="415"/>
    </i>
    <i>
      <x v="421"/>
      <x v="1"/>
      <x v="30"/>
      <x v="4"/>
    </i>
    <i r="1">
      <x v="4"/>
      <x v="17"/>
      <x v="4"/>
    </i>
    <i r="1">
      <x v="5"/>
      <x v="24"/>
      <x v="4"/>
    </i>
    <i t="sum">
      <x v="421"/>
    </i>
    <i>
      <x v="428"/>
      <x v="2"/>
      <x v="29"/>
      <x v="4"/>
    </i>
    <i r="1">
      <x v="6"/>
      <x v="19"/>
      <x v="4"/>
    </i>
    <i r="1">
      <x v="7"/>
      <x v="20"/>
      <x v="4"/>
    </i>
    <i t="sum">
      <x v="428"/>
    </i>
    <i>
      <x v="429"/>
      <x v="1"/>
      <x v="30"/>
      <x v="4"/>
    </i>
    <i r="1">
      <x v="4"/>
      <x v="17"/>
      <x v="4"/>
    </i>
    <i r="1">
      <x v="5"/>
      <x v="24"/>
      <x v="4"/>
    </i>
    <i t="sum">
      <x v="429"/>
    </i>
    <i>
      <x v="430"/>
      <x v="1"/>
      <x v="30"/>
      <x v="4"/>
    </i>
    <i r="1">
      <x v="4"/>
      <x v="17"/>
      <x v="4"/>
    </i>
    <i t="sum">
      <x v="430"/>
    </i>
    <i>
      <x v="431"/>
      <x v="1"/>
      <x v="30"/>
      <x v="4"/>
    </i>
    <i r="1">
      <x v="4"/>
      <x v="17"/>
      <x v="4"/>
    </i>
    <i r="1">
      <x v="5"/>
      <x v="24"/>
      <x v="4"/>
    </i>
    <i t="sum">
      <x v="431"/>
    </i>
    <i>
      <x v="432"/>
      <x v="1"/>
      <x v="30"/>
      <x v="4"/>
    </i>
    <i r="1">
      <x v="4"/>
      <x v="17"/>
      <x v="4"/>
    </i>
    <i r="1">
      <x v="5"/>
      <x v="24"/>
      <x v="4"/>
    </i>
    <i t="sum">
      <x v="432"/>
    </i>
    <i>
      <x v="443"/>
      <x v="2"/>
      <x v="29"/>
      <x v="4"/>
    </i>
    <i r="1">
      <x v="6"/>
      <x v="19"/>
      <x v="4"/>
    </i>
    <i r="1">
      <x v="7"/>
      <x v="20"/>
      <x v="4"/>
    </i>
    <i t="sum">
      <x v="443"/>
    </i>
    <i>
      <x v="447"/>
      <x v="1"/>
      <x v="30"/>
      <x v="4"/>
    </i>
    <i r="1">
      <x v="4"/>
      <x v="17"/>
      <x v="4"/>
    </i>
    <i r="1">
      <x v="5"/>
      <x v="24"/>
      <x v="4"/>
    </i>
    <i t="sum">
      <x v="447"/>
    </i>
    <i>
      <x v="449"/>
      <x v="1"/>
      <x v="30"/>
      <x v="4"/>
    </i>
    <i r="1">
      <x v="4"/>
      <x v="17"/>
      <x v="4"/>
    </i>
    <i t="sum">
      <x v="449"/>
    </i>
    <i>
      <x v="451"/>
      <x v="1"/>
      <x v="30"/>
      <x v="4"/>
    </i>
    <i r="1">
      <x v="4"/>
      <x v="17"/>
      <x v="4"/>
    </i>
    <i t="sum">
      <x v="451"/>
    </i>
    <i>
      <x v="456"/>
      <x v="2"/>
      <x v="29"/>
      <x v="4"/>
    </i>
    <i r="1">
      <x v="6"/>
      <x v="19"/>
      <x v="4"/>
    </i>
    <i t="sum">
      <x v="456"/>
    </i>
    <i>
      <x v="457"/>
      <x v="1"/>
      <x v="30"/>
      <x v="4"/>
    </i>
    <i r="1">
      <x v="4"/>
      <x v="17"/>
      <x v="4"/>
    </i>
    <i t="sum">
      <x v="457"/>
    </i>
    <i>
      <x v="467"/>
      <x v="1"/>
      <x v="30"/>
      <x v="4"/>
    </i>
    <i r="1">
      <x v="4"/>
      <x v="17"/>
      <x v="4"/>
    </i>
    <i t="sum">
      <x v="467"/>
    </i>
    <i>
      <x v="468"/>
      <x v="2"/>
      <x v="29"/>
      <x v="4"/>
    </i>
    <i r="1">
      <x v="6"/>
      <x v="19"/>
      <x v="4"/>
    </i>
    <i t="sum">
      <x v="468"/>
    </i>
    <i>
      <x v="469"/>
      <x v="1"/>
      <x v="30"/>
      <x v="4"/>
    </i>
    <i r="1">
      <x v="4"/>
      <x v="17"/>
      <x v="4"/>
    </i>
    <i r="1">
      <x v="5"/>
      <x v="24"/>
      <x v="4"/>
    </i>
    <i t="sum">
      <x v="469"/>
    </i>
    <i>
      <x v="484"/>
      <x v="2"/>
      <x v="29"/>
      <x v="4"/>
    </i>
    <i r="1">
      <x v="6"/>
      <x v="19"/>
      <x v="4"/>
    </i>
    <i t="sum">
      <x v="484"/>
    </i>
    <i>
      <x v="485"/>
      <x v="1"/>
      <x v="30"/>
      <x v="4"/>
    </i>
    <i r="1">
      <x v="4"/>
      <x v="17"/>
      <x v="4"/>
    </i>
    <i r="1">
      <x v="5"/>
      <x v="24"/>
      <x v="4"/>
    </i>
    <i t="sum">
      <x v="485"/>
    </i>
    <i>
      <x v="490"/>
      <x v="1"/>
      <x v="30"/>
      <x v="4"/>
    </i>
    <i r="1">
      <x v="4"/>
      <x v="17"/>
      <x v="4"/>
    </i>
    <i t="sum">
      <x v="490"/>
    </i>
    <i t="grand">
      <x/>
    </i>
  </rowItems>
  <colFields count="1">
    <field x="-2"/>
  </colFields>
  <colItems count="2">
    <i>
      <x/>
    </i>
    <i i="1">
      <x v="1"/>
    </i>
  </colItems>
  <pageFields count="1">
    <pageField fld="33" hier="-1"/>
  </pageFields>
  <dataFields count="2">
    <dataField name="Sum of Quantity in UnE" fld="26" baseField="0" baseItem="0"/>
    <dataField name="Sum of Amt.in Loc.Cur." fld="27" baseField="0" baseItem="0"/>
  </dataFields>
  <formats count="89">
    <format dxfId="4080">
      <pivotArea collapsedLevelsAreSubtotals="1" fieldPosition="0">
        <references count="4">
          <reference field="0" count="1" selected="0">
            <x v="1"/>
          </reference>
          <reference field="1" count="1" selected="0">
            <x v="30"/>
          </reference>
          <reference field="8" count="1" selected="0">
            <x v="15"/>
          </reference>
          <reference field="25" count="1">
            <x v="4"/>
          </reference>
        </references>
      </pivotArea>
    </format>
    <format dxfId="4079">
      <pivotArea collapsedLevelsAreSubtotals="1" fieldPosition="0">
        <references count="4">
          <reference field="0" count="1" selected="0">
            <x v="3"/>
          </reference>
          <reference field="1" count="1" selected="0">
            <x v="18"/>
          </reference>
          <reference field="8" count="1" selected="0">
            <x v="15"/>
          </reference>
          <reference field="25" count="1">
            <x v="4"/>
          </reference>
        </references>
      </pivotArea>
    </format>
    <format dxfId="4078">
      <pivotArea collapsedLevelsAreSubtotals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5"/>
          </reference>
          <reference field="25" count="1">
            <x v="4"/>
          </reference>
        </references>
      </pivotArea>
    </format>
    <format dxfId="4077">
      <pivotArea collapsedLevelsAreSubtotals="1" fieldPosition="0">
        <references count="4">
          <reference field="0" count="1" selected="0">
            <x v="5"/>
          </reference>
          <reference field="1" count="1" selected="0">
            <x v="24"/>
          </reference>
          <reference field="8" count="1" selected="0">
            <x v="15"/>
          </reference>
          <reference field="25" count="1">
            <x v="4"/>
          </reference>
        </references>
      </pivotArea>
    </format>
    <format dxfId="4076">
      <pivotArea dataOnly="0" labelOnly="1" fieldPosition="0">
        <references count="1">
          <reference field="8" count="1">
            <x v="15"/>
          </reference>
        </references>
      </pivotArea>
    </format>
    <format dxfId="4075">
      <pivotArea dataOnly="0" labelOnly="1" fieldPosition="0">
        <references count="2">
          <reference field="0" count="4">
            <x v="1"/>
            <x v="3"/>
            <x v="4"/>
            <x v="5"/>
          </reference>
          <reference field="8" count="1" selected="0">
            <x v="15"/>
          </reference>
        </references>
      </pivotArea>
    </format>
    <format dxfId="4074">
      <pivotArea dataOnly="0" labelOnly="1" fieldPosition="0">
        <references count="3">
          <reference field="0" count="1" selected="0">
            <x v="1"/>
          </reference>
          <reference field="1" count="1">
            <x v="30"/>
          </reference>
          <reference field="8" count="1" selected="0">
            <x v="15"/>
          </reference>
        </references>
      </pivotArea>
    </format>
    <format dxfId="4073">
      <pivotArea dataOnly="0" labelOnly="1" fieldPosition="0">
        <references count="3">
          <reference field="0" count="1" selected="0">
            <x v="3"/>
          </reference>
          <reference field="1" count="1">
            <x v="18"/>
          </reference>
          <reference field="8" count="1" selected="0">
            <x v="15"/>
          </reference>
        </references>
      </pivotArea>
    </format>
    <format dxfId="4072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5"/>
          </reference>
        </references>
      </pivotArea>
    </format>
    <format dxfId="4071">
      <pivotArea dataOnly="0" labelOnly="1" fieldPosition="0">
        <references count="3">
          <reference field="0" count="1" selected="0">
            <x v="5"/>
          </reference>
          <reference field="1" count="1">
            <x v="24"/>
          </reference>
          <reference field="8" count="1" selected="0">
            <x v="15"/>
          </reference>
        </references>
      </pivotArea>
    </format>
    <format dxfId="4070">
      <pivotArea dataOnly="0" labelOnly="1" fieldPosition="0">
        <references count="4">
          <reference field="0" count="1" selected="0">
            <x v="1"/>
          </reference>
          <reference field="1" count="1" selected="0">
            <x v="30"/>
          </reference>
          <reference field="8" count="1" selected="0">
            <x v="15"/>
          </reference>
          <reference field="25" count="1">
            <x v="4"/>
          </reference>
        </references>
      </pivotArea>
    </format>
    <format dxfId="4069">
      <pivotArea dataOnly="0" labelOnly="1" fieldPosition="0">
        <references count="4">
          <reference field="0" count="1" selected="0">
            <x v="3"/>
          </reference>
          <reference field="1" count="1" selected="0">
            <x v="18"/>
          </reference>
          <reference field="8" count="1" selected="0">
            <x v="15"/>
          </reference>
          <reference field="25" count="1">
            <x v="4"/>
          </reference>
        </references>
      </pivotArea>
    </format>
    <format dxfId="4068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5"/>
          </reference>
          <reference field="25" count="1">
            <x v="4"/>
          </reference>
        </references>
      </pivotArea>
    </format>
    <format dxfId="4067">
      <pivotArea dataOnly="0" labelOnly="1" fieldPosition="0">
        <references count="4">
          <reference field="0" count="1" selected="0">
            <x v="5"/>
          </reference>
          <reference field="1" count="1" selected="0">
            <x v="24"/>
          </reference>
          <reference field="8" count="1" selected="0">
            <x v="15"/>
          </reference>
          <reference field="25" count="1">
            <x v="4"/>
          </reference>
        </references>
      </pivotArea>
    </format>
    <format dxfId="406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0"/>
          </reference>
          <reference field="8" count="1" selected="0">
            <x v="15"/>
          </reference>
          <reference field="25" count="1">
            <x v="4"/>
          </reference>
        </references>
      </pivotArea>
    </format>
    <format dxfId="406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8"/>
          </reference>
          <reference field="8" count="1" selected="0">
            <x v="15"/>
          </reference>
          <reference field="25" count="1">
            <x v="4"/>
          </reference>
        </references>
      </pivotArea>
    </format>
    <format dxfId="406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5"/>
          </reference>
          <reference field="25" count="1">
            <x v="4"/>
          </reference>
        </references>
      </pivotArea>
    </format>
    <format dxfId="406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4"/>
          </reference>
          <reference field="8" count="1" selected="0">
            <x v="15"/>
          </reference>
          <reference field="25" count="1">
            <x v="4"/>
          </reference>
        </references>
      </pivotArea>
    </format>
    <format dxfId="4062">
      <pivotArea collapsedLevelsAreSubtotals="1" fieldPosition="0">
        <references count="2">
          <reference field="4294967294" count="1" selected="0">
            <x v="0"/>
          </reference>
          <reference field="8" count="1" sumSubtotal="1">
            <x v="15"/>
          </reference>
        </references>
      </pivotArea>
    </format>
    <format dxfId="4061">
      <pivotArea field="8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060">
      <pivotArea dataOnly="0" labelOnly="1" offset="IV1" fieldPosition="0">
        <references count="1">
          <reference field="8" count="1">
            <x v="68"/>
          </reference>
        </references>
      </pivotArea>
    </format>
    <format dxfId="4059">
      <pivotArea dataOnly="0" labelOnly="1" offset="IV1" fieldPosition="0">
        <references count="1">
          <reference field="8" count="1">
            <x v="69"/>
          </reference>
        </references>
      </pivotArea>
    </format>
    <format dxfId="4058">
      <pivotArea dataOnly="0" labelOnly="1" offset="IV1" fieldPosition="0">
        <references count="1">
          <reference field="8" count="1">
            <x v="70"/>
          </reference>
        </references>
      </pivotArea>
    </format>
    <format dxfId="4057">
      <pivotArea dataOnly="0" labelOnly="1" offset="IV1" fieldPosition="0">
        <references count="1">
          <reference field="8" count="1">
            <x v="71"/>
          </reference>
        </references>
      </pivotArea>
    </format>
    <format dxfId="4056">
      <pivotArea dataOnly="0" labelOnly="1" offset="IV1" fieldPosition="0">
        <references count="1">
          <reference field="8" count="1">
            <x v="72"/>
          </reference>
        </references>
      </pivotArea>
    </format>
    <format dxfId="4055">
      <pivotArea dataOnly="0" labelOnly="1" offset="IV1" fieldPosition="0">
        <references count="1">
          <reference field="8" count="1">
            <x v="80"/>
          </reference>
        </references>
      </pivotArea>
    </format>
    <format dxfId="4054">
      <pivotArea dataOnly="0" labelOnly="1" offset="IV1" fieldPosition="0">
        <references count="1">
          <reference field="8" count="1">
            <x v="81"/>
          </reference>
        </references>
      </pivotArea>
    </format>
    <format dxfId="4053">
      <pivotArea dataOnly="0" labelOnly="1" offset="IV1" fieldPosition="0">
        <references count="1">
          <reference field="8" count="1">
            <x v="82"/>
          </reference>
        </references>
      </pivotArea>
    </format>
    <format dxfId="4052">
      <pivotArea dataOnly="0" labelOnly="1" offset="IV1" fieldPosition="0">
        <references count="1">
          <reference field="8" count="1">
            <x v="83"/>
          </reference>
        </references>
      </pivotArea>
    </format>
    <format dxfId="4051">
      <pivotArea dataOnly="0" labelOnly="1" offset="IV1" fieldPosition="0">
        <references count="1">
          <reference field="8" count="1">
            <x v="96"/>
          </reference>
        </references>
      </pivotArea>
    </format>
    <format dxfId="4050">
      <pivotArea dataOnly="0" labelOnly="1" offset="IV1" fieldPosition="0">
        <references count="1">
          <reference field="8" count="1">
            <x v="97"/>
          </reference>
        </references>
      </pivotArea>
    </format>
    <format dxfId="4049">
      <pivotArea dataOnly="0" labelOnly="1" offset="IV1" fieldPosition="0">
        <references count="1">
          <reference field="8" count="1">
            <x v="105"/>
          </reference>
        </references>
      </pivotArea>
    </format>
    <format dxfId="4048">
      <pivotArea dataOnly="0" labelOnly="1" offset="IV1" fieldPosition="0">
        <references count="1">
          <reference field="8" count="1">
            <x v="106"/>
          </reference>
        </references>
      </pivotArea>
    </format>
    <format dxfId="4047">
      <pivotArea dataOnly="0" labelOnly="1" offset="IV1" fieldPosition="0">
        <references count="1">
          <reference field="8" count="1">
            <x v="107"/>
          </reference>
        </references>
      </pivotArea>
    </format>
    <format dxfId="4046">
      <pivotArea dataOnly="0" labelOnly="1" offset="IV1" fieldPosition="0">
        <references count="1">
          <reference field="8" count="1">
            <x v="116"/>
          </reference>
        </references>
      </pivotArea>
    </format>
    <format dxfId="4045">
      <pivotArea dataOnly="0" labelOnly="1" offset="IV1" fieldPosition="0">
        <references count="1">
          <reference field="8" count="1">
            <x v="122"/>
          </reference>
        </references>
      </pivotArea>
    </format>
    <format dxfId="4044">
      <pivotArea dataOnly="0" labelOnly="1" fieldPosition="0">
        <references count="2">
          <reference field="0" count="1">
            <x v="5"/>
          </reference>
          <reference field="8" count="1" selected="0">
            <x v="130"/>
          </reference>
        </references>
      </pivotArea>
    </format>
    <format dxfId="4043">
      <pivotArea dataOnly="0" labelOnly="1" fieldPosition="0">
        <references count="3">
          <reference field="0" count="1" selected="0">
            <x v="5"/>
          </reference>
          <reference field="1" count="1">
            <x v="24"/>
          </reference>
          <reference field="8" count="1" selected="0">
            <x v="130"/>
          </reference>
        </references>
      </pivotArea>
    </format>
    <format dxfId="4042">
      <pivotArea collapsedLevelsAreSubtotals="1" fieldPosition="0">
        <references count="4">
          <reference field="0" count="1" selected="0">
            <x v="2"/>
          </reference>
          <reference field="1" count="1" selected="0">
            <x v="29"/>
          </reference>
          <reference field="8" count="1" selected="0">
            <x v="215"/>
          </reference>
          <reference field="25" count="1">
            <x v="3"/>
          </reference>
        </references>
      </pivotArea>
    </format>
    <format dxfId="4041">
      <pivotArea collapsedLevelsAreSubtotals="1" fieldPosition="0">
        <references count="4">
          <reference field="0" count="1" selected="0">
            <x v="2"/>
          </reference>
          <reference field="1" count="1" selected="0">
            <x v="29"/>
          </reference>
          <reference field="8" count="1" selected="0">
            <x v="215"/>
          </reference>
          <reference field="25" count="1">
            <x v="4"/>
          </reference>
        </references>
      </pivotArea>
    </format>
    <format dxfId="4040">
      <pivotArea collapsedLevelsAreSubtotals="1" fieldPosition="0">
        <references count="4">
          <reference field="0" count="1" selected="0">
            <x v="6"/>
          </reference>
          <reference field="1" count="1" selected="0">
            <x v="19"/>
          </reference>
          <reference field="8" count="1" selected="0">
            <x v="215"/>
          </reference>
          <reference field="25" count="1">
            <x v="4"/>
          </reference>
        </references>
      </pivotArea>
    </format>
    <format dxfId="4039">
      <pivotArea collapsedLevelsAreSubtotals="1" fieldPosition="0">
        <references count="4">
          <reference field="0" count="1" selected="0">
            <x v="7"/>
          </reference>
          <reference field="1" count="1" selected="0">
            <x v="20"/>
          </reference>
          <reference field="8" count="1" selected="0">
            <x v="215"/>
          </reference>
          <reference field="25" count="1">
            <x v="4"/>
          </reference>
        </references>
      </pivotArea>
    </format>
    <format dxfId="4038">
      <pivotArea outline="0" collapsedLevelsAreSubtotals="1" fieldPosition="0"/>
    </format>
    <format dxfId="4037">
      <pivotArea collapsedLevelsAreSubtotals="1" fieldPosition="0">
        <references count="4">
          <reference field="0" count="1" selected="0">
            <x v="1"/>
          </reference>
          <reference field="1" count="1" selected="0">
            <x v="30"/>
          </reference>
          <reference field="8" count="1" selected="0">
            <x v="405"/>
          </reference>
          <reference field="25" count="1">
            <x v="4"/>
          </reference>
        </references>
      </pivotArea>
    </format>
    <format dxfId="4036">
      <pivotArea collapsedLevelsAreSubtotals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405"/>
          </reference>
          <reference field="25" count="1">
            <x v="4"/>
          </reference>
        </references>
      </pivotArea>
    </format>
    <format dxfId="4035">
      <pivotArea dataOnly="0" labelOnly="1" fieldPosition="0">
        <references count="1">
          <reference field="8" count="1">
            <x v="405"/>
          </reference>
        </references>
      </pivotArea>
    </format>
    <format dxfId="4034">
      <pivotArea dataOnly="0" labelOnly="1" fieldPosition="0">
        <references count="2">
          <reference field="0" count="2">
            <x v="1"/>
            <x v="4"/>
          </reference>
          <reference field="8" count="1" selected="0">
            <x v="405"/>
          </reference>
        </references>
      </pivotArea>
    </format>
    <format dxfId="4033">
      <pivotArea dataOnly="0" labelOnly="1" fieldPosition="0">
        <references count="3">
          <reference field="0" count="1" selected="0">
            <x v="1"/>
          </reference>
          <reference field="1" count="1">
            <x v="30"/>
          </reference>
          <reference field="8" count="1" selected="0">
            <x v="405"/>
          </reference>
        </references>
      </pivotArea>
    </format>
    <format dxfId="4032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405"/>
          </reference>
        </references>
      </pivotArea>
    </format>
    <format dxfId="4031">
      <pivotArea dataOnly="0" labelOnly="1" fieldPosition="0">
        <references count="4">
          <reference field="0" count="1" selected="0">
            <x v="1"/>
          </reference>
          <reference field="1" count="1" selected="0">
            <x v="30"/>
          </reference>
          <reference field="8" count="1" selected="0">
            <x v="405"/>
          </reference>
          <reference field="25" count="1">
            <x v="4"/>
          </reference>
        </references>
      </pivotArea>
    </format>
    <format dxfId="4030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405"/>
          </reference>
          <reference field="25" count="1">
            <x v="4"/>
          </reference>
        </references>
      </pivotArea>
    </format>
    <format dxfId="4029">
      <pivotArea collapsedLevelsAreSubtotals="1" fieldPosition="0">
        <references count="4">
          <reference field="0" count="1" selected="0">
            <x v="2"/>
          </reference>
          <reference field="1" count="1" selected="0">
            <x v="29"/>
          </reference>
          <reference field="8" count="1" selected="0">
            <x v="393"/>
          </reference>
          <reference field="25" count="1">
            <x v="4"/>
          </reference>
        </references>
      </pivotArea>
    </format>
    <format dxfId="4028">
      <pivotArea collapsedLevelsAreSubtotals="1" fieldPosition="0">
        <references count="4">
          <reference field="0" count="1" selected="0">
            <x v="6"/>
          </reference>
          <reference field="1" count="1" selected="0">
            <x v="19"/>
          </reference>
          <reference field="8" count="1" selected="0">
            <x v="393"/>
          </reference>
          <reference field="25" count="1">
            <x v="4"/>
          </reference>
        </references>
      </pivotArea>
    </format>
    <format dxfId="4027">
      <pivotArea dataOnly="0" labelOnly="1" fieldPosition="0">
        <references count="1">
          <reference field="8" count="1">
            <x v="393"/>
          </reference>
        </references>
      </pivotArea>
    </format>
    <format dxfId="4026">
      <pivotArea dataOnly="0" labelOnly="1" fieldPosition="0">
        <references count="2">
          <reference field="0" count="2">
            <x v="2"/>
            <x v="6"/>
          </reference>
          <reference field="8" count="1" selected="0">
            <x v="393"/>
          </reference>
        </references>
      </pivotArea>
    </format>
    <format dxfId="4025">
      <pivotArea dataOnly="0" labelOnly="1" fieldPosition="0">
        <references count="3">
          <reference field="0" count="1" selected="0">
            <x v="2"/>
          </reference>
          <reference field="1" count="1">
            <x v="29"/>
          </reference>
          <reference field="8" count="1" selected="0">
            <x v="393"/>
          </reference>
        </references>
      </pivotArea>
    </format>
    <format dxfId="4024">
      <pivotArea dataOnly="0" labelOnly="1" fieldPosition="0">
        <references count="3">
          <reference field="0" count="1" selected="0">
            <x v="6"/>
          </reference>
          <reference field="1" count="1">
            <x v="19"/>
          </reference>
          <reference field="8" count="1" selected="0">
            <x v="393"/>
          </reference>
        </references>
      </pivotArea>
    </format>
    <format dxfId="4023">
      <pivotArea dataOnly="0" labelOnly="1" fieldPosition="0">
        <references count="4">
          <reference field="0" count="1" selected="0">
            <x v="2"/>
          </reference>
          <reference field="1" count="1" selected="0">
            <x v="29"/>
          </reference>
          <reference field="8" count="1" selected="0">
            <x v="393"/>
          </reference>
          <reference field="25" count="1">
            <x v="4"/>
          </reference>
        </references>
      </pivotArea>
    </format>
    <format dxfId="4022">
      <pivotArea dataOnly="0" labelOnly="1" fieldPosition="0">
        <references count="4">
          <reference field="0" count="1" selected="0">
            <x v="6"/>
          </reference>
          <reference field="1" count="1" selected="0">
            <x v="19"/>
          </reference>
          <reference field="8" count="1" selected="0">
            <x v="393"/>
          </reference>
          <reference field="25" count="1">
            <x v="4"/>
          </reference>
        </references>
      </pivotArea>
    </format>
    <format dxfId="4021">
      <pivotArea dataOnly="0" labelOnly="1" fieldPosition="0">
        <references count="3">
          <reference field="0" count="1" selected="0">
            <x v="2"/>
          </reference>
          <reference field="1" count="1">
            <x v="29"/>
          </reference>
          <reference field="8" count="1" selected="0">
            <x v="443"/>
          </reference>
        </references>
      </pivotArea>
    </format>
    <format dxfId="4020">
      <pivotArea dataOnly="0" labelOnly="1" fieldPosition="0">
        <references count="3">
          <reference field="0" count="1" selected="0">
            <x v="2"/>
          </reference>
          <reference field="1" count="1">
            <x v="29"/>
          </reference>
          <reference field="8" count="1" selected="0">
            <x v="412"/>
          </reference>
        </references>
      </pivotArea>
    </format>
    <format dxfId="4019">
      <pivotArea dataOnly="0" labelOnly="1" fieldPosition="0">
        <references count="3">
          <reference field="0" count="1" selected="0">
            <x v="2"/>
          </reference>
          <reference field="1" count="1">
            <x v="29"/>
          </reference>
          <reference field="8" count="1" selected="0">
            <x v="428"/>
          </reference>
        </references>
      </pivotArea>
    </format>
    <format dxfId="4018">
      <pivotArea dataOnly="0" labelOnly="1" offset="IV1" fieldPosition="0">
        <references count="1">
          <reference field="8" count="1">
            <x v="412"/>
          </reference>
        </references>
      </pivotArea>
    </format>
    <format dxfId="4017">
      <pivotArea dataOnly="0" labelOnly="1" offset="IV1" fieldPosition="0">
        <references count="1">
          <reference field="8" count="1">
            <x v="411"/>
          </reference>
        </references>
      </pivotArea>
    </format>
    <format dxfId="4016">
      <pivotArea dataOnly="0" labelOnly="1" offset="IV1" fieldPosition="0">
        <references count="1">
          <reference field="8" count="1">
            <x v="413"/>
          </reference>
        </references>
      </pivotArea>
    </format>
    <format dxfId="4015">
      <pivotArea dataOnly="0" labelOnly="1" offset="IV1" fieldPosition="0">
        <references count="1">
          <reference field="8" count="1">
            <x v="415"/>
          </reference>
        </references>
      </pivotArea>
    </format>
    <format dxfId="4014">
      <pivotArea dataOnly="0" labelOnly="1" offset="IV1" fieldPosition="0">
        <references count="1">
          <reference field="8" count="1">
            <x v="421"/>
          </reference>
        </references>
      </pivotArea>
    </format>
    <format dxfId="4013">
      <pivotArea dataOnly="0" labelOnly="1" offset="IV1" fieldPosition="0">
        <references count="1">
          <reference field="8" count="1">
            <x v="428"/>
          </reference>
        </references>
      </pivotArea>
    </format>
    <format dxfId="4012">
      <pivotArea dataOnly="0" labelOnly="1" offset="IV1" fieldPosition="0">
        <references count="1">
          <reference field="8" count="1">
            <x v="429"/>
          </reference>
        </references>
      </pivotArea>
    </format>
    <format dxfId="4011">
      <pivotArea dataOnly="0" labelOnly="1" offset="IV1" fieldPosition="0">
        <references count="1">
          <reference field="8" count="1">
            <x v="430"/>
          </reference>
        </references>
      </pivotArea>
    </format>
    <format dxfId="4010">
      <pivotArea dataOnly="0" labelOnly="1" offset="IV1" fieldPosition="0">
        <references count="1">
          <reference field="8" count="1">
            <x v="431"/>
          </reference>
        </references>
      </pivotArea>
    </format>
    <format dxfId="4009">
      <pivotArea dataOnly="0" labelOnly="1" offset="IV1" fieldPosition="0">
        <references count="1">
          <reference field="8" count="1">
            <x v="432"/>
          </reference>
        </references>
      </pivotArea>
    </format>
    <format dxfId="4008">
      <pivotArea dataOnly="0" labelOnly="1" offset="IV1" fieldPosition="0">
        <references count="1">
          <reference field="8" count="1">
            <x v="443"/>
          </reference>
        </references>
      </pivotArea>
    </format>
    <format dxfId="4007">
      <pivotArea dataOnly="0" labelOnly="1" offset="IV1" fieldPosition="0">
        <references count="1">
          <reference field="8" count="1">
            <x v="447"/>
          </reference>
        </references>
      </pivotArea>
    </format>
    <format dxfId="4006">
      <pivotArea dataOnly="0" labelOnly="1" offset="IV1" fieldPosition="0">
        <references count="1">
          <reference field="8" count="1">
            <x v="449"/>
          </reference>
        </references>
      </pivotArea>
    </format>
    <format dxfId="4005">
      <pivotArea dataOnly="0" labelOnly="1" offset="IV1" fieldPosition="0">
        <references count="1">
          <reference field="8" count="1">
            <x v="451"/>
          </reference>
        </references>
      </pivotArea>
    </format>
    <format dxfId="4004">
      <pivotArea dataOnly="0" labelOnly="1" fieldPosition="0">
        <references count="3">
          <reference field="0" count="1" selected="0">
            <x v="2"/>
          </reference>
          <reference field="1" count="1">
            <x v="29"/>
          </reference>
          <reference field="8" count="1" selected="0">
            <x v="456"/>
          </reference>
        </references>
      </pivotArea>
    </format>
    <format dxfId="4003">
      <pivotArea dataOnly="0" labelOnly="1" offset="IV1" fieldPosition="0">
        <references count="1">
          <reference field="8" count="1">
            <x v="456"/>
          </reference>
        </references>
      </pivotArea>
    </format>
    <format dxfId="4002">
      <pivotArea dataOnly="0" labelOnly="1" offset="IV1" fieldPosition="0">
        <references count="1">
          <reference field="8" count="1">
            <x v="457"/>
          </reference>
        </references>
      </pivotArea>
    </format>
    <format dxfId="4001">
      <pivotArea dataOnly="0" labelOnly="1" offset="IV1" fieldPosition="0">
        <references count="1">
          <reference field="8" count="1">
            <x v="467"/>
          </reference>
        </references>
      </pivotArea>
    </format>
    <format dxfId="4000">
      <pivotArea dataOnly="0" labelOnly="1" offset="IV1" fieldPosition="0">
        <references count="1">
          <reference field="8" count="1">
            <x v="468"/>
          </reference>
        </references>
      </pivotArea>
    </format>
    <format dxfId="3999">
      <pivotArea dataOnly="0" labelOnly="1" offset="IV1" fieldPosition="0">
        <references count="1">
          <reference field="8" count="1">
            <x v="469"/>
          </reference>
        </references>
      </pivotArea>
    </format>
    <format dxfId="3998">
      <pivotArea dataOnly="0" labelOnly="1" fieldPosition="0">
        <references count="3">
          <reference field="0" count="1" selected="0">
            <x v="2"/>
          </reference>
          <reference field="1" count="1">
            <x v="29"/>
          </reference>
          <reference field="8" count="1" selected="0">
            <x v="468"/>
          </reference>
        </references>
      </pivotArea>
    </format>
    <format dxfId="3997">
      <pivotArea dataOnly="0" labelOnly="1" fieldPosition="0">
        <references count="3">
          <reference field="0" count="1" selected="0">
            <x v="2"/>
          </reference>
          <reference field="1" count="1">
            <x v="29"/>
          </reference>
          <reference field="8" count="1" selected="0">
            <x v="468"/>
          </reference>
        </references>
      </pivotArea>
    </format>
    <format dxfId="3996">
      <pivotArea dataOnly="0" labelOnly="1" offset="IV1" fieldPosition="0">
        <references count="1">
          <reference field="8" count="1">
            <x v="484"/>
          </reference>
        </references>
      </pivotArea>
    </format>
    <format dxfId="3995">
      <pivotArea dataOnly="0" labelOnly="1" offset="IV1" fieldPosition="0">
        <references count="1">
          <reference field="8" count="1">
            <x v="485"/>
          </reference>
        </references>
      </pivotArea>
    </format>
    <format dxfId="3994">
      <pivotArea dataOnly="0" labelOnly="1" fieldPosition="0">
        <references count="3">
          <reference field="0" count="1" selected="0">
            <x v="2"/>
          </reference>
          <reference field="1" count="1">
            <x v="29"/>
          </reference>
          <reference field="8" count="1" selected="0">
            <x v="484"/>
          </reference>
        </references>
      </pivotArea>
    </format>
    <format dxfId="3993">
      <pivotArea dataOnly="0" labelOnly="1" offset="IV1" fieldPosition="0">
        <references count="1">
          <reference field="8" count="1">
            <x v="490"/>
          </reference>
        </references>
      </pivotArea>
    </format>
    <format dxfId="3992">
      <pivotArea dataOnly="0" labelOnly="1" offset="IV1" fieldPosition="0">
        <references count="1">
          <reference field="8" count="1">
            <x v="44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96BB7-EC1C-4704-8B09-B4C39BF1C7C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24" firstHeaderRow="0" firstDataRow="1" firstDataCol="4" rowPageCount="1" colPageCount="1"/>
  <pivotFields count="40">
    <pivotField axis="axisRow" outline="0" showAll="0" defaultSubtotal="0">
      <items count="49">
        <item x="30"/>
        <item x="14"/>
        <item x="7"/>
        <item m="1" x="33"/>
        <item x="18"/>
        <item x="17"/>
        <item x="19"/>
        <item x="20"/>
        <item x="23"/>
        <item x="22"/>
        <item x="11"/>
        <item x="1"/>
        <item x="12"/>
        <item x="2"/>
        <item x="13"/>
        <item x="0"/>
        <item m="1" x="48"/>
        <item m="1" x="34"/>
        <item x="4"/>
        <item m="1" x="45"/>
        <item x="16"/>
        <item m="1" x="44"/>
        <item m="1" x="35"/>
        <item m="1" x="36"/>
        <item x="6"/>
        <item x="5"/>
        <item x="25"/>
        <item x="9"/>
        <item m="1" x="37"/>
        <item m="1" x="47"/>
        <item x="26"/>
        <item x="8"/>
        <item x="32"/>
        <item x="28"/>
        <item x="31"/>
        <item m="1" x="46"/>
        <item x="15"/>
        <item m="1" x="41"/>
        <item m="1" x="42"/>
        <item m="1" x="43"/>
        <item m="1" x="39"/>
        <item x="29"/>
        <item m="1" x="40"/>
        <item x="21"/>
        <item m="1" x="38"/>
        <item x="24"/>
        <item x="27"/>
        <item x="10"/>
        <item x="3"/>
      </items>
    </pivotField>
    <pivotField axis="axisRow" outline="0" showAll="0" defaultSubtotal="0">
      <items count="48">
        <item x="0"/>
        <item x="13"/>
        <item x="12"/>
        <item x="1"/>
        <item x="4"/>
        <item x="5"/>
        <item m="1" x="47"/>
        <item m="1" x="34"/>
        <item x="9"/>
        <item x="11"/>
        <item x="26"/>
        <item m="1" x="37"/>
        <item m="1" x="35"/>
        <item x="16"/>
        <item m="1" x="36"/>
        <item m="1" x="45"/>
        <item m="1" x="44"/>
        <item x="18"/>
        <item x="19"/>
        <item x="20"/>
        <item x="8"/>
        <item x="6"/>
        <item m="1" x="46"/>
        <item x="17"/>
        <item x="23"/>
        <item x="22"/>
        <item x="25"/>
        <item x="2"/>
        <item x="7"/>
        <item x="14"/>
        <item x="30"/>
        <item x="32"/>
        <item x="28"/>
        <item x="31"/>
        <item x="15"/>
        <item m="1" x="41"/>
        <item m="1" x="42"/>
        <item m="1" x="43"/>
        <item m="1" x="39"/>
        <item x="29"/>
        <item m="1" x="40"/>
        <item x="21"/>
        <item m="1" x="38"/>
        <item x="24"/>
        <item x="27"/>
        <item x="10"/>
        <item m="1" x="33"/>
        <item x="3"/>
      </items>
    </pivotField>
    <pivotField showAll="0"/>
    <pivotField showAll="0"/>
    <pivotField showAll="0"/>
    <pivotField showAll="0"/>
    <pivotField showAll="0"/>
    <pivotField showAll="0"/>
    <pivotField axis="axisRow" outline="0" showAll="0" sumSubtotal="1">
      <items count="492">
        <item h="1" x="0"/>
        <item h="1" m="1" x="430"/>
        <item h="1" m="1" x="431"/>
        <item h="1" m="1" x="432"/>
        <item h="1" m="1" x="446"/>
        <item h="1" m="1" x="433"/>
        <item h="1" m="1" x="445"/>
        <item h="1" m="1" x="447"/>
        <item h="1" m="1" x="448"/>
        <item h="1" m="1" x="449"/>
        <item h="1" m="1" x="462"/>
        <item h="1" m="1" x="463"/>
        <item h="1" m="1" x="464"/>
        <item h="1" m="1" x="471"/>
        <item h="1" m="1" x="480"/>
        <item h="1" m="1" x="482"/>
        <item m="1" x="434"/>
        <item m="1" x="436"/>
        <item m="1" x="438"/>
        <item m="1" x="440"/>
        <item m="1" x="442"/>
        <item m="1" x="450"/>
        <item m="1" x="452"/>
        <item m="1" x="454"/>
        <item m="1" x="456"/>
        <item m="1" x="458"/>
        <item m="1" x="460"/>
        <item m="1" x="465"/>
        <item m="1" x="467"/>
        <item m="1" x="469"/>
        <item m="1" x="472"/>
        <item m="1" x="474"/>
        <item m="1" x="476"/>
        <item m="1" x="478"/>
        <item h="1" m="1" x="435"/>
        <item h="1" m="1" x="437"/>
        <item h="1" m="1" x="439"/>
        <item h="1" m="1" x="441"/>
        <item h="1" m="1" x="443"/>
        <item h="1" m="1" x="451"/>
        <item h="1" m="1" x="453"/>
        <item h="1" m="1" x="455"/>
        <item h="1" m="1" x="457"/>
        <item h="1" m="1" x="459"/>
        <item h="1" m="1" x="461"/>
        <item h="1" m="1" x="466"/>
        <item h="1" m="1" x="468"/>
        <item h="1" m="1" x="470"/>
        <item h="1" m="1" x="473"/>
        <item h="1" m="1" x="475"/>
        <item h="1" m="1" x="477"/>
        <item h="1" m="1" x="479"/>
        <item h="1" m="1" x="444"/>
        <item h="1" m="1" x="481"/>
        <item h="1" x="83"/>
        <item m="1" x="483"/>
        <item h="1" m="1" x="484"/>
        <item m="1" x="485"/>
        <item h="1" m="1" x="486"/>
        <item m="1" x="487"/>
        <item h="1" m="1" x="488"/>
        <item m="1" x="489"/>
        <item h="1" m="1" x="490"/>
        <item m="1" x="370"/>
        <item h="1" m="1" x="371"/>
        <item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m="1" x="380"/>
        <item m="1" x="381"/>
        <item h="1" m="1" x="382"/>
        <item m="1" x="383"/>
        <item h="1" m="1" x="384"/>
        <item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m="1" x="393"/>
        <item m="1" x="394"/>
        <item m="1" x="395"/>
        <item h="1" m="1" x="396"/>
        <item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m="1" x="405"/>
        <item h="1" m="1" x="406"/>
        <item m="1" x="407"/>
        <item h="1" m="1" x="408"/>
        <item m="1" x="409"/>
        <item h="1" m="1" x="410"/>
        <item m="1" x="411"/>
        <item h="1" m="1" x="412"/>
        <item h="1" m="1" x="413"/>
        <item h="1" m="1" x="414"/>
        <item h="1" m="1" x="415"/>
        <item m="1" x="416"/>
        <item h="1" m="1" x="417"/>
        <item m="1" x="418"/>
        <item h="1" m="1" x="419"/>
        <item m="1" x="420"/>
        <item h="1" m="1" x="421"/>
        <item m="1" x="422"/>
        <item h="1" m="1" x="423"/>
        <item h="1" m="1" x="424"/>
        <item m="1" x="425"/>
        <item h="1" m="1" x="426"/>
        <item m="1" x="427"/>
        <item h="1" m="1" x="428"/>
        <item h="1" m="1" x="429"/>
        <item h="1" m="1" x="369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m="1" x="299"/>
        <item m="1" x="300"/>
        <item m="1" x="301"/>
        <item m="1" x="302"/>
        <item h="1" m="1" x="303"/>
        <item h="1" m="1" x="304"/>
        <item h="1" m="1" x="305"/>
        <item m="1" x="306"/>
        <item m="1" x="307"/>
        <item m="1" x="308"/>
        <item m="1" x="309"/>
        <item m="1" x="310"/>
        <item m="1" x="311"/>
        <item h="1" m="1" x="312"/>
        <item m="1" x="313"/>
        <item m="1" x="314"/>
        <item h="1" m="1" x="315"/>
        <item m="1" x="316"/>
        <item h="1" m="1" x="317"/>
        <item h="1" m="1" x="318"/>
        <item m="1" x="319"/>
        <item h="1" m="1" x="320"/>
        <item m="1" x="321"/>
        <item h="1" m="1" x="322"/>
        <item h="1" m="1" x="323"/>
        <item h="1" m="1" x="324"/>
        <item h="1" m="1" x="325"/>
        <item h="1" m="1" x="326"/>
        <item m="1" x="327"/>
        <item h="1" m="1" x="328"/>
        <item h="1" m="1" x="329"/>
        <item h="1" m="1" x="330"/>
        <item m="1" x="331"/>
        <item m="1" x="332"/>
        <item m="1" x="333"/>
        <item h="1" m="1" x="334"/>
        <item h="1" m="1" x="335"/>
        <item h="1" m="1" x="336"/>
        <item h="1" m="1" x="337"/>
        <item h="1" m="1" x="338"/>
        <item h="1" m="1" x="339"/>
        <item m="1" x="340"/>
        <item h="1" m="1" x="341"/>
        <item m="1" x="342"/>
        <item h="1" m="1" x="343"/>
        <item m="1" x="344"/>
        <item h="1" m="1" x="345"/>
        <item m="1" x="346"/>
        <item h="1" m="1" x="347"/>
        <item m="1" x="348"/>
        <item h="1" m="1" x="349"/>
        <item h="1" m="1" x="350"/>
        <item h="1" m="1" x="351"/>
        <item h="1" m="1" x="352"/>
        <item m="1" x="353"/>
        <item h="1" m="1" x="354"/>
        <item h="1" m="1" x="355"/>
        <item h="1" m="1" x="356"/>
        <item h="1" m="1" x="357"/>
        <item m="1" x="358"/>
        <item h="1" m="1" x="359"/>
        <item m="1" x="360"/>
        <item h="1" m="1" x="361"/>
        <item m="1" x="362"/>
        <item h="1" m="1" x="363"/>
        <item m="1" x="364"/>
        <item m="1" x="365"/>
        <item h="1" m="1" x="366"/>
        <item m="1" x="367"/>
        <item h="1" m="1" x="368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m="1" x="234"/>
        <item m="1" x="235"/>
        <item m="1" x="236"/>
        <item m="1" x="237"/>
        <item h="1" m="1" x="238"/>
        <item m="1" x="239"/>
        <item m="1" x="240"/>
        <item h="1" m="1" x="241"/>
        <item h="1" m="1" x="242"/>
        <item h="1" m="1" x="243"/>
        <item m="1" x="244"/>
        <item h="1" m="1" x="245"/>
        <item h="1" m="1" x="246"/>
        <item h="1" m="1" x="247"/>
        <item h="1" m="1" x="248"/>
        <item h="1" m="1" x="249"/>
        <item m="1" x="250"/>
        <item m="1" x="251"/>
        <item m="1" x="252"/>
        <item h="1" m="1" x="253"/>
        <item h="1" m="1" x="254"/>
        <item h="1" m="1" x="255"/>
        <item h="1" m="1" x="256"/>
        <item h="1" m="1" x="257"/>
        <item m="1" x="258"/>
        <item m="1" x="259"/>
        <item h="1" m="1" x="260"/>
        <item m="1" x="261"/>
        <item h="1" m="1" x="262"/>
        <item m="1" x="263"/>
        <item h="1" m="1" x="264"/>
        <item m="1" x="265"/>
        <item h="1" m="1" x="266"/>
        <item m="1" x="267"/>
        <item h="1" m="1" x="268"/>
        <item m="1" x="269"/>
        <item h="1" m="1" x="270"/>
        <item h="1" m="1" x="271"/>
        <item h="1" m="1" x="272"/>
        <item h="1" m="1" x="273"/>
        <item h="1" m="1" x="274"/>
        <item m="1" x="275"/>
        <item m="1" x="276"/>
        <item h="1" m="1" x="277"/>
        <item h="1" m="1" x="278"/>
        <item m="1" x="279"/>
        <item h="1" m="1" x="280"/>
        <item m="1" x="281"/>
        <item m="1" x="282"/>
        <item m="1" x="283"/>
        <item h="1" m="1" x="284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m="1" x="165"/>
        <item m="1" x="166"/>
        <item m="1" x="167"/>
        <item m="1" x="168"/>
        <item m="1" x="169"/>
        <item m="1" x="170"/>
        <item m="1" x="171"/>
        <item m="1" x="172"/>
        <item h="1" m="1" x="173"/>
        <item h="1" m="1" x="174"/>
        <item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m="1" x="184"/>
        <item m="1" x="185"/>
        <item m="1" x="186"/>
        <item h="1" m="1" x="187"/>
        <item h="1" m="1" x="188"/>
        <item h="1" m="1" x="189"/>
        <item m="1" x="190"/>
        <item h="1" m="1" x="191"/>
        <item h="1" m="1" x="192"/>
        <item m="1" x="193"/>
        <item h="1" m="1" x="194"/>
        <item m="1" x="195"/>
        <item h="1" m="1" x="196"/>
        <item m="1" x="197"/>
        <item h="1" m="1" x="198"/>
        <item m="1" x="199"/>
        <item h="1" m="1" x="200"/>
        <item m="1" x="201"/>
        <item h="1" m="1" x="202"/>
        <item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m="1" x="213"/>
        <item h="1" m="1" x="214"/>
        <item m="1" x="215"/>
        <item m="1" x="216"/>
        <item m="1" x="217"/>
        <item h="1" m="1" x="218"/>
        <item h="1" m="1" x="219"/>
        <item h="1" m="1" x="220"/>
        <item m="1" x="221"/>
        <item h="1" m="1" x="222"/>
        <item h="1" m="1" x="84"/>
        <item h="1" m="1" x="85"/>
        <item h="1" m="1" x="86"/>
        <item m="1" x="87"/>
        <item h="1" m="1" x="88"/>
        <item m="1" x="89"/>
        <item h="1" m="1" x="90"/>
        <item m="1" x="91"/>
        <item h="1" m="1" x="92"/>
        <item h="1" m="1" x="93"/>
        <item h="1" m="1" x="94"/>
        <item h="1" m="1" x="95"/>
        <item h="1" m="1" x="96"/>
        <item m="1" x="97"/>
        <item m="1" x="98"/>
        <item m="1" x="99"/>
        <item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m="1" x="108"/>
        <item m="1" x="109"/>
        <item m="1" x="110"/>
        <item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m="1" x="120"/>
        <item h="1" m="1" x="121"/>
        <item m="1" x="122"/>
        <item h="1" m="1" x="123"/>
        <item m="1" x="124"/>
        <item h="1" m="1" x="125"/>
        <item h="1" m="1" x="126"/>
        <item m="1" x="127"/>
        <item h="1" m="1" x="128"/>
        <item m="1" x="129"/>
        <item m="1" x="130"/>
        <item h="1" m="1" x="131"/>
        <item h="1" m="1" x="132"/>
        <item m="1" x="133"/>
        <item h="1" m="1" x="134"/>
        <item m="1" x="135"/>
        <item h="1" m="1" x="136"/>
        <item h="1" m="1" x="137"/>
        <item h="1" m="1" x="138"/>
        <item m="1" x="139"/>
        <item h="1" m="1" x="140"/>
        <item m="1" x="141"/>
        <item h="1" m="1" x="142"/>
        <item h="1" m="1" x="143"/>
        <item h="1" m="1" x="144"/>
        <item h="1" m="1" x="145"/>
        <item m="1" x="146"/>
        <item h="1" m="1" x="147"/>
        <item h="1" m="1" x="148"/>
        <item h="1" m="1" x="149"/>
        <item m="1" x="150"/>
        <item h="1" m="1" x="151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x="11"/>
        <item h="1" x="12"/>
        <item h="1" x="13"/>
        <item x="14"/>
        <item h="1" x="15"/>
        <item x="16"/>
        <item h="1" x="17"/>
        <item x="18"/>
        <item x="19"/>
        <item h="1" x="20"/>
        <item h="1" x="21"/>
        <item h="1" x="22"/>
        <item h="1" x="23"/>
        <item h="1" x="24"/>
        <item h="1" x="25"/>
        <item h="1" x="26"/>
        <item x="27"/>
        <item h="1" x="28"/>
        <item x="29"/>
        <item x="30"/>
        <item x="31"/>
        <item h="1" x="32"/>
        <item h="1" x="33"/>
        <item h="1" x="34"/>
        <item h="1" x="35"/>
        <item x="36"/>
        <item x="37"/>
        <item x="38"/>
        <item h="1" x="39"/>
        <item h="1" x="40"/>
        <item h="1" x="41"/>
        <item h="1" x="42"/>
        <item h="1" x="43"/>
        <item x="44"/>
        <item h="1" x="45"/>
        <item x="46"/>
        <item h="1" x="47"/>
        <item h="1" x="48"/>
        <item h="1" x="49"/>
        <item x="50"/>
        <item h="1" x="51"/>
        <item x="52"/>
        <item x="53"/>
        <item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x="64"/>
        <item x="65"/>
        <item x="66"/>
        <item x="67"/>
        <item x="68"/>
        <item x="69"/>
        <item h="1" x="70"/>
        <item h="1" x="71"/>
        <item h="1" x="72"/>
        <item h="1" x="73"/>
        <item h="1" x="74"/>
        <item h="1" x="75"/>
        <item h="1" x="76"/>
        <item h="1" x="77"/>
        <item x="78"/>
        <item h="1" x="79"/>
        <item x="80"/>
        <item h="1" x="81"/>
        <item h="1" x="82"/>
        <item t="sum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4"/>
        <item x="1"/>
        <item x="5"/>
        <item x="0"/>
        <item x="6"/>
        <item x="7"/>
        <item x="3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0"/>
        <item h="1" x="3"/>
        <item x="4"/>
        <item h="1" x="2"/>
        <item h="1"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4">
    <field x="8"/>
    <field x="0"/>
    <field x="1"/>
    <field x="25"/>
  </rowFields>
  <rowItems count="121">
    <i>
      <x v="416"/>
      <x v="4"/>
      <x v="17"/>
      <x v="7"/>
    </i>
    <i r="1">
      <x v="5"/>
      <x v="23"/>
      <x v="7"/>
    </i>
    <i r="1">
      <x v="6"/>
      <x v="18"/>
      <x v="7"/>
    </i>
    <i r="1">
      <x v="9"/>
      <x v="25"/>
      <x v="7"/>
    </i>
    <i t="sum">
      <x v="416"/>
    </i>
    <i>
      <x v="419"/>
      <x v="4"/>
      <x v="17"/>
      <x v="7"/>
    </i>
    <i r="1">
      <x v="6"/>
      <x v="18"/>
      <x v="7"/>
    </i>
    <i r="1">
      <x v="8"/>
      <x v="24"/>
      <x v="7"/>
    </i>
    <i t="sum">
      <x v="419"/>
    </i>
    <i>
      <x v="422"/>
      <x v="4"/>
      <x v="17"/>
      <x v="7"/>
    </i>
    <i r="1">
      <x v="5"/>
      <x v="23"/>
      <x v="7"/>
    </i>
    <i r="1">
      <x v="45"/>
      <x v="43"/>
      <x v="7"/>
    </i>
    <i t="sum">
      <x v="422"/>
    </i>
    <i>
      <x v="424"/>
      <x v="4"/>
      <x v="17"/>
      <x v="7"/>
    </i>
    <i r="1">
      <x v="6"/>
      <x v="18"/>
      <x v="7"/>
    </i>
    <i r="1">
      <x v="8"/>
      <x v="24"/>
      <x v="7"/>
    </i>
    <i t="sum">
      <x v="424"/>
    </i>
    <i>
      <x v="426"/>
      <x v="4"/>
      <x v="17"/>
      <x v="7"/>
    </i>
    <i r="1">
      <x v="5"/>
      <x v="23"/>
      <x v="7"/>
    </i>
    <i r="1">
      <x v="6"/>
      <x v="18"/>
      <x v="7"/>
    </i>
    <i r="1">
      <x v="8"/>
      <x v="24"/>
      <x v="7"/>
    </i>
    <i t="sum">
      <x v="426"/>
    </i>
    <i>
      <x v="427"/>
      <x v="4"/>
      <x v="17"/>
      <x v="7"/>
    </i>
    <i r="1">
      <x v="6"/>
      <x v="18"/>
      <x v="7"/>
    </i>
    <i r="1">
      <x v="8"/>
      <x v="24"/>
      <x v="7"/>
    </i>
    <i t="sum">
      <x v="427"/>
    </i>
    <i>
      <x v="435"/>
      <x v="4"/>
      <x v="17"/>
      <x v="7"/>
    </i>
    <i r="1">
      <x v="5"/>
      <x v="23"/>
      <x v="7"/>
    </i>
    <i r="1">
      <x v="6"/>
      <x v="18"/>
      <x v="7"/>
    </i>
    <i r="1">
      <x v="8"/>
      <x v="24"/>
      <x v="7"/>
    </i>
    <i t="sum">
      <x v="435"/>
    </i>
    <i>
      <x v="437"/>
      <x v="4"/>
      <x v="17"/>
      <x v="7"/>
    </i>
    <i r="1">
      <x v="5"/>
      <x v="23"/>
      <x v="7"/>
    </i>
    <i r="1">
      <x v="6"/>
      <x v="18"/>
      <x v="7"/>
    </i>
    <i r="1">
      <x v="8"/>
      <x v="24"/>
      <x v="7"/>
    </i>
    <i t="sum">
      <x v="437"/>
    </i>
    <i>
      <x v="438"/>
      <x v="4"/>
      <x v="17"/>
      <x v="7"/>
    </i>
    <i r="1">
      <x v="5"/>
      <x v="23"/>
      <x v="7"/>
    </i>
    <i r="1">
      <x v="6"/>
      <x v="18"/>
      <x v="7"/>
    </i>
    <i r="1">
      <x v="8"/>
      <x v="24"/>
      <x v="7"/>
    </i>
    <i t="sum">
      <x v="438"/>
    </i>
    <i>
      <x v="439"/>
      <x v="4"/>
      <x v="17"/>
      <x v="7"/>
    </i>
    <i r="1">
      <x v="6"/>
      <x v="18"/>
      <x v="7"/>
    </i>
    <i r="1">
      <x v="8"/>
      <x v="24"/>
      <x v="7"/>
    </i>
    <i t="sum">
      <x v="439"/>
    </i>
    <i>
      <x v="444"/>
      <x v="4"/>
      <x v="17"/>
      <x v="7"/>
    </i>
    <i r="1">
      <x v="5"/>
      <x v="23"/>
      <x v="7"/>
    </i>
    <i r="1">
      <x v="6"/>
      <x v="18"/>
      <x v="7"/>
    </i>
    <i r="1">
      <x v="7"/>
      <x v="19"/>
      <x v="7"/>
    </i>
    <i r="1">
      <x v="33"/>
      <x v="32"/>
      <x v="7"/>
    </i>
    <i t="sum">
      <x v="444"/>
    </i>
    <i>
      <x v="445"/>
      <x v="4"/>
      <x v="17"/>
      <x v="7"/>
    </i>
    <i r="1">
      <x v="5"/>
      <x v="23"/>
      <x v="7"/>
    </i>
    <i r="1">
      <x v="6"/>
      <x v="18"/>
      <x v="7"/>
    </i>
    <i r="1">
      <x v="8"/>
      <x v="24"/>
      <x v="7"/>
    </i>
    <i t="sum">
      <x v="445"/>
    </i>
    <i>
      <x v="446"/>
      <x v="4"/>
      <x v="17"/>
      <x v="7"/>
    </i>
    <i r="1">
      <x v="5"/>
      <x v="23"/>
      <x v="7"/>
    </i>
    <i r="1">
      <x v="6"/>
      <x v="18"/>
      <x v="7"/>
    </i>
    <i r="1">
      <x v="8"/>
      <x v="24"/>
      <x v="7"/>
    </i>
    <i t="sum">
      <x v="446"/>
    </i>
    <i>
      <x v="452"/>
      <x v="4"/>
      <x v="17"/>
      <x v="7"/>
    </i>
    <i r="1">
      <x v="5"/>
      <x v="23"/>
      <x v="7"/>
    </i>
    <i r="1">
      <x v="6"/>
      <x v="18"/>
      <x v="7"/>
    </i>
    <i r="1">
      <x v="8"/>
      <x v="24"/>
      <x v="7"/>
    </i>
    <i t="sum">
      <x v="452"/>
    </i>
    <i>
      <x v="454"/>
      <x v="4"/>
      <x v="17"/>
      <x v="7"/>
    </i>
    <i r="1">
      <x v="6"/>
      <x v="18"/>
      <x v="7"/>
    </i>
    <i r="1">
      <x v="8"/>
      <x v="24"/>
      <x v="7"/>
    </i>
    <i t="sum">
      <x v="454"/>
    </i>
    <i>
      <x v="458"/>
      <x v="4"/>
      <x v="17"/>
      <x v="7"/>
    </i>
    <i r="1">
      <x v="5"/>
      <x v="23"/>
      <x v="7"/>
    </i>
    <i r="1">
      <x v="6"/>
      <x v="18"/>
      <x v="7"/>
    </i>
    <i r="1">
      <x v="8"/>
      <x v="24"/>
      <x v="7"/>
    </i>
    <i t="sum">
      <x v="458"/>
    </i>
    <i>
      <x v="460"/>
      <x v="4"/>
      <x v="17"/>
      <x v="7"/>
    </i>
    <i r="1">
      <x v="5"/>
      <x v="23"/>
      <x v="7"/>
    </i>
    <i r="1">
      <x v="6"/>
      <x v="18"/>
      <x v="7"/>
    </i>
    <i r="1">
      <x v="8"/>
      <x v="24"/>
      <x v="7"/>
    </i>
    <i t="sum">
      <x v="460"/>
    </i>
    <i>
      <x v="461"/>
      <x v="4"/>
      <x v="17"/>
      <x v="7"/>
    </i>
    <i r="1">
      <x v="6"/>
      <x v="18"/>
      <x v="7"/>
    </i>
    <i r="1">
      <x v="8"/>
      <x v="24"/>
      <x v="7"/>
    </i>
    <i t="sum">
      <x v="461"/>
    </i>
    <i>
      <x v="462"/>
      <x v="5"/>
      <x v="23"/>
      <x v="7"/>
    </i>
    <i r="1">
      <x v="7"/>
      <x v="19"/>
      <x v="7"/>
    </i>
    <i r="1">
      <x v="33"/>
      <x v="32"/>
      <x v="7"/>
    </i>
    <i t="sum">
      <x v="462"/>
    </i>
    <i>
      <x v="472"/>
      <x v="4"/>
      <x v="17"/>
      <x v="7"/>
    </i>
    <i r="1">
      <x v="6"/>
      <x v="18"/>
      <x v="7"/>
    </i>
    <i r="1">
      <x v="8"/>
      <x v="24"/>
      <x v="7"/>
    </i>
    <i t="sum">
      <x v="472"/>
    </i>
    <i>
      <x v="473"/>
      <x v="4"/>
      <x v="17"/>
      <x v="7"/>
    </i>
    <i r="1">
      <x v="6"/>
      <x v="18"/>
      <x v="7"/>
    </i>
    <i r="1">
      <x v="8"/>
      <x v="24"/>
      <x v="7"/>
    </i>
    <i t="sum">
      <x v="473"/>
    </i>
    <i>
      <x v="474"/>
      <x v="4"/>
      <x v="17"/>
      <x v="7"/>
    </i>
    <i r="1">
      <x v="6"/>
      <x v="18"/>
      <x v="7"/>
    </i>
    <i r="1">
      <x v="8"/>
      <x v="24"/>
      <x v="7"/>
    </i>
    <i t="sum">
      <x v="474"/>
    </i>
    <i>
      <x v="475"/>
      <x v="4"/>
      <x v="17"/>
      <x v="7"/>
    </i>
    <i r="1">
      <x v="6"/>
      <x v="18"/>
      <x v="7"/>
    </i>
    <i r="1">
      <x v="8"/>
      <x v="24"/>
      <x v="7"/>
    </i>
    <i t="sum">
      <x v="475"/>
    </i>
    <i>
      <x v="476"/>
      <x v="4"/>
      <x v="17"/>
      <x v="7"/>
    </i>
    <i r="1">
      <x v="6"/>
      <x v="18"/>
      <x v="7"/>
    </i>
    <i r="1">
      <x v="8"/>
      <x v="24"/>
      <x v="7"/>
    </i>
    <i t="sum">
      <x v="476"/>
    </i>
    <i>
      <x v="477"/>
      <x v="4"/>
      <x v="17"/>
      <x v="7"/>
    </i>
    <i r="1">
      <x v="6"/>
      <x v="18"/>
      <x v="7"/>
    </i>
    <i r="1">
      <x v="8"/>
      <x v="24"/>
      <x v="7"/>
    </i>
    <i t="sum">
      <x v="477"/>
    </i>
    <i>
      <x v="486"/>
      <x v="4"/>
      <x v="17"/>
      <x v="7"/>
    </i>
    <i r="1">
      <x v="6"/>
      <x v="18"/>
      <x v="7"/>
    </i>
    <i r="1">
      <x v="8"/>
      <x v="24"/>
      <x v="7"/>
    </i>
    <i t="sum">
      <x v="486"/>
    </i>
    <i>
      <x v="488"/>
      <x v="4"/>
      <x v="17"/>
      <x v="7"/>
    </i>
    <i r="1">
      <x v="6"/>
      <x v="18"/>
      <x v="7"/>
    </i>
    <i r="1">
      <x v="8"/>
      <x v="24"/>
      <x v="7"/>
    </i>
    <i t="sum">
      <x v="488"/>
    </i>
    <i t="grand">
      <x/>
    </i>
  </rowItems>
  <colFields count="1">
    <field x="-2"/>
  </colFields>
  <colItems count="2">
    <i>
      <x/>
    </i>
    <i i="1">
      <x v="1"/>
    </i>
  </colItems>
  <pageFields count="1">
    <pageField fld="33" hier="-1"/>
  </pageFields>
  <dataFields count="2">
    <dataField name="Sum of Quantity in UnE" fld="26" baseField="0" baseItem="0"/>
    <dataField name="Sum of Amt.in Loc.Cur." fld="27" baseField="0" baseItem="0"/>
  </dataFields>
  <formats count="1127">
    <format dxfId="3991">
      <pivotArea dataOnly="0" labelOnly="1" offset="IV1" fieldPosition="0">
        <references count="1">
          <reference field="8" count="1">
            <x v="15"/>
          </reference>
        </references>
      </pivotArea>
    </format>
    <format dxfId="399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55"/>
          </reference>
          <reference field="25" count="1">
            <x v="7"/>
          </reference>
        </references>
      </pivotArea>
    </format>
    <format dxfId="398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55"/>
          </reference>
          <reference field="25" count="1">
            <x v="7"/>
          </reference>
        </references>
      </pivotArea>
    </format>
    <format dxfId="398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55"/>
          </reference>
          <reference field="25" count="1">
            <x v="7"/>
          </reference>
        </references>
      </pivotArea>
    </format>
    <format dxfId="398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59"/>
          </reference>
          <reference field="25" count="1">
            <x v="7"/>
          </reference>
        </references>
      </pivotArea>
    </format>
    <format dxfId="398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59"/>
          </reference>
          <reference field="25" count="1">
            <x v="7"/>
          </reference>
        </references>
      </pivotArea>
    </format>
    <format dxfId="398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59"/>
          </reference>
          <reference field="25" count="1">
            <x v="7"/>
          </reference>
        </references>
      </pivotArea>
    </format>
    <format dxfId="398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59"/>
          </reference>
          <reference field="25" count="1">
            <x v="7"/>
          </reference>
        </references>
      </pivotArea>
    </format>
    <format dxfId="398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61"/>
          </reference>
          <reference field="25" count="1">
            <x v="7"/>
          </reference>
        </references>
      </pivotArea>
    </format>
    <format dxfId="398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9"/>
          </reference>
          <reference field="8" count="1" selected="0">
            <x v="61"/>
          </reference>
          <reference field="25" count="1">
            <x v="7"/>
          </reference>
        </references>
      </pivotArea>
    </format>
    <format dxfId="398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32"/>
          </reference>
          <reference field="8" count="1" selected="0">
            <x v="61"/>
          </reference>
          <reference field="25" count="1">
            <x v="7"/>
          </reference>
        </references>
      </pivotArea>
    </format>
    <format dxfId="398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57"/>
          </reference>
          <reference field="25" count="1">
            <x v="7"/>
          </reference>
        </references>
      </pivotArea>
    </format>
    <format dxfId="397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57"/>
          </reference>
          <reference field="25" count="1">
            <x v="7"/>
          </reference>
        </references>
      </pivotArea>
    </format>
    <format dxfId="397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57"/>
          </reference>
          <reference field="25" count="1">
            <x v="7"/>
          </reference>
        </references>
      </pivotArea>
    </format>
    <format dxfId="397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57"/>
          </reference>
          <reference field="25" count="1">
            <x v="7"/>
          </reference>
        </references>
      </pivotArea>
    </format>
    <format dxfId="397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63"/>
          </reference>
          <reference field="25" count="1">
            <x v="7"/>
          </reference>
        </references>
      </pivotArea>
    </format>
    <format dxfId="397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63"/>
          </reference>
          <reference field="25" count="1">
            <x v="7"/>
          </reference>
        </references>
      </pivotArea>
    </format>
    <format dxfId="397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63"/>
          </reference>
          <reference field="25" count="1">
            <x v="7"/>
          </reference>
        </references>
      </pivotArea>
    </format>
    <format dxfId="397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63"/>
          </reference>
          <reference field="25" count="1">
            <x v="7"/>
          </reference>
        </references>
      </pivotArea>
    </format>
    <format dxfId="397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63"/>
          </reference>
          <reference field="25" count="1">
            <x v="7"/>
          </reference>
        </references>
      </pivotArea>
    </format>
    <format dxfId="397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63"/>
          </reference>
          <reference field="25" count="1">
            <x v="7"/>
          </reference>
        </references>
      </pivotArea>
    </format>
    <format dxfId="397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63"/>
          </reference>
          <reference field="25" count="1">
            <x v="7"/>
          </reference>
        </references>
      </pivotArea>
    </format>
    <format dxfId="396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63"/>
          </reference>
          <reference field="25" count="1">
            <x v="7"/>
          </reference>
        </references>
      </pivotArea>
    </format>
    <format dxfId="396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65"/>
          </reference>
          <reference field="25" count="1">
            <x v="7"/>
          </reference>
        </references>
      </pivotArea>
    </format>
    <format dxfId="396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65"/>
          </reference>
          <reference field="25" count="1">
            <x v="7"/>
          </reference>
        </references>
      </pivotArea>
    </format>
    <format dxfId="396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65"/>
          </reference>
          <reference field="25" count="1">
            <x v="7"/>
          </reference>
        </references>
      </pivotArea>
    </format>
    <format dxfId="396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65"/>
          </reference>
          <reference field="25" count="1">
            <x v="7"/>
          </reference>
        </references>
      </pivotArea>
    </format>
    <format dxfId="396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73"/>
          </reference>
          <reference field="25" count="1">
            <x v="7"/>
          </reference>
        </references>
      </pivotArea>
    </format>
    <format dxfId="396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73"/>
          </reference>
          <reference field="25" count="1">
            <x v="7"/>
          </reference>
        </references>
      </pivotArea>
    </format>
    <format dxfId="396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73"/>
          </reference>
          <reference field="25" count="1">
            <x v="7"/>
          </reference>
        </references>
      </pivotArea>
    </format>
    <format dxfId="396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73"/>
          </reference>
          <reference field="25" count="1">
            <x v="7"/>
          </reference>
        </references>
      </pivotArea>
    </format>
    <format dxfId="396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74"/>
          </reference>
          <reference field="25" count="1">
            <x v="7"/>
          </reference>
        </references>
      </pivotArea>
    </format>
    <format dxfId="395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74"/>
          </reference>
          <reference field="25" count="1">
            <x v="7"/>
          </reference>
        </references>
      </pivotArea>
    </format>
    <format dxfId="395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74"/>
          </reference>
          <reference field="25" count="1">
            <x v="7"/>
          </reference>
        </references>
      </pivotArea>
    </format>
    <format dxfId="395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76"/>
          </reference>
          <reference field="25" count="1">
            <x v="7"/>
          </reference>
        </references>
      </pivotArea>
    </format>
    <format dxfId="395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76"/>
          </reference>
          <reference field="25" count="1">
            <x v="7"/>
          </reference>
        </references>
      </pivotArea>
    </format>
    <format dxfId="395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76"/>
          </reference>
          <reference field="25" count="1">
            <x v="7"/>
          </reference>
        </references>
      </pivotArea>
    </format>
    <format dxfId="395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76"/>
          </reference>
          <reference field="25" count="1">
            <x v="7"/>
          </reference>
        </references>
      </pivotArea>
    </format>
    <format dxfId="395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78"/>
          </reference>
          <reference field="25" count="1">
            <x v="7"/>
          </reference>
        </references>
      </pivotArea>
    </format>
    <format dxfId="395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78"/>
          </reference>
          <reference field="25" count="1">
            <x v="7"/>
          </reference>
        </references>
      </pivotArea>
    </format>
    <format dxfId="395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78"/>
          </reference>
          <reference field="25" count="1">
            <x v="7"/>
          </reference>
        </references>
      </pivotArea>
    </format>
    <format dxfId="395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78"/>
          </reference>
          <reference field="25" count="1">
            <x v="7"/>
          </reference>
        </references>
      </pivotArea>
    </format>
    <format dxfId="394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86"/>
          </reference>
          <reference field="25" count="1">
            <x v="7"/>
          </reference>
        </references>
      </pivotArea>
    </format>
    <format dxfId="394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86"/>
          </reference>
          <reference field="25" count="1">
            <x v="7"/>
          </reference>
        </references>
      </pivotArea>
    </format>
    <format dxfId="394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86"/>
          </reference>
          <reference field="25" count="1">
            <x v="7"/>
          </reference>
        </references>
      </pivotArea>
    </format>
    <format dxfId="394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86"/>
          </reference>
          <reference field="25" count="1">
            <x v="7"/>
          </reference>
        </references>
      </pivotArea>
    </format>
    <format dxfId="394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87"/>
          </reference>
          <reference field="25" count="1">
            <x v="7"/>
          </reference>
        </references>
      </pivotArea>
    </format>
    <format dxfId="394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87"/>
          </reference>
          <reference field="25" count="1">
            <x v="7"/>
          </reference>
        </references>
      </pivotArea>
    </format>
    <format dxfId="394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87"/>
          </reference>
          <reference field="25" count="1">
            <x v="7"/>
          </reference>
        </references>
      </pivotArea>
    </format>
    <format dxfId="394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87"/>
          </reference>
          <reference field="25" count="1">
            <x v="7"/>
          </reference>
        </references>
      </pivotArea>
    </format>
    <format dxfId="394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88"/>
          </reference>
          <reference field="25" count="1">
            <x v="7"/>
          </reference>
        </references>
      </pivotArea>
    </format>
    <format dxfId="394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88"/>
          </reference>
          <reference field="25" count="1">
            <x v="7"/>
          </reference>
        </references>
      </pivotArea>
    </format>
    <format dxfId="393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88"/>
          </reference>
          <reference field="25" count="1">
            <x v="7"/>
          </reference>
        </references>
      </pivotArea>
    </format>
    <format dxfId="393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88"/>
          </reference>
          <reference field="25" count="1">
            <x v="7"/>
          </reference>
        </references>
      </pivotArea>
    </format>
    <format dxfId="393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90"/>
          </reference>
          <reference field="25" count="1">
            <x v="7"/>
          </reference>
        </references>
      </pivotArea>
    </format>
    <format dxfId="393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90"/>
          </reference>
          <reference field="25" count="1">
            <x v="7"/>
          </reference>
        </references>
      </pivotArea>
    </format>
    <format dxfId="393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90"/>
          </reference>
          <reference field="25" count="1">
            <x v="7"/>
          </reference>
        </references>
      </pivotArea>
    </format>
    <format dxfId="393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98"/>
          </reference>
          <reference field="25" count="1">
            <x v="7"/>
          </reference>
        </references>
      </pivotArea>
    </format>
    <format dxfId="393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98"/>
          </reference>
          <reference field="25" count="1">
            <x v="7"/>
          </reference>
        </references>
      </pivotArea>
    </format>
    <format dxfId="393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98"/>
          </reference>
          <reference field="25" count="1">
            <x v="7"/>
          </reference>
        </references>
      </pivotArea>
    </format>
    <format dxfId="393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98"/>
          </reference>
          <reference field="25" count="1">
            <x v="7"/>
          </reference>
        </references>
      </pivotArea>
    </format>
    <format dxfId="393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00"/>
          </reference>
          <reference field="25" count="1">
            <x v="7"/>
          </reference>
        </references>
      </pivotArea>
    </format>
    <format dxfId="392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00"/>
          </reference>
          <reference field="25" count="1">
            <x v="7"/>
          </reference>
        </references>
      </pivotArea>
    </format>
    <format dxfId="392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00"/>
          </reference>
          <reference field="25" count="1">
            <x v="7"/>
          </reference>
        </references>
      </pivotArea>
    </format>
    <format dxfId="392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02"/>
          </reference>
          <reference field="25" count="1">
            <x v="7"/>
          </reference>
        </references>
      </pivotArea>
    </format>
    <format dxfId="392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02"/>
          </reference>
          <reference field="25" count="1">
            <x v="7"/>
          </reference>
        </references>
      </pivotArea>
    </format>
    <format dxfId="392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02"/>
          </reference>
          <reference field="25" count="1">
            <x v="7"/>
          </reference>
        </references>
      </pivotArea>
    </format>
    <format dxfId="392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02"/>
          </reference>
          <reference field="25" count="1">
            <x v="7"/>
          </reference>
        </references>
      </pivotArea>
    </format>
    <format dxfId="3923">
      <pivotArea collapsedLevelsAreSubtotals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104"/>
          </reference>
          <reference field="25" count="1">
            <x v="7"/>
          </reference>
        </references>
      </pivotArea>
    </format>
    <format dxfId="3922">
      <pivotArea collapsedLevelsAreSubtotals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04"/>
          </reference>
          <reference field="25" count="1">
            <x v="7"/>
          </reference>
        </references>
      </pivotArea>
    </format>
    <format dxfId="3921">
      <pivotArea collapsedLevelsAreSubtotals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04"/>
          </reference>
          <reference field="25" count="1">
            <x v="7"/>
          </reference>
        </references>
      </pivotArea>
    </format>
    <format dxfId="3920">
      <pivotArea collapsedLevelsAreSubtotals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04"/>
          </reference>
          <reference field="25" count="1">
            <x v="7"/>
          </reference>
        </references>
      </pivotArea>
    </format>
    <format dxfId="3919">
      <pivotArea dataOnly="0" labelOnly="1" fieldPosition="0">
        <references count="1">
          <reference field="8" count="1">
            <x v="104"/>
          </reference>
        </references>
      </pivotArea>
    </format>
    <format dxfId="3918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104"/>
          </reference>
        </references>
      </pivotArea>
    </format>
    <format dxfId="3917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104"/>
          </reference>
        </references>
      </pivotArea>
    </format>
    <format dxfId="3916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04"/>
          </reference>
        </references>
      </pivotArea>
    </format>
    <format dxfId="3915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04"/>
          </reference>
        </references>
      </pivotArea>
    </format>
    <format dxfId="3914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04"/>
          </reference>
        </references>
      </pivotArea>
    </format>
    <format dxfId="3913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104"/>
          </reference>
          <reference field="25" count="1">
            <x v="7"/>
          </reference>
        </references>
      </pivotArea>
    </format>
    <format dxfId="3912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04"/>
          </reference>
          <reference field="25" count="1">
            <x v="7"/>
          </reference>
        </references>
      </pivotArea>
    </format>
    <format dxfId="3911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04"/>
          </reference>
          <reference field="25" count="1">
            <x v="7"/>
          </reference>
        </references>
      </pivotArea>
    </format>
    <format dxfId="3910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04"/>
          </reference>
          <reference field="25" count="1">
            <x v="7"/>
          </reference>
        </references>
      </pivotArea>
    </format>
    <format dxfId="390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04"/>
          </reference>
          <reference field="25" count="1">
            <x v="7"/>
          </reference>
        </references>
      </pivotArea>
    </format>
    <format dxfId="390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04"/>
          </reference>
          <reference field="25" count="1">
            <x v="7"/>
          </reference>
        </references>
      </pivotArea>
    </format>
    <format dxfId="390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04"/>
          </reference>
          <reference field="25" count="1">
            <x v="7"/>
          </reference>
        </references>
      </pivotArea>
    </format>
    <format dxfId="390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04"/>
          </reference>
          <reference field="25" count="1">
            <x v="7"/>
          </reference>
        </references>
      </pivotArea>
    </format>
    <format dxfId="390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09"/>
          </reference>
          <reference field="25" count="1">
            <x v="7"/>
          </reference>
        </references>
      </pivotArea>
    </format>
    <format dxfId="390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09"/>
          </reference>
          <reference field="25" count="1">
            <x v="7"/>
          </reference>
        </references>
      </pivotArea>
    </format>
    <format dxfId="390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09"/>
          </reference>
          <reference field="25" count="1">
            <x v="7"/>
          </reference>
        </references>
      </pivotArea>
    </format>
    <format dxfId="390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11"/>
          </reference>
          <reference field="25" count="1">
            <x v="7"/>
          </reference>
        </references>
      </pivotArea>
    </format>
    <format dxfId="390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11"/>
          </reference>
          <reference field="25" count="1">
            <x v="7"/>
          </reference>
        </references>
      </pivotArea>
    </format>
    <format dxfId="390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11"/>
          </reference>
          <reference field="25" count="1">
            <x v="7"/>
          </reference>
        </references>
      </pivotArea>
    </format>
    <format dxfId="389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11"/>
          </reference>
          <reference field="25" count="1">
            <x v="7"/>
          </reference>
        </references>
      </pivotArea>
    </format>
    <format dxfId="389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13"/>
          </reference>
          <reference field="25" count="1">
            <x v="7"/>
          </reference>
        </references>
      </pivotArea>
    </format>
    <format dxfId="389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13"/>
          </reference>
          <reference field="25" count="1">
            <x v="7"/>
          </reference>
        </references>
      </pivotArea>
    </format>
    <format dxfId="389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13"/>
          </reference>
          <reference field="25" count="1">
            <x v="7"/>
          </reference>
        </references>
      </pivotArea>
    </format>
    <format dxfId="389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13"/>
          </reference>
          <reference field="25" count="1">
            <x v="7"/>
          </reference>
        </references>
      </pivotArea>
    </format>
    <format dxfId="389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15"/>
          </reference>
          <reference field="25" count="1">
            <x v="7"/>
          </reference>
        </references>
      </pivotArea>
    </format>
    <format dxfId="389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15"/>
          </reference>
          <reference field="25" count="1">
            <x v="7"/>
          </reference>
        </references>
      </pivotArea>
    </format>
    <format dxfId="389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15"/>
          </reference>
          <reference field="25" count="1">
            <x v="7"/>
          </reference>
        </references>
      </pivotArea>
    </format>
    <format dxfId="389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15"/>
          </reference>
          <reference field="25" count="1">
            <x v="7"/>
          </reference>
        </references>
      </pivotArea>
    </format>
    <format dxfId="389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15"/>
          </reference>
          <reference field="25" count="1">
            <x v="7"/>
          </reference>
        </references>
      </pivotArea>
    </format>
    <format dxfId="388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15"/>
          </reference>
          <reference field="25" count="1">
            <x v="7"/>
          </reference>
        </references>
      </pivotArea>
    </format>
    <format dxfId="388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15"/>
          </reference>
          <reference field="25" count="1">
            <x v="7"/>
          </reference>
        </references>
      </pivotArea>
    </format>
    <format dxfId="388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18"/>
          </reference>
          <reference field="25" count="1">
            <x v="7"/>
          </reference>
        </references>
      </pivotArea>
    </format>
    <format dxfId="388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18"/>
          </reference>
          <reference field="25" count="1">
            <x v="7"/>
          </reference>
        </references>
      </pivotArea>
    </format>
    <format dxfId="388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18"/>
          </reference>
          <reference field="25" count="1">
            <x v="7"/>
          </reference>
        </references>
      </pivotArea>
    </format>
    <format dxfId="388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18"/>
          </reference>
          <reference field="25" count="1">
            <x v="7"/>
          </reference>
        </references>
      </pivotArea>
    </format>
    <format dxfId="388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20"/>
          </reference>
          <reference field="25" count="1">
            <x v="7"/>
          </reference>
        </references>
      </pivotArea>
    </format>
    <format dxfId="388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20"/>
          </reference>
          <reference field="25" count="1">
            <x v="7"/>
          </reference>
        </references>
      </pivotArea>
    </format>
    <format dxfId="388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20"/>
          </reference>
          <reference field="25" count="1">
            <x v="7"/>
          </reference>
        </references>
      </pivotArea>
    </format>
    <format dxfId="388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20"/>
          </reference>
          <reference field="25" count="1">
            <x v="7"/>
          </reference>
        </references>
      </pivotArea>
    </format>
    <format dxfId="387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38"/>
          </reference>
          <reference field="25" count="1">
            <x v="7"/>
          </reference>
        </references>
      </pivotArea>
    </format>
    <format dxfId="387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38"/>
          </reference>
          <reference field="25" count="1">
            <x v="7"/>
          </reference>
        </references>
      </pivotArea>
    </format>
    <format dxfId="387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38"/>
          </reference>
          <reference field="25" count="1">
            <x v="7"/>
          </reference>
        </references>
      </pivotArea>
    </format>
    <format dxfId="387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39"/>
          </reference>
          <reference field="25" count="1">
            <x v="7"/>
          </reference>
        </references>
      </pivotArea>
    </format>
    <format dxfId="387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39"/>
          </reference>
          <reference field="25" count="1">
            <x v="7"/>
          </reference>
        </references>
      </pivotArea>
    </format>
    <format dxfId="387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39"/>
          </reference>
          <reference field="25" count="1">
            <x v="7"/>
          </reference>
        </references>
      </pivotArea>
    </format>
    <format dxfId="387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40"/>
          </reference>
          <reference field="25" count="1">
            <x v="7"/>
          </reference>
        </references>
      </pivotArea>
    </format>
    <format dxfId="387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40"/>
          </reference>
          <reference field="25" count="1">
            <x v="7"/>
          </reference>
        </references>
      </pivotArea>
    </format>
    <format dxfId="387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40"/>
          </reference>
          <reference field="25" count="1">
            <x v="7"/>
          </reference>
        </references>
      </pivotArea>
    </format>
    <format dxfId="387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40"/>
          </reference>
          <reference field="25" count="1">
            <x v="7"/>
          </reference>
        </references>
      </pivotArea>
    </format>
    <format dxfId="386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40"/>
          </reference>
          <reference field="25" count="1">
            <x v="7"/>
          </reference>
        </references>
      </pivotArea>
    </format>
    <format dxfId="386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40"/>
          </reference>
          <reference field="25" count="1">
            <x v="7"/>
          </reference>
        </references>
      </pivotArea>
    </format>
    <format dxfId="386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40"/>
          </reference>
          <reference field="25" count="1">
            <x v="7"/>
          </reference>
        </references>
      </pivotArea>
    </format>
    <format dxfId="386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41"/>
          </reference>
          <reference field="25" count="1">
            <x v="7"/>
          </reference>
        </references>
      </pivotArea>
    </format>
    <format dxfId="386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41"/>
          </reference>
          <reference field="25" count="1">
            <x v="7"/>
          </reference>
        </references>
      </pivotArea>
    </format>
    <format dxfId="386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41"/>
          </reference>
          <reference field="25" count="1">
            <x v="7"/>
          </reference>
        </references>
      </pivotArea>
    </format>
    <format dxfId="386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41"/>
          </reference>
          <reference field="25" count="1">
            <x v="7"/>
          </reference>
        </references>
      </pivotArea>
    </format>
    <format dxfId="386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45"/>
          </reference>
          <reference field="25" count="1">
            <x v="7"/>
          </reference>
        </references>
      </pivotArea>
    </format>
    <format dxfId="386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45"/>
          </reference>
          <reference field="25" count="1">
            <x v="7"/>
          </reference>
        </references>
      </pivotArea>
    </format>
    <format dxfId="386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45"/>
          </reference>
          <reference field="25" count="1">
            <x v="7"/>
          </reference>
        </references>
      </pivotArea>
    </format>
    <format dxfId="385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46"/>
          </reference>
          <reference field="25" count="1">
            <x v="7"/>
          </reference>
        </references>
      </pivotArea>
    </format>
    <format dxfId="385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46"/>
          </reference>
          <reference field="25" count="1">
            <x v="7"/>
          </reference>
        </references>
      </pivotArea>
    </format>
    <format dxfId="385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46"/>
          </reference>
          <reference field="25" count="1">
            <x v="7"/>
          </reference>
        </references>
      </pivotArea>
    </format>
    <format dxfId="385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46"/>
          </reference>
          <reference field="25" count="1">
            <x v="7"/>
          </reference>
        </references>
      </pivotArea>
    </format>
    <format dxfId="385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47"/>
          </reference>
          <reference field="25" count="1">
            <x v="7"/>
          </reference>
        </references>
      </pivotArea>
    </format>
    <format dxfId="385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47"/>
          </reference>
          <reference field="25" count="1">
            <x v="7"/>
          </reference>
        </references>
      </pivotArea>
    </format>
    <format dxfId="385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47"/>
          </reference>
          <reference field="25" count="1">
            <x v="7"/>
          </reference>
        </references>
      </pivotArea>
    </format>
    <format dxfId="385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47"/>
          </reference>
          <reference field="25" count="1">
            <x v="7"/>
          </reference>
        </references>
      </pivotArea>
    </format>
    <format dxfId="385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48"/>
          </reference>
          <reference field="25" count="1">
            <x v="7"/>
          </reference>
        </references>
      </pivotArea>
    </format>
    <format dxfId="385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48"/>
          </reference>
          <reference field="25" count="1">
            <x v="7"/>
          </reference>
        </references>
      </pivotArea>
    </format>
    <format dxfId="384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48"/>
          </reference>
          <reference field="25" count="1">
            <x v="7"/>
          </reference>
        </references>
      </pivotArea>
    </format>
    <format dxfId="384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49"/>
          </reference>
          <reference field="25" count="1">
            <x v="7"/>
          </reference>
        </references>
      </pivotArea>
    </format>
    <format dxfId="384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49"/>
          </reference>
          <reference field="25" count="1">
            <x v="7"/>
          </reference>
        </references>
      </pivotArea>
    </format>
    <format dxfId="384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49"/>
          </reference>
          <reference field="25" count="1">
            <x v="7"/>
          </reference>
        </references>
      </pivotArea>
    </format>
    <format dxfId="384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49"/>
          </reference>
          <reference field="25" count="1">
            <x v="7"/>
          </reference>
        </references>
      </pivotArea>
    </format>
    <format dxfId="384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50"/>
          </reference>
          <reference field="25" count="1">
            <x v="7"/>
          </reference>
        </references>
      </pivotArea>
    </format>
    <format dxfId="384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50"/>
          </reference>
          <reference field="25" count="1">
            <x v="7"/>
          </reference>
        </references>
      </pivotArea>
    </format>
    <format dxfId="384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50"/>
          </reference>
          <reference field="25" count="1">
            <x v="7"/>
          </reference>
        </references>
      </pivotArea>
    </format>
    <format dxfId="384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50"/>
          </reference>
          <reference field="25" count="1">
            <x v="7"/>
          </reference>
        </references>
      </pivotArea>
    </format>
    <format dxfId="384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153"/>
          </reference>
          <reference field="25" count="1">
            <x v="7"/>
          </reference>
        </references>
      </pivotArea>
    </format>
    <format dxfId="383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9"/>
          </reference>
          <reference field="8" count="1" selected="0">
            <x v="153"/>
          </reference>
          <reference field="25" count="1">
            <x v="7"/>
          </reference>
        </references>
      </pivotArea>
    </format>
    <format dxfId="383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32"/>
          </reference>
          <reference field="8" count="1" selected="0">
            <x v="153"/>
          </reference>
          <reference field="25" count="1">
            <x v="7"/>
          </reference>
        </references>
      </pivotArea>
    </format>
    <format dxfId="383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55"/>
          </reference>
          <reference field="25" count="1">
            <x v="7"/>
          </reference>
        </references>
      </pivotArea>
    </format>
    <format dxfId="383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55"/>
          </reference>
          <reference field="25" count="1">
            <x v="7"/>
          </reference>
        </references>
      </pivotArea>
    </format>
    <format dxfId="383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40"/>
          </reference>
          <reference field="8" count="1" selected="0">
            <x v="155"/>
          </reference>
          <reference field="25" count="1">
            <x v="7"/>
          </reference>
        </references>
      </pivotArea>
    </format>
    <format dxfId="383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58"/>
          </reference>
          <reference field="25" count="1">
            <x v="7"/>
          </reference>
        </references>
      </pivotArea>
    </format>
    <format dxfId="383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58"/>
          </reference>
          <reference field="25" count="1">
            <x v="7"/>
          </reference>
        </references>
      </pivotArea>
    </format>
    <format dxfId="383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40"/>
          </reference>
          <reference field="8" count="1" selected="0">
            <x v="158"/>
          </reference>
          <reference field="25" count="1">
            <x v="7"/>
          </reference>
        </references>
      </pivotArea>
    </format>
    <format dxfId="383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60"/>
          </reference>
          <reference field="25" count="1">
            <x v="7"/>
          </reference>
        </references>
      </pivotArea>
    </format>
    <format dxfId="383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43"/>
          </reference>
          <reference field="8" count="1" selected="0">
            <x v="160"/>
          </reference>
          <reference field="25" count="1">
            <x v="7"/>
          </reference>
        </references>
      </pivotArea>
    </format>
    <format dxfId="3829">
      <pivotArea collapsedLevelsAreSubtotals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152"/>
          </reference>
          <reference field="25" count="1">
            <x v="7"/>
          </reference>
        </references>
      </pivotArea>
    </format>
    <format dxfId="3828">
      <pivotArea collapsedLevelsAreSubtotals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52"/>
          </reference>
          <reference field="25" count="1">
            <x v="7"/>
          </reference>
        </references>
      </pivotArea>
    </format>
    <format dxfId="3827">
      <pivotArea collapsedLevelsAreSubtotals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52"/>
          </reference>
          <reference field="25" count="1">
            <x v="7"/>
          </reference>
        </references>
      </pivotArea>
    </format>
    <format dxfId="3826">
      <pivotArea dataOnly="0" labelOnly="1" fieldPosition="0">
        <references count="1">
          <reference field="8" count="1">
            <x v="152"/>
          </reference>
        </references>
      </pivotArea>
    </format>
    <format dxfId="3825">
      <pivotArea dataOnly="0" labelOnly="1" fieldPosition="0">
        <references count="2">
          <reference field="0" count="3">
            <x v="3"/>
            <x v="6"/>
            <x v="8"/>
          </reference>
          <reference field="8" count="1" selected="0">
            <x v="152"/>
          </reference>
        </references>
      </pivotArea>
    </format>
    <format dxfId="3824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152"/>
          </reference>
        </references>
      </pivotArea>
    </format>
    <format dxfId="3823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52"/>
          </reference>
        </references>
      </pivotArea>
    </format>
    <format dxfId="3822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152"/>
          </reference>
          <reference field="25" count="1">
            <x v="7"/>
          </reference>
        </references>
      </pivotArea>
    </format>
    <format dxfId="3821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52"/>
          </reference>
          <reference field="25" count="1">
            <x v="7"/>
          </reference>
        </references>
      </pivotArea>
    </format>
    <format dxfId="3820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52"/>
          </reference>
          <reference field="25" count="1">
            <x v="7"/>
          </reference>
        </references>
      </pivotArea>
    </format>
    <format dxfId="3819">
      <pivotArea dataOnly="0" labelOnly="1" fieldPosition="0">
        <references count="2">
          <reference field="0" count="1">
            <x v="5"/>
          </reference>
          <reference field="8" count="1" selected="0">
            <x v="170"/>
          </reference>
        </references>
      </pivotArea>
    </format>
    <format dxfId="381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52"/>
          </reference>
          <reference field="25" count="1">
            <x v="7"/>
          </reference>
        </references>
      </pivotArea>
    </format>
    <format dxfId="381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52"/>
          </reference>
          <reference field="25" count="1">
            <x v="7"/>
          </reference>
        </references>
      </pivotArea>
    </format>
    <format dxfId="381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52"/>
          </reference>
          <reference field="25" count="1">
            <x v="7"/>
          </reference>
        </references>
      </pivotArea>
    </format>
    <format dxfId="381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52"/>
          </reference>
          <reference field="25" count="1">
            <x v="7"/>
          </reference>
        </references>
      </pivotArea>
    </format>
    <format dxfId="3814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52"/>
          </reference>
        </references>
      </pivotArea>
    </format>
    <format dxfId="381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66"/>
          </reference>
          <reference field="25" count="1">
            <x v="7"/>
          </reference>
        </references>
      </pivotArea>
    </format>
    <format dxfId="381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66"/>
          </reference>
          <reference field="25" count="1">
            <x v="7"/>
          </reference>
        </references>
      </pivotArea>
    </format>
    <format dxfId="381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66"/>
          </reference>
          <reference field="25" count="1">
            <x v="7"/>
          </reference>
        </references>
      </pivotArea>
    </format>
    <format dxfId="381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66"/>
          </reference>
          <reference field="25" count="1">
            <x v="7"/>
          </reference>
        </references>
      </pivotArea>
    </format>
    <format dxfId="380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70"/>
          </reference>
          <reference field="25" count="1">
            <x v="7"/>
          </reference>
        </references>
      </pivotArea>
    </format>
    <format dxfId="380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70"/>
          </reference>
          <reference field="25" count="1">
            <x v="7"/>
          </reference>
        </references>
      </pivotArea>
    </format>
    <format dxfId="380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70"/>
          </reference>
          <reference field="25" count="1">
            <x v="7"/>
          </reference>
        </references>
      </pivotArea>
    </format>
    <format dxfId="380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70"/>
          </reference>
          <reference field="25" count="1">
            <x v="7"/>
          </reference>
        </references>
      </pivotArea>
    </format>
    <format dxfId="380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71"/>
          </reference>
          <reference field="25" count="1">
            <x v="7"/>
          </reference>
        </references>
      </pivotArea>
    </format>
    <format dxfId="380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71"/>
          </reference>
          <reference field="25" count="1">
            <x v="7"/>
          </reference>
        </references>
      </pivotArea>
    </format>
    <format dxfId="380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71"/>
          </reference>
          <reference field="25" count="1">
            <x v="7"/>
          </reference>
        </references>
      </pivotArea>
    </format>
    <format dxfId="380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71"/>
          </reference>
          <reference field="25" count="1">
            <x v="7"/>
          </reference>
        </references>
      </pivotArea>
    </format>
    <format dxfId="380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72"/>
          </reference>
          <reference field="25" count="1">
            <x v="7"/>
          </reference>
        </references>
      </pivotArea>
    </format>
    <format dxfId="380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72"/>
          </reference>
          <reference field="25" count="1">
            <x v="7"/>
          </reference>
        </references>
      </pivotArea>
    </format>
    <format dxfId="379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72"/>
          </reference>
          <reference field="25" count="1">
            <x v="7"/>
          </reference>
        </references>
      </pivotArea>
    </format>
    <format dxfId="379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72"/>
          </reference>
          <reference field="25" count="1">
            <x v="7"/>
          </reference>
        </references>
      </pivotArea>
    </format>
    <format dxfId="379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79"/>
          </reference>
          <reference field="25" count="1">
            <x v="7"/>
          </reference>
        </references>
      </pivotArea>
    </format>
    <format dxfId="379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79"/>
          </reference>
          <reference field="25" count="1">
            <x v="7"/>
          </reference>
        </references>
      </pivotArea>
    </format>
    <format dxfId="379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79"/>
          </reference>
          <reference field="25" count="1">
            <x v="7"/>
          </reference>
        </references>
      </pivotArea>
    </format>
    <format dxfId="379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81"/>
          </reference>
          <reference field="25" count="1">
            <x v="7"/>
          </reference>
        </references>
      </pivotArea>
    </format>
    <format dxfId="379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81"/>
          </reference>
          <reference field="25" count="1">
            <x v="7"/>
          </reference>
        </references>
      </pivotArea>
    </format>
    <format dxfId="379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81"/>
          </reference>
          <reference field="25" count="1">
            <x v="7"/>
          </reference>
        </references>
      </pivotArea>
    </format>
    <format dxfId="379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81"/>
          </reference>
          <reference field="25" count="1">
            <x v="7"/>
          </reference>
        </references>
      </pivotArea>
    </format>
    <format dxfId="379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83"/>
          </reference>
          <reference field="25" count="1">
            <x v="7"/>
          </reference>
        </references>
      </pivotArea>
    </format>
    <format dxfId="378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83"/>
          </reference>
          <reference field="25" count="1">
            <x v="7"/>
          </reference>
        </references>
      </pivotArea>
    </format>
    <format dxfId="378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83"/>
          </reference>
          <reference field="25" count="1">
            <x v="7"/>
          </reference>
        </references>
      </pivotArea>
    </format>
    <format dxfId="378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83"/>
          </reference>
          <reference field="25" count="1">
            <x v="7"/>
          </reference>
        </references>
      </pivotArea>
    </format>
    <format dxfId="378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85"/>
          </reference>
          <reference field="25" count="1">
            <x v="7"/>
          </reference>
        </references>
      </pivotArea>
    </format>
    <format dxfId="378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85"/>
          </reference>
          <reference field="25" count="1">
            <x v="7"/>
          </reference>
        </references>
      </pivotArea>
    </format>
    <format dxfId="378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85"/>
          </reference>
          <reference field="25" count="1">
            <x v="7"/>
          </reference>
        </references>
      </pivotArea>
    </format>
    <format dxfId="378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87"/>
          </reference>
          <reference field="25" count="1">
            <x v="7"/>
          </reference>
        </references>
      </pivotArea>
    </format>
    <format dxfId="378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87"/>
          </reference>
          <reference field="25" count="1">
            <x v="7"/>
          </reference>
        </references>
      </pivotArea>
    </format>
    <format dxfId="378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87"/>
          </reference>
          <reference field="25" count="1">
            <x v="7"/>
          </reference>
        </references>
      </pivotArea>
    </format>
    <format dxfId="378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87"/>
          </reference>
          <reference field="25" count="1">
            <x v="7"/>
          </reference>
        </references>
      </pivotArea>
    </format>
    <format dxfId="3779">
      <pivotArea collapsedLevelsAreSubtotals="1" fieldPosition="0">
        <references count="4">
          <reference field="0" count="1" selected="0">
            <x v="5"/>
          </reference>
          <reference field="1" count="1" selected="0">
            <x v="23"/>
          </reference>
          <reference field="8" count="1" selected="0">
            <x v="170"/>
          </reference>
          <reference field="25" count="1">
            <x v="7"/>
          </reference>
        </references>
      </pivotArea>
    </format>
    <format dxfId="3778">
      <pivotArea dataOnly="0" labelOnly="1" fieldPosition="0">
        <references count="3">
          <reference field="0" count="1" selected="0">
            <x v="5"/>
          </reference>
          <reference field="1" count="1">
            <x v="23"/>
          </reference>
          <reference field="8" count="1" selected="0">
            <x v="170"/>
          </reference>
        </references>
      </pivotArea>
    </format>
    <format dxfId="3777">
      <pivotArea dataOnly="0" labelOnly="1" fieldPosition="0">
        <references count="4">
          <reference field="0" count="1" selected="0">
            <x v="5"/>
          </reference>
          <reference field="1" count="1" selected="0">
            <x v="23"/>
          </reference>
          <reference field="8" count="1" selected="0">
            <x v="170"/>
          </reference>
          <reference field="25" count="1">
            <x v="7"/>
          </reference>
        </references>
      </pivotArea>
    </format>
    <format dxfId="3776">
      <pivotArea dataOnly="0" labelOnly="1" offset="IV1" fieldPosition="0">
        <references count="1">
          <reference field="8" count="1">
            <x v="152"/>
          </reference>
        </references>
      </pivotArea>
    </format>
    <format dxfId="377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203"/>
          </reference>
          <reference field="25" count="1">
            <x v="7"/>
          </reference>
        </references>
      </pivotArea>
    </format>
    <format dxfId="377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9"/>
          </reference>
          <reference field="8" count="1" selected="0">
            <x v="203"/>
          </reference>
          <reference field="25" count="1">
            <x v="7"/>
          </reference>
        </references>
      </pivotArea>
    </format>
    <format dxfId="377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32"/>
          </reference>
          <reference field="8" count="1" selected="0">
            <x v="203"/>
          </reference>
          <reference field="25" count="1">
            <x v="7"/>
          </reference>
        </references>
      </pivotArea>
    </format>
    <format dxfId="377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92"/>
          </reference>
          <reference field="25" count="1">
            <x v="7"/>
          </reference>
        </references>
      </pivotArea>
    </format>
    <format dxfId="377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92"/>
          </reference>
          <reference field="25" count="1">
            <x v="7"/>
          </reference>
        </references>
      </pivotArea>
    </format>
    <format dxfId="377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92"/>
          </reference>
          <reference field="25" count="1">
            <x v="7"/>
          </reference>
        </references>
      </pivotArea>
    </format>
    <format dxfId="376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92"/>
          </reference>
          <reference field="25" count="1">
            <x v="7"/>
          </reference>
        </references>
      </pivotArea>
    </format>
    <format dxfId="376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97"/>
          </reference>
          <reference field="25" count="1">
            <x v="7"/>
          </reference>
        </references>
      </pivotArea>
    </format>
    <format dxfId="376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97"/>
          </reference>
          <reference field="25" count="1">
            <x v="7"/>
          </reference>
        </references>
      </pivotArea>
    </format>
    <format dxfId="376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97"/>
          </reference>
          <reference field="25" count="1">
            <x v="7"/>
          </reference>
        </references>
      </pivotArea>
    </format>
    <format dxfId="376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97"/>
          </reference>
          <reference field="25" count="1">
            <x v="7"/>
          </reference>
        </references>
      </pivotArea>
    </format>
    <format dxfId="376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199"/>
          </reference>
          <reference field="25" count="1">
            <x v="7"/>
          </reference>
        </references>
      </pivotArea>
    </format>
    <format dxfId="376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199"/>
          </reference>
          <reference field="25" count="1">
            <x v="7"/>
          </reference>
        </references>
      </pivotArea>
    </format>
    <format dxfId="376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199"/>
          </reference>
          <reference field="25" count="1">
            <x v="7"/>
          </reference>
        </references>
      </pivotArea>
    </format>
    <format dxfId="376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99"/>
          </reference>
          <reference field="25" count="1">
            <x v="7"/>
          </reference>
        </references>
      </pivotArea>
    </format>
    <format dxfId="376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04"/>
          </reference>
          <reference field="25" count="1">
            <x v="7"/>
          </reference>
        </references>
      </pivotArea>
    </format>
    <format dxfId="375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204"/>
          </reference>
          <reference field="25" count="1">
            <x v="7"/>
          </reference>
        </references>
      </pivotArea>
    </format>
    <format dxfId="375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04"/>
          </reference>
          <reference field="25" count="1">
            <x v="7"/>
          </reference>
        </references>
      </pivotArea>
    </format>
    <format dxfId="375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9"/>
          </reference>
          <reference field="8" count="1" selected="0">
            <x v="204"/>
          </reference>
          <reference field="25" count="1">
            <x v="7"/>
          </reference>
        </references>
      </pivotArea>
    </format>
    <format dxfId="375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32"/>
          </reference>
          <reference field="8" count="1" selected="0">
            <x v="204"/>
          </reference>
          <reference field="25" count="1">
            <x v="7"/>
          </reference>
        </references>
      </pivotArea>
    </format>
    <format dxfId="375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01"/>
          </reference>
          <reference field="25" count="1">
            <x v="7"/>
          </reference>
        </references>
      </pivotArea>
    </format>
    <format dxfId="375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01"/>
          </reference>
          <reference field="25" count="1">
            <x v="7"/>
          </reference>
        </references>
      </pivotArea>
    </format>
    <format dxfId="375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01"/>
          </reference>
          <reference field="25" count="1">
            <x v="7"/>
          </reference>
        </references>
      </pivotArea>
    </format>
    <format dxfId="375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01"/>
          </reference>
          <reference field="25" count="1">
            <x v="7"/>
          </reference>
        </references>
      </pivotArea>
    </format>
    <format dxfId="375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06"/>
          </reference>
          <reference field="25" count="1">
            <x v="7"/>
          </reference>
        </references>
      </pivotArea>
    </format>
    <format dxfId="375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06"/>
          </reference>
          <reference field="25" count="1">
            <x v="7"/>
          </reference>
        </references>
      </pivotArea>
    </format>
    <format dxfId="374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06"/>
          </reference>
          <reference field="25" count="1">
            <x v="7"/>
          </reference>
        </references>
      </pivotArea>
    </format>
    <format dxfId="374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06"/>
          </reference>
          <reference field="25" count="1">
            <x v="7"/>
          </reference>
        </references>
      </pivotArea>
    </format>
    <format dxfId="3747">
      <pivotArea type="all" dataOnly="0" outline="0" fieldPosition="0"/>
    </format>
    <format dxfId="3746">
      <pivotArea field="8" type="button" dataOnly="0" labelOnly="1" outline="0" axis="axisRow" fieldPosition="0"/>
    </format>
    <format dxfId="3745">
      <pivotArea field="0" type="button" dataOnly="0" labelOnly="1" outline="0" axis="axisRow" fieldPosition="1"/>
    </format>
    <format dxfId="3744">
      <pivotArea field="1" type="button" dataOnly="0" labelOnly="1" outline="0" axis="axisRow" fieldPosition="2"/>
    </format>
    <format dxfId="3743">
      <pivotArea field="25" type="button" dataOnly="0" labelOnly="1" outline="0" axis="axisRow" fieldPosition="3"/>
    </format>
    <format dxfId="3742">
      <pivotArea dataOnly="0" labelOnly="1" fieldPosition="0">
        <references count="1">
          <reference field="8" count="25">
            <x v="138"/>
            <x v="139"/>
            <x v="140"/>
            <x v="141"/>
            <x v="145"/>
            <x v="146"/>
            <x v="147"/>
            <x v="148"/>
            <x v="149"/>
            <x v="150"/>
            <x v="152"/>
            <x v="153"/>
            <x v="155"/>
            <x v="158"/>
            <x v="160"/>
            <x v="166"/>
            <x v="170"/>
            <x v="171"/>
            <x v="172"/>
            <x v="179"/>
            <x v="181"/>
            <x v="183"/>
            <x v="185"/>
            <x v="187"/>
            <x v="192"/>
          </reference>
        </references>
      </pivotArea>
    </format>
    <format dxfId="3741">
      <pivotArea dataOnly="0" labelOnly="1" fieldPosition="0">
        <references count="1">
          <reference field="8" count="25" sumSubtotal="1">
            <x v="138"/>
            <x v="139"/>
            <x v="140"/>
            <x v="141"/>
            <x v="145"/>
            <x v="146"/>
            <x v="147"/>
            <x v="148"/>
            <x v="149"/>
            <x v="150"/>
            <x v="152"/>
            <x v="153"/>
            <x v="155"/>
            <x v="158"/>
            <x v="160"/>
            <x v="166"/>
            <x v="170"/>
            <x v="171"/>
            <x v="172"/>
            <x v="179"/>
            <x v="181"/>
            <x v="183"/>
            <x v="185"/>
            <x v="187"/>
            <x v="192"/>
          </reference>
        </references>
      </pivotArea>
    </format>
    <format dxfId="3740">
      <pivotArea dataOnly="0" labelOnly="1" fieldPosition="0">
        <references count="1">
          <reference field="8" count="6">
            <x v="197"/>
            <x v="199"/>
            <x v="201"/>
            <x v="203"/>
            <x v="204"/>
            <x v="206"/>
          </reference>
        </references>
      </pivotArea>
    </format>
    <format dxfId="3739">
      <pivotArea dataOnly="0" labelOnly="1" fieldPosition="0">
        <references count="1">
          <reference field="8" count="6" sumSubtotal="1">
            <x v="197"/>
            <x v="199"/>
            <x v="201"/>
            <x v="203"/>
            <x v="204"/>
            <x v="206"/>
          </reference>
        </references>
      </pivotArea>
    </format>
    <format dxfId="3738">
      <pivotArea dataOnly="0" labelOnly="1" fieldPosition="0">
        <references count="2">
          <reference field="0" count="3">
            <x v="4"/>
            <x v="6"/>
            <x v="8"/>
          </reference>
          <reference field="8" count="1" selected="0">
            <x v="138"/>
          </reference>
        </references>
      </pivotArea>
    </format>
    <format dxfId="3737">
      <pivotArea dataOnly="0" labelOnly="1" fieldPosition="0">
        <references count="2">
          <reference field="0" count="3">
            <x v="4"/>
            <x v="6"/>
            <x v="8"/>
          </reference>
          <reference field="8" count="1" selected="0">
            <x v="139"/>
          </reference>
        </references>
      </pivotArea>
    </format>
    <format dxfId="3736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140"/>
          </reference>
        </references>
      </pivotArea>
    </format>
    <format dxfId="3735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141"/>
          </reference>
        </references>
      </pivotArea>
    </format>
    <format dxfId="3734">
      <pivotArea dataOnly="0" labelOnly="1" fieldPosition="0">
        <references count="2">
          <reference field="0" count="3">
            <x v="4"/>
            <x v="6"/>
            <x v="8"/>
          </reference>
          <reference field="8" count="1" selected="0">
            <x v="145"/>
          </reference>
        </references>
      </pivotArea>
    </format>
    <format dxfId="3733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146"/>
          </reference>
        </references>
      </pivotArea>
    </format>
    <format dxfId="3732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147"/>
          </reference>
        </references>
      </pivotArea>
    </format>
    <format dxfId="3731">
      <pivotArea dataOnly="0" labelOnly="1" fieldPosition="0">
        <references count="2">
          <reference field="0" count="3">
            <x v="4"/>
            <x v="6"/>
            <x v="8"/>
          </reference>
          <reference field="8" count="1" selected="0">
            <x v="148"/>
          </reference>
        </references>
      </pivotArea>
    </format>
    <format dxfId="3730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149"/>
          </reference>
        </references>
      </pivotArea>
    </format>
    <format dxfId="3729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150"/>
          </reference>
        </references>
      </pivotArea>
    </format>
    <format dxfId="3728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152"/>
          </reference>
        </references>
      </pivotArea>
    </format>
    <format dxfId="3727">
      <pivotArea dataOnly="0" labelOnly="1" fieldPosition="0">
        <references count="2">
          <reference field="0" count="3">
            <x v="5"/>
            <x v="7"/>
            <x v="33"/>
          </reference>
          <reference field="8" count="1" selected="0">
            <x v="153"/>
          </reference>
        </references>
      </pivotArea>
    </format>
    <format dxfId="3726">
      <pivotArea dataOnly="0" labelOnly="1" fieldPosition="0">
        <references count="2">
          <reference field="0" count="3">
            <x v="4"/>
            <x v="6"/>
            <x v="42"/>
          </reference>
          <reference field="8" count="1" selected="0">
            <x v="155"/>
          </reference>
        </references>
      </pivotArea>
    </format>
    <format dxfId="3725">
      <pivotArea dataOnly="0" labelOnly="1" fieldPosition="0">
        <references count="2">
          <reference field="0" count="3">
            <x v="4"/>
            <x v="6"/>
            <x v="42"/>
          </reference>
          <reference field="8" count="1" selected="0">
            <x v="158"/>
          </reference>
        </references>
      </pivotArea>
    </format>
    <format dxfId="3724">
      <pivotArea dataOnly="0" labelOnly="1" fieldPosition="0">
        <references count="2">
          <reference field="0" count="2">
            <x v="4"/>
            <x v="45"/>
          </reference>
          <reference field="8" count="1" selected="0">
            <x v="160"/>
          </reference>
        </references>
      </pivotArea>
    </format>
    <format dxfId="3723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166"/>
          </reference>
        </references>
      </pivotArea>
    </format>
    <format dxfId="3722">
      <pivotArea dataOnly="0" labelOnly="1" fieldPosition="0">
        <references count="2">
          <reference field="0" count="5">
            <x v="3"/>
            <x v="4"/>
            <x v="5"/>
            <x v="6"/>
            <x v="8"/>
          </reference>
          <reference field="8" count="1" selected="0">
            <x v="170"/>
          </reference>
        </references>
      </pivotArea>
    </format>
    <format dxfId="3721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171"/>
          </reference>
        </references>
      </pivotArea>
    </format>
    <format dxfId="3720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172"/>
          </reference>
        </references>
      </pivotArea>
    </format>
    <format dxfId="3719">
      <pivotArea dataOnly="0" labelOnly="1" fieldPosition="0">
        <references count="2">
          <reference field="0" count="3">
            <x v="4"/>
            <x v="6"/>
            <x v="8"/>
          </reference>
          <reference field="8" count="1" selected="0">
            <x v="179"/>
          </reference>
        </references>
      </pivotArea>
    </format>
    <format dxfId="3718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181"/>
          </reference>
        </references>
      </pivotArea>
    </format>
    <format dxfId="3717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183"/>
          </reference>
        </references>
      </pivotArea>
    </format>
    <format dxfId="3716">
      <pivotArea dataOnly="0" labelOnly="1" fieldPosition="0">
        <references count="2">
          <reference field="0" count="3">
            <x v="4"/>
            <x v="6"/>
            <x v="8"/>
          </reference>
          <reference field="8" count="1" selected="0">
            <x v="185"/>
          </reference>
        </references>
      </pivotArea>
    </format>
    <format dxfId="3715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187"/>
          </reference>
        </references>
      </pivotArea>
    </format>
    <format dxfId="3714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192"/>
          </reference>
        </references>
      </pivotArea>
    </format>
    <format dxfId="3713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197"/>
          </reference>
        </references>
      </pivotArea>
    </format>
    <format dxfId="3712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199"/>
          </reference>
        </references>
      </pivotArea>
    </format>
    <format dxfId="3711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201"/>
          </reference>
        </references>
      </pivotArea>
    </format>
    <format dxfId="3710">
      <pivotArea dataOnly="0" labelOnly="1" fieldPosition="0">
        <references count="2">
          <reference field="0" count="3">
            <x v="5"/>
            <x v="7"/>
            <x v="33"/>
          </reference>
          <reference field="8" count="1" selected="0">
            <x v="203"/>
          </reference>
        </references>
      </pivotArea>
    </format>
    <format dxfId="3709">
      <pivotArea dataOnly="0" labelOnly="1" fieldPosition="0">
        <references count="2">
          <reference field="0" count="5">
            <x v="4"/>
            <x v="5"/>
            <x v="6"/>
            <x v="7"/>
            <x v="33"/>
          </reference>
          <reference field="8" count="1" selected="0">
            <x v="204"/>
          </reference>
        </references>
      </pivotArea>
    </format>
    <format dxfId="3708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206"/>
          </reference>
        </references>
      </pivotArea>
    </format>
    <format dxfId="3707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38"/>
          </reference>
        </references>
      </pivotArea>
    </format>
    <format dxfId="3706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38"/>
          </reference>
        </references>
      </pivotArea>
    </format>
    <format dxfId="3705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38"/>
          </reference>
        </references>
      </pivotArea>
    </format>
    <format dxfId="3704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39"/>
          </reference>
        </references>
      </pivotArea>
    </format>
    <format dxfId="3703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39"/>
          </reference>
        </references>
      </pivotArea>
    </format>
    <format dxfId="3702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39"/>
          </reference>
        </references>
      </pivotArea>
    </format>
    <format dxfId="3701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140"/>
          </reference>
        </references>
      </pivotArea>
    </format>
    <format dxfId="3700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40"/>
          </reference>
        </references>
      </pivotArea>
    </format>
    <format dxfId="3699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40"/>
          </reference>
        </references>
      </pivotArea>
    </format>
    <format dxfId="3698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40"/>
          </reference>
        </references>
      </pivotArea>
    </format>
    <format dxfId="3697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141"/>
          </reference>
        </references>
      </pivotArea>
    </format>
    <format dxfId="3696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41"/>
          </reference>
        </references>
      </pivotArea>
    </format>
    <format dxfId="3695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41"/>
          </reference>
        </references>
      </pivotArea>
    </format>
    <format dxfId="3694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41"/>
          </reference>
        </references>
      </pivotArea>
    </format>
    <format dxfId="3693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45"/>
          </reference>
        </references>
      </pivotArea>
    </format>
    <format dxfId="3692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45"/>
          </reference>
        </references>
      </pivotArea>
    </format>
    <format dxfId="3691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45"/>
          </reference>
        </references>
      </pivotArea>
    </format>
    <format dxfId="3690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146"/>
          </reference>
        </references>
      </pivotArea>
    </format>
    <format dxfId="3689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46"/>
          </reference>
        </references>
      </pivotArea>
    </format>
    <format dxfId="3688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46"/>
          </reference>
        </references>
      </pivotArea>
    </format>
    <format dxfId="3687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46"/>
          </reference>
        </references>
      </pivotArea>
    </format>
    <format dxfId="3686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147"/>
          </reference>
        </references>
      </pivotArea>
    </format>
    <format dxfId="3685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47"/>
          </reference>
        </references>
      </pivotArea>
    </format>
    <format dxfId="3684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47"/>
          </reference>
        </references>
      </pivotArea>
    </format>
    <format dxfId="3683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47"/>
          </reference>
        </references>
      </pivotArea>
    </format>
    <format dxfId="3682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48"/>
          </reference>
        </references>
      </pivotArea>
    </format>
    <format dxfId="3681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48"/>
          </reference>
        </references>
      </pivotArea>
    </format>
    <format dxfId="3680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48"/>
          </reference>
        </references>
      </pivotArea>
    </format>
    <format dxfId="3679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149"/>
          </reference>
        </references>
      </pivotArea>
    </format>
    <format dxfId="3678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49"/>
          </reference>
        </references>
      </pivotArea>
    </format>
    <format dxfId="3677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49"/>
          </reference>
        </references>
      </pivotArea>
    </format>
    <format dxfId="3676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49"/>
          </reference>
        </references>
      </pivotArea>
    </format>
    <format dxfId="3675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150"/>
          </reference>
        </references>
      </pivotArea>
    </format>
    <format dxfId="3674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50"/>
          </reference>
        </references>
      </pivotArea>
    </format>
    <format dxfId="3673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50"/>
          </reference>
        </references>
      </pivotArea>
    </format>
    <format dxfId="3672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50"/>
          </reference>
        </references>
      </pivotArea>
    </format>
    <format dxfId="3671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152"/>
          </reference>
        </references>
      </pivotArea>
    </format>
    <format dxfId="3670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52"/>
          </reference>
        </references>
      </pivotArea>
    </format>
    <format dxfId="3669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52"/>
          </reference>
        </references>
      </pivotArea>
    </format>
    <format dxfId="3668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52"/>
          </reference>
        </references>
      </pivotArea>
    </format>
    <format dxfId="3667">
      <pivotArea dataOnly="0" labelOnly="1" fieldPosition="0">
        <references count="3">
          <reference field="0" count="1" selected="0">
            <x v="5"/>
          </reference>
          <reference field="1" count="1">
            <x v="23"/>
          </reference>
          <reference field="8" count="1" selected="0">
            <x v="153"/>
          </reference>
        </references>
      </pivotArea>
    </format>
    <format dxfId="3666">
      <pivotArea dataOnly="0" labelOnly="1" fieldPosition="0">
        <references count="3">
          <reference field="0" count="1" selected="0">
            <x v="7"/>
          </reference>
          <reference field="1" count="1">
            <x v="19"/>
          </reference>
          <reference field="8" count="1" selected="0">
            <x v="153"/>
          </reference>
        </references>
      </pivotArea>
    </format>
    <format dxfId="3665">
      <pivotArea dataOnly="0" labelOnly="1" fieldPosition="0">
        <references count="3">
          <reference field="0" count="1" selected="0">
            <x v="33"/>
          </reference>
          <reference field="1" count="1">
            <x v="32"/>
          </reference>
          <reference field="8" count="1" selected="0">
            <x v="153"/>
          </reference>
        </references>
      </pivotArea>
    </format>
    <format dxfId="3664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55"/>
          </reference>
        </references>
      </pivotArea>
    </format>
    <format dxfId="3663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55"/>
          </reference>
        </references>
      </pivotArea>
    </format>
    <format dxfId="3662">
      <pivotArea dataOnly="0" labelOnly="1" fieldPosition="0">
        <references count="3">
          <reference field="0" count="1" selected="0">
            <x v="42"/>
          </reference>
          <reference field="1" count="1">
            <x v="40"/>
          </reference>
          <reference field="8" count="1" selected="0">
            <x v="155"/>
          </reference>
        </references>
      </pivotArea>
    </format>
    <format dxfId="3661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58"/>
          </reference>
        </references>
      </pivotArea>
    </format>
    <format dxfId="3660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58"/>
          </reference>
        </references>
      </pivotArea>
    </format>
    <format dxfId="3659">
      <pivotArea dataOnly="0" labelOnly="1" fieldPosition="0">
        <references count="3">
          <reference field="0" count="1" selected="0">
            <x v="42"/>
          </reference>
          <reference field="1" count="1">
            <x v="40"/>
          </reference>
          <reference field="8" count="1" selected="0">
            <x v="158"/>
          </reference>
        </references>
      </pivotArea>
    </format>
    <format dxfId="3658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60"/>
          </reference>
        </references>
      </pivotArea>
    </format>
    <format dxfId="3657">
      <pivotArea dataOnly="0" labelOnly="1" fieldPosition="0">
        <references count="3">
          <reference field="0" count="1" selected="0">
            <x v="45"/>
          </reference>
          <reference field="1" count="1">
            <x v="43"/>
          </reference>
          <reference field="8" count="1" selected="0">
            <x v="160"/>
          </reference>
        </references>
      </pivotArea>
    </format>
    <format dxfId="3656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166"/>
          </reference>
        </references>
      </pivotArea>
    </format>
    <format dxfId="3655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66"/>
          </reference>
        </references>
      </pivotArea>
    </format>
    <format dxfId="3654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66"/>
          </reference>
        </references>
      </pivotArea>
    </format>
    <format dxfId="3653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66"/>
          </reference>
        </references>
      </pivotArea>
    </format>
    <format dxfId="3652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170"/>
          </reference>
        </references>
      </pivotArea>
    </format>
    <format dxfId="3651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70"/>
          </reference>
        </references>
      </pivotArea>
    </format>
    <format dxfId="3650">
      <pivotArea dataOnly="0" labelOnly="1" fieldPosition="0">
        <references count="3">
          <reference field="0" count="1" selected="0">
            <x v="5"/>
          </reference>
          <reference field="1" count="1">
            <x v="23"/>
          </reference>
          <reference field="8" count="1" selected="0">
            <x v="170"/>
          </reference>
        </references>
      </pivotArea>
    </format>
    <format dxfId="3649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70"/>
          </reference>
        </references>
      </pivotArea>
    </format>
    <format dxfId="3648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70"/>
          </reference>
        </references>
      </pivotArea>
    </format>
    <format dxfId="3647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171"/>
          </reference>
        </references>
      </pivotArea>
    </format>
    <format dxfId="3646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71"/>
          </reference>
        </references>
      </pivotArea>
    </format>
    <format dxfId="3645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71"/>
          </reference>
        </references>
      </pivotArea>
    </format>
    <format dxfId="3644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71"/>
          </reference>
        </references>
      </pivotArea>
    </format>
    <format dxfId="3643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172"/>
          </reference>
        </references>
      </pivotArea>
    </format>
    <format dxfId="3642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72"/>
          </reference>
        </references>
      </pivotArea>
    </format>
    <format dxfId="3641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72"/>
          </reference>
        </references>
      </pivotArea>
    </format>
    <format dxfId="3640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72"/>
          </reference>
        </references>
      </pivotArea>
    </format>
    <format dxfId="3639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79"/>
          </reference>
        </references>
      </pivotArea>
    </format>
    <format dxfId="3638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79"/>
          </reference>
        </references>
      </pivotArea>
    </format>
    <format dxfId="3637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79"/>
          </reference>
        </references>
      </pivotArea>
    </format>
    <format dxfId="3636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181"/>
          </reference>
        </references>
      </pivotArea>
    </format>
    <format dxfId="3635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81"/>
          </reference>
        </references>
      </pivotArea>
    </format>
    <format dxfId="3634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81"/>
          </reference>
        </references>
      </pivotArea>
    </format>
    <format dxfId="3633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81"/>
          </reference>
        </references>
      </pivotArea>
    </format>
    <format dxfId="3632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183"/>
          </reference>
        </references>
      </pivotArea>
    </format>
    <format dxfId="3631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83"/>
          </reference>
        </references>
      </pivotArea>
    </format>
    <format dxfId="3630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83"/>
          </reference>
        </references>
      </pivotArea>
    </format>
    <format dxfId="3629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83"/>
          </reference>
        </references>
      </pivotArea>
    </format>
    <format dxfId="3628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85"/>
          </reference>
        </references>
      </pivotArea>
    </format>
    <format dxfId="3627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85"/>
          </reference>
        </references>
      </pivotArea>
    </format>
    <format dxfId="3626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85"/>
          </reference>
        </references>
      </pivotArea>
    </format>
    <format dxfId="3625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187"/>
          </reference>
        </references>
      </pivotArea>
    </format>
    <format dxfId="3624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87"/>
          </reference>
        </references>
      </pivotArea>
    </format>
    <format dxfId="3623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87"/>
          </reference>
        </references>
      </pivotArea>
    </format>
    <format dxfId="3622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87"/>
          </reference>
        </references>
      </pivotArea>
    </format>
    <format dxfId="3621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192"/>
          </reference>
        </references>
      </pivotArea>
    </format>
    <format dxfId="3620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92"/>
          </reference>
        </references>
      </pivotArea>
    </format>
    <format dxfId="3619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92"/>
          </reference>
        </references>
      </pivotArea>
    </format>
    <format dxfId="3618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92"/>
          </reference>
        </references>
      </pivotArea>
    </format>
    <format dxfId="3617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197"/>
          </reference>
        </references>
      </pivotArea>
    </format>
    <format dxfId="3616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97"/>
          </reference>
        </references>
      </pivotArea>
    </format>
    <format dxfId="3615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97"/>
          </reference>
        </references>
      </pivotArea>
    </format>
    <format dxfId="3614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97"/>
          </reference>
        </references>
      </pivotArea>
    </format>
    <format dxfId="3613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199"/>
          </reference>
        </references>
      </pivotArea>
    </format>
    <format dxfId="3612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99"/>
          </reference>
        </references>
      </pivotArea>
    </format>
    <format dxfId="3611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99"/>
          </reference>
        </references>
      </pivotArea>
    </format>
    <format dxfId="3610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99"/>
          </reference>
        </references>
      </pivotArea>
    </format>
    <format dxfId="3609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201"/>
          </reference>
        </references>
      </pivotArea>
    </format>
    <format dxfId="3608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201"/>
          </reference>
        </references>
      </pivotArea>
    </format>
    <format dxfId="3607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201"/>
          </reference>
        </references>
      </pivotArea>
    </format>
    <format dxfId="3606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201"/>
          </reference>
        </references>
      </pivotArea>
    </format>
    <format dxfId="3605">
      <pivotArea dataOnly="0" labelOnly="1" fieldPosition="0">
        <references count="3">
          <reference field="0" count="1" selected="0">
            <x v="5"/>
          </reference>
          <reference field="1" count="1">
            <x v="23"/>
          </reference>
          <reference field="8" count="1" selected="0">
            <x v="203"/>
          </reference>
        </references>
      </pivotArea>
    </format>
    <format dxfId="3604">
      <pivotArea dataOnly="0" labelOnly="1" fieldPosition="0">
        <references count="3">
          <reference field="0" count="1" selected="0">
            <x v="7"/>
          </reference>
          <reference field="1" count="1">
            <x v="19"/>
          </reference>
          <reference field="8" count="1" selected="0">
            <x v="203"/>
          </reference>
        </references>
      </pivotArea>
    </format>
    <format dxfId="3603">
      <pivotArea dataOnly="0" labelOnly="1" fieldPosition="0">
        <references count="3">
          <reference field="0" count="1" selected="0">
            <x v="33"/>
          </reference>
          <reference field="1" count="1">
            <x v="32"/>
          </reference>
          <reference field="8" count="1" selected="0">
            <x v="203"/>
          </reference>
        </references>
      </pivotArea>
    </format>
    <format dxfId="3602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204"/>
          </reference>
        </references>
      </pivotArea>
    </format>
    <format dxfId="3601">
      <pivotArea dataOnly="0" labelOnly="1" fieldPosition="0">
        <references count="3">
          <reference field="0" count="1" selected="0">
            <x v="5"/>
          </reference>
          <reference field="1" count="1">
            <x v="23"/>
          </reference>
          <reference field="8" count="1" selected="0">
            <x v="204"/>
          </reference>
        </references>
      </pivotArea>
    </format>
    <format dxfId="3600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204"/>
          </reference>
        </references>
      </pivotArea>
    </format>
    <format dxfId="3599">
      <pivotArea dataOnly="0" labelOnly="1" fieldPosition="0">
        <references count="3">
          <reference field="0" count="1" selected="0">
            <x v="7"/>
          </reference>
          <reference field="1" count="1">
            <x v="19"/>
          </reference>
          <reference field="8" count="1" selected="0">
            <x v="204"/>
          </reference>
        </references>
      </pivotArea>
    </format>
    <format dxfId="3598">
      <pivotArea dataOnly="0" labelOnly="1" fieldPosition="0">
        <references count="3">
          <reference field="0" count="1" selected="0">
            <x v="33"/>
          </reference>
          <reference field="1" count="1">
            <x v="32"/>
          </reference>
          <reference field="8" count="1" selected="0">
            <x v="204"/>
          </reference>
        </references>
      </pivotArea>
    </format>
    <format dxfId="3597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206"/>
          </reference>
        </references>
      </pivotArea>
    </format>
    <format dxfId="3596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206"/>
          </reference>
        </references>
      </pivotArea>
    </format>
    <format dxfId="3595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206"/>
          </reference>
        </references>
      </pivotArea>
    </format>
    <format dxfId="3594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206"/>
          </reference>
        </references>
      </pivotArea>
    </format>
    <format dxfId="3593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38"/>
          </reference>
          <reference field="25" count="1">
            <x v="7"/>
          </reference>
        </references>
      </pivotArea>
    </format>
    <format dxfId="3592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38"/>
          </reference>
          <reference field="25" count="1">
            <x v="7"/>
          </reference>
        </references>
      </pivotArea>
    </format>
    <format dxfId="3591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38"/>
          </reference>
          <reference field="25" count="1">
            <x v="7"/>
          </reference>
        </references>
      </pivotArea>
    </format>
    <format dxfId="3590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39"/>
          </reference>
          <reference field="25" count="1">
            <x v="7"/>
          </reference>
        </references>
      </pivotArea>
    </format>
    <format dxfId="3589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39"/>
          </reference>
          <reference field="25" count="1">
            <x v="7"/>
          </reference>
        </references>
      </pivotArea>
    </format>
    <format dxfId="3588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39"/>
          </reference>
          <reference field="25" count="1">
            <x v="7"/>
          </reference>
        </references>
      </pivotArea>
    </format>
    <format dxfId="3587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140"/>
          </reference>
          <reference field="25" count="1">
            <x v="7"/>
          </reference>
        </references>
      </pivotArea>
    </format>
    <format dxfId="3586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40"/>
          </reference>
          <reference field="25" count="1">
            <x v="7"/>
          </reference>
        </references>
      </pivotArea>
    </format>
    <format dxfId="3585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40"/>
          </reference>
          <reference field="25" count="1">
            <x v="7"/>
          </reference>
        </references>
      </pivotArea>
    </format>
    <format dxfId="3584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40"/>
          </reference>
          <reference field="25" count="1">
            <x v="7"/>
          </reference>
        </references>
      </pivotArea>
    </format>
    <format dxfId="3583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141"/>
          </reference>
          <reference field="25" count="1">
            <x v="7"/>
          </reference>
        </references>
      </pivotArea>
    </format>
    <format dxfId="3582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41"/>
          </reference>
          <reference field="25" count="1">
            <x v="7"/>
          </reference>
        </references>
      </pivotArea>
    </format>
    <format dxfId="3581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41"/>
          </reference>
          <reference field="25" count="1">
            <x v="7"/>
          </reference>
        </references>
      </pivotArea>
    </format>
    <format dxfId="3580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41"/>
          </reference>
          <reference field="25" count="1">
            <x v="7"/>
          </reference>
        </references>
      </pivotArea>
    </format>
    <format dxfId="3579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45"/>
          </reference>
          <reference field="25" count="1">
            <x v="7"/>
          </reference>
        </references>
      </pivotArea>
    </format>
    <format dxfId="3578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45"/>
          </reference>
          <reference field="25" count="1">
            <x v="7"/>
          </reference>
        </references>
      </pivotArea>
    </format>
    <format dxfId="3577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45"/>
          </reference>
          <reference field="25" count="1">
            <x v="7"/>
          </reference>
        </references>
      </pivotArea>
    </format>
    <format dxfId="3576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146"/>
          </reference>
          <reference field="25" count="1">
            <x v="7"/>
          </reference>
        </references>
      </pivotArea>
    </format>
    <format dxfId="3575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46"/>
          </reference>
          <reference field="25" count="1">
            <x v="7"/>
          </reference>
        </references>
      </pivotArea>
    </format>
    <format dxfId="3574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46"/>
          </reference>
          <reference field="25" count="1">
            <x v="7"/>
          </reference>
        </references>
      </pivotArea>
    </format>
    <format dxfId="3573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46"/>
          </reference>
          <reference field="25" count="1">
            <x v="7"/>
          </reference>
        </references>
      </pivotArea>
    </format>
    <format dxfId="3572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147"/>
          </reference>
          <reference field="25" count="1">
            <x v="7"/>
          </reference>
        </references>
      </pivotArea>
    </format>
    <format dxfId="3571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47"/>
          </reference>
          <reference field="25" count="1">
            <x v="7"/>
          </reference>
        </references>
      </pivotArea>
    </format>
    <format dxfId="3570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47"/>
          </reference>
          <reference field="25" count="1">
            <x v="7"/>
          </reference>
        </references>
      </pivotArea>
    </format>
    <format dxfId="3569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47"/>
          </reference>
          <reference field="25" count="1">
            <x v="7"/>
          </reference>
        </references>
      </pivotArea>
    </format>
    <format dxfId="3568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48"/>
          </reference>
          <reference field="25" count="1">
            <x v="7"/>
          </reference>
        </references>
      </pivotArea>
    </format>
    <format dxfId="3567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48"/>
          </reference>
          <reference field="25" count="1">
            <x v="7"/>
          </reference>
        </references>
      </pivotArea>
    </format>
    <format dxfId="3566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48"/>
          </reference>
          <reference field="25" count="1">
            <x v="7"/>
          </reference>
        </references>
      </pivotArea>
    </format>
    <format dxfId="3565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149"/>
          </reference>
          <reference field="25" count="1">
            <x v="7"/>
          </reference>
        </references>
      </pivotArea>
    </format>
    <format dxfId="3564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49"/>
          </reference>
          <reference field="25" count="1">
            <x v="7"/>
          </reference>
        </references>
      </pivotArea>
    </format>
    <format dxfId="3563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49"/>
          </reference>
          <reference field="25" count="1">
            <x v="7"/>
          </reference>
        </references>
      </pivotArea>
    </format>
    <format dxfId="3562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49"/>
          </reference>
          <reference field="25" count="1">
            <x v="7"/>
          </reference>
        </references>
      </pivotArea>
    </format>
    <format dxfId="3561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150"/>
          </reference>
          <reference field="25" count="1">
            <x v="7"/>
          </reference>
        </references>
      </pivotArea>
    </format>
    <format dxfId="3560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50"/>
          </reference>
          <reference field="25" count="1">
            <x v="7"/>
          </reference>
        </references>
      </pivotArea>
    </format>
    <format dxfId="3559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50"/>
          </reference>
          <reference field="25" count="1">
            <x v="7"/>
          </reference>
        </references>
      </pivotArea>
    </format>
    <format dxfId="3558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50"/>
          </reference>
          <reference field="25" count="1">
            <x v="7"/>
          </reference>
        </references>
      </pivotArea>
    </format>
    <format dxfId="3557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152"/>
          </reference>
          <reference field="25" count="1">
            <x v="7"/>
          </reference>
        </references>
      </pivotArea>
    </format>
    <format dxfId="3556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52"/>
          </reference>
          <reference field="25" count="1">
            <x v="7"/>
          </reference>
        </references>
      </pivotArea>
    </format>
    <format dxfId="3555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52"/>
          </reference>
          <reference field="25" count="1">
            <x v="7"/>
          </reference>
        </references>
      </pivotArea>
    </format>
    <format dxfId="3554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52"/>
          </reference>
          <reference field="25" count="1">
            <x v="7"/>
          </reference>
        </references>
      </pivotArea>
    </format>
    <format dxfId="3553">
      <pivotArea dataOnly="0" labelOnly="1" fieldPosition="0">
        <references count="4">
          <reference field="0" count="1" selected="0">
            <x v="5"/>
          </reference>
          <reference field="1" count="1" selected="0">
            <x v="23"/>
          </reference>
          <reference field="8" count="1" selected="0">
            <x v="153"/>
          </reference>
          <reference field="25" count="1">
            <x v="7"/>
          </reference>
        </references>
      </pivotArea>
    </format>
    <format dxfId="3552">
      <pivotArea dataOnly="0" labelOnly="1" fieldPosition="0">
        <references count="4">
          <reference field="0" count="1" selected="0">
            <x v="7"/>
          </reference>
          <reference field="1" count="1" selected="0">
            <x v="19"/>
          </reference>
          <reference field="8" count="1" selected="0">
            <x v="153"/>
          </reference>
          <reference field="25" count="1">
            <x v="7"/>
          </reference>
        </references>
      </pivotArea>
    </format>
    <format dxfId="3551">
      <pivotArea dataOnly="0" labelOnly="1" fieldPosition="0">
        <references count="4">
          <reference field="0" count="1" selected="0">
            <x v="33"/>
          </reference>
          <reference field="1" count="1" selected="0">
            <x v="32"/>
          </reference>
          <reference field="8" count="1" selected="0">
            <x v="153"/>
          </reference>
          <reference field="25" count="1">
            <x v="7"/>
          </reference>
        </references>
      </pivotArea>
    </format>
    <format dxfId="3550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55"/>
          </reference>
          <reference field="25" count="1">
            <x v="7"/>
          </reference>
        </references>
      </pivotArea>
    </format>
    <format dxfId="3549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55"/>
          </reference>
          <reference field="25" count="1">
            <x v="7"/>
          </reference>
        </references>
      </pivotArea>
    </format>
    <format dxfId="3548">
      <pivotArea dataOnly="0" labelOnly="1" fieldPosition="0">
        <references count="4">
          <reference field="0" count="1" selected="0">
            <x v="42"/>
          </reference>
          <reference field="1" count="1" selected="0">
            <x v="40"/>
          </reference>
          <reference field="8" count="1" selected="0">
            <x v="155"/>
          </reference>
          <reference field="25" count="1">
            <x v="7"/>
          </reference>
        </references>
      </pivotArea>
    </format>
    <format dxfId="3547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58"/>
          </reference>
          <reference field="25" count="1">
            <x v="7"/>
          </reference>
        </references>
      </pivotArea>
    </format>
    <format dxfId="3546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58"/>
          </reference>
          <reference field="25" count="1">
            <x v="7"/>
          </reference>
        </references>
      </pivotArea>
    </format>
    <format dxfId="3545">
      <pivotArea dataOnly="0" labelOnly="1" fieldPosition="0">
        <references count="4">
          <reference field="0" count="1" selected="0">
            <x v="42"/>
          </reference>
          <reference field="1" count="1" selected="0">
            <x v="40"/>
          </reference>
          <reference field="8" count="1" selected="0">
            <x v="158"/>
          </reference>
          <reference field="25" count="1">
            <x v="7"/>
          </reference>
        </references>
      </pivotArea>
    </format>
    <format dxfId="3544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60"/>
          </reference>
          <reference field="25" count="1">
            <x v="7"/>
          </reference>
        </references>
      </pivotArea>
    </format>
    <format dxfId="3543">
      <pivotArea dataOnly="0" labelOnly="1" fieldPosition="0">
        <references count="4">
          <reference field="0" count="1" selected="0">
            <x v="45"/>
          </reference>
          <reference field="1" count="1" selected="0">
            <x v="43"/>
          </reference>
          <reference field="8" count="1" selected="0">
            <x v="160"/>
          </reference>
          <reference field="25" count="1">
            <x v="7"/>
          </reference>
        </references>
      </pivotArea>
    </format>
    <format dxfId="3542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166"/>
          </reference>
          <reference field="25" count="1">
            <x v="7"/>
          </reference>
        </references>
      </pivotArea>
    </format>
    <format dxfId="3541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66"/>
          </reference>
          <reference field="25" count="1">
            <x v="7"/>
          </reference>
        </references>
      </pivotArea>
    </format>
    <format dxfId="3540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66"/>
          </reference>
          <reference field="25" count="1">
            <x v="7"/>
          </reference>
        </references>
      </pivotArea>
    </format>
    <format dxfId="3539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66"/>
          </reference>
          <reference field="25" count="1">
            <x v="7"/>
          </reference>
        </references>
      </pivotArea>
    </format>
    <format dxfId="3538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170"/>
          </reference>
          <reference field="25" count="1">
            <x v="7"/>
          </reference>
        </references>
      </pivotArea>
    </format>
    <format dxfId="3537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70"/>
          </reference>
          <reference field="25" count="1">
            <x v="7"/>
          </reference>
        </references>
      </pivotArea>
    </format>
    <format dxfId="3536">
      <pivotArea dataOnly="0" labelOnly="1" fieldPosition="0">
        <references count="4">
          <reference field="0" count="1" selected="0">
            <x v="5"/>
          </reference>
          <reference field="1" count="1" selected="0">
            <x v="23"/>
          </reference>
          <reference field="8" count="1" selected="0">
            <x v="170"/>
          </reference>
          <reference field="25" count="1">
            <x v="7"/>
          </reference>
        </references>
      </pivotArea>
    </format>
    <format dxfId="3535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70"/>
          </reference>
          <reference field="25" count="1">
            <x v="7"/>
          </reference>
        </references>
      </pivotArea>
    </format>
    <format dxfId="3534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70"/>
          </reference>
          <reference field="25" count="1">
            <x v="7"/>
          </reference>
        </references>
      </pivotArea>
    </format>
    <format dxfId="3533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171"/>
          </reference>
          <reference field="25" count="1">
            <x v="7"/>
          </reference>
        </references>
      </pivotArea>
    </format>
    <format dxfId="3532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71"/>
          </reference>
          <reference field="25" count="1">
            <x v="7"/>
          </reference>
        </references>
      </pivotArea>
    </format>
    <format dxfId="3531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71"/>
          </reference>
          <reference field="25" count="1">
            <x v="7"/>
          </reference>
        </references>
      </pivotArea>
    </format>
    <format dxfId="3530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71"/>
          </reference>
          <reference field="25" count="1">
            <x v="7"/>
          </reference>
        </references>
      </pivotArea>
    </format>
    <format dxfId="3529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172"/>
          </reference>
          <reference field="25" count="1">
            <x v="7"/>
          </reference>
        </references>
      </pivotArea>
    </format>
    <format dxfId="3528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72"/>
          </reference>
          <reference field="25" count="1">
            <x v="7"/>
          </reference>
        </references>
      </pivotArea>
    </format>
    <format dxfId="3527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72"/>
          </reference>
          <reference field="25" count="1">
            <x v="7"/>
          </reference>
        </references>
      </pivotArea>
    </format>
    <format dxfId="3526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72"/>
          </reference>
          <reference field="25" count="1">
            <x v="7"/>
          </reference>
        </references>
      </pivotArea>
    </format>
    <format dxfId="3525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79"/>
          </reference>
          <reference field="25" count="1">
            <x v="7"/>
          </reference>
        </references>
      </pivotArea>
    </format>
    <format dxfId="3524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79"/>
          </reference>
          <reference field="25" count="1">
            <x v="7"/>
          </reference>
        </references>
      </pivotArea>
    </format>
    <format dxfId="3523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79"/>
          </reference>
          <reference field="25" count="1">
            <x v="7"/>
          </reference>
        </references>
      </pivotArea>
    </format>
    <format dxfId="3522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181"/>
          </reference>
          <reference field="25" count="1">
            <x v="7"/>
          </reference>
        </references>
      </pivotArea>
    </format>
    <format dxfId="3521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81"/>
          </reference>
          <reference field="25" count="1">
            <x v="7"/>
          </reference>
        </references>
      </pivotArea>
    </format>
    <format dxfId="3520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81"/>
          </reference>
          <reference field="25" count="1">
            <x v="7"/>
          </reference>
        </references>
      </pivotArea>
    </format>
    <format dxfId="3519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81"/>
          </reference>
          <reference field="25" count="1">
            <x v="7"/>
          </reference>
        </references>
      </pivotArea>
    </format>
    <format dxfId="3518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183"/>
          </reference>
          <reference field="25" count="1">
            <x v="7"/>
          </reference>
        </references>
      </pivotArea>
    </format>
    <format dxfId="3517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83"/>
          </reference>
          <reference field="25" count="1">
            <x v="7"/>
          </reference>
        </references>
      </pivotArea>
    </format>
    <format dxfId="3516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83"/>
          </reference>
          <reference field="25" count="1">
            <x v="7"/>
          </reference>
        </references>
      </pivotArea>
    </format>
    <format dxfId="3515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83"/>
          </reference>
          <reference field="25" count="1">
            <x v="7"/>
          </reference>
        </references>
      </pivotArea>
    </format>
    <format dxfId="3514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85"/>
          </reference>
          <reference field="25" count="1">
            <x v="7"/>
          </reference>
        </references>
      </pivotArea>
    </format>
    <format dxfId="3513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85"/>
          </reference>
          <reference field="25" count="1">
            <x v="7"/>
          </reference>
        </references>
      </pivotArea>
    </format>
    <format dxfId="3512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85"/>
          </reference>
          <reference field="25" count="1">
            <x v="7"/>
          </reference>
        </references>
      </pivotArea>
    </format>
    <format dxfId="3511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187"/>
          </reference>
          <reference field="25" count="1">
            <x v="7"/>
          </reference>
        </references>
      </pivotArea>
    </format>
    <format dxfId="3510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87"/>
          </reference>
          <reference field="25" count="1">
            <x v="7"/>
          </reference>
        </references>
      </pivotArea>
    </format>
    <format dxfId="3509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87"/>
          </reference>
          <reference field="25" count="1">
            <x v="7"/>
          </reference>
        </references>
      </pivotArea>
    </format>
    <format dxfId="3508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87"/>
          </reference>
          <reference field="25" count="1">
            <x v="7"/>
          </reference>
        </references>
      </pivotArea>
    </format>
    <format dxfId="3507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192"/>
          </reference>
          <reference field="25" count="1">
            <x v="7"/>
          </reference>
        </references>
      </pivotArea>
    </format>
    <format dxfId="3506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92"/>
          </reference>
          <reference field="25" count="1">
            <x v="7"/>
          </reference>
        </references>
      </pivotArea>
    </format>
    <format dxfId="3505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92"/>
          </reference>
          <reference field="25" count="1">
            <x v="7"/>
          </reference>
        </references>
      </pivotArea>
    </format>
    <format dxfId="3504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92"/>
          </reference>
          <reference field="25" count="1">
            <x v="7"/>
          </reference>
        </references>
      </pivotArea>
    </format>
    <format dxfId="3503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197"/>
          </reference>
          <reference field="25" count="1">
            <x v="7"/>
          </reference>
        </references>
      </pivotArea>
    </format>
    <format dxfId="3502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97"/>
          </reference>
          <reference field="25" count="1">
            <x v="7"/>
          </reference>
        </references>
      </pivotArea>
    </format>
    <format dxfId="3501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97"/>
          </reference>
          <reference field="25" count="1">
            <x v="7"/>
          </reference>
        </references>
      </pivotArea>
    </format>
    <format dxfId="3500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97"/>
          </reference>
          <reference field="25" count="1">
            <x v="7"/>
          </reference>
        </references>
      </pivotArea>
    </format>
    <format dxfId="3499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199"/>
          </reference>
          <reference field="25" count="1">
            <x v="7"/>
          </reference>
        </references>
      </pivotArea>
    </format>
    <format dxfId="3498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99"/>
          </reference>
          <reference field="25" count="1">
            <x v="7"/>
          </reference>
        </references>
      </pivotArea>
    </format>
    <format dxfId="3497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99"/>
          </reference>
          <reference field="25" count="1">
            <x v="7"/>
          </reference>
        </references>
      </pivotArea>
    </format>
    <format dxfId="3496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99"/>
          </reference>
          <reference field="25" count="1">
            <x v="7"/>
          </reference>
        </references>
      </pivotArea>
    </format>
    <format dxfId="3495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201"/>
          </reference>
          <reference field="25" count="1">
            <x v="7"/>
          </reference>
        </references>
      </pivotArea>
    </format>
    <format dxfId="3494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201"/>
          </reference>
          <reference field="25" count="1">
            <x v="7"/>
          </reference>
        </references>
      </pivotArea>
    </format>
    <format dxfId="3493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201"/>
          </reference>
          <reference field="25" count="1">
            <x v="7"/>
          </reference>
        </references>
      </pivotArea>
    </format>
    <format dxfId="3492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201"/>
          </reference>
          <reference field="25" count="1">
            <x v="7"/>
          </reference>
        </references>
      </pivotArea>
    </format>
    <format dxfId="3491">
      <pivotArea dataOnly="0" labelOnly="1" fieldPosition="0">
        <references count="4">
          <reference field="0" count="1" selected="0">
            <x v="5"/>
          </reference>
          <reference field="1" count="1" selected="0">
            <x v="23"/>
          </reference>
          <reference field="8" count="1" selected="0">
            <x v="203"/>
          </reference>
          <reference field="25" count="1">
            <x v="7"/>
          </reference>
        </references>
      </pivotArea>
    </format>
    <format dxfId="3490">
      <pivotArea dataOnly="0" labelOnly="1" fieldPosition="0">
        <references count="4">
          <reference field="0" count="1" selected="0">
            <x v="7"/>
          </reference>
          <reference field="1" count="1" selected="0">
            <x v="19"/>
          </reference>
          <reference field="8" count="1" selected="0">
            <x v="203"/>
          </reference>
          <reference field="25" count="1">
            <x v="7"/>
          </reference>
        </references>
      </pivotArea>
    </format>
    <format dxfId="3489">
      <pivotArea dataOnly="0" labelOnly="1" fieldPosition="0">
        <references count="4">
          <reference field="0" count="1" selected="0">
            <x v="33"/>
          </reference>
          <reference field="1" count="1" selected="0">
            <x v="32"/>
          </reference>
          <reference field="8" count="1" selected="0">
            <x v="203"/>
          </reference>
          <reference field="25" count="1">
            <x v="7"/>
          </reference>
        </references>
      </pivotArea>
    </format>
    <format dxfId="3488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204"/>
          </reference>
          <reference field="25" count="1">
            <x v="7"/>
          </reference>
        </references>
      </pivotArea>
    </format>
    <format dxfId="3487">
      <pivotArea dataOnly="0" labelOnly="1" fieldPosition="0">
        <references count="4">
          <reference field="0" count="1" selected="0">
            <x v="5"/>
          </reference>
          <reference field="1" count="1" selected="0">
            <x v="23"/>
          </reference>
          <reference field="8" count="1" selected="0">
            <x v="204"/>
          </reference>
          <reference field="25" count="1">
            <x v="7"/>
          </reference>
        </references>
      </pivotArea>
    </format>
    <format dxfId="3486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204"/>
          </reference>
          <reference field="25" count="1">
            <x v="7"/>
          </reference>
        </references>
      </pivotArea>
    </format>
    <format dxfId="3485">
      <pivotArea dataOnly="0" labelOnly="1" fieldPosition="0">
        <references count="4">
          <reference field="0" count="1" selected="0">
            <x v="7"/>
          </reference>
          <reference field="1" count="1" selected="0">
            <x v="19"/>
          </reference>
          <reference field="8" count="1" selected="0">
            <x v="204"/>
          </reference>
          <reference field="25" count="1">
            <x v="7"/>
          </reference>
        </references>
      </pivotArea>
    </format>
    <format dxfId="3484">
      <pivotArea dataOnly="0" labelOnly="1" fieldPosition="0">
        <references count="4">
          <reference field="0" count="1" selected="0">
            <x v="33"/>
          </reference>
          <reference field="1" count="1" selected="0">
            <x v="32"/>
          </reference>
          <reference field="8" count="1" selected="0">
            <x v="204"/>
          </reference>
          <reference field="25" count="1">
            <x v="7"/>
          </reference>
        </references>
      </pivotArea>
    </format>
    <format dxfId="3483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206"/>
          </reference>
          <reference field="25" count="1">
            <x v="7"/>
          </reference>
        </references>
      </pivotArea>
    </format>
    <format dxfId="3482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206"/>
          </reference>
          <reference field="25" count="1">
            <x v="7"/>
          </reference>
        </references>
      </pivotArea>
    </format>
    <format dxfId="3481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206"/>
          </reference>
          <reference field="25" count="1">
            <x v="7"/>
          </reference>
        </references>
      </pivotArea>
    </format>
    <format dxfId="3480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206"/>
          </reference>
          <reference field="25" count="1">
            <x v="7"/>
          </reference>
        </references>
      </pivotArea>
    </format>
    <format dxfId="34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78">
      <pivotArea collapsedLevelsAreSubtotals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38"/>
          </reference>
          <reference field="25" count="1">
            <x v="7"/>
          </reference>
        </references>
      </pivotArea>
    </format>
    <format dxfId="3477">
      <pivotArea collapsedLevelsAreSubtotals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38"/>
          </reference>
          <reference field="25" count="1">
            <x v="7"/>
          </reference>
        </references>
      </pivotArea>
    </format>
    <format dxfId="3476">
      <pivotArea collapsedLevelsAreSubtotals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38"/>
          </reference>
          <reference field="25" count="1">
            <x v="7"/>
          </reference>
        </references>
      </pivotArea>
    </format>
    <format dxfId="3475">
      <pivotArea collapsedLevelsAreSubtotals="1" fieldPosition="0">
        <references count="1">
          <reference field="8" count="1" sumSubtotal="1">
            <x v="138"/>
          </reference>
        </references>
      </pivotArea>
    </format>
    <format dxfId="3474">
      <pivotArea field="8" type="button" dataOnly="0" labelOnly="1" outline="0" axis="axisRow" fieldPosition="0"/>
    </format>
    <format dxfId="3473">
      <pivotArea field="0" type="button" dataOnly="0" labelOnly="1" outline="0" axis="axisRow" fieldPosition="1"/>
    </format>
    <format dxfId="3472">
      <pivotArea field="1" type="button" dataOnly="0" labelOnly="1" outline="0" axis="axisRow" fieldPosition="2"/>
    </format>
    <format dxfId="3471">
      <pivotArea field="25" type="button" dataOnly="0" labelOnly="1" outline="0" axis="axisRow" fieldPosition="3"/>
    </format>
    <format dxfId="3470">
      <pivotArea dataOnly="0" labelOnly="1" fieldPosition="0">
        <references count="1">
          <reference field="8" count="1">
            <x v="138"/>
          </reference>
        </references>
      </pivotArea>
    </format>
    <format dxfId="3469">
      <pivotArea dataOnly="0" labelOnly="1" fieldPosition="0">
        <references count="1">
          <reference field="8" count="1" sumSubtotal="1">
            <x v="138"/>
          </reference>
        </references>
      </pivotArea>
    </format>
    <format dxfId="3468">
      <pivotArea dataOnly="0" labelOnly="1" fieldPosition="0">
        <references count="2">
          <reference field="0" count="3">
            <x v="4"/>
            <x v="6"/>
            <x v="8"/>
          </reference>
          <reference field="8" count="1" selected="0">
            <x v="138"/>
          </reference>
        </references>
      </pivotArea>
    </format>
    <format dxfId="3467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138"/>
          </reference>
        </references>
      </pivotArea>
    </format>
    <format dxfId="3466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138"/>
          </reference>
        </references>
      </pivotArea>
    </format>
    <format dxfId="3465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38"/>
          </reference>
          <reference field="25" count="1">
            <x v="7"/>
          </reference>
        </references>
      </pivotArea>
    </format>
    <format dxfId="3464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38"/>
          </reference>
          <reference field="25" count="1">
            <x v="7"/>
          </reference>
        </references>
      </pivotArea>
    </format>
    <format dxfId="34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6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138"/>
          </reference>
          <reference field="25" count="1">
            <x v="7"/>
          </reference>
        </references>
      </pivotArea>
    </format>
    <format dxfId="3461">
      <pivotArea dataOnly="0" labelOnly="1" fieldPosition="0">
        <references count="2">
          <reference field="0" count="1">
            <x v="8"/>
          </reference>
          <reference field="8" count="1" selected="0">
            <x v="138"/>
          </reference>
        </references>
      </pivotArea>
    </format>
    <format dxfId="3460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38"/>
          </reference>
        </references>
      </pivotArea>
    </format>
    <format dxfId="3459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38"/>
          </reference>
          <reference field="25" count="1">
            <x v="7"/>
          </reference>
        </references>
      </pivotArea>
    </format>
    <format dxfId="3458">
      <pivotArea collapsedLevelsAreSubtotals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138"/>
          </reference>
          <reference field="25" count="1">
            <x v="7"/>
          </reference>
        </references>
      </pivotArea>
    </format>
    <format dxfId="3457">
      <pivotArea collapsedLevelsAreSubtotals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138"/>
          </reference>
          <reference field="25" count="1">
            <x v="7"/>
          </reference>
        </references>
      </pivotArea>
    </format>
    <format dxfId="3456">
      <pivotArea collapsedLevelsAreSubtotals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138"/>
          </reference>
          <reference field="25" count="1">
            <x v="7"/>
          </reference>
        </references>
      </pivotArea>
    </format>
    <format dxfId="3455">
      <pivotArea collapsedLevelsAreSubtotals="1" fieldPosition="0">
        <references count="1">
          <reference field="8" count="1" sumSubtotal="1">
            <x v="138"/>
          </reference>
        </references>
      </pivotArea>
    </format>
    <format dxfId="345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19"/>
          </reference>
          <reference field="25" count="1">
            <x v="7"/>
          </reference>
        </references>
      </pivotArea>
    </format>
    <format dxfId="345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19"/>
          </reference>
          <reference field="25" count="1">
            <x v="7"/>
          </reference>
        </references>
      </pivotArea>
    </format>
    <format dxfId="345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19"/>
          </reference>
          <reference field="25" count="1">
            <x v="7"/>
          </reference>
        </references>
      </pivotArea>
    </format>
    <format dxfId="3451">
      <pivotArea type="all" dataOnly="0" outline="0" fieldPosition="0"/>
    </format>
    <format dxfId="3450">
      <pivotArea outline="0" collapsedLevelsAreSubtotals="1" fieldPosition="0"/>
    </format>
    <format dxfId="3449">
      <pivotArea field="8" type="button" dataOnly="0" labelOnly="1" outline="0" axis="axisRow" fieldPosition="0"/>
    </format>
    <format dxfId="3448">
      <pivotArea field="0" type="button" dataOnly="0" labelOnly="1" outline="0" axis="axisRow" fieldPosition="1"/>
    </format>
    <format dxfId="3447">
      <pivotArea field="1" type="button" dataOnly="0" labelOnly="1" outline="0" axis="axisRow" fieldPosition="2"/>
    </format>
    <format dxfId="3446">
      <pivotArea field="25" type="button" dataOnly="0" labelOnly="1" outline="0" axis="axisRow" fieldPosition="3"/>
    </format>
    <format dxfId="3445">
      <pivotArea dataOnly="0" labelOnly="1" fieldPosition="0">
        <references count="1">
          <reference field="8" count="0"/>
        </references>
      </pivotArea>
    </format>
    <format dxfId="3444">
      <pivotArea dataOnly="0" labelOnly="1" fieldPosition="0">
        <references count="1">
          <reference field="8" count="0" sumSubtotal="1"/>
        </references>
      </pivotArea>
    </format>
    <format dxfId="3443">
      <pivotArea dataOnly="0" labelOnly="1" grandRow="1" outline="0" fieldPosition="0"/>
    </format>
    <format dxfId="3442">
      <pivotArea dataOnly="0" labelOnly="1" fieldPosition="0">
        <references count="2">
          <reference field="0" count="3">
            <x v="4"/>
            <x v="6"/>
            <x v="8"/>
          </reference>
          <reference field="8" count="1" selected="0">
            <x v="219"/>
          </reference>
        </references>
      </pivotArea>
    </format>
    <format dxfId="3441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220"/>
          </reference>
        </references>
      </pivotArea>
    </format>
    <format dxfId="3440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221"/>
          </reference>
        </references>
      </pivotArea>
    </format>
    <format dxfId="3439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222"/>
          </reference>
        </references>
      </pivotArea>
    </format>
    <format dxfId="3438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224"/>
          </reference>
        </references>
      </pivotArea>
    </format>
    <format dxfId="3437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225"/>
          </reference>
        </references>
      </pivotArea>
    </format>
    <format dxfId="3436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219"/>
          </reference>
        </references>
      </pivotArea>
    </format>
    <format dxfId="3435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219"/>
          </reference>
        </references>
      </pivotArea>
    </format>
    <format dxfId="3434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219"/>
          </reference>
        </references>
      </pivotArea>
    </format>
    <format dxfId="3433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220"/>
          </reference>
        </references>
      </pivotArea>
    </format>
    <format dxfId="3432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220"/>
          </reference>
        </references>
      </pivotArea>
    </format>
    <format dxfId="3431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220"/>
          </reference>
        </references>
      </pivotArea>
    </format>
    <format dxfId="3430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220"/>
          </reference>
        </references>
      </pivotArea>
    </format>
    <format dxfId="3429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221"/>
          </reference>
        </references>
      </pivotArea>
    </format>
    <format dxfId="3428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221"/>
          </reference>
        </references>
      </pivotArea>
    </format>
    <format dxfId="3427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221"/>
          </reference>
        </references>
      </pivotArea>
    </format>
    <format dxfId="3426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221"/>
          </reference>
        </references>
      </pivotArea>
    </format>
    <format dxfId="3425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222"/>
          </reference>
        </references>
      </pivotArea>
    </format>
    <format dxfId="3424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222"/>
          </reference>
        </references>
      </pivotArea>
    </format>
    <format dxfId="3423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222"/>
          </reference>
        </references>
      </pivotArea>
    </format>
    <format dxfId="3422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222"/>
          </reference>
        </references>
      </pivotArea>
    </format>
    <format dxfId="3421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224"/>
          </reference>
        </references>
      </pivotArea>
    </format>
    <format dxfId="3420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224"/>
          </reference>
        </references>
      </pivotArea>
    </format>
    <format dxfId="3419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224"/>
          </reference>
        </references>
      </pivotArea>
    </format>
    <format dxfId="3418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224"/>
          </reference>
        </references>
      </pivotArea>
    </format>
    <format dxfId="3417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225"/>
          </reference>
        </references>
      </pivotArea>
    </format>
    <format dxfId="3416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225"/>
          </reference>
        </references>
      </pivotArea>
    </format>
    <format dxfId="3415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225"/>
          </reference>
        </references>
      </pivotArea>
    </format>
    <format dxfId="3414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225"/>
          </reference>
        </references>
      </pivotArea>
    </format>
    <format dxfId="3413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219"/>
          </reference>
          <reference field="25" count="1">
            <x v="7"/>
          </reference>
        </references>
      </pivotArea>
    </format>
    <format dxfId="3412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219"/>
          </reference>
          <reference field="25" count="1">
            <x v="7"/>
          </reference>
        </references>
      </pivotArea>
    </format>
    <format dxfId="3411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219"/>
          </reference>
          <reference field="25" count="1">
            <x v="7"/>
          </reference>
        </references>
      </pivotArea>
    </format>
    <format dxfId="3410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220"/>
          </reference>
          <reference field="25" count="1">
            <x v="7"/>
          </reference>
        </references>
      </pivotArea>
    </format>
    <format dxfId="3409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220"/>
          </reference>
          <reference field="25" count="1">
            <x v="7"/>
          </reference>
        </references>
      </pivotArea>
    </format>
    <format dxfId="3408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220"/>
          </reference>
          <reference field="25" count="1">
            <x v="7"/>
          </reference>
        </references>
      </pivotArea>
    </format>
    <format dxfId="3407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220"/>
          </reference>
          <reference field="25" count="1">
            <x v="7"/>
          </reference>
        </references>
      </pivotArea>
    </format>
    <format dxfId="3406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221"/>
          </reference>
          <reference field="25" count="1">
            <x v="7"/>
          </reference>
        </references>
      </pivotArea>
    </format>
    <format dxfId="3405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221"/>
          </reference>
          <reference field="25" count="1">
            <x v="7"/>
          </reference>
        </references>
      </pivotArea>
    </format>
    <format dxfId="3404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221"/>
          </reference>
          <reference field="25" count="1">
            <x v="7"/>
          </reference>
        </references>
      </pivotArea>
    </format>
    <format dxfId="3403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221"/>
          </reference>
          <reference field="25" count="1">
            <x v="7"/>
          </reference>
        </references>
      </pivotArea>
    </format>
    <format dxfId="3402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222"/>
          </reference>
          <reference field="25" count="1">
            <x v="7"/>
          </reference>
        </references>
      </pivotArea>
    </format>
    <format dxfId="3401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222"/>
          </reference>
          <reference field="25" count="1">
            <x v="7"/>
          </reference>
        </references>
      </pivotArea>
    </format>
    <format dxfId="3400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222"/>
          </reference>
          <reference field="25" count="1">
            <x v="7"/>
          </reference>
        </references>
      </pivotArea>
    </format>
    <format dxfId="3399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222"/>
          </reference>
          <reference field="25" count="1">
            <x v="7"/>
          </reference>
        </references>
      </pivotArea>
    </format>
    <format dxfId="3398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224"/>
          </reference>
          <reference field="25" count="1">
            <x v="7"/>
          </reference>
        </references>
      </pivotArea>
    </format>
    <format dxfId="3397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224"/>
          </reference>
          <reference field="25" count="1">
            <x v="7"/>
          </reference>
        </references>
      </pivotArea>
    </format>
    <format dxfId="3396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224"/>
          </reference>
          <reference field="25" count="1">
            <x v="7"/>
          </reference>
        </references>
      </pivotArea>
    </format>
    <format dxfId="3395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224"/>
          </reference>
          <reference field="25" count="1">
            <x v="7"/>
          </reference>
        </references>
      </pivotArea>
    </format>
    <format dxfId="3394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225"/>
          </reference>
          <reference field="25" count="1">
            <x v="7"/>
          </reference>
        </references>
      </pivotArea>
    </format>
    <format dxfId="3393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225"/>
          </reference>
          <reference field="25" count="1">
            <x v="7"/>
          </reference>
        </references>
      </pivotArea>
    </format>
    <format dxfId="3392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225"/>
          </reference>
          <reference field="25" count="1">
            <x v="7"/>
          </reference>
        </references>
      </pivotArea>
    </format>
    <format dxfId="3391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225"/>
          </reference>
          <reference field="25" count="1">
            <x v="7"/>
          </reference>
        </references>
      </pivotArea>
    </format>
    <format dxfId="33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8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20"/>
          </reference>
          <reference field="25" count="1">
            <x v="7"/>
          </reference>
        </references>
      </pivotArea>
    </format>
    <format dxfId="338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20"/>
          </reference>
          <reference field="25" count="1">
            <x v="7"/>
          </reference>
        </references>
      </pivotArea>
    </format>
    <format dxfId="338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20"/>
          </reference>
          <reference field="25" count="1">
            <x v="7"/>
          </reference>
        </references>
      </pivotArea>
    </format>
    <format dxfId="338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20"/>
          </reference>
          <reference field="25" count="1">
            <x v="7"/>
          </reference>
        </references>
      </pivotArea>
    </format>
    <format dxfId="338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21"/>
          </reference>
          <reference field="25" count="1">
            <x v="7"/>
          </reference>
        </references>
      </pivotArea>
    </format>
    <format dxfId="338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21"/>
          </reference>
          <reference field="25" count="1">
            <x v="7"/>
          </reference>
        </references>
      </pivotArea>
    </format>
    <format dxfId="338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21"/>
          </reference>
          <reference field="25" count="1">
            <x v="7"/>
          </reference>
        </references>
      </pivotArea>
    </format>
    <format dxfId="338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21"/>
          </reference>
          <reference field="25" count="1">
            <x v="7"/>
          </reference>
        </references>
      </pivotArea>
    </format>
    <format dxfId="338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22"/>
          </reference>
          <reference field="25" count="1">
            <x v="7"/>
          </reference>
        </references>
      </pivotArea>
    </format>
    <format dxfId="338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22"/>
          </reference>
          <reference field="25" count="1">
            <x v="7"/>
          </reference>
        </references>
      </pivotArea>
    </format>
    <format dxfId="337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22"/>
          </reference>
          <reference field="25" count="1">
            <x v="7"/>
          </reference>
        </references>
      </pivotArea>
    </format>
    <format dxfId="337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22"/>
          </reference>
          <reference field="25" count="1">
            <x v="7"/>
          </reference>
        </references>
      </pivotArea>
    </format>
    <format dxfId="337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24"/>
          </reference>
          <reference field="25" count="1">
            <x v="7"/>
          </reference>
        </references>
      </pivotArea>
    </format>
    <format dxfId="337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24"/>
          </reference>
          <reference field="25" count="1">
            <x v="7"/>
          </reference>
        </references>
      </pivotArea>
    </format>
    <format dxfId="337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24"/>
          </reference>
          <reference field="25" count="1">
            <x v="7"/>
          </reference>
        </references>
      </pivotArea>
    </format>
    <format dxfId="337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24"/>
          </reference>
          <reference field="25" count="1">
            <x v="7"/>
          </reference>
        </references>
      </pivotArea>
    </format>
    <format dxfId="337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25"/>
          </reference>
          <reference field="25" count="1">
            <x v="7"/>
          </reference>
        </references>
      </pivotArea>
    </format>
    <format dxfId="337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25"/>
          </reference>
          <reference field="25" count="1">
            <x v="7"/>
          </reference>
        </references>
      </pivotArea>
    </format>
    <format dxfId="337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25"/>
          </reference>
          <reference field="25" count="1">
            <x v="7"/>
          </reference>
        </references>
      </pivotArea>
    </format>
    <format dxfId="337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25"/>
          </reference>
          <reference field="25" count="1">
            <x v="7"/>
          </reference>
        </references>
      </pivotArea>
    </format>
    <format dxfId="336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29"/>
          </reference>
          <reference field="25" count="1">
            <x v="7"/>
          </reference>
        </references>
      </pivotArea>
    </format>
    <format dxfId="336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29"/>
          </reference>
          <reference field="25" count="1">
            <x v="7"/>
          </reference>
        </references>
      </pivotArea>
    </format>
    <format dxfId="336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229"/>
          </reference>
          <reference field="25" count="1">
            <x v="7"/>
          </reference>
        </references>
      </pivotArea>
    </format>
    <format dxfId="336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29"/>
          </reference>
          <reference field="25" count="1">
            <x v="7"/>
          </reference>
        </references>
      </pivotArea>
    </format>
    <format dxfId="336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5"/>
          </reference>
          <reference field="8" count="1" selected="0">
            <x v="229"/>
          </reference>
          <reference field="25" count="1">
            <x v="7"/>
          </reference>
        </references>
      </pivotArea>
    </format>
    <format dxfId="336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35"/>
          </reference>
          <reference field="25" count="1">
            <x v="7"/>
          </reference>
        </references>
      </pivotArea>
    </format>
    <format dxfId="336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35"/>
          </reference>
          <reference field="25" count="1">
            <x v="7"/>
          </reference>
        </references>
      </pivotArea>
    </format>
    <format dxfId="336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35"/>
          </reference>
          <reference field="25" count="1">
            <x v="7"/>
          </reference>
        </references>
      </pivotArea>
    </format>
    <format dxfId="336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36"/>
          </reference>
          <reference field="25" count="1">
            <x v="7"/>
          </reference>
        </references>
      </pivotArea>
    </format>
    <format dxfId="336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36"/>
          </reference>
          <reference field="25" count="1">
            <x v="7"/>
          </reference>
        </references>
      </pivotArea>
    </format>
    <format dxfId="335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36"/>
          </reference>
          <reference field="25" count="1">
            <x v="7"/>
          </reference>
        </references>
      </pivotArea>
    </format>
    <format dxfId="335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36"/>
          </reference>
          <reference field="25" count="1">
            <x v="7"/>
          </reference>
        </references>
      </pivotArea>
    </format>
    <format dxfId="335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37"/>
          </reference>
          <reference field="25" count="1">
            <x v="7"/>
          </reference>
        </references>
      </pivotArea>
    </format>
    <format dxfId="335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37"/>
          </reference>
          <reference field="25" count="1">
            <x v="7"/>
          </reference>
        </references>
      </pivotArea>
    </format>
    <format dxfId="335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37"/>
          </reference>
          <reference field="25" count="1">
            <x v="7"/>
          </reference>
        </references>
      </pivotArea>
    </format>
    <format dxfId="335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37"/>
          </reference>
          <reference field="25" count="1">
            <x v="7"/>
          </reference>
        </references>
      </pivotArea>
    </format>
    <format dxfId="3353">
      <pivotArea dataOnly="0" labelOnly="1" fieldPosition="0">
        <references count="3">
          <reference field="0" count="1" selected="0">
            <x v="9"/>
          </reference>
          <reference field="1" count="1">
            <x v="25"/>
          </reference>
          <reference field="8" count="1" selected="0">
            <x v="229"/>
          </reference>
        </references>
      </pivotArea>
    </format>
    <format dxfId="335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43"/>
          </reference>
          <reference field="25" count="1">
            <x v="7"/>
          </reference>
        </references>
      </pivotArea>
    </format>
    <format dxfId="335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43"/>
          </reference>
          <reference field="25" count="1">
            <x v="7"/>
          </reference>
        </references>
      </pivotArea>
    </format>
    <format dxfId="335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43"/>
          </reference>
          <reference field="25" count="1">
            <x v="7"/>
          </reference>
        </references>
      </pivotArea>
    </format>
    <format dxfId="334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43"/>
          </reference>
          <reference field="25" count="1">
            <x v="7"/>
          </reference>
        </references>
      </pivotArea>
    </format>
    <format dxfId="334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44"/>
          </reference>
          <reference field="25" count="1">
            <x v="7"/>
          </reference>
        </references>
      </pivotArea>
    </format>
    <format dxfId="334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44"/>
          </reference>
          <reference field="25" count="1">
            <x v="7"/>
          </reference>
        </references>
      </pivotArea>
    </format>
    <format dxfId="334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244"/>
          </reference>
          <reference field="25" count="1">
            <x v="7"/>
          </reference>
        </references>
      </pivotArea>
    </format>
    <format dxfId="334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44"/>
          </reference>
          <reference field="25" count="1">
            <x v="7"/>
          </reference>
        </references>
      </pivotArea>
    </format>
    <format dxfId="334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44"/>
          </reference>
          <reference field="25" count="1">
            <x v="7"/>
          </reference>
        </references>
      </pivotArea>
    </format>
    <format dxfId="334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46"/>
          </reference>
          <reference field="25" count="1">
            <x v="7"/>
          </reference>
        </references>
      </pivotArea>
    </format>
    <format dxfId="334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46"/>
          </reference>
          <reference field="25" count="1">
            <x v="7"/>
          </reference>
        </references>
      </pivotArea>
    </format>
    <format dxfId="334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46"/>
          </reference>
          <reference field="25" count="1">
            <x v="7"/>
          </reference>
        </references>
      </pivotArea>
    </format>
    <format dxfId="334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48"/>
          </reference>
          <reference field="25" count="1">
            <x v="7"/>
          </reference>
        </references>
      </pivotArea>
    </format>
    <format dxfId="333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248"/>
          </reference>
          <reference field="25" count="1">
            <x v="7"/>
          </reference>
        </references>
      </pivotArea>
    </format>
    <format dxfId="333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48"/>
          </reference>
          <reference field="25" count="1">
            <x v="7"/>
          </reference>
        </references>
      </pivotArea>
    </format>
    <format dxfId="333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32"/>
          </reference>
          <reference field="8" count="1" selected="0">
            <x v="248"/>
          </reference>
          <reference field="25" count="1">
            <x v="7"/>
          </reference>
        </references>
      </pivotArea>
    </format>
    <format dxfId="333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50"/>
          </reference>
          <reference field="25" count="1">
            <x v="7"/>
          </reference>
        </references>
      </pivotArea>
    </format>
    <format dxfId="333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50"/>
          </reference>
          <reference field="25" count="1">
            <x v="7"/>
          </reference>
        </references>
      </pivotArea>
    </format>
    <format dxfId="333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50"/>
          </reference>
          <reference field="25" count="1">
            <x v="7"/>
          </reference>
        </references>
      </pivotArea>
    </format>
    <format dxfId="333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52"/>
          </reference>
          <reference field="25" count="1">
            <x v="7"/>
          </reference>
        </references>
      </pivotArea>
    </format>
    <format dxfId="333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52"/>
          </reference>
          <reference field="25" count="1">
            <x v="7"/>
          </reference>
        </references>
      </pivotArea>
    </format>
    <format dxfId="333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52"/>
          </reference>
          <reference field="25" count="1">
            <x v="7"/>
          </reference>
        </references>
      </pivotArea>
    </format>
    <format dxfId="333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52"/>
          </reference>
          <reference field="25" count="1">
            <x v="7"/>
          </reference>
        </references>
      </pivotArea>
    </format>
    <format dxfId="332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54"/>
          </reference>
          <reference field="25" count="1">
            <x v="7"/>
          </reference>
        </references>
      </pivotArea>
    </format>
    <format dxfId="332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54"/>
          </reference>
          <reference field="25" count="1">
            <x v="7"/>
          </reference>
        </references>
      </pivotArea>
    </format>
    <format dxfId="332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54"/>
          </reference>
          <reference field="25" count="1">
            <x v="7"/>
          </reference>
        </references>
      </pivotArea>
    </format>
    <format dxfId="332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54"/>
          </reference>
          <reference field="25" count="1">
            <x v="7"/>
          </reference>
        </references>
      </pivotArea>
    </format>
    <format dxfId="332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60"/>
          </reference>
          <reference field="25" count="1">
            <x v="7"/>
          </reference>
        </references>
      </pivotArea>
    </format>
    <format dxfId="332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60"/>
          </reference>
          <reference field="25" count="1">
            <x v="7"/>
          </reference>
        </references>
      </pivotArea>
    </format>
    <format dxfId="332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60"/>
          </reference>
          <reference field="25" count="1">
            <x v="7"/>
          </reference>
        </references>
      </pivotArea>
    </format>
    <format dxfId="332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60"/>
          </reference>
          <reference field="25" count="1">
            <x v="7"/>
          </reference>
        </references>
      </pivotArea>
    </format>
    <format dxfId="332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60"/>
          </reference>
          <reference field="25" count="1">
            <x v="7"/>
          </reference>
        </references>
      </pivotArea>
    </format>
    <format dxfId="332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60"/>
          </reference>
          <reference field="25" count="1">
            <x v="7"/>
          </reference>
        </references>
      </pivotArea>
    </format>
    <format dxfId="331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60"/>
          </reference>
          <reference field="25" count="1">
            <x v="7"/>
          </reference>
        </references>
      </pivotArea>
    </format>
    <format dxfId="331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60"/>
          </reference>
          <reference field="25" count="1">
            <x v="7"/>
          </reference>
        </references>
      </pivotArea>
    </format>
    <format dxfId="331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61"/>
          </reference>
          <reference field="25" count="1">
            <x v="7"/>
          </reference>
        </references>
      </pivotArea>
    </format>
    <format dxfId="331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61"/>
          </reference>
          <reference field="25" count="1">
            <x v="7"/>
          </reference>
        </references>
      </pivotArea>
    </format>
    <format dxfId="331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61"/>
          </reference>
          <reference field="25" count="1">
            <x v="7"/>
          </reference>
        </references>
      </pivotArea>
    </format>
    <format dxfId="331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61"/>
          </reference>
          <reference field="25" count="1">
            <x v="7"/>
          </reference>
        </references>
      </pivotArea>
    </format>
    <format dxfId="3313">
      <pivotArea dataOnly="0" labelOnly="1" offset="IV1" fieldPosition="0">
        <references count="1">
          <reference field="8" count="1">
            <x v="250"/>
          </reference>
        </references>
      </pivotArea>
    </format>
    <format dxfId="3312">
      <pivotArea dataOnly="0" labelOnly="1" offset="IV1" fieldPosition="0">
        <references count="1">
          <reference field="8" count="1">
            <x v="252"/>
          </reference>
        </references>
      </pivotArea>
    </format>
    <format dxfId="3311">
      <pivotArea collapsedLevelsAreSubtotals="1" fieldPosition="0">
        <references count="4">
          <reference field="0" count="1" selected="0">
            <x v="15"/>
          </reference>
          <reference field="1" count="1" selected="0">
            <x v="0"/>
          </reference>
          <reference field="8" count="1" selected="0">
            <x v="267"/>
          </reference>
          <reference field="25" count="1">
            <x v="4"/>
          </reference>
        </references>
      </pivotArea>
    </format>
    <format dxfId="3310">
      <pivotArea collapsedLevelsAreSubtotals="1" fieldPosition="0">
        <references count="4">
          <reference field="0" count="1" selected="0">
            <x v="22"/>
          </reference>
          <reference field="1" count="1" selected="0">
            <x v="12"/>
          </reference>
          <reference field="8" count="1" selected="0">
            <x v="267"/>
          </reference>
          <reference field="25" count="1">
            <x v="4"/>
          </reference>
        </references>
      </pivotArea>
    </format>
    <format dxfId="3309">
      <pivotArea collapsedLevelsAreSubtotals="1" fieldPosition="0">
        <references count="4">
          <reference field="0" count="1" selected="0">
            <x v="45"/>
          </reference>
          <reference field="1" count="1" selected="0">
            <x v="43"/>
          </reference>
          <reference field="8" count="1" selected="0">
            <x v="267"/>
          </reference>
          <reference field="25" count="1">
            <x v="7"/>
          </reference>
        </references>
      </pivotArea>
    </format>
    <format dxfId="3308">
      <pivotArea collapsedLevelsAreSubtotals="1" fieldPosition="0">
        <references count="4">
          <reference field="0" count="1" selected="0">
            <x v="46"/>
          </reference>
          <reference field="1" count="1" selected="0">
            <x v="44"/>
          </reference>
          <reference field="8" count="1" selected="0">
            <x v="267"/>
          </reference>
          <reference field="25" count="1">
            <x v="0"/>
          </reference>
        </references>
      </pivotArea>
    </format>
    <format dxfId="3307">
      <pivotArea dataOnly="0" labelOnly="1" fieldPosition="0">
        <references count="2">
          <reference field="0" count="4">
            <x v="15"/>
            <x v="22"/>
            <x v="45"/>
            <x v="46"/>
          </reference>
          <reference field="8" count="1" selected="0">
            <x v="267"/>
          </reference>
        </references>
      </pivotArea>
    </format>
    <format dxfId="3306">
      <pivotArea dataOnly="0" labelOnly="1" fieldPosition="0">
        <references count="3">
          <reference field="0" count="1" selected="0">
            <x v="15"/>
          </reference>
          <reference field="1" count="1">
            <x v="0"/>
          </reference>
          <reference field="8" count="1" selected="0">
            <x v="267"/>
          </reference>
        </references>
      </pivotArea>
    </format>
    <format dxfId="3305">
      <pivotArea dataOnly="0" labelOnly="1" fieldPosition="0">
        <references count="3">
          <reference field="0" count="1" selected="0">
            <x v="22"/>
          </reference>
          <reference field="1" count="1">
            <x v="12"/>
          </reference>
          <reference field="8" count="1" selected="0">
            <x v="267"/>
          </reference>
        </references>
      </pivotArea>
    </format>
    <format dxfId="3304">
      <pivotArea dataOnly="0" labelOnly="1" fieldPosition="0">
        <references count="3">
          <reference field="0" count="1" selected="0">
            <x v="45"/>
          </reference>
          <reference field="1" count="1">
            <x v="43"/>
          </reference>
          <reference field="8" count="1" selected="0">
            <x v="267"/>
          </reference>
        </references>
      </pivotArea>
    </format>
    <format dxfId="3303">
      <pivotArea dataOnly="0" labelOnly="1" fieldPosition="0">
        <references count="3">
          <reference field="0" count="1" selected="0">
            <x v="46"/>
          </reference>
          <reference field="1" count="1">
            <x v="44"/>
          </reference>
          <reference field="8" count="1" selected="0">
            <x v="267"/>
          </reference>
        </references>
      </pivotArea>
    </format>
    <format dxfId="3302">
      <pivotArea dataOnly="0" labelOnly="1" fieldPosition="0">
        <references count="4">
          <reference field="0" count="1" selected="0">
            <x v="15"/>
          </reference>
          <reference field="1" count="1" selected="0">
            <x v="0"/>
          </reference>
          <reference field="8" count="1" selected="0">
            <x v="267"/>
          </reference>
          <reference field="25" count="1">
            <x v="4"/>
          </reference>
        </references>
      </pivotArea>
    </format>
    <format dxfId="3301">
      <pivotArea dataOnly="0" labelOnly="1" fieldPosition="0">
        <references count="4">
          <reference field="0" count="1" selected="0">
            <x v="22"/>
          </reference>
          <reference field="1" count="1" selected="0">
            <x v="12"/>
          </reference>
          <reference field="8" count="1" selected="0">
            <x v="267"/>
          </reference>
          <reference field="25" count="1">
            <x v="4"/>
          </reference>
        </references>
      </pivotArea>
    </format>
    <format dxfId="3300">
      <pivotArea dataOnly="0" labelOnly="1" fieldPosition="0">
        <references count="4">
          <reference field="0" count="1" selected="0">
            <x v="45"/>
          </reference>
          <reference field="1" count="1" selected="0">
            <x v="43"/>
          </reference>
          <reference field="8" count="1" selected="0">
            <x v="267"/>
          </reference>
          <reference field="25" count="1">
            <x v="7"/>
          </reference>
        </references>
      </pivotArea>
    </format>
    <format dxfId="3299">
      <pivotArea dataOnly="0" labelOnly="1" fieldPosition="0">
        <references count="4">
          <reference field="0" count="1" selected="0">
            <x v="46"/>
          </reference>
          <reference field="1" count="1" selected="0">
            <x v="44"/>
          </reference>
          <reference field="8" count="1" selected="0">
            <x v="267"/>
          </reference>
          <reference field="25" count="1">
            <x v="0"/>
          </reference>
        </references>
      </pivotArea>
    </format>
    <format dxfId="3298">
      <pivotArea collapsedLevelsAreSubtotals="1" fieldPosition="0">
        <references count="4">
          <reference field="0" count="1" selected="0">
            <x v="15"/>
          </reference>
          <reference field="1" count="1" selected="0">
            <x v="0"/>
          </reference>
          <reference field="8" count="1" selected="0">
            <x v="267"/>
          </reference>
          <reference field="25" count="1">
            <x v="4"/>
          </reference>
        </references>
      </pivotArea>
    </format>
    <format dxfId="3297">
      <pivotArea collapsedLevelsAreSubtotals="1" fieldPosition="0">
        <references count="4">
          <reference field="0" count="1" selected="0">
            <x v="22"/>
          </reference>
          <reference field="1" count="1" selected="0">
            <x v="12"/>
          </reference>
          <reference field="8" count="1" selected="0">
            <x v="267"/>
          </reference>
          <reference field="25" count="1">
            <x v="4"/>
          </reference>
        </references>
      </pivotArea>
    </format>
    <format dxfId="3296">
      <pivotArea collapsedLevelsAreSubtotals="1" fieldPosition="0">
        <references count="4">
          <reference field="0" count="1" selected="0">
            <x v="45"/>
          </reference>
          <reference field="1" count="1" selected="0">
            <x v="43"/>
          </reference>
          <reference field="8" count="1" selected="0">
            <x v="267"/>
          </reference>
          <reference field="25" count="1">
            <x v="7"/>
          </reference>
        </references>
      </pivotArea>
    </format>
    <format dxfId="3295">
      <pivotArea collapsedLevelsAreSubtotals="1" fieldPosition="0">
        <references count="4">
          <reference field="0" count="1" selected="0">
            <x v="46"/>
          </reference>
          <reference field="1" count="1" selected="0">
            <x v="44"/>
          </reference>
          <reference field="8" count="1" selected="0">
            <x v="267"/>
          </reference>
          <reference field="25" count="1">
            <x v="0"/>
          </reference>
        </references>
      </pivotArea>
    </format>
    <format dxfId="3294">
      <pivotArea dataOnly="0" labelOnly="1" fieldPosition="0">
        <references count="2">
          <reference field="0" count="4">
            <x v="15"/>
            <x v="22"/>
            <x v="45"/>
            <x v="46"/>
          </reference>
          <reference field="8" count="1" selected="0">
            <x v="267"/>
          </reference>
        </references>
      </pivotArea>
    </format>
    <format dxfId="3293">
      <pivotArea dataOnly="0" labelOnly="1" fieldPosition="0">
        <references count="3">
          <reference field="0" count="1" selected="0">
            <x v="15"/>
          </reference>
          <reference field="1" count="1">
            <x v="0"/>
          </reference>
          <reference field="8" count="1" selected="0">
            <x v="267"/>
          </reference>
        </references>
      </pivotArea>
    </format>
    <format dxfId="3292">
      <pivotArea dataOnly="0" labelOnly="1" fieldPosition="0">
        <references count="3">
          <reference field="0" count="1" selected="0">
            <x v="22"/>
          </reference>
          <reference field="1" count="1">
            <x v="12"/>
          </reference>
          <reference field="8" count="1" selected="0">
            <x v="267"/>
          </reference>
        </references>
      </pivotArea>
    </format>
    <format dxfId="3291">
      <pivotArea dataOnly="0" labelOnly="1" fieldPosition="0">
        <references count="3">
          <reference field="0" count="1" selected="0">
            <x v="45"/>
          </reference>
          <reference field="1" count="1">
            <x v="43"/>
          </reference>
          <reference field="8" count="1" selected="0">
            <x v="267"/>
          </reference>
        </references>
      </pivotArea>
    </format>
    <format dxfId="3290">
      <pivotArea dataOnly="0" labelOnly="1" fieldPosition="0">
        <references count="3">
          <reference field="0" count="1" selected="0">
            <x v="46"/>
          </reference>
          <reference field="1" count="1">
            <x v="44"/>
          </reference>
          <reference field="8" count="1" selected="0">
            <x v="267"/>
          </reference>
        </references>
      </pivotArea>
    </format>
    <format dxfId="3289">
      <pivotArea dataOnly="0" labelOnly="1" fieldPosition="0">
        <references count="4">
          <reference field="0" count="1" selected="0">
            <x v="15"/>
          </reference>
          <reference field="1" count="1" selected="0">
            <x v="0"/>
          </reference>
          <reference field="8" count="1" selected="0">
            <x v="267"/>
          </reference>
          <reference field="25" count="1">
            <x v="4"/>
          </reference>
        </references>
      </pivotArea>
    </format>
    <format dxfId="3288">
      <pivotArea dataOnly="0" labelOnly="1" fieldPosition="0">
        <references count="4">
          <reference field="0" count="1" selected="0">
            <x v="22"/>
          </reference>
          <reference field="1" count="1" selected="0">
            <x v="12"/>
          </reference>
          <reference field="8" count="1" selected="0">
            <x v="267"/>
          </reference>
          <reference field="25" count="1">
            <x v="4"/>
          </reference>
        </references>
      </pivotArea>
    </format>
    <format dxfId="3287">
      <pivotArea dataOnly="0" labelOnly="1" fieldPosition="0">
        <references count="4">
          <reference field="0" count="1" selected="0">
            <x v="45"/>
          </reference>
          <reference field="1" count="1" selected="0">
            <x v="43"/>
          </reference>
          <reference field="8" count="1" selected="0">
            <x v="267"/>
          </reference>
          <reference field="25" count="1">
            <x v="7"/>
          </reference>
        </references>
      </pivotArea>
    </format>
    <format dxfId="3286">
      <pivotArea dataOnly="0" labelOnly="1" fieldPosition="0">
        <references count="4">
          <reference field="0" count="1" selected="0">
            <x v="46"/>
          </reference>
          <reference field="1" count="1" selected="0">
            <x v="44"/>
          </reference>
          <reference field="8" count="1" selected="0">
            <x v="267"/>
          </reference>
          <reference field="25" count="1">
            <x v="0"/>
          </reference>
        </references>
      </pivotArea>
    </format>
    <format dxfId="3285">
      <pivotArea dataOnly="0" labelOnly="1" offset="IV1" fieldPosition="0">
        <references count="1">
          <reference field="8" count="1">
            <x v="267"/>
          </reference>
        </references>
      </pivotArea>
    </format>
    <format dxfId="3284">
      <pivotArea dataOnly="0" labelOnly="1" fieldPosition="0">
        <references count="1">
          <reference field="8" count="1">
            <x v="267"/>
          </reference>
        </references>
      </pivotArea>
    </format>
    <format dxfId="328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64"/>
          </reference>
          <reference field="25" count="1">
            <x v="7"/>
          </reference>
        </references>
      </pivotArea>
    </format>
    <format dxfId="328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64"/>
          </reference>
          <reference field="25" count="1">
            <x v="7"/>
          </reference>
        </references>
      </pivotArea>
    </format>
    <format dxfId="328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64"/>
          </reference>
          <reference field="25" count="1">
            <x v="7"/>
          </reference>
        </references>
      </pivotArea>
    </format>
    <format dxfId="328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64"/>
          </reference>
          <reference field="25" count="1">
            <x v="7"/>
          </reference>
        </references>
      </pivotArea>
    </format>
    <format dxfId="327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66"/>
          </reference>
          <reference field="25" count="1">
            <x v="7"/>
          </reference>
        </references>
      </pivotArea>
    </format>
    <format dxfId="327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66"/>
          </reference>
          <reference field="25" count="1">
            <x v="7"/>
          </reference>
        </references>
      </pivotArea>
    </format>
    <format dxfId="327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266"/>
          </reference>
          <reference field="25" count="1">
            <x v="7"/>
          </reference>
        </references>
      </pivotArea>
    </format>
    <format dxfId="327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43"/>
          </reference>
          <reference field="8" count="1" selected="0">
            <x v="266"/>
          </reference>
          <reference field="25" count="1">
            <x v="7"/>
          </reference>
        </references>
      </pivotArea>
    </format>
    <format dxfId="3275">
      <pivotArea dataOnly="0" labelOnly="1" offset="IV1" fieldPosition="0">
        <references count="1">
          <reference field="8" count="1">
            <x v="229"/>
          </reference>
        </references>
      </pivotArea>
    </format>
    <format dxfId="327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68"/>
          </reference>
          <reference field="25" count="1">
            <x v="7"/>
          </reference>
        </references>
      </pivotArea>
    </format>
    <format dxfId="327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68"/>
          </reference>
          <reference field="25" count="1">
            <x v="7"/>
          </reference>
        </references>
      </pivotArea>
    </format>
    <format dxfId="327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68"/>
          </reference>
          <reference field="25" count="1">
            <x v="7"/>
          </reference>
        </references>
      </pivotArea>
    </format>
    <format dxfId="3271">
      <pivotArea collapsedLevelsAreSubtotals="1" fieldPosition="0">
        <references count="4">
          <reference field="0" count="1" selected="0">
            <x v="15"/>
          </reference>
          <reference field="1" count="1" selected="0">
            <x v="0"/>
          </reference>
          <reference field="8" count="1" selected="0">
            <x v="267"/>
          </reference>
          <reference field="25" count="1">
            <x v="4"/>
          </reference>
        </references>
      </pivotArea>
    </format>
    <format dxfId="3270">
      <pivotArea collapsedLevelsAreSubtotals="1" fieldPosition="0">
        <references count="4">
          <reference field="0" count="1" selected="0">
            <x v="22"/>
          </reference>
          <reference field="1" count="1" selected="0">
            <x v="12"/>
          </reference>
          <reference field="8" count="1" selected="0">
            <x v="267"/>
          </reference>
          <reference field="25" count="1">
            <x v="4"/>
          </reference>
        </references>
      </pivotArea>
    </format>
    <format dxfId="3269">
      <pivotArea collapsedLevelsAreSubtotals="1" fieldPosition="0">
        <references count="4">
          <reference field="0" count="1" selected="0">
            <x v="45"/>
          </reference>
          <reference field="1" count="1" selected="0">
            <x v="43"/>
          </reference>
          <reference field="8" count="1" selected="0">
            <x v="267"/>
          </reference>
          <reference field="25" count="1">
            <x v="7"/>
          </reference>
        </references>
      </pivotArea>
    </format>
    <format dxfId="3268">
      <pivotArea dataOnly="0" labelOnly="1" fieldPosition="0">
        <references count="1">
          <reference field="8" count="1">
            <x v="267"/>
          </reference>
        </references>
      </pivotArea>
    </format>
    <format dxfId="3267">
      <pivotArea dataOnly="0" labelOnly="1" fieldPosition="0">
        <references count="2">
          <reference field="0" count="4">
            <x v="15"/>
            <x v="22"/>
            <x v="45"/>
            <x v="46"/>
          </reference>
          <reference field="8" count="1" selected="0">
            <x v="267"/>
          </reference>
        </references>
      </pivotArea>
    </format>
    <format dxfId="3266">
      <pivotArea dataOnly="0" labelOnly="1" fieldPosition="0">
        <references count="3">
          <reference field="0" count="1" selected="0">
            <x v="15"/>
          </reference>
          <reference field="1" count="1">
            <x v="0"/>
          </reference>
          <reference field="8" count="1" selected="0">
            <x v="267"/>
          </reference>
        </references>
      </pivotArea>
    </format>
    <format dxfId="3265">
      <pivotArea dataOnly="0" labelOnly="1" fieldPosition="0">
        <references count="3">
          <reference field="0" count="1" selected="0">
            <x v="22"/>
          </reference>
          <reference field="1" count="1">
            <x v="12"/>
          </reference>
          <reference field="8" count="1" selected="0">
            <x v="267"/>
          </reference>
        </references>
      </pivotArea>
    </format>
    <format dxfId="3264">
      <pivotArea dataOnly="0" labelOnly="1" fieldPosition="0">
        <references count="3">
          <reference field="0" count="1" selected="0">
            <x v="45"/>
          </reference>
          <reference field="1" count="1">
            <x v="43"/>
          </reference>
          <reference field="8" count="1" selected="0">
            <x v="267"/>
          </reference>
        </references>
      </pivotArea>
    </format>
    <format dxfId="3263">
      <pivotArea dataOnly="0" labelOnly="1" fieldPosition="0">
        <references count="4">
          <reference field="0" count="1" selected="0">
            <x v="15"/>
          </reference>
          <reference field="1" count="1" selected="0">
            <x v="0"/>
          </reference>
          <reference field="8" count="1" selected="0">
            <x v="267"/>
          </reference>
          <reference field="25" count="1">
            <x v="4"/>
          </reference>
        </references>
      </pivotArea>
    </format>
    <format dxfId="3262">
      <pivotArea dataOnly="0" labelOnly="1" fieldPosition="0">
        <references count="4">
          <reference field="0" count="1" selected="0">
            <x v="22"/>
          </reference>
          <reference field="1" count="1" selected="0">
            <x v="12"/>
          </reference>
          <reference field="8" count="1" selected="0">
            <x v="267"/>
          </reference>
          <reference field="25" count="1">
            <x v="4"/>
          </reference>
        </references>
      </pivotArea>
    </format>
    <format dxfId="3261">
      <pivotArea dataOnly="0" labelOnly="1" fieldPosition="0">
        <references count="4">
          <reference field="0" count="1" selected="0">
            <x v="45"/>
          </reference>
          <reference field="1" count="1" selected="0">
            <x v="43"/>
          </reference>
          <reference field="8" count="1" selected="0">
            <x v="267"/>
          </reference>
          <reference field="25" count="1">
            <x v="7"/>
          </reference>
        </references>
      </pivotArea>
    </format>
    <format dxfId="3260">
      <pivotArea collapsedLevelsAreSubtotals="1" fieldPosition="0">
        <references count="4">
          <reference field="0" count="1" selected="0">
            <x v="46"/>
          </reference>
          <reference field="1" count="1" selected="0">
            <x v="44"/>
          </reference>
          <reference field="8" count="1" selected="0">
            <x v="267"/>
          </reference>
          <reference field="25" count="1">
            <x v="0"/>
          </reference>
        </references>
      </pivotArea>
    </format>
    <format dxfId="3259">
      <pivotArea collapsedLevelsAreSubtotals="1" fieldPosition="0">
        <references count="1">
          <reference field="8" count="1" sumSubtotal="1">
            <x v="267"/>
          </reference>
        </references>
      </pivotArea>
    </format>
    <format dxfId="3258">
      <pivotArea dataOnly="0" labelOnly="1" offset="IV256" fieldPosition="0">
        <references count="1">
          <reference field="8" count="1">
            <x v="267"/>
          </reference>
        </references>
      </pivotArea>
    </format>
    <format dxfId="3257">
      <pivotArea dataOnly="0" labelOnly="1" fieldPosition="0">
        <references count="1">
          <reference field="8" count="1" sumSubtotal="1">
            <x v="267"/>
          </reference>
        </references>
      </pivotArea>
    </format>
    <format dxfId="3256">
      <pivotArea dataOnly="0" labelOnly="1" fieldPosition="0">
        <references count="2">
          <reference field="0" count="1">
            <x v="46"/>
          </reference>
          <reference field="8" count="1" selected="0">
            <x v="267"/>
          </reference>
        </references>
      </pivotArea>
    </format>
    <format dxfId="3255">
      <pivotArea dataOnly="0" labelOnly="1" fieldPosition="0">
        <references count="3">
          <reference field="0" count="1" selected="0">
            <x v="46"/>
          </reference>
          <reference field="1" count="1">
            <x v="44"/>
          </reference>
          <reference field="8" count="1" selected="0">
            <x v="267"/>
          </reference>
        </references>
      </pivotArea>
    </format>
    <format dxfId="3254">
      <pivotArea dataOnly="0" labelOnly="1" fieldPosition="0">
        <references count="4">
          <reference field="0" count="1" selected="0">
            <x v="46"/>
          </reference>
          <reference field="1" count="1" selected="0">
            <x v="44"/>
          </reference>
          <reference field="8" count="1" selected="0">
            <x v="267"/>
          </reference>
          <reference field="25" count="1">
            <x v="0"/>
          </reference>
        </references>
      </pivotArea>
    </format>
    <format dxfId="3253">
      <pivotArea collapsedLevelsAreSubtotals="1" fieldPosition="0">
        <references count="4">
          <reference field="0" count="1" selected="0">
            <x v="15"/>
          </reference>
          <reference field="1" count="1" selected="0">
            <x v="0"/>
          </reference>
          <reference field="8" count="1" selected="0">
            <x v="267"/>
          </reference>
          <reference field="25" count="1">
            <x v="4"/>
          </reference>
        </references>
      </pivotArea>
    </format>
    <format dxfId="3252">
      <pivotArea collapsedLevelsAreSubtotals="1" fieldPosition="0">
        <references count="4">
          <reference field="0" count="1" selected="0">
            <x v="22"/>
          </reference>
          <reference field="1" count="1" selected="0">
            <x v="12"/>
          </reference>
          <reference field="8" count="1" selected="0">
            <x v="267"/>
          </reference>
          <reference field="25" count="1">
            <x v="4"/>
          </reference>
        </references>
      </pivotArea>
    </format>
    <format dxfId="3251">
      <pivotArea collapsedLevelsAreSubtotals="1" fieldPosition="0">
        <references count="4">
          <reference field="0" count="1" selected="0">
            <x v="45"/>
          </reference>
          <reference field="1" count="1" selected="0">
            <x v="43"/>
          </reference>
          <reference field="8" count="1" selected="0">
            <x v="267"/>
          </reference>
          <reference field="25" count="1">
            <x v="7"/>
          </reference>
        </references>
      </pivotArea>
    </format>
    <format dxfId="3250">
      <pivotArea collapsedLevelsAreSubtotals="1" fieldPosition="0">
        <references count="4">
          <reference field="0" count="1" selected="0">
            <x v="46"/>
          </reference>
          <reference field="1" count="1" selected="0">
            <x v="44"/>
          </reference>
          <reference field="8" count="1" selected="0">
            <x v="267"/>
          </reference>
          <reference field="25" count="1">
            <x v="0"/>
          </reference>
        </references>
      </pivotArea>
    </format>
    <format dxfId="3249">
      <pivotArea collapsedLevelsAreSubtotals="1" fieldPosition="0">
        <references count="1">
          <reference field="8" count="1" sumSubtotal="1">
            <x v="267"/>
          </reference>
        </references>
      </pivotArea>
    </format>
    <format dxfId="3248">
      <pivotArea dataOnly="0" labelOnly="1" fieldPosition="0">
        <references count="1">
          <reference field="8" count="1">
            <x v="267"/>
          </reference>
        </references>
      </pivotArea>
    </format>
    <format dxfId="3247">
      <pivotArea dataOnly="0" labelOnly="1" fieldPosition="0">
        <references count="1">
          <reference field="8" count="1" sumSubtotal="1">
            <x v="267"/>
          </reference>
        </references>
      </pivotArea>
    </format>
    <format dxfId="3246">
      <pivotArea dataOnly="0" labelOnly="1" fieldPosition="0">
        <references count="2">
          <reference field="0" count="4">
            <x v="15"/>
            <x v="22"/>
            <x v="45"/>
            <x v="46"/>
          </reference>
          <reference field="8" count="1" selected="0">
            <x v="267"/>
          </reference>
        </references>
      </pivotArea>
    </format>
    <format dxfId="3245">
      <pivotArea dataOnly="0" labelOnly="1" fieldPosition="0">
        <references count="3">
          <reference field="0" count="1" selected="0">
            <x v="15"/>
          </reference>
          <reference field="1" count="1">
            <x v="0"/>
          </reference>
          <reference field="8" count="1" selected="0">
            <x v="267"/>
          </reference>
        </references>
      </pivotArea>
    </format>
    <format dxfId="3244">
      <pivotArea dataOnly="0" labelOnly="1" fieldPosition="0">
        <references count="3">
          <reference field="0" count="1" selected="0">
            <x v="22"/>
          </reference>
          <reference field="1" count="1">
            <x v="12"/>
          </reference>
          <reference field="8" count="1" selected="0">
            <x v="267"/>
          </reference>
        </references>
      </pivotArea>
    </format>
    <format dxfId="3243">
      <pivotArea dataOnly="0" labelOnly="1" fieldPosition="0">
        <references count="3">
          <reference field="0" count="1" selected="0">
            <x v="45"/>
          </reference>
          <reference field="1" count="1">
            <x v="43"/>
          </reference>
          <reference field="8" count="1" selected="0">
            <x v="267"/>
          </reference>
        </references>
      </pivotArea>
    </format>
    <format dxfId="3242">
      <pivotArea dataOnly="0" labelOnly="1" fieldPosition="0">
        <references count="3">
          <reference field="0" count="1" selected="0">
            <x v="46"/>
          </reference>
          <reference field="1" count="1">
            <x v="44"/>
          </reference>
          <reference field="8" count="1" selected="0">
            <x v="267"/>
          </reference>
        </references>
      </pivotArea>
    </format>
    <format dxfId="3241">
      <pivotArea dataOnly="0" labelOnly="1" fieldPosition="0">
        <references count="4">
          <reference field="0" count="1" selected="0">
            <x v="15"/>
          </reference>
          <reference field="1" count="1" selected="0">
            <x v="0"/>
          </reference>
          <reference field="8" count="1" selected="0">
            <x v="267"/>
          </reference>
          <reference field="25" count="1">
            <x v="4"/>
          </reference>
        </references>
      </pivotArea>
    </format>
    <format dxfId="3240">
      <pivotArea dataOnly="0" labelOnly="1" fieldPosition="0">
        <references count="4">
          <reference field="0" count="1" selected="0">
            <x v="22"/>
          </reference>
          <reference field="1" count="1" selected="0">
            <x v="12"/>
          </reference>
          <reference field="8" count="1" selected="0">
            <x v="267"/>
          </reference>
          <reference field="25" count="1">
            <x v="4"/>
          </reference>
        </references>
      </pivotArea>
    </format>
    <format dxfId="3239">
      <pivotArea dataOnly="0" labelOnly="1" fieldPosition="0">
        <references count="4">
          <reference field="0" count="1" selected="0">
            <x v="45"/>
          </reference>
          <reference field="1" count="1" selected="0">
            <x v="43"/>
          </reference>
          <reference field="8" count="1" selected="0">
            <x v="267"/>
          </reference>
          <reference field="25" count="1">
            <x v="7"/>
          </reference>
        </references>
      </pivotArea>
    </format>
    <format dxfId="3238">
      <pivotArea dataOnly="0" labelOnly="1" fieldPosition="0">
        <references count="4">
          <reference field="0" count="1" selected="0">
            <x v="46"/>
          </reference>
          <reference field="1" count="1" selected="0">
            <x v="44"/>
          </reference>
          <reference field="8" count="1" selected="0">
            <x v="267"/>
          </reference>
          <reference field="25" count="1">
            <x v="0"/>
          </reference>
        </references>
      </pivotArea>
    </format>
    <format dxfId="3237">
      <pivotArea dataOnly="0" labelOnly="1" fieldPosition="0">
        <references count="2">
          <reference field="0" count="1">
            <x v="45"/>
          </reference>
          <reference field="8" count="1" selected="0">
            <x v="266"/>
          </reference>
        </references>
      </pivotArea>
    </format>
    <format dxfId="3236">
      <pivotArea dataOnly="0" labelOnly="1" fieldPosition="0">
        <references count="3">
          <reference field="0" count="1" selected="0">
            <x v="45"/>
          </reference>
          <reference field="1" count="1">
            <x v="43"/>
          </reference>
          <reference field="8" count="1" selected="0">
            <x v="266"/>
          </reference>
        </references>
      </pivotArea>
    </format>
    <format dxfId="3235">
      <pivotArea collapsedLevelsAreSubtotals="1" fieldPosition="0">
        <references count="5">
          <reference field="4294967294" count="1" selected="0">
            <x v="1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68"/>
          </reference>
          <reference field="25" count="1">
            <x v="7"/>
          </reference>
        </references>
      </pivotArea>
    </format>
    <format dxfId="3234">
      <pivotArea collapsedLevelsAreSubtotals="1" fieldPosition="0">
        <references count="5">
          <reference field="4294967294" count="1" selected="0">
            <x v="1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68"/>
          </reference>
          <reference field="25" count="1">
            <x v="7"/>
          </reference>
        </references>
      </pivotArea>
    </format>
    <format dxfId="3233">
      <pivotArea collapsedLevelsAreSubtotals="1" fieldPosition="0">
        <references count="5">
          <reference field="4294967294" count="1" selected="0">
            <x v="1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68"/>
          </reference>
          <reference field="25" count="1">
            <x v="7"/>
          </reference>
        </references>
      </pivotArea>
    </format>
    <format dxfId="3232">
      <pivotArea collapsedLevelsAreSubtotals="1" fieldPosition="0">
        <references count="5">
          <reference field="4294967294" count="1" selected="0">
            <x v="1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68"/>
          </reference>
          <reference field="25" count="1">
            <x v="7"/>
          </reference>
        </references>
      </pivotArea>
    </format>
    <format dxfId="3231">
      <pivotArea dataOnly="0" labelOnly="1" fieldPosition="0">
        <references count="3">
          <reference field="0" count="1" selected="0">
            <x v="33"/>
          </reference>
          <reference field="1" count="1">
            <x v="32"/>
          </reference>
          <reference field="8" count="1" selected="0">
            <x v="248"/>
          </reference>
        </references>
      </pivotArea>
    </format>
    <format dxfId="3230">
      <pivotArea collapsedLevelsAreSubtotals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268"/>
          </reference>
          <reference field="25" count="1">
            <x v="7"/>
          </reference>
        </references>
      </pivotArea>
    </format>
    <format dxfId="3229">
      <pivotArea dataOnly="0" labelOnly="1" offset="IV256" fieldPosition="0">
        <references count="1">
          <reference field="8" count="1">
            <x v="268"/>
          </reference>
        </references>
      </pivotArea>
    </format>
    <format dxfId="3228">
      <pivotArea dataOnly="0" labelOnly="1" fieldPosition="0">
        <references count="2">
          <reference field="0" count="1">
            <x v="8"/>
          </reference>
          <reference field="8" count="1" selected="0">
            <x v="268"/>
          </reference>
        </references>
      </pivotArea>
    </format>
    <format dxfId="3227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268"/>
          </reference>
        </references>
      </pivotArea>
    </format>
    <format dxfId="3226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268"/>
          </reference>
          <reference field="25" count="1">
            <x v="7"/>
          </reference>
        </references>
      </pivotArea>
    </format>
    <format dxfId="322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68"/>
          </reference>
          <reference field="25" count="1">
            <x v="7"/>
          </reference>
        </references>
      </pivotArea>
    </format>
    <format dxfId="3224">
      <pivotArea dataOnly="0" labelOnly="1" fieldPosition="0">
        <references count="2">
          <reference field="0" count="5">
            <x v="3"/>
            <x v="4"/>
            <x v="5"/>
            <x v="6"/>
            <x v="9"/>
          </reference>
          <reference field="8" count="1" selected="0">
            <x v="229"/>
          </reference>
        </references>
      </pivotArea>
    </format>
    <format dxfId="3223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229"/>
          </reference>
        </references>
      </pivotArea>
    </format>
    <format dxfId="3222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229"/>
          </reference>
        </references>
      </pivotArea>
    </format>
    <format dxfId="3221">
      <pivotArea dataOnly="0" labelOnly="1" fieldPosition="0">
        <references count="3">
          <reference field="0" count="1" selected="0">
            <x v="5"/>
          </reference>
          <reference field="1" count="1">
            <x v="23"/>
          </reference>
          <reference field="8" count="1" selected="0">
            <x v="229"/>
          </reference>
        </references>
      </pivotArea>
    </format>
    <format dxfId="3220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229"/>
          </reference>
        </references>
      </pivotArea>
    </format>
    <format dxfId="3219">
      <pivotArea dataOnly="0" labelOnly="1" fieldPosition="0">
        <references count="3">
          <reference field="0" count="1" selected="0">
            <x v="9"/>
          </reference>
          <reference field="1" count="1">
            <x v="25"/>
          </reference>
          <reference field="8" count="1" selected="0">
            <x v="229"/>
          </reference>
        </references>
      </pivotArea>
    </format>
    <format dxfId="3218">
      <pivotArea dataOnly="0" labelOnly="1" fieldPosition="0">
        <references count="2">
          <reference field="0" count="4">
            <x v="4"/>
            <x v="5"/>
            <x v="6"/>
            <x v="33"/>
          </reference>
          <reference field="8" count="1" selected="0">
            <x v="248"/>
          </reference>
        </references>
      </pivotArea>
    </format>
    <format dxfId="3217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248"/>
          </reference>
        </references>
      </pivotArea>
    </format>
    <format dxfId="3216">
      <pivotArea dataOnly="0" labelOnly="1" fieldPosition="0">
        <references count="3">
          <reference field="0" count="1" selected="0">
            <x v="5"/>
          </reference>
          <reference field="1" count="1">
            <x v="23"/>
          </reference>
          <reference field="8" count="1" selected="0">
            <x v="248"/>
          </reference>
        </references>
      </pivotArea>
    </format>
    <format dxfId="3215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248"/>
          </reference>
        </references>
      </pivotArea>
    </format>
    <format dxfId="3214">
      <pivotArea dataOnly="0" labelOnly="1" fieldPosition="0">
        <references count="3">
          <reference field="0" count="1" selected="0">
            <x v="33"/>
          </reference>
          <reference field="1" count="1">
            <x v="32"/>
          </reference>
          <reference field="8" count="1" selected="0">
            <x v="248"/>
          </reference>
        </references>
      </pivotArea>
    </format>
    <format dxfId="3213">
      <pivotArea collapsedLevelsAreSubtotals="1" fieldPosition="0">
        <references count="4">
          <reference field="0" count="1" selected="0">
            <x v="5"/>
          </reference>
          <reference field="1" count="1" selected="0">
            <x v="23"/>
          </reference>
          <reference field="8" count="1" selected="0">
            <x v="244"/>
          </reference>
          <reference field="25" count="1">
            <x v="7"/>
          </reference>
        </references>
      </pivotArea>
    </format>
    <format dxfId="3212">
      <pivotArea dataOnly="0" labelOnly="1" offset="IV3" fieldPosition="0">
        <references count="1">
          <reference field="8" count="1">
            <x v="244"/>
          </reference>
        </references>
      </pivotArea>
    </format>
    <format dxfId="3211">
      <pivotArea dataOnly="0" labelOnly="1" fieldPosition="0">
        <references count="2">
          <reference field="0" count="1">
            <x v="5"/>
          </reference>
          <reference field="8" count="1" selected="0">
            <x v="244"/>
          </reference>
        </references>
      </pivotArea>
    </format>
    <format dxfId="3210">
      <pivotArea dataOnly="0" labelOnly="1" fieldPosition="0">
        <references count="3">
          <reference field="0" count="1" selected="0">
            <x v="5"/>
          </reference>
          <reference field="1" count="1">
            <x v="23"/>
          </reference>
          <reference field="8" count="1" selected="0">
            <x v="244"/>
          </reference>
        </references>
      </pivotArea>
    </format>
    <format dxfId="3209">
      <pivotArea dataOnly="0" labelOnly="1" fieldPosition="0">
        <references count="4">
          <reference field="0" count="1" selected="0">
            <x v="5"/>
          </reference>
          <reference field="1" count="1" selected="0">
            <x v="23"/>
          </reference>
          <reference field="8" count="1" selected="0">
            <x v="244"/>
          </reference>
          <reference field="25" count="1">
            <x v="7"/>
          </reference>
        </references>
      </pivotArea>
    </format>
    <format dxfId="3208">
      <pivotArea collapsedLevelsAreSubtotals="1" fieldPosition="0">
        <references count="4">
          <reference field="0" count="1" selected="0">
            <x v="5"/>
          </reference>
          <reference field="1" count="1" selected="0">
            <x v="23"/>
          </reference>
          <reference field="8" count="1" selected="0">
            <x v="246"/>
          </reference>
          <reference field="25" count="1">
            <x v="7"/>
          </reference>
        </references>
      </pivotArea>
    </format>
    <format dxfId="3207">
      <pivotArea dataOnly="0" labelOnly="1" offset="IV2" fieldPosition="0">
        <references count="1">
          <reference field="8" count="1">
            <x v="246"/>
          </reference>
        </references>
      </pivotArea>
    </format>
    <format dxfId="3206">
      <pivotArea dataOnly="0" labelOnly="1" fieldPosition="0">
        <references count="2">
          <reference field="0" count="1">
            <x v="5"/>
          </reference>
          <reference field="8" count="1" selected="0">
            <x v="246"/>
          </reference>
        </references>
      </pivotArea>
    </format>
    <format dxfId="3205">
      <pivotArea dataOnly="0" labelOnly="1" fieldPosition="0">
        <references count="3">
          <reference field="0" count="1" selected="0">
            <x v="5"/>
          </reference>
          <reference field="1" count="1">
            <x v="23"/>
          </reference>
          <reference field="8" count="1" selected="0">
            <x v="246"/>
          </reference>
        </references>
      </pivotArea>
    </format>
    <format dxfId="3204">
      <pivotArea dataOnly="0" labelOnly="1" fieldPosition="0">
        <references count="4">
          <reference field="0" count="1" selected="0">
            <x v="5"/>
          </reference>
          <reference field="1" count="1" selected="0">
            <x v="23"/>
          </reference>
          <reference field="8" count="1" selected="0">
            <x v="246"/>
          </reference>
          <reference field="25" count="1">
            <x v="7"/>
          </reference>
        </references>
      </pivotArea>
    </format>
    <format dxfId="3203">
      <pivotArea collapsedLevelsAreSubtotals="1" fieldPosition="0">
        <references count="4">
          <reference field="0" count="1" selected="0">
            <x v="5"/>
          </reference>
          <reference field="1" count="1" selected="0">
            <x v="23"/>
          </reference>
          <reference field="8" count="1" selected="0">
            <x v="250"/>
          </reference>
          <reference field="25" count="1">
            <x v="7"/>
          </reference>
        </references>
      </pivotArea>
    </format>
    <format dxfId="3202">
      <pivotArea dataOnly="0" labelOnly="1" offset="IV2" fieldPosition="0">
        <references count="1">
          <reference field="8" count="1">
            <x v="250"/>
          </reference>
        </references>
      </pivotArea>
    </format>
    <format dxfId="3201">
      <pivotArea dataOnly="0" labelOnly="1" fieldPosition="0">
        <references count="2">
          <reference field="0" count="1">
            <x v="5"/>
          </reference>
          <reference field="8" count="1" selected="0">
            <x v="250"/>
          </reference>
        </references>
      </pivotArea>
    </format>
    <format dxfId="3200">
      <pivotArea dataOnly="0" labelOnly="1" fieldPosition="0">
        <references count="3">
          <reference field="0" count="1" selected="0">
            <x v="5"/>
          </reference>
          <reference field="1" count="1">
            <x v="23"/>
          </reference>
          <reference field="8" count="1" selected="0">
            <x v="250"/>
          </reference>
        </references>
      </pivotArea>
    </format>
    <format dxfId="3199">
      <pivotArea dataOnly="0" labelOnly="1" fieldPosition="0">
        <references count="4">
          <reference field="0" count="1" selected="0">
            <x v="5"/>
          </reference>
          <reference field="1" count="1" selected="0">
            <x v="23"/>
          </reference>
          <reference field="8" count="1" selected="0">
            <x v="250"/>
          </reference>
          <reference field="25" count="1">
            <x v="7"/>
          </reference>
        </references>
      </pivotArea>
    </format>
    <format dxfId="3198">
      <pivotArea collapsedLevelsAreSubtotals="1" fieldPosition="0">
        <references count="4">
          <reference field="0" count="1" selected="0">
            <x v="5"/>
          </reference>
          <reference field="1" count="1" selected="0">
            <x v="23"/>
          </reference>
          <reference field="8" count="1" selected="0">
            <x v="252"/>
          </reference>
          <reference field="25" count="1">
            <x v="7"/>
          </reference>
        </references>
      </pivotArea>
    </format>
    <format dxfId="3197">
      <pivotArea dataOnly="0" labelOnly="1" offset="IV3" fieldPosition="0">
        <references count="1">
          <reference field="8" count="1">
            <x v="252"/>
          </reference>
        </references>
      </pivotArea>
    </format>
    <format dxfId="3196">
      <pivotArea dataOnly="0" labelOnly="1" fieldPosition="0">
        <references count="2">
          <reference field="0" count="1">
            <x v="5"/>
          </reference>
          <reference field="8" count="1" selected="0">
            <x v="252"/>
          </reference>
        </references>
      </pivotArea>
    </format>
    <format dxfId="3195">
      <pivotArea dataOnly="0" labelOnly="1" fieldPosition="0">
        <references count="3">
          <reference field="0" count="1" selected="0">
            <x v="5"/>
          </reference>
          <reference field="1" count="1">
            <x v="23"/>
          </reference>
          <reference field="8" count="1" selected="0">
            <x v="252"/>
          </reference>
        </references>
      </pivotArea>
    </format>
    <format dxfId="3194">
      <pivotArea dataOnly="0" labelOnly="1" fieldPosition="0">
        <references count="4">
          <reference field="0" count="1" selected="0">
            <x v="5"/>
          </reference>
          <reference field="1" count="1" selected="0">
            <x v="23"/>
          </reference>
          <reference field="8" count="1" selected="0">
            <x v="252"/>
          </reference>
          <reference field="25" count="1">
            <x v="7"/>
          </reference>
        </references>
      </pivotArea>
    </format>
    <format dxfId="319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83"/>
          </reference>
          <reference field="25" count="1">
            <x v="7"/>
          </reference>
        </references>
      </pivotArea>
    </format>
    <format dxfId="319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83"/>
          </reference>
          <reference field="25" count="1">
            <x v="7"/>
          </reference>
        </references>
      </pivotArea>
    </format>
    <format dxfId="319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83"/>
          </reference>
          <reference field="25" count="1">
            <x v="7"/>
          </reference>
        </references>
      </pivotArea>
    </format>
    <format dxfId="319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83"/>
          </reference>
          <reference field="25" count="1">
            <x v="7"/>
          </reference>
        </references>
      </pivotArea>
    </format>
    <format dxfId="318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89"/>
          </reference>
          <reference field="25" count="1">
            <x v="7"/>
          </reference>
        </references>
      </pivotArea>
    </format>
    <format dxfId="318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89"/>
          </reference>
          <reference field="25" count="1">
            <x v="7"/>
          </reference>
        </references>
      </pivotArea>
    </format>
    <format dxfId="318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89"/>
          </reference>
          <reference field="25" count="1">
            <x v="7"/>
          </reference>
        </references>
      </pivotArea>
    </format>
    <format dxfId="318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89"/>
          </reference>
          <reference field="25" count="1">
            <x v="7"/>
          </reference>
        </references>
      </pivotArea>
    </format>
    <format dxfId="3185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289"/>
          </reference>
          <reference field="25" count="1">
            <x v="7"/>
          </reference>
        </references>
      </pivotArea>
    </format>
    <format dxfId="3184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289"/>
          </reference>
          <reference field="25" count="1">
            <x v="7"/>
          </reference>
        </references>
      </pivotArea>
    </format>
    <format dxfId="3183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289"/>
          </reference>
          <reference field="25" count="1">
            <x v="7"/>
          </reference>
        </references>
      </pivotArea>
    </format>
    <format dxfId="3182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289"/>
          </reference>
          <reference field="25" count="1">
            <x v="7"/>
          </reference>
        </references>
      </pivotArea>
    </format>
    <format dxfId="318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84"/>
          </reference>
          <reference field="25" count="1">
            <x v="7"/>
          </reference>
        </references>
      </pivotArea>
    </format>
    <format dxfId="318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284"/>
          </reference>
          <reference field="25" count="1">
            <x v="7"/>
          </reference>
        </references>
      </pivotArea>
    </format>
    <format dxfId="317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84"/>
          </reference>
          <reference field="25" count="1">
            <x v="7"/>
          </reference>
        </references>
      </pivotArea>
    </format>
    <format dxfId="317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84"/>
          </reference>
          <reference field="25" count="1">
            <x v="7"/>
          </reference>
        </references>
      </pivotArea>
    </format>
    <format dxfId="317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85"/>
          </reference>
          <reference field="25" count="1">
            <x v="7"/>
          </reference>
        </references>
      </pivotArea>
    </format>
    <format dxfId="317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285"/>
          </reference>
          <reference field="25" count="1">
            <x v="7"/>
          </reference>
        </references>
      </pivotArea>
    </format>
    <format dxfId="317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85"/>
          </reference>
          <reference field="25" count="1">
            <x v="7"/>
          </reference>
        </references>
      </pivotArea>
    </format>
    <format dxfId="317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85"/>
          </reference>
          <reference field="25" count="1">
            <x v="7"/>
          </reference>
        </references>
      </pivotArea>
    </format>
    <format dxfId="317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86"/>
          </reference>
          <reference field="25" count="1">
            <x v="7"/>
          </reference>
        </references>
      </pivotArea>
    </format>
    <format dxfId="317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86"/>
          </reference>
          <reference field="25" count="1">
            <x v="7"/>
          </reference>
        </references>
      </pivotArea>
    </format>
    <format dxfId="317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86"/>
          </reference>
          <reference field="25" count="1">
            <x v="7"/>
          </reference>
        </references>
      </pivotArea>
    </format>
    <format dxfId="317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86"/>
          </reference>
          <reference field="25" count="1">
            <x v="7"/>
          </reference>
        </references>
      </pivotArea>
    </format>
    <format dxfId="316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87"/>
          </reference>
          <reference field="25" count="1">
            <x v="7"/>
          </reference>
        </references>
      </pivotArea>
    </format>
    <format dxfId="316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87"/>
          </reference>
          <reference field="25" count="1">
            <x v="7"/>
          </reference>
        </references>
      </pivotArea>
    </format>
    <format dxfId="316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87"/>
          </reference>
          <reference field="25" count="1">
            <x v="7"/>
          </reference>
        </references>
      </pivotArea>
    </format>
    <format dxfId="316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87"/>
          </reference>
          <reference field="25" count="1">
            <x v="7"/>
          </reference>
        </references>
      </pivotArea>
    </format>
    <format dxfId="316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88"/>
          </reference>
          <reference field="25" count="1">
            <x v="7"/>
          </reference>
        </references>
      </pivotArea>
    </format>
    <format dxfId="316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88"/>
          </reference>
          <reference field="25" count="1">
            <x v="7"/>
          </reference>
        </references>
      </pivotArea>
    </format>
    <format dxfId="316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88"/>
          </reference>
          <reference field="25" count="1">
            <x v="7"/>
          </reference>
        </references>
      </pivotArea>
    </format>
    <format dxfId="316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88"/>
          </reference>
          <reference field="25" count="1">
            <x v="7"/>
          </reference>
        </references>
      </pivotArea>
    </format>
    <format dxfId="316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90"/>
          </reference>
          <reference field="25" count="1">
            <x v="7"/>
          </reference>
        </references>
      </pivotArea>
    </format>
    <format dxfId="316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90"/>
          </reference>
          <reference field="25" count="1">
            <x v="7"/>
          </reference>
        </references>
      </pivotArea>
    </format>
    <format dxfId="315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90"/>
          </reference>
          <reference field="25" count="1">
            <x v="7"/>
          </reference>
        </references>
      </pivotArea>
    </format>
    <format dxfId="315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5"/>
          </reference>
          <reference field="8" count="1" selected="0">
            <x v="290"/>
          </reference>
          <reference field="25" count="1">
            <x v="7"/>
          </reference>
        </references>
      </pivotArea>
    </format>
    <format dxfId="3157">
      <pivotArea dataOnly="0" labelOnly="1" offset="IV2:IV256" fieldPosition="0">
        <references count="1">
          <reference field="8" count="1">
            <x v="283"/>
          </reference>
        </references>
      </pivotArea>
    </format>
    <format dxfId="3156">
      <pivotArea dataOnly="0" labelOnly="1" offset="A256" fieldPosition="0">
        <references count="1">
          <reference field="8" count="1" sumSubtotal="1">
            <x v="283"/>
          </reference>
        </references>
      </pivotArea>
    </format>
    <format dxfId="3155">
      <pivotArea dataOnly="0" labelOnly="1" fieldPosition="0">
        <references count="1">
          <reference field="8" count="1">
            <x v="284"/>
          </reference>
        </references>
      </pivotArea>
    </format>
    <format dxfId="3154">
      <pivotArea dataOnly="0" labelOnly="1" offset="A256" fieldPosition="0">
        <references count="1">
          <reference field="8" count="1" sumSubtotal="1">
            <x v="284"/>
          </reference>
        </references>
      </pivotArea>
    </format>
    <format dxfId="3153">
      <pivotArea dataOnly="0" labelOnly="1" fieldPosition="0">
        <references count="1">
          <reference field="8" count="1">
            <x v="285"/>
          </reference>
        </references>
      </pivotArea>
    </format>
    <format dxfId="3152">
      <pivotArea dataOnly="0" labelOnly="1" offset="A256" fieldPosition="0">
        <references count="1">
          <reference field="8" count="1" sumSubtotal="1">
            <x v="285"/>
          </reference>
        </references>
      </pivotArea>
    </format>
    <format dxfId="3151">
      <pivotArea dataOnly="0" labelOnly="1" fieldPosition="0">
        <references count="1">
          <reference field="8" count="1">
            <x v="286"/>
          </reference>
        </references>
      </pivotArea>
    </format>
    <format dxfId="3150">
      <pivotArea dataOnly="0" labelOnly="1" offset="A256" fieldPosition="0">
        <references count="1">
          <reference field="8" count="1" sumSubtotal="1">
            <x v="286"/>
          </reference>
        </references>
      </pivotArea>
    </format>
    <format dxfId="3149">
      <pivotArea dataOnly="0" labelOnly="1" fieldPosition="0">
        <references count="1">
          <reference field="8" count="1">
            <x v="287"/>
          </reference>
        </references>
      </pivotArea>
    </format>
    <format dxfId="3148">
      <pivotArea dataOnly="0" labelOnly="1" offset="A256" fieldPosition="0">
        <references count="1">
          <reference field="8" count="1" sumSubtotal="1">
            <x v="287"/>
          </reference>
        </references>
      </pivotArea>
    </format>
    <format dxfId="3147">
      <pivotArea dataOnly="0" labelOnly="1" fieldPosition="0">
        <references count="1">
          <reference field="8" count="1">
            <x v="288"/>
          </reference>
        </references>
      </pivotArea>
    </format>
    <format dxfId="3146">
      <pivotArea dataOnly="0" labelOnly="1" offset="A256" fieldPosition="0">
        <references count="1">
          <reference field="8" count="1" sumSubtotal="1">
            <x v="288"/>
          </reference>
        </references>
      </pivotArea>
    </format>
    <format dxfId="3145">
      <pivotArea dataOnly="0" labelOnly="1" offset="IV1:IV3" fieldPosition="0">
        <references count="1">
          <reference field="8" count="1">
            <x v="289"/>
          </reference>
        </references>
      </pivotArea>
    </format>
    <format dxfId="3144">
      <pivotArea collapsedLevelsAreSubtotals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293"/>
          </reference>
          <reference field="25" count="1">
            <x v="7"/>
          </reference>
        </references>
      </pivotArea>
    </format>
    <format dxfId="3143">
      <pivotArea collapsedLevelsAreSubtotals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293"/>
          </reference>
          <reference field="25" count="1">
            <x v="7"/>
          </reference>
        </references>
      </pivotArea>
    </format>
    <format dxfId="3142">
      <pivotArea collapsedLevelsAreSubtotals="1" fieldPosition="0">
        <references count="4">
          <reference field="0" count="1" selected="0">
            <x v="5"/>
          </reference>
          <reference field="1" count="1" selected="0">
            <x v="23"/>
          </reference>
          <reference field="8" count="1" selected="0">
            <x v="293"/>
          </reference>
          <reference field="25" count="1">
            <x v="7"/>
          </reference>
        </references>
      </pivotArea>
    </format>
    <format dxfId="3141">
      <pivotArea collapsedLevelsAreSubtotals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293"/>
          </reference>
          <reference field="25" count="1">
            <x v="7"/>
          </reference>
        </references>
      </pivotArea>
    </format>
    <format dxfId="3140">
      <pivotArea collapsedLevelsAreSubtotals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293"/>
          </reference>
          <reference field="25" count="1">
            <x v="7"/>
          </reference>
        </references>
      </pivotArea>
    </format>
    <format dxfId="3139">
      <pivotArea dataOnly="0" labelOnly="1" fieldPosition="0">
        <references count="1">
          <reference field="8" count="1">
            <x v="293"/>
          </reference>
        </references>
      </pivotArea>
    </format>
    <format dxfId="3138">
      <pivotArea dataOnly="0" labelOnly="1" fieldPosition="0">
        <references count="2">
          <reference field="0" count="5">
            <x v="3"/>
            <x v="4"/>
            <x v="5"/>
            <x v="6"/>
            <x v="8"/>
          </reference>
          <reference field="8" count="1" selected="0">
            <x v="293"/>
          </reference>
        </references>
      </pivotArea>
    </format>
    <format dxfId="3137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293"/>
          </reference>
        </references>
      </pivotArea>
    </format>
    <format dxfId="3136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293"/>
          </reference>
        </references>
      </pivotArea>
    </format>
    <format dxfId="3135">
      <pivotArea dataOnly="0" labelOnly="1" fieldPosition="0">
        <references count="3">
          <reference field="0" count="1" selected="0">
            <x v="5"/>
          </reference>
          <reference field="1" count="1">
            <x v="23"/>
          </reference>
          <reference field="8" count="1" selected="0">
            <x v="293"/>
          </reference>
        </references>
      </pivotArea>
    </format>
    <format dxfId="3134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293"/>
          </reference>
        </references>
      </pivotArea>
    </format>
    <format dxfId="3133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293"/>
          </reference>
        </references>
      </pivotArea>
    </format>
    <format dxfId="3132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293"/>
          </reference>
          <reference field="25" count="1">
            <x v="7"/>
          </reference>
        </references>
      </pivotArea>
    </format>
    <format dxfId="3131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293"/>
          </reference>
          <reference field="25" count="1">
            <x v="7"/>
          </reference>
        </references>
      </pivotArea>
    </format>
    <format dxfId="3130">
      <pivotArea dataOnly="0" labelOnly="1" fieldPosition="0">
        <references count="4">
          <reference field="0" count="1" selected="0">
            <x v="5"/>
          </reference>
          <reference field="1" count="1" selected="0">
            <x v="23"/>
          </reference>
          <reference field="8" count="1" selected="0">
            <x v="293"/>
          </reference>
          <reference field="25" count="1">
            <x v="7"/>
          </reference>
        </references>
      </pivotArea>
    </format>
    <format dxfId="3129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293"/>
          </reference>
          <reference field="25" count="1">
            <x v="7"/>
          </reference>
        </references>
      </pivotArea>
    </format>
    <format dxfId="3128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293"/>
          </reference>
          <reference field="25" count="1">
            <x v="7"/>
          </reference>
        </references>
      </pivotArea>
    </format>
    <format dxfId="312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293"/>
          </reference>
          <reference field="25" count="1">
            <x v="7"/>
          </reference>
        </references>
      </pivotArea>
    </format>
    <format dxfId="312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293"/>
          </reference>
          <reference field="25" count="1">
            <x v="7"/>
          </reference>
        </references>
      </pivotArea>
    </format>
    <format dxfId="312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293"/>
          </reference>
          <reference field="25" count="1">
            <x v="7"/>
          </reference>
        </references>
      </pivotArea>
    </format>
    <format dxfId="312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293"/>
          </reference>
          <reference field="25" count="1">
            <x v="7"/>
          </reference>
        </references>
      </pivotArea>
    </format>
    <format dxfId="312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293"/>
          </reference>
          <reference field="25" count="1">
            <x v="7"/>
          </reference>
        </references>
      </pivotArea>
    </format>
    <format dxfId="312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02"/>
          </reference>
          <reference field="25" count="1">
            <x v="7"/>
          </reference>
        </references>
      </pivotArea>
    </format>
    <format dxfId="312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302"/>
          </reference>
          <reference field="25" count="1">
            <x v="7"/>
          </reference>
        </references>
      </pivotArea>
    </format>
    <format dxfId="312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02"/>
          </reference>
          <reference field="25" count="1">
            <x v="7"/>
          </reference>
        </references>
      </pivotArea>
    </format>
    <format dxfId="311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02"/>
          </reference>
          <reference field="25" count="1">
            <x v="7"/>
          </reference>
        </references>
      </pivotArea>
    </format>
    <format dxfId="311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303"/>
          </reference>
          <reference field="25" count="1">
            <x v="7"/>
          </reference>
        </references>
      </pivotArea>
    </format>
    <format dxfId="311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03"/>
          </reference>
          <reference field="25" count="1">
            <x v="7"/>
          </reference>
        </references>
      </pivotArea>
    </format>
    <format dxfId="311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303"/>
          </reference>
          <reference field="25" count="1">
            <x v="7"/>
          </reference>
        </references>
      </pivotArea>
    </format>
    <format dxfId="311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03"/>
          </reference>
          <reference field="25" count="1">
            <x v="7"/>
          </reference>
        </references>
      </pivotArea>
    </format>
    <format dxfId="311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03"/>
          </reference>
          <reference field="25" count="1">
            <x v="7"/>
          </reference>
        </references>
      </pivotArea>
    </format>
    <format dxfId="311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304"/>
          </reference>
          <reference field="25" count="1">
            <x v="7"/>
          </reference>
        </references>
      </pivotArea>
    </format>
    <format dxfId="311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04"/>
          </reference>
          <reference field="25" count="1">
            <x v="7"/>
          </reference>
        </references>
      </pivotArea>
    </format>
    <format dxfId="311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04"/>
          </reference>
          <reference field="25" count="1">
            <x v="7"/>
          </reference>
        </references>
      </pivotArea>
    </format>
    <format dxfId="311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04"/>
          </reference>
          <reference field="25" count="1">
            <x v="7"/>
          </reference>
        </references>
      </pivotArea>
    </format>
    <format dxfId="310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08"/>
          </reference>
          <reference field="25" count="1">
            <x v="7"/>
          </reference>
        </references>
      </pivotArea>
    </format>
    <format dxfId="310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308"/>
          </reference>
          <reference field="25" count="1">
            <x v="7"/>
          </reference>
        </references>
      </pivotArea>
    </format>
    <format dxfId="310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08"/>
          </reference>
          <reference field="25" count="1">
            <x v="7"/>
          </reference>
        </references>
      </pivotArea>
    </format>
    <format dxfId="310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08"/>
          </reference>
          <reference field="25" count="1">
            <x v="7"/>
          </reference>
        </references>
      </pivotArea>
    </format>
    <format dxfId="310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311"/>
          </reference>
          <reference field="25" count="1">
            <x v="7"/>
          </reference>
        </references>
      </pivotArea>
    </format>
    <format dxfId="310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11"/>
          </reference>
          <reference field="25" count="1">
            <x v="7"/>
          </reference>
        </references>
      </pivotArea>
    </format>
    <format dxfId="310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11"/>
          </reference>
          <reference field="25" count="1">
            <x v="7"/>
          </reference>
        </references>
      </pivotArea>
    </format>
    <format dxfId="310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11"/>
          </reference>
          <reference field="25" count="1">
            <x v="7"/>
          </reference>
        </references>
      </pivotArea>
    </format>
    <format dxfId="310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313"/>
          </reference>
          <reference field="25" count="1">
            <x v="7"/>
          </reference>
        </references>
      </pivotArea>
    </format>
    <format dxfId="310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13"/>
          </reference>
          <reference field="25" count="1">
            <x v="7"/>
          </reference>
        </references>
      </pivotArea>
    </format>
    <format dxfId="309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13"/>
          </reference>
          <reference field="25" count="1">
            <x v="7"/>
          </reference>
        </references>
      </pivotArea>
    </format>
    <format dxfId="309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13"/>
          </reference>
          <reference field="25" count="1">
            <x v="7"/>
          </reference>
        </references>
      </pivotArea>
    </format>
    <format dxfId="309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315"/>
          </reference>
          <reference field="25" count="1">
            <x v="7"/>
          </reference>
        </references>
      </pivotArea>
    </format>
    <format dxfId="309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15"/>
          </reference>
          <reference field="25" count="1">
            <x v="7"/>
          </reference>
        </references>
      </pivotArea>
    </format>
    <format dxfId="309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15"/>
          </reference>
          <reference field="25" count="1">
            <x v="7"/>
          </reference>
        </references>
      </pivotArea>
    </format>
    <format dxfId="309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15"/>
          </reference>
          <reference field="25" count="1">
            <x v="7"/>
          </reference>
        </references>
      </pivotArea>
    </format>
    <format dxfId="3093">
      <pivotArea dataOnly="0" labelOnly="1" offset="IV2" fieldPosition="0">
        <references count="1">
          <reference field="8" count="1">
            <x v="290"/>
          </reference>
        </references>
      </pivotArea>
    </format>
    <format dxfId="3092">
      <pivotArea dataOnly="0" labelOnly="1" offset="IV1:IV3" fieldPosition="0">
        <references count="1">
          <reference field="8" count="1">
            <x v="290"/>
          </reference>
        </references>
      </pivotArea>
    </format>
    <format dxfId="3091">
      <pivotArea collapsedLevelsAreSubtotals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317"/>
          </reference>
          <reference field="25" count="1">
            <x v="7"/>
          </reference>
        </references>
      </pivotArea>
    </format>
    <format dxfId="3090">
      <pivotArea collapsedLevelsAreSubtotals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317"/>
          </reference>
          <reference field="25" count="1">
            <x v="7"/>
          </reference>
        </references>
      </pivotArea>
    </format>
    <format dxfId="3089">
      <pivotArea collapsedLevelsAreSubtotals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317"/>
          </reference>
          <reference field="25" count="1">
            <x v="7"/>
          </reference>
        </references>
      </pivotArea>
    </format>
    <format dxfId="3088">
      <pivotArea collapsedLevelsAreSubtotals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317"/>
          </reference>
          <reference field="25" count="1">
            <x v="7"/>
          </reference>
        </references>
      </pivotArea>
    </format>
    <format dxfId="3087">
      <pivotArea dataOnly="0" labelOnly="1" fieldPosition="0">
        <references count="1">
          <reference field="8" count="1">
            <x v="317"/>
          </reference>
        </references>
      </pivotArea>
    </format>
    <format dxfId="3086">
      <pivotArea dataOnly="0" labelOnly="1" fieldPosition="0">
        <references count="2">
          <reference field="0" count="4">
            <x v="3"/>
            <x v="4"/>
            <x v="6"/>
            <x v="8"/>
          </reference>
          <reference field="8" count="1" selected="0">
            <x v="317"/>
          </reference>
        </references>
      </pivotArea>
    </format>
    <format dxfId="3085">
      <pivotArea dataOnly="0" labelOnly="1" fieldPosition="0">
        <references count="3">
          <reference field="0" count="1" selected="0">
            <x v="3"/>
          </reference>
          <reference field="1" count="1">
            <x v="46"/>
          </reference>
          <reference field="8" count="1" selected="0">
            <x v="317"/>
          </reference>
        </references>
      </pivotArea>
    </format>
    <format dxfId="3084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317"/>
          </reference>
        </references>
      </pivotArea>
    </format>
    <format dxfId="3083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317"/>
          </reference>
        </references>
      </pivotArea>
    </format>
    <format dxfId="3082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317"/>
          </reference>
        </references>
      </pivotArea>
    </format>
    <format dxfId="3081">
      <pivotArea dataOnly="0" labelOnly="1" fieldPosition="0">
        <references count="4">
          <reference field="0" count="1" selected="0">
            <x v="3"/>
          </reference>
          <reference field="1" count="1" selected="0">
            <x v="46"/>
          </reference>
          <reference field="8" count="1" selected="0">
            <x v="317"/>
          </reference>
          <reference field="25" count="1">
            <x v="7"/>
          </reference>
        </references>
      </pivotArea>
    </format>
    <format dxfId="3080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317"/>
          </reference>
          <reference field="25" count="1">
            <x v="7"/>
          </reference>
        </references>
      </pivotArea>
    </format>
    <format dxfId="3079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317"/>
          </reference>
          <reference field="25" count="1">
            <x v="7"/>
          </reference>
        </references>
      </pivotArea>
    </format>
    <format dxfId="3078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317"/>
          </reference>
          <reference field="25" count="1">
            <x v="7"/>
          </reference>
        </references>
      </pivotArea>
    </format>
    <format dxfId="307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317"/>
          </reference>
          <reference field="25" count="1">
            <x v="7"/>
          </reference>
        </references>
      </pivotArea>
    </format>
    <format dxfId="307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17"/>
          </reference>
          <reference field="25" count="1">
            <x v="7"/>
          </reference>
        </references>
      </pivotArea>
    </format>
    <format dxfId="307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17"/>
          </reference>
          <reference field="25" count="1">
            <x v="7"/>
          </reference>
        </references>
      </pivotArea>
    </format>
    <format dxfId="307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17"/>
          </reference>
          <reference field="25" count="1">
            <x v="7"/>
          </reference>
        </references>
      </pivotArea>
    </format>
    <format dxfId="307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319"/>
          </reference>
          <reference field="25" count="1">
            <x v="7"/>
          </reference>
        </references>
      </pivotArea>
    </format>
    <format dxfId="307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19"/>
          </reference>
          <reference field="25" count="1">
            <x v="7"/>
          </reference>
        </references>
      </pivotArea>
    </format>
    <format dxfId="307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19"/>
          </reference>
          <reference field="25" count="1">
            <x v="7"/>
          </reference>
        </references>
      </pivotArea>
    </format>
    <format dxfId="307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19"/>
          </reference>
          <reference field="25" count="1">
            <x v="7"/>
          </reference>
        </references>
      </pivotArea>
    </format>
    <format dxfId="306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331"/>
          </reference>
          <reference field="25" count="1">
            <x v="7"/>
          </reference>
        </references>
      </pivotArea>
    </format>
    <format dxfId="306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31"/>
          </reference>
          <reference field="25" count="1">
            <x v="7"/>
          </reference>
        </references>
      </pivotArea>
    </format>
    <format dxfId="306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31"/>
          </reference>
          <reference field="25" count="1">
            <x v="7"/>
          </reference>
        </references>
      </pivotArea>
    </format>
    <format dxfId="306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31"/>
          </reference>
          <reference field="25" count="1">
            <x v="7"/>
          </reference>
        </references>
      </pivotArea>
    </format>
    <format dxfId="306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335"/>
          </reference>
          <reference field="25" count="1">
            <x v="7"/>
          </reference>
        </references>
      </pivotArea>
    </format>
    <format dxfId="306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35"/>
          </reference>
          <reference field="25" count="1">
            <x v="7"/>
          </reference>
        </references>
      </pivotArea>
    </format>
    <format dxfId="306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35"/>
          </reference>
          <reference field="25" count="1">
            <x v="7"/>
          </reference>
        </references>
      </pivotArea>
    </format>
    <format dxfId="306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35"/>
          </reference>
          <reference field="25" count="1">
            <x v="7"/>
          </reference>
        </references>
      </pivotArea>
    </format>
    <format dxfId="306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333"/>
          </reference>
          <reference field="25" count="1">
            <x v="7"/>
          </reference>
        </references>
      </pivotArea>
    </format>
    <format dxfId="306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33"/>
          </reference>
          <reference field="25" count="1">
            <x v="7"/>
          </reference>
        </references>
      </pivotArea>
    </format>
    <format dxfId="305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33"/>
          </reference>
          <reference field="25" count="1">
            <x v="7"/>
          </reference>
        </references>
      </pivotArea>
    </format>
    <format dxfId="305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33"/>
          </reference>
          <reference field="25" count="1">
            <x v="7"/>
          </reference>
        </references>
      </pivotArea>
    </format>
    <format dxfId="305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334"/>
          </reference>
          <reference field="25" count="1">
            <x v="7"/>
          </reference>
        </references>
      </pivotArea>
    </format>
    <format dxfId="305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34"/>
          </reference>
          <reference field="25" count="1">
            <x v="7"/>
          </reference>
        </references>
      </pivotArea>
    </format>
    <format dxfId="305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34"/>
          </reference>
          <reference field="25" count="1">
            <x v="7"/>
          </reference>
        </references>
      </pivotArea>
    </format>
    <format dxfId="305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34"/>
          </reference>
          <reference field="25" count="1">
            <x v="7"/>
          </reference>
        </references>
      </pivotArea>
    </format>
    <format dxfId="305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339"/>
          </reference>
          <reference field="25" count="1">
            <x v="7"/>
          </reference>
        </references>
      </pivotArea>
    </format>
    <format dxfId="305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39"/>
          </reference>
          <reference field="25" count="1">
            <x v="7"/>
          </reference>
        </references>
      </pivotArea>
    </format>
    <format dxfId="305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39"/>
          </reference>
          <reference field="25" count="1">
            <x v="7"/>
          </reference>
        </references>
      </pivotArea>
    </format>
    <format dxfId="305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39"/>
          </reference>
          <reference field="25" count="1">
            <x v="7"/>
          </reference>
        </references>
      </pivotArea>
    </format>
    <format dxfId="304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321"/>
          </reference>
          <reference field="25" count="1">
            <x v="7"/>
          </reference>
        </references>
      </pivotArea>
    </format>
    <format dxfId="304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9"/>
          </reference>
          <reference field="8" count="1" selected="0">
            <x v="321"/>
          </reference>
          <reference field="25" count="1">
            <x v="7"/>
          </reference>
        </references>
      </pivotArea>
    </format>
    <format dxfId="304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32"/>
          </reference>
          <reference field="8" count="1" selected="0">
            <x v="321"/>
          </reference>
          <reference field="25" count="1">
            <x v="7"/>
          </reference>
        </references>
      </pivotArea>
    </format>
    <format dxfId="304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344"/>
          </reference>
          <reference field="25" count="1">
            <x v="7"/>
          </reference>
        </references>
      </pivotArea>
    </format>
    <format dxfId="304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44"/>
          </reference>
          <reference field="25" count="1">
            <x v="7"/>
          </reference>
        </references>
      </pivotArea>
    </format>
    <format dxfId="304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344"/>
          </reference>
          <reference field="25" count="1">
            <x v="7"/>
          </reference>
        </references>
      </pivotArea>
    </format>
    <format dxfId="304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44"/>
          </reference>
          <reference field="25" count="1">
            <x v="7"/>
          </reference>
        </references>
      </pivotArea>
    </format>
    <format dxfId="304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9"/>
          </reference>
          <reference field="8" count="1" selected="0">
            <x v="344"/>
          </reference>
          <reference field="25" count="1">
            <x v="7"/>
          </reference>
        </references>
      </pivotArea>
    </format>
    <format dxfId="304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32"/>
          </reference>
          <reference field="8" count="1" selected="0">
            <x v="344"/>
          </reference>
          <reference field="25" count="1">
            <x v="7"/>
          </reference>
        </references>
      </pivotArea>
    </format>
    <format dxfId="304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346"/>
          </reference>
          <reference field="25" count="1">
            <x v="7"/>
          </reference>
        </references>
      </pivotArea>
    </format>
    <format dxfId="303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46"/>
          </reference>
          <reference field="25" count="1">
            <x v="7"/>
          </reference>
        </references>
      </pivotArea>
    </format>
    <format dxfId="303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46"/>
          </reference>
          <reference field="25" count="1">
            <x v="7"/>
          </reference>
        </references>
      </pivotArea>
    </format>
    <format dxfId="303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46"/>
          </reference>
          <reference field="25" count="1">
            <x v="7"/>
          </reference>
        </references>
      </pivotArea>
    </format>
    <format dxfId="303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348"/>
          </reference>
          <reference field="25" count="1">
            <x v="7"/>
          </reference>
        </references>
      </pivotArea>
    </format>
    <format dxfId="303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48"/>
          </reference>
          <reference field="25" count="1">
            <x v="7"/>
          </reference>
        </references>
      </pivotArea>
    </format>
    <format dxfId="303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48"/>
          </reference>
          <reference field="25" count="1">
            <x v="7"/>
          </reference>
        </references>
      </pivotArea>
    </format>
    <format dxfId="303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48"/>
          </reference>
          <reference field="25" count="1">
            <x v="7"/>
          </reference>
        </references>
      </pivotArea>
    </format>
    <format dxfId="303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6"/>
          </reference>
          <reference field="8" count="1" selected="0">
            <x v="354"/>
          </reference>
          <reference field="25" count="1">
            <x v="7"/>
          </reference>
        </references>
      </pivotArea>
    </format>
    <format dxfId="303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54"/>
          </reference>
          <reference field="25" count="1">
            <x v="7"/>
          </reference>
        </references>
      </pivotArea>
    </format>
    <format dxfId="303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54"/>
          </reference>
          <reference field="25" count="1">
            <x v="7"/>
          </reference>
        </references>
      </pivotArea>
    </format>
    <format dxfId="302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54"/>
          </reference>
          <reference field="25" count="1">
            <x v="7"/>
          </reference>
        </references>
      </pivotArea>
    </format>
    <format dxfId="302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55"/>
          </reference>
          <reference field="25" count="1">
            <x v="7"/>
          </reference>
        </references>
      </pivotArea>
    </format>
    <format dxfId="302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55"/>
          </reference>
          <reference field="25" count="1">
            <x v="7"/>
          </reference>
        </references>
      </pivotArea>
    </format>
    <format dxfId="302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55"/>
          </reference>
          <reference field="25" count="1">
            <x v="7"/>
          </reference>
        </references>
      </pivotArea>
    </format>
    <format dxfId="302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56"/>
          </reference>
          <reference field="25" count="1">
            <x v="7"/>
          </reference>
        </references>
      </pivotArea>
    </format>
    <format dxfId="302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56"/>
          </reference>
          <reference field="25" count="1">
            <x v="7"/>
          </reference>
        </references>
      </pivotArea>
    </format>
    <format dxfId="302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56"/>
          </reference>
          <reference field="25" count="1">
            <x v="7"/>
          </reference>
        </references>
      </pivotArea>
    </format>
    <format dxfId="302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57"/>
          </reference>
          <reference field="25" count="1">
            <x v="7"/>
          </reference>
        </references>
      </pivotArea>
    </format>
    <format dxfId="302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57"/>
          </reference>
          <reference field="25" count="1">
            <x v="7"/>
          </reference>
        </references>
      </pivotArea>
    </format>
    <format dxfId="302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57"/>
          </reference>
          <reference field="25" count="1">
            <x v="7"/>
          </reference>
        </references>
      </pivotArea>
    </format>
    <format dxfId="301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65"/>
          </reference>
          <reference field="25" count="1">
            <x v="7"/>
          </reference>
        </references>
      </pivotArea>
    </format>
    <format dxfId="301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65"/>
          </reference>
          <reference field="25" count="1">
            <x v="7"/>
          </reference>
        </references>
      </pivotArea>
    </format>
    <format dxfId="301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65"/>
          </reference>
          <reference field="25" count="1">
            <x v="7"/>
          </reference>
        </references>
      </pivotArea>
    </format>
    <format dxfId="301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66"/>
          </reference>
          <reference field="25" count="1">
            <x v="7"/>
          </reference>
        </references>
      </pivotArea>
    </format>
    <format dxfId="301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66"/>
          </reference>
          <reference field="25" count="1">
            <x v="7"/>
          </reference>
        </references>
      </pivotArea>
    </format>
    <format dxfId="301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66"/>
          </reference>
          <reference field="25" count="1">
            <x v="7"/>
          </reference>
        </references>
      </pivotArea>
    </format>
    <format dxfId="301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67"/>
          </reference>
          <reference field="25" count="1">
            <x v="7"/>
          </reference>
        </references>
      </pivotArea>
    </format>
    <format dxfId="301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67"/>
          </reference>
          <reference field="25" count="1">
            <x v="7"/>
          </reference>
        </references>
      </pivotArea>
    </format>
    <format dxfId="301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67"/>
          </reference>
          <reference field="25" count="1">
            <x v="7"/>
          </reference>
        </references>
      </pivotArea>
    </format>
    <format dxfId="301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68"/>
          </reference>
          <reference field="25" count="1">
            <x v="7"/>
          </reference>
        </references>
      </pivotArea>
    </format>
    <format dxfId="300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68"/>
          </reference>
          <reference field="25" count="1">
            <x v="7"/>
          </reference>
        </references>
      </pivotArea>
    </format>
    <format dxfId="300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68"/>
          </reference>
          <reference field="25" count="1">
            <x v="7"/>
          </reference>
        </references>
      </pivotArea>
    </format>
    <format dxfId="300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77"/>
          </reference>
          <reference field="25" count="1">
            <x v="7"/>
          </reference>
        </references>
      </pivotArea>
    </format>
    <format dxfId="300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77"/>
          </reference>
          <reference field="25" count="1">
            <x v="7"/>
          </reference>
        </references>
      </pivotArea>
    </format>
    <format dxfId="300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77"/>
          </reference>
          <reference field="25" count="1">
            <x v="7"/>
          </reference>
        </references>
      </pivotArea>
    </format>
    <format dxfId="300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79"/>
          </reference>
          <reference field="25" count="1">
            <x v="7"/>
          </reference>
        </references>
      </pivotArea>
    </format>
    <format dxfId="300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79"/>
          </reference>
          <reference field="25" count="1">
            <x v="7"/>
          </reference>
        </references>
      </pivotArea>
    </format>
    <format dxfId="300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79"/>
          </reference>
          <reference field="25" count="1">
            <x v="7"/>
          </reference>
        </references>
      </pivotArea>
    </format>
    <format dxfId="300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81"/>
          </reference>
          <reference field="25" count="1">
            <x v="7"/>
          </reference>
        </references>
      </pivotArea>
    </format>
    <format dxfId="300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81"/>
          </reference>
          <reference field="25" count="1">
            <x v="7"/>
          </reference>
        </references>
      </pivotArea>
    </format>
    <format dxfId="299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81"/>
          </reference>
          <reference field="25" count="1">
            <x v="7"/>
          </reference>
        </references>
      </pivotArea>
    </format>
    <format dxfId="299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84"/>
          </reference>
          <reference field="25" count="1">
            <x v="7"/>
          </reference>
        </references>
      </pivotArea>
    </format>
    <format dxfId="299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84"/>
          </reference>
          <reference field="25" count="1">
            <x v="7"/>
          </reference>
        </references>
      </pivotArea>
    </format>
    <format dxfId="299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84"/>
          </reference>
          <reference field="25" count="1">
            <x v="7"/>
          </reference>
        </references>
      </pivotArea>
    </format>
    <format dxfId="299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86"/>
          </reference>
          <reference field="25" count="1">
            <x v="7"/>
          </reference>
        </references>
      </pivotArea>
    </format>
    <format dxfId="299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86"/>
          </reference>
          <reference field="25" count="1">
            <x v="7"/>
          </reference>
        </references>
      </pivotArea>
    </format>
    <format dxfId="299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86"/>
          </reference>
          <reference field="25" count="1">
            <x v="7"/>
          </reference>
        </references>
      </pivotArea>
    </format>
    <format dxfId="299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90"/>
          </reference>
          <reference field="25" count="1">
            <x v="7"/>
          </reference>
        </references>
      </pivotArea>
    </format>
    <format dxfId="299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90"/>
          </reference>
          <reference field="25" count="1">
            <x v="7"/>
          </reference>
        </references>
      </pivotArea>
    </format>
    <format dxfId="299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90"/>
          </reference>
          <reference field="25" count="1">
            <x v="7"/>
          </reference>
        </references>
      </pivotArea>
    </format>
    <format dxfId="298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92"/>
          </reference>
          <reference field="25" count="1">
            <x v="7"/>
          </reference>
        </references>
      </pivotArea>
    </format>
    <format dxfId="298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92"/>
          </reference>
          <reference field="25" count="1">
            <x v="7"/>
          </reference>
        </references>
      </pivotArea>
    </format>
    <format dxfId="298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92"/>
          </reference>
          <reference field="25" count="1">
            <x v="7"/>
          </reference>
        </references>
      </pivotArea>
    </format>
    <format dxfId="298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96"/>
          </reference>
          <reference field="25" count="1">
            <x v="7"/>
          </reference>
        </references>
      </pivotArea>
    </format>
    <format dxfId="298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96"/>
          </reference>
          <reference field="25" count="1">
            <x v="7"/>
          </reference>
        </references>
      </pivotArea>
    </format>
    <format dxfId="298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96"/>
          </reference>
          <reference field="25" count="1">
            <x v="7"/>
          </reference>
        </references>
      </pivotArea>
    </format>
    <format dxfId="2983">
      <pivotArea collapsedLevelsAreSubtotals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398"/>
          </reference>
          <reference field="25" count="1">
            <x v="7"/>
          </reference>
        </references>
      </pivotArea>
    </format>
    <format dxfId="2982">
      <pivotArea collapsedLevelsAreSubtotals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398"/>
          </reference>
          <reference field="25" count="1">
            <x v="7"/>
          </reference>
        </references>
      </pivotArea>
    </format>
    <format dxfId="2981">
      <pivotArea collapsedLevelsAreSubtotals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398"/>
          </reference>
          <reference field="25" count="1">
            <x v="7"/>
          </reference>
        </references>
      </pivotArea>
    </format>
    <format dxfId="2980">
      <pivotArea dataOnly="0" labelOnly="1" fieldPosition="0">
        <references count="1">
          <reference field="8" count="1">
            <x v="398"/>
          </reference>
        </references>
      </pivotArea>
    </format>
    <format dxfId="2979">
      <pivotArea dataOnly="0" labelOnly="1" fieldPosition="0">
        <references count="2">
          <reference field="0" count="3">
            <x v="4"/>
            <x v="6"/>
            <x v="8"/>
          </reference>
          <reference field="8" count="1" selected="0">
            <x v="398"/>
          </reference>
        </references>
      </pivotArea>
    </format>
    <format dxfId="2978">
      <pivotArea dataOnly="0" labelOnly="1" fieldPosition="0">
        <references count="3">
          <reference field="0" count="1" selected="0">
            <x v="4"/>
          </reference>
          <reference field="1" count="1">
            <x v="17"/>
          </reference>
          <reference field="8" count="1" selected="0">
            <x v="398"/>
          </reference>
        </references>
      </pivotArea>
    </format>
    <format dxfId="2977">
      <pivotArea dataOnly="0" labelOnly="1" fieldPosition="0">
        <references count="3">
          <reference field="0" count="1" selected="0">
            <x v="6"/>
          </reference>
          <reference field="1" count="1">
            <x v="18"/>
          </reference>
          <reference field="8" count="1" selected="0">
            <x v="398"/>
          </reference>
        </references>
      </pivotArea>
    </format>
    <format dxfId="2976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398"/>
          </reference>
        </references>
      </pivotArea>
    </format>
    <format dxfId="2975">
      <pivotArea dataOnly="0" labelOnly="1" fieldPosition="0">
        <references count="4">
          <reference field="0" count="1" selected="0">
            <x v="4"/>
          </reference>
          <reference field="1" count="1" selected="0">
            <x v="17"/>
          </reference>
          <reference field="8" count="1" selected="0">
            <x v="398"/>
          </reference>
          <reference field="25" count="1">
            <x v="7"/>
          </reference>
        </references>
      </pivotArea>
    </format>
    <format dxfId="2974">
      <pivotArea dataOnly="0" labelOnly="1" fieldPosition="0">
        <references count="4">
          <reference field="0" count="1" selected="0">
            <x v="6"/>
          </reference>
          <reference field="1" count="1" selected="0">
            <x v="18"/>
          </reference>
          <reference field="8" count="1" selected="0">
            <x v="398"/>
          </reference>
          <reference field="25" count="1">
            <x v="7"/>
          </reference>
        </references>
      </pivotArea>
    </format>
    <format dxfId="2973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8" count="1" selected="0">
            <x v="398"/>
          </reference>
          <reference field="25" count="1">
            <x v="7"/>
          </reference>
        </references>
      </pivotArea>
    </format>
    <format dxfId="297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398"/>
          </reference>
          <reference field="25" count="1">
            <x v="7"/>
          </reference>
        </references>
      </pivotArea>
    </format>
    <format dxfId="297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398"/>
          </reference>
          <reference field="25" count="1">
            <x v="7"/>
          </reference>
        </references>
      </pivotArea>
    </format>
    <format dxfId="297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03"/>
          </reference>
          <reference field="25" count="1">
            <x v="7"/>
          </reference>
        </references>
      </pivotArea>
    </format>
    <format dxfId="296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03"/>
          </reference>
          <reference field="25" count="1">
            <x v="7"/>
          </reference>
        </references>
      </pivotArea>
    </format>
    <format dxfId="296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03"/>
          </reference>
          <reference field="25" count="1">
            <x v="7"/>
          </reference>
        </references>
      </pivotArea>
    </format>
    <format dxfId="296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98"/>
          </reference>
          <reference field="25" count="1">
            <x v="7"/>
          </reference>
        </references>
      </pivotArea>
    </format>
    <format dxfId="296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398"/>
          </reference>
          <reference field="25" count="1">
            <x v="7"/>
          </reference>
        </references>
      </pivotArea>
    </format>
    <format dxfId="296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07"/>
          </reference>
          <reference field="25" count="1">
            <x v="7"/>
          </reference>
        </references>
      </pivotArea>
    </format>
    <format dxfId="296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07"/>
          </reference>
          <reference field="25" count="1">
            <x v="7"/>
          </reference>
        </references>
      </pivotArea>
    </format>
    <format dxfId="296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07"/>
          </reference>
          <reference field="25" count="1">
            <x v="7"/>
          </reference>
        </references>
      </pivotArea>
    </format>
    <format dxfId="296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16"/>
          </reference>
          <reference field="25" count="1">
            <x v="7"/>
          </reference>
        </references>
      </pivotArea>
    </format>
    <format dxfId="296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416"/>
          </reference>
          <reference field="25" count="1">
            <x v="7"/>
          </reference>
        </references>
      </pivotArea>
    </format>
    <format dxfId="296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16"/>
          </reference>
          <reference field="25" count="1">
            <x v="7"/>
          </reference>
        </references>
      </pivotArea>
    </format>
    <format dxfId="295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5"/>
          </reference>
          <reference field="8" count="1" selected="0">
            <x v="416"/>
          </reference>
          <reference field="25" count="1">
            <x v="7"/>
          </reference>
        </references>
      </pivotArea>
    </format>
    <format dxfId="295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19"/>
          </reference>
          <reference field="25" count="1">
            <x v="7"/>
          </reference>
        </references>
      </pivotArea>
    </format>
    <format dxfId="295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19"/>
          </reference>
          <reference field="25" count="1">
            <x v="7"/>
          </reference>
        </references>
      </pivotArea>
    </format>
    <format dxfId="295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19"/>
          </reference>
          <reference field="25" count="1">
            <x v="7"/>
          </reference>
        </references>
      </pivotArea>
    </format>
    <format dxfId="295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22"/>
          </reference>
          <reference field="25" count="1">
            <x v="7"/>
          </reference>
        </references>
      </pivotArea>
    </format>
    <format dxfId="295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422"/>
          </reference>
          <reference field="25" count="1">
            <x v="7"/>
          </reference>
        </references>
      </pivotArea>
    </format>
    <format dxfId="295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43"/>
          </reference>
          <reference field="8" count="1" selected="0">
            <x v="422"/>
          </reference>
          <reference field="25" count="1">
            <x v="7"/>
          </reference>
        </references>
      </pivotArea>
    </format>
    <format dxfId="295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24"/>
          </reference>
          <reference field="25" count="1">
            <x v="7"/>
          </reference>
        </references>
      </pivotArea>
    </format>
    <format dxfId="295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24"/>
          </reference>
          <reference field="25" count="1">
            <x v="7"/>
          </reference>
        </references>
      </pivotArea>
    </format>
    <format dxfId="295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24"/>
          </reference>
          <reference field="25" count="1">
            <x v="7"/>
          </reference>
        </references>
      </pivotArea>
    </format>
    <format dxfId="294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26"/>
          </reference>
          <reference field="25" count="1">
            <x v="7"/>
          </reference>
        </references>
      </pivotArea>
    </format>
    <format dxfId="294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426"/>
          </reference>
          <reference field="25" count="1">
            <x v="7"/>
          </reference>
        </references>
      </pivotArea>
    </format>
    <format dxfId="294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26"/>
          </reference>
          <reference field="25" count="1">
            <x v="7"/>
          </reference>
        </references>
      </pivotArea>
    </format>
    <format dxfId="294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26"/>
          </reference>
          <reference field="25" count="1">
            <x v="7"/>
          </reference>
        </references>
      </pivotArea>
    </format>
    <format dxfId="294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27"/>
          </reference>
          <reference field="25" count="1">
            <x v="7"/>
          </reference>
        </references>
      </pivotArea>
    </format>
    <format dxfId="294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27"/>
          </reference>
          <reference field="25" count="1">
            <x v="7"/>
          </reference>
        </references>
      </pivotArea>
    </format>
    <format dxfId="294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27"/>
          </reference>
          <reference field="25" count="1">
            <x v="7"/>
          </reference>
        </references>
      </pivotArea>
    </format>
    <format dxfId="294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35"/>
          </reference>
          <reference field="25" count="1">
            <x v="7"/>
          </reference>
        </references>
      </pivotArea>
    </format>
    <format dxfId="294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435"/>
          </reference>
          <reference field="25" count="1">
            <x v="7"/>
          </reference>
        </references>
      </pivotArea>
    </format>
    <format dxfId="294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35"/>
          </reference>
          <reference field="25" count="1">
            <x v="7"/>
          </reference>
        </references>
      </pivotArea>
    </format>
    <format dxfId="293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435"/>
          </reference>
          <reference field="25" count="1">
            <x v="7"/>
          </reference>
        </references>
      </pivotArea>
    </format>
    <format dxfId="293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35"/>
          </reference>
          <reference field="25" count="1">
            <x v="7"/>
          </reference>
        </references>
      </pivotArea>
    </format>
    <format dxfId="293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35"/>
          </reference>
          <reference field="25" count="1">
            <x v="7"/>
          </reference>
        </references>
      </pivotArea>
    </format>
    <format dxfId="293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37"/>
          </reference>
          <reference field="25" count="1">
            <x v="7"/>
          </reference>
        </references>
      </pivotArea>
    </format>
    <format dxfId="293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437"/>
          </reference>
          <reference field="25" count="1">
            <x v="7"/>
          </reference>
        </references>
      </pivotArea>
    </format>
    <format dxfId="293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37"/>
          </reference>
          <reference field="25" count="1">
            <x v="7"/>
          </reference>
        </references>
      </pivotArea>
    </format>
    <format dxfId="293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37"/>
          </reference>
          <reference field="25" count="1">
            <x v="7"/>
          </reference>
        </references>
      </pivotArea>
    </format>
    <format dxfId="293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38"/>
          </reference>
          <reference field="25" count="1">
            <x v="7"/>
          </reference>
        </references>
      </pivotArea>
    </format>
    <format dxfId="293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438"/>
          </reference>
          <reference field="25" count="1">
            <x v="7"/>
          </reference>
        </references>
      </pivotArea>
    </format>
    <format dxfId="293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38"/>
          </reference>
          <reference field="25" count="1">
            <x v="7"/>
          </reference>
        </references>
      </pivotArea>
    </format>
    <format dxfId="292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38"/>
          </reference>
          <reference field="25" count="1">
            <x v="7"/>
          </reference>
        </references>
      </pivotArea>
    </format>
    <format dxfId="292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39"/>
          </reference>
          <reference field="25" count="1">
            <x v="7"/>
          </reference>
        </references>
      </pivotArea>
    </format>
    <format dxfId="292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39"/>
          </reference>
          <reference field="25" count="1">
            <x v="7"/>
          </reference>
        </references>
      </pivotArea>
    </format>
    <format dxfId="292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39"/>
          </reference>
          <reference field="25" count="1">
            <x v="7"/>
          </reference>
        </references>
      </pivotArea>
    </format>
    <format dxfId="292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35"/>
          </reference>
          <reference field="25" count="1">
            <x v="7"/>
          </reference>
        </references>
      </pivotArea>
    </format>
    <format dxfId="292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435"/>
          </reference>
          <reference field="25" count="1">
            <x v="7"/>
          </reference>
        </references>
      </pivotArea>
    </format>
    <format dxfId="2923">
      <pivotArea dataOnly="0" labelOnly="1" offset="IV1" fieldPosition="0">
        <references count="1">
          <reference field="8" count="1">
            <x v="435"/>
          </reference>
        </references>
      </pivotArea>
    </format>
    <format dxfId="292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44"/>
          </reference>
          <reference field="25" count="1">
            <x v="7"/>
          </reference>
        </references>
      </pivotArea>
    </format>
    <format dxfId="292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444"/>
          </reference>
          <reference field="25" count="1">
            <x v="7"/>
          </reference>
        </references>
      </pivotArea>
    </format>
    <format dxfId="292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44"/>
          </reference>
          <reference field="25" count="1">
            <x v="7"/>
          </reference>
        </references>
      </pivotArea>
    </format>
    <format dxfId="291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9"/>
          </reference>
          <reference field="8" count="1" selected="0">
            <x v="444"/>
          </reference>
          <reference field="25" count="1">
            <x v="7"/>
          </reference>
        </references>
      </pivotArea>
    </format>
    <format dxfId="291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32"/>
          </reference>
          <reference field="8" count="1" selected="0">
            <x v="444"/>
          </reference>
          <reference field="25" count="1">
            <x v="7"/>
          </reference>
        </references>
      </pivotArea>
    </format>
    <format dxfId="291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45"/>
          </reference>
          <reference field="25" count="1">
            <x v="7"/>
          </reference>
        </references>
      </pivotArea>
    </format>
    <format dxfId="291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445"/>
          </reference>
          <reference field="25" count="1">
            <x v="7"/>
          </reference>
        </references>
      </pivotArea>
    </format>
    <format dxfId="291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45"/>
          </reference>
          <reference field="25" count="1">
            <x v="7"/>
          </reference>
        </references>
      </pivotArea>
    </format>
    <format dxfId="291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45"/>
          </reference>
          <reference field="25" count="1">
            <x v="7"/>
          </reference>
        </references>
      </pivotArea>
    </format>
    <format dxfId="291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46"/>
          </reference>
          <reference field="25" count="1">
            <x v="7"/>
          </reference>
        </references>
      </pivotArea>
    </format>
    <format dxfId="291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446"/>
          </reference>
          <reference field="25" count="1">
            <x v="7"/>
          </reference>
        </references>
      </pivotArea>
    </format>
    <format dxfId="291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46"/>
          </reference>
          <reference field="25" count="1">
            <x v="7"/>
          </reference>
        </references>
      </pivotArea>
    </format>
    <format dxfId="291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46"/>
          </reference>
          <reference field="25" count="1">
            <x v="7"/>
          </reference>
        </references>
      </pivotArea>
    </format>
    <format dxfId="290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52"/>
          </reference>
          <reference field="25" count="1">
            <x v="7"/>
          </reference>
        </references>
      </pivotArea>
    </format>
    <format dxfId="290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452"/>
          </reference>
          <reference field="25" count="1">
            <x v="7"/>
          </reference>
        </references>
      </pivotArea>
    </format>
    <format dxfId="290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52"/>
          </reference>
          <reference field="25" count="1">
            <x v="7"/>
          </reference>
        </references>
      </pivotArea>
    </format>
    <format dxfId="290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52"/>
          </reference>
          <reference field="25" count="1">
            <x v="7"/>
          </reference>
        </references>
      </pivotArea>
    </format>
    <format dxfId="290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54"/>
          </reference>
          <reference field="25" count="1">
            <x v="7"/>
          </reference>
        </references>
      </pivotArea>
    </format>
    <format dxfId="290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54"/>
          </reference>
          <reference field="25" count="1">
            <x v="7"/>
          </reference>
        </references>
      </pivotArea>
    </format>
    <format dxfId="290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54"/>
          </reference>
          <reference field="25" count="1">
            <x v="7"/>
          </reference>
        </references>
      </pivotArea>
    </format>
    <format dxfId="290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58"/>
          </reference>
          <reference field="25" count="1">
            <x v="7"/>
          </reference>
        </references>
      </pivotArea>
    </format>
    <format dxfId="290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458"/>
          </reference>
          <reference field="25" count="1">
            <x v="7"/>
          </reference>
        </references>
      </pivotArea>
    </format>
    <format dxfId="290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58"/>
          </reference>
          <reference field="25" count="1">
            <x v="7"/>
          </reference>
        </references>
      </pivotArea>
    </format>
    <format dxfId="289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58"/>
          </reference>
          <reference field="25" count="1">
            <x v="7"/>
          </reference>
        </references>
      </pivotArea>
    </format>
    <format dxfId="289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60"/>
          </reference>
          <reference field="25" count="1">
            <x v="7"/>
          </reference>
        </references>
      </pivotArea>
    </format>
    <format dxfId="289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460"/>
          </reference>
          <reference field="25" count="1">
            <x v="7"/>
          </reference>
        </references>
      </pivotArea>
    </format>
    <format dxfId="289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60"/>
          </reference>
          <reference field="25" count="1">
            <x v="7"/>
          </reference>
        </references>
      </pivotArea>
    </format>
    <format dxfId="289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60"/>
          </reference>
          <reference field="25" count="1">
            <x v="7"/>
          </reference>
        </references>
      </pivotArea>
    </format>
    <format dxfId="289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61"/>
          </reference>
          <reference field="25" count="1">
            <x v="7"/>
          </reference>
        </references>
      </pivotArea>
    </format>
    <format dxfId="289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61"/>
          </reference>
          <reference field="25" count="1">
            <x v="7"/>
          </reference>
        </references>
      </pivotArea>
    </format>
    <format dxfId="289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61"/>
          </reference>
          <reference field="25" count="1">
            <x v="7"/>
          </reference>
        </references>
      </pivotArea>
    </format>
    <format dxfId="289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  <reference field="8" count="1" selected="0">
            <x v="462"/>
          </reference>
          <reference field="25" count="1">
            <x v="7"/>
          </reference>
        </references>
      </pivotArea>
    </format>
    <format dxfId="289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9"/>
          </reference>
          <reference field="8" count="1" selected="0">
            <x v="462"/>
          </reference>
          <reference field="25" count="1">
            <x v="7"/>
          </reference>
        </references>
      </pivotArea>
    </format>
    <format dxfId="288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32"/>
          </reference>
          <reference field="8" count="1" selected="0">
            <x v="462"/>
          </reference>
          <reference field="25" count="1">
            <x v="7"/>
          </reference>
        </references>
      </pivotArea>
    </format>
    <format dxfId="288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72"/>
          </reference>
          <reference field="25" count="1">
            <x v="7"/>
          </reference>
        </references>
      </pivotArea>
    </format>
    <format dxfId="288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72"/>
          </reference>
          <reference field="25" count="1">
            <x v="7"/>
          </reference>
        </references>
      </pivotArea>
    </format>
    <format dxfId="288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72"/>
          </reference>
          <reference field="25" count="1">
            <x v="7"/>
          </reference>
        </references>
      </pivotArea>
    </format>
    <format dxfId="288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73"/>
          </reference>
          <reference field="25" count="1">
            <x v="7"/>
          </reference>
        </references>
      </pivotArea>
    </format>
    <format dxfId="288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73"/>
          </reference>
          <reference field="25" count="1">
            <x v="7"/>
          </reference>
        </references>
      </pivotArea>
    </format>
    <format dxfId="288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73"/>
          </reference>
          <reference field="25" count="1">
            <x v="7"/>
          </reference>
        </references>
      </pivotArea>
    </format>
    <format dxfId="288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74"/>
          </reference>
          <reference field="25" count="1">
            <x v="7"/>
          </reference>
        </references>
      </pivotArea>
    </format>
    <format dxfId="288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74"/>
          </reference>
          <reference field="25" count="1">
            <x v="7"/>
          </reference>
        </references>
      </pivotArea>
    </format>
    <format dxfId="288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74"/>
          </reference>
          <reference field="25" count="1">
            <x v="7"/>
          </reference>
        </references>
      </pivotArea>
    </format>
    <format dxfId="287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75"/>
          </reference>
          <reference field="25" count="1">
            <x v="7"/>
          </reference>
        </references>
      </pivotArea>
    </format>
    <format dxfId="287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75"/>
          </reference>
          <reference field="25" count="1">
            <x v="7"/>
          </reference>
        </references>
      </pivotArea>
    </format>
    <format dxfId="287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75"/>
          </reference>
          <reference field="25" count="1">
            <x v="7"/>
          </reference>
        </references>
      </pivotArea>
    </format>
    <format dxfId="287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76"/>
          </reference>
          <reference field="25" count="1">
            <x v="7"/>
          </reference>
        </references>
      </pivotArea>
    </format>
    <format dxfId="287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76"/>
          </reference>
          <reference field="25" count="1">
            <x v="7"/>
          </reference>
        </references>
      </pivotArea>
    </format>
    <format dxfId="287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76"/>
          </reference>
          <reference field="25" count="1">
            <x v="7"/>
          </reference>
        </references>
      </pivotArea>
    </format>
    <format dxfId="287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77"/>
          </reference>
          <reference field="25" count="1">
            <x v="7"/>
          </reference>
        </references>
      </pivotArea>
    </format>
    <format dxfId="287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77"/>
          </reference>
          <reference field="25" count="1">
            <x v="7"/>
          </reference>
        </references>
      </pivotArea>
    </format>
    <format dxfId="287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77"/>
          </reference>
          <reference field="25" count="1">
            <x v="7"/>
          </reference>
        </references>
      </pivotArea>
    </format>
    <format dxfId="287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86"/>
          </reference>
          <reference field="25" count="1">
            <x v="7"/>
          </reference>
        </references>
      </pivotArea>
    </format>
    <format dxfId="286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86"/>
          </reference>
          <reference field="25" count="1">
            <x v="7"/>
          </reference>
        </references>
      </pivotArea>
    </format>
    <format dxfId="286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86"/>
          </reference>
          <reference field="25" count="1">
            <x v="7"/>
          </reference>
        </references>
      </pivotArea>
    </format>
    <format dxfId="286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  <reference field="8" count="1" selected="0">
            <x v="488"/>
          </reference>
          <reference field="25" count="1">
            <x v="7"/>
          </reference>
        </references>
      </pivotArea>
    </format>
    <format dxfId="286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  <reference field="8" count="1" selected="0">
            <x v="488"/>
          </reference>
          <reference field="25" count="1">
            <x v="7"/>
          </reference>
        </references>
      </pivotArea>
    </format>
    <format dxfId="286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4"/>
          </reference>
          <reference field="8" count="1" selected="0">
            <x v="488"/>
          </reference>
          <reference field="25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ADA58-7034-4186-A102-FDE1DD2CB43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67" firstHeaderRow="0" firstDataRow="1" firstDataCol="4" rowPageCount="1" colPageCount="1"/>
  <pivotFields count="40">
    <pivotField axis="axisRow" outline="0" showAll="0" defaultSubtotal="0">
      <items count="49">
        <item x="30"/>
        <item x="14"/>
        <item x="7"/>
        <item m="1" x="33"/>
        <item x="18"/>
        <item x="17"/>
        <item x="19"/>
        <item x="20"/>
        <item x="23"/>
        <item x="22"/>
        <item x="11"/>
        <item x="1"/>
        <item x="12"/>
        <item x="2"/>
        <item x="13"/>
        <item x="0"/>
        <item m="1" x="48"/>
        <item m="1" x="34"/>
        <item x="4"/>
        <item m="1" x="45"/>
        <item x="16"/>
        <item m="1" x="44"/>
        <item m="1" x="35"/>
        <item m="1" x="36"/>
        <item x="6"/>
        <item x="5"/>
        <item x="25"/>
        <item x="9"/>
        <item m="1" x="37"/>
        <item m="1" x="47"/>
        <item x="26"/>
        <item x="8"/>
        <item x="32"/>
        <item x="28"/>
        <item x="31"/>
        <item m="1" x="46"/>
        <item x="15"/>
        <item m="1" x="41"/>
        <item m="1" x="42"/>
        <item m="1" x="43"/>
        <item m="1" x="39"/>
        <item x="29"/>
        <item m="1" x="40"/>
        <item x="21"/>
        <item m="1" x="38"/>
        <item x="24"/>
        <item x="27"/>
        <item x="10"/>
        <item x="3"/>
      </items>
    </pivotField>
    <pivotField axis="axisRow" outline="0" showAll="0" defaultSubtotal="0">
      <items count="48">
        <item x="0"/>
        <item x="13"/>
        <item x="1"/>
        <item x="4"/>
        <item m="1" x="47"/>
        <item m="1" x="34"/>
        <item x="9"/>
        <item x="11"/>
        <item x="26"/>
        <item m="1" x="37"/>
        <item m="1" x="35"/>
        <item x="16"/>
        <item m="1" x="36"/>
        <item m="1" x="45"/>
        <item m="1" x="44"/>
        <item x="18"/>
        <item m="1" x="33"/>
        <item x="19"/>
        <item x="20"/>
        <item x="8"/>
        <item x="6"/>
        <item m="1" x="46"/>
        <item x="17"/>
        <item x="22"/>
        <item x="25"/>
        <item x="2"/>
        <item x="7"/>
        <item x="14"/>
        <item x="30"/>
        <item x="32"/>
        <item x="28"/>
        <item x="31"/>
        <item x="15"/>
        <item m="1" x="41"/>
        <item m="1" x="42"/>
        <item m="1" x="43"/>
        <item m="1" x="39"/>
        <item x="29"/>
        <item m="1" x="40"/>
        <item x="21"/>
        <item m="1" x="38"/>
        <item x="24"/>
        <item x="27"/>
        <item x="10"/>
        <item x="23"/>
        <item x="5"/>
        <item x="12"/>
        <item x="3"/>
      </items>
    </pivotField>
    <pivotField showAll="0"/>
    <pivotField showAll="0"/>
    <pivotField showAll="0"/>
    <pivotField showAll="0"/>
    <pivotField showAll="0"/>
    <pivotField showAll="0"/>
    <pivotField axis="axisRow" outline="0" showAll="0" sumSubtotal="1">
      <items count="492">
        <item h="1" x="0"/>
        <item h="1" m="1" x="430"/>
        <item h="1" m="1" x="431"/>
        <item h="1" m="1" x="432"/>
        <item h="1" m="1" x="446"/>
        <item h="1" m="1" x="433"/>
        <item h="1" m="1" x="445"/>
        <item h="1" m="1" x="447"/>
        <item h="1" m="1" x="448"/>
        <item h="1" m="1" x="449"/>
        <item h="1" m="1" x="462"/>
        <item h="1" m="1" x="463"/>
        <item h="1" m="1" x="464"/>
        <item h="1" m="1" x="471"/>
        <item h="1" m="1" x="480"/>
        <item h="1" m="1" x="482"/>
        <item h="1" m="1" x="434"/>
        <item h="1" m="1" x="436"/>
        <item h="1" m="1" x="438"/>
        <item h="1" m="1" x="440"/>
        <item h="1" m="1" x="442"/>
        <item h="1" m="1" x="450"/>
        <item h="1" m="1" x="452"/>
        <item h="1" m="1" x="454"/>
        <item h="1" m="1" x="456"/>
        <item h="1" m="1" x="458"/>
        <item h="1" m="1" x="460"/>
        <item h="1" m="1" x="465"/>
        <item h="1" m="1" x="467"/>
        <item h="1" m="1" x="469"/>
        <item h="1" m="1" x="472"/>
        <item h="1" m="1" x="474"/>
        <item h="1" m="1" x="476"/>
        <item h="1" m="1" x="478"/>
        <item m="1" x="435"/>
        <item m="1" x="437"/>
        <item m="1" x="439"/>
        <item m="1" x="441"/>
        <item m="1" x="443"/>
        <item m="1" x="451"/>
        <item m="1" x="453"/>
        <item m="1" x="455"/>
        <item m="1" x="457"/>
        <item m="1" x="459"/>
        <item m="1" x="461"/>
        <item m="1" x="466"/>
        <item m="1" x="468"/>
        <item m="1" x="470"/>
        <item m="1" x="473"/>
        <item m="1" x="475"/>
        <item m="1" x="477"/>
        <item m="1" x="479"/>
        <item h="1" m="1" x="444"/>
        <item h="1" m="1" x="481"/>
        <item h="1" x="83"/>
        <item h="1" m="1" x="483"/>
        <item m="1" x="484"/>
        <item h="1" m="1" x="485"/>
        <item m="1" x="486"/>
        <item h="1" m="1" x="487"/>
        <item m="1" x="488"/>
        <item h="1" m="1" x="489"/>
        <item m="1" x="490"/>
        <item h="1" m="1" x="370"/>
        <item m="1" x="371"/>
        <item h="1" m="1" x="372"/>
        <item m="1" x="373"/>
        <item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m="1" x="382"/>
        <item h="1" m="1" x="383"/>
        <item m="1" x="384"/>
        <item h="1" m="1" x="385"/>
        <item m="1" x="386"/>
        <item h="1" m="1" x="387"/>
        <item h="1" m="1" x="388"/>
        <item h="1" m="1" x="389"/>
        <item h="1" m="1" x="390"/>
        <item m="1" x="391"/>
        <item m="1" x="392"/>
        <item h="1" m="1" x="393"/>
        <item h="1" m="1" x="394"/>
        <item h="1" m="1" x="395"/>
        <item m="1" x="396"/>
        <item h="1" m="1" x="397"/>
        <item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m="1" x="406"/>
        <item h="1" m="1" x="407"/>
        <item m="1" x="408"/>
        <item h="1" m="1" x="409"/>
        <item m="1" x="410"/>
        <item h="1" m="1" x="411"/>
        <item h="1" m="1" x="412"/>
        <item h="1" m="1" x="413"/>
        <item h="1" m="1" x="414"/>
        <item m="1" x="415"/>
        <item h="1" m="1" x="416"/>
        <item m="1" x="417"/>
        <item h="1" m="1" x="418"/>
        <item m="1" x="419"/>
        <item h="1" m="1" x="420"/>
        <item m="1" x="421"/>
        <item h="1" m="1" x="422"/>
        <item h="1" m="1" x="423"/>
        <item m="1" x="424"/>
        <item h="1" m="1" x="425"/>
        <item m="1" x="426"/>
        <item h="1" m="1" x="427"/>
        <item m="1" x="428"/>
        <item h="1" m="1" x="429"/>
        <item h="1" m="1" x="369"/>
        <item m="1" x="285"/>
        <item m="1" x="286"/>
        <item m="1" x="287"/>
        <item m="1" x="288"/>
        <item m="1" x="289"/>
        <item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m="1" x="303"/>
        <item m="1" x="304"/>
        <item m="1" x="305"/>
        <item h="1" m="1" x="306"/>
        <item h="1" m="1" x="307"/>
        <item h="1" m="1" x="308"/>
        <item h="1" m="1" x="309"/>
        <item h="1" m="1" x="310"/>
        <item h="1" m="1" x="311"/>
        <item m="1" x="312"/>
        <item h="1" m="1" x="313"/>
        <item h="1" m="1" x="314"/>
        <item m="1" x="315"/>
        <item h="1" m="1" x="316"/>
        <item m="1" x="317"/>
        <item m="1" x="318"/>
        <item h="1" m="1" x="319"/>
        <item m="1" x="320"/>
        <item h="1" m="1" x="321"/>
        <item m="1" x="322"/>
        <item h="1" m="1" x="323"/>
        <item h="1" m="1" x="324"/>
        <item h="1" m="1" x="325"/>
        <item h="1" m="1" x="326"/>
        <item h="1" m="1" x="327"/>
        <item m="1" x="328"/>
        <item m="1" x="329"/>
        <item m="1" x="330"/>
        <item h="1" m="1" x="331"/>
        <item h="1" m="1" x="332"/>
        <item h="1" m="1" x="333"/>
        <item m="1" x="334"/>
        <item h="1" m="1" x="335"/>
        <item h="1" m="1" x="336"/>
        <item h="1" m="1" x="337"/>
        <item h="1" m="1" x="338"/>
        <item h="1" m="1" x="339"/>
        <item h="1" m="1" x="340"/>
        <item m="1" x="341"/>
        <item h="1" m="1" x="342"/>
        <item m="1" x="343"/>
        <item h="1" m="1" x="344"/>
        <item m="1" x="345"/>
        <item h="1" m="1" x="346"/>
        <item m="1" x="347"/>
        <item h="1" m="1" x="348"/>
        <item m="1" x="349"/>
        <item m="1" x="350"/>
        <item h="1" m="1" x="351"/>
        <item h="1" m="1" x="352"/>
        <item h="1" m="1" x="353"/>
        <item h="1" m="1" x="354"/>
        <item h="1" m="1" x="355"/>
        <item h="1" m="1" x="356"/>
        <item m="1" x="357"/>
        <item h="1" m="1" x="358"/>
        <item m="1" x="359"/>
        <item h="1" m="1" x="360"/>
        <item m="1" x="361"/>
        <item h="1" m="1" x="362"/>
        <item m="1" x="363"/>
        <item h="1" m="1" x="364"/>
        <item h="1" m="1" x="365"/>
        <item m="1" x="366"/>
        <item h="1" m="1" x="367"/>
        <item m="1" x="368"/>
        <item h="1" m="1" x="223"/>
        <item m="1" x="224"/>
        <item m="1" x="225"/>
        <item m="1" x="226"/>
        <item m="1" x="227"/>
        <item h="1" m="1" x="228"/>
        <item h="1" m="1" x="229"/>
        <item h="1" m="1" x="230"/>
        <item h="1" m="1" x="231"/>
        <item m="1" x="232"/>
        <item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m="1" x="241"/>
        <item m="1" x="242"/>
        <item m="1" x="243"/>
        <item h="1" m="1" x="244"/>
        <item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m="1" x="253"/>
        <item h="1" m="1" x="254"/>
        <item h="1" m="1" x="255"/>
        <item h="1" m="1" x="256"/>
        <item h="1" m="1" x="257"/>
        <item h="1" m="1" x="258"/>
        <item h="1" m="1" x="259"/>
        <item m="1" x="260"/>
        <item h="1" m="1" x="261"/>
        <item m="1" x="262"/>
        <item h="1" m="1" x="263"/>
        <item m="1" x="264"/>
        <item h="1" m="1" x="265"/>
        <item m="1" x="266"/>
        <item h="1" m="1" x="267"/>
        <item m="1" x="268"/>
        <item h="1" m="1" x="269"/>
        <item m="1" x="270"/>
        <item m="1" x="271"/>
        <item m="1" x="272"/>
        <item h="1" m="1" x="273"/>
        <item h="1" m="1" x="274"/>
        <item h="1" m="1" x="275"/>
        <item h="1" m="1" x="276"/>
        <item h="1" m="1" x="277"/>
        <item h="1" m="1" x="278"/>
        <item h="1" m="1" x="279"/>
        <item m="1" x="280"/>
        <item h="1" m="1" x="281"/>
        <item h="1" m="1" x="282"/>
        <item h="1" m="1" x="283"/>
        <item m="1" x="284"/>
        <item m="1" x="152"/>
        <item m="1" x="153"/>
        <item m="1" x="154"/>
        <item m="1" x="155"/>
        <item h="1" m="1" x="156"/>
        <item m="1" x="157"/>
        <item m="1" x="158"/>
        <item m="1" x="159"/>
        <item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m="1" x="173"/>
        <item h="1" m="1" x="174"/>
        <item h="1" m="1" x="175"/>
        <item m="1" x="176"/>
        <item m="1" x="177"/>
        <item m="1" x="178"/>
        <item h="1" m="1" x="179"/>
        <item h="1" m="1" x="180"/>
        <item h="1" m="1" x="181"/>
        <item h="1" m="1" x="182"/>
        <item h="1" m="1" x="183"/>
        <item h="1" m="1" x="184"/>
        <item h="1" m="1" x="185"/>
        <item h="1" m="1" x="186"/>
        <item m="1" x="187"/>
        <item h="1" m="1" x="188"/>
        <item h="1" m="1" x="189"/>
        <item h="1" m="1" x="190"/>
        <item m="1" x="191"/>
        <item h="1" m="1" x="192"/>
        <item h="1" m="1" x="193"/>
        <item m="1" x="194"/>
        <item h="1" m="1" x="195"/>
        <item m="1" x="196"/>
        <item h="1" m="1" x="197"/>
        <item m="1" x="198"/>
        <item h="1" m="1" x="199"/>
        <item m="1" x="200"/>
        <item h="1" m="1" x="201"/>
        <item m="1" x="202"/>
        <item h="1" m="1" x="203"/>
        <item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m="1" x="214"/>
        <item h="1" m="1" x="215"/>
        <item h="1" m="1" x="216"/>
        <item h="1" m="1" x="217"/>
        <item m="1" x="218"/>
        <item m="1" x="219"/>
        <item m="1" x="220"/>
        <item h="1" m="1" x="221"/>
        <item m="1" x="222"/>
        <item h="1" m="1" x="84"/>
        <item h="1" m="1" x="85"/>
        <item h="1" m="1" x="86"/>
        <item h="1" m="1" x="87"/>
        <item m="1" x="88"/>
        <item h="1" m="1" x="89"/>
        <item m="1" x="90"/>
        <item h="1" m="1" x="91"/>
        <item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m="1" x="101"/>
        <item m="1" x="102"/>
        <item m="1" x="103"/>
        <item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m="1" x="112"/>
        <item m="1" x="113"/>
        <item m="1" x="114"/>
        <item m="1" x="115"/>
        <item h="1" m="1" x="116"/>
        <item h="1" m="1" x="117"/>
        <item h="1" m="1" x="118"/>
        <item h="1" m="1" x="119"/>
        <item h="1" m="1" x="120"/>
        <item m="1" x="121"/>
        <item h="1" m="1" x="122"/>
        <item m="1" x="123"/>
        <item h="1" m="1" x="124"/>
        <item h="1" m="1" x="125"/>
        <item m="1" x="126"/>
        <item h="1" m="1" x="127"/>
        <item m="1" x="128"/>
        <item h="1" m="1" x="129"/>
        <item m="1" x="130"/>
        <item h="1" m="1" x="131"/>
        <item h="1" m="1" x="132"/>
        <item m="1" x="133"/>
        <item m="1" x="134"/>
        <item h="1" m="1" x="135"/>
        <item h="1" m="1" x="136"/>
        <item h="1" m="1" x="137"/>
        <item m="1" x="138"/>
        <item h="1" m="1" x="139"/>
        <item m="1" x="140"/>
        <item h="1" m="1" x="141"/>
        <item h="1" m="1" x="142"/>
        <item m="1" x="143"/>
        <item h="1" m="1" x="144"/>
        <item h="1" m="1" x="145"/>
        <item h="1" m="1" x="146"/>
        <item m="1" x="147"/>
        <item h="1" m="1" x="148"/>
        <item h="1" m="1" x="149"/>
        <item h="1" m="1" x="150"/>
        <item m="1" x="151"/>
        <item h="1" x="1"/>
        <item x="2"/>
        <item h="1" x="3"/>
        <item h="1" x="4"/>
        <item h="1" x="5"/>
        <item h="1" x="6"/>
        <item h="1" x="7"/>
        <item h="1" x="8"/>
        <item x="9"/>
        <item h="1" x="10"/>
        <item h="1" x="11"/>
        <item x="12"/>
        <item h="1" x="13"/>
        <item h="1" x="14"/>
        <item x="15"/>
        <item h="1" x="16"/>
        <item x="17"/>
        <item h="1" x="18"/>
        <item h="1" x="19"/>
        <item h="1" x="20"/>
        <item h="1" x="21"/>
        <item h="1" x="22"/>
        <item h="1" x="23"/>
        <item h="1" x="24"/>
        <item x="25"/>
        <item x="26"/>
        <item h="1" x="27"/>
        <item x="28"/>
        <item h="1" x="29"/>
        <item h="1" x="30"/>
        <item h="1" x="31"/>
        <item x="32"/>
        <item x="33"/>
        <item x="34"/>
        <item h="1" x="35"/>
        <item h="1" x="36"/>
        <item h="1" x="37"/>
        <item h="1" x="38"/>
        <item h="1" x="39"/>
        <item x="40"/>
        <item h="1" x="41"/>
        <item x="42"/>
        <item h="1" x="43"/>
        <item h="1" x="44"/>
        <item x="45"/>
        <item h="1" x="46"/>
        <item x="47"/>
        <item h="1" x="48"/>
        <item h="1" x="49"/>
        <item h="1" x="50"/>
        <item x="51"/>
        <item h="1" x="52"/>
        <item h="1" x="53"/>
        <item h="1" x="54"/>
        <item x="55"/>
        <item x="56"/>
        <item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x="70"/>
        <item x="71"/>
        <item x="72"/>
        <item x="73"/>
        <item x="74"/>
        <item x="75"/>
        <item h="1" x="76"/>
        <item h="1" x="77"/>
        <item h="1" x="78"/>
        <item x="79"/>
        <item h="1" x="80"/>
        <item x="81"/>
        <item h="1" x="82"/>
        <item t="sum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4"/>
        <item x="1"/>
        <item x="5"/>
        <item x="3"/>
        <item x="0"/>
        <item x="6"/>
        <item x="7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0"/>
        <item h="1" x="3"/>
        <item h="1" x="4"/>
        <item x="2"/>
        <item h="1"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4">
    <field x="8"/>
    <field x="0"/>
    <field x="1"/>
    <field x="25"/>
  </rowFields>
  <rowItems count="164">
    <i>
      <x v="410"/>
      <x v="10"/>
      <x v="7"/>
      <x v="5"/>
    </i>
    <i r="1">
      <x v="15"/>
      <x/>
      <x v="5"/>
    </i>
    <i r="1">
      <x v="18"/>
      <x v="3"/>
      <x v="5"/>
    </i>
    <i r="1">
      <x v="27"/>
      <x v="6"/>
      <x/>
    </i>
    <i r="1">
      <x v="33"/>
      <x v="30"/>
      <x v="4"/>
    </i>
    <i t="sum">
      <x v="410"/>
    </i>
    <i>
      <x v="417"/>
      <x v="9"/>
      <x v="23"/>
      <x v="4"/>
    </i>
    <i r="1">
      <x v="10"/>
      <x v="7"/>
      <x v="5"/>
    </i>
    <i r="1">
      <x v="11"/>
      <x v="2"/>
      <x v="5"/>
    </i>
    <i r="1">
      <x v="13"/>
      <x v="25"/>
      <x v="5"/>
    </i>
    <i r="1">
      <x v="24"/>
      <x v="20"/>
      <x/>
    </i>
    <i t="sum">
      <x v="417"/>
    </i>
    <i>
      <x v="420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20"/>
    </i>
    <i>
      <x v="423"/>
      <x v="10"/>
      <x v="7"/>
      <x v="5"/>
    </i>
    <i r="1">
      <x v="15"/>
      <x/>
      <x v="5"/>
    </i>
    <i r="1">
      <x v="18"/>
      <x v="3"/>
      <x v="5"/>
    </i>
    <i r="1">
      <x v="26"/>
      <x v="24"/>
      <x/>
    </i>
    <i r="1">
      <x v="45"/>
      <x v="41"/>
      <x v="4"/>
    </i>
    <i r="1">
      <x v="48"/>
      <x v="47"/>
      <x v="2"/>
    </i>
    <i t="sum">
      <x v="423"/>
    </i>
    <i>
      <x v="425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25"/>
    </i>
    <i>
      <x v="433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33"/>
    </i>
    <i>
      <x v="434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34"/>
    </i>
    <i>
      <x v="436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36"/>
    </i>
    <i>
      <x v="440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40"/>
    </i>
    <i>
      <x v="441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41"/>
    </i>
    <i>
      <x v="442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42"/>
    </i>
    <i>
      <x v="448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48"/>
    </i>
    <i>
      <x v="450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50"/>
    </i>
    <i>
      <x v="453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53"/>
    </i>
    <i>
      <x v="455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55"/>
    </i>
    <i>
      <x v="459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59"/>
    </i>
    <i>
      <x v="463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63"/>
    </i>
    <i>
      <x v="464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64"/>
    </i>
    <i>
      <x v="465"/>
      <x v="10"/>
      <x v="7"/>
      <x v="5"/>
    </i>
    <i r="1">
      <x v="15"/>
      <x/>
      <x v="5"/>
    </i>
    <i r="1">
      <x v="18"/>
      <x v="3"/>
      <x v="5"/>
    </i>
    <i r="1">
      <x v="33"/>
      <x v="30"/>
      <x v="4"/>
    </i>
    <i r="1">
      <x v="41"/>
      <x v="37"/>
      <x/>
    </i>
    <i t="sum">
      <x v="465"/>
    </i>
    <i>
      <x v="478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78"/>
    </i>
    <i>
      <x v="479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79"/>
    </i>
    <i>
      <x v="480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80"/>
    </i>
    <i>
      <x v="481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81"/>
    </i>
    <i>
      <x v="482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82"/>
    </i>
    <i>
      <x v="483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83"/>
    </i>
    <i>
      <x v="487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87"/>
    </i>
    <i>
      <x v="489"/>
      <x v="8"/>
      <x v="44"/>
      <x v="4"/>
    </i>
    <i r="1">
      <x v="10"/>
      <x v="7"/>
      <x v="5"/>
    </i>
    <i r="1">
      <x v="12"/>
      <x v="46"/>
      <x v="5"/>
    </i>
    <i r="1">
      <x v="14"/>
      <x v="1"/>
      <x v="5"/>
    </i>
    <i r="1">
      <x v="25"/>
      <x v="45"/>
      <x/>
    </i>
    <i t="sum">
      <x v="489"/>
    </i>
    <i t="grand">
      <x/>
    </i>
  </rowItems>
  <colFields count="1">
    <field x="-2"/>
  </colFields>
  <colItems count="2">
    <i>
      <x/>
    </i>
    <i i="1">
      <x v="1"/>
    </i>
  </colItems>
  <pageFields count="1">
    <pageField fld="33" hier="-1"/>
  </pageFields>
  <dataFields count="2">
    <dataField name="Sum of Quantity in UnE" fld="26" baseField="0" baseItem="0"/>
    <dataField name="Sum of Amt.in Loc.Cur." fld="27" baseField="0" baseItem="0"/>
  </dataFields>
  <formats count="1144">
    <format dxfId="286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66"/>
          </reference>
          <reference field="25" count="1">
            <x v="4"/>
          </reference>
        </references>
      </pivotArea>
    </format>
    <format dxfId="286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66"/>
          </reference>
          <reference field="25" count="1">
            <x v="5"/>
          </reference>
        </references>
      </pivotArea>
    </format>
    <format dxfId="2862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>
            <x v="46"/>
          </reference>
          <reference field="8" count="1" selected="0">
            <x v="66"/>
          </reference>
        </references>
      </pivotArea>
    </format>
    <format dxfId="286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66"/>
          </reference>
          <reference field="25" count="1">
            <x v="5"/>
          </reference>
        </references>
      </pivotArea>
    </format>
    <format dxfId="286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66"/>
          </reference>
          <reference field="25" count="1">
            <x v="0"/>
          </reference>
        </references>
      </pivotArea>
    </format>
    <format dxfId="285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64"/>
          </reference>
          <reference field="25" count="1">
            <x v="4"/>
          </reference>
        </references>
      </pivotArea>
    </format>
    <format dxfId="285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64"/>
          </reference>
          <reference field="25" count="1">
            <x v="5"/>
          </reference>
        </references>
      </pivotArea>
    </format>
    <format dxfId="2857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1" count="1">
            <x v="46"/>
          </reference>
          <reference field="8" count="1" selected="0">
            <x v="64"/>
          </reference>
        </references>
      </pivotArea>
    </format>
    <format dxfId="285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64"/>
          </reference>
          <reference field="25" count="1">
            <x v="5"/>
          </reference>
        </references>
      </pivotArea>
    </format>
    <format dxfId="285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64"/>
          </reference>
          <reference field="25" count="1">
            <x v="0"/>
          </reference>
        </references>
      </pivotArea>
    </format>
    <format dxfId="2854">
      <pivotArea dataOnly="0" labelOnly="1" offset="IV256" fieldPosition="0">
        <references count="1">
          <reference field="8" count="1" sumSubtotal="1">
            <x v="64"/>
          </reference>
        </references>
      </pivotArea>
    </format>
    <format dxfId="2853">
      <pivotArea dataOnly="0" labelOnly="1" fieldPosition="0">
        <references count="4">
          <reference field="0" count="1" selected="0">
            <x v="8"/>
          </reference>
          <reference field="1" count="1" selected="0">
            <x v="44"/>
          </reference>
          <reference field="8" count="1" selected="0">
            <x v="64"/>
          </reference>
          <reference field="25" count="1">
            <x v="4"/>
          </reference>
        </references>
      </pivotArea>
    </format>
    <format dxfId="2852">
      <pivotArea dataOnly="0" labelOnly="1" fieldPosition="0">
        <references count="4">
          <reference field="0" count="1" selected="0">
            <x v="10"/>
          </reference>
          <reference field="1" count="1" selected="0">
            <x v="7"/>
          </reference>
          <reference field="8" count="1" selected="0">
            <x v="64"/>
          </reference>
          <reference field="25" count="1">
            <x v="5"/>
          </reference>
        </references>
      </pivotArea>
    </format>
    <format dxfId="2851">
      <pivotArea dataOnly="0" labelOnly="1" fieldPosition="0">
        <references count="4">
          <reference field="0" count="1" selected="0">
            <x v="14"/>
          </reference>
          <reference field="1" count="1" selected="0">
            <x v="1"/>
          </reference>
          <reference field="8" count="1" selected="0">
            <x v="64"/>
          </reference>
          <reference field="25" count="1">
            <x v="5"/>
          </reference>
        </references>
      </pivotArea>
    </format>
    <format dxfId="2850">
      <pivotArea dataOnly="0" labelOnly="1" fieldPosition="0">
        <references count="4">
          <reference field="0" count="1" selected="0">
            <x v="25"/>
          </reference>
          <reference field="1" count="1" selected="0">
            <x v="45"/>
          </reference>
          <reference field="8" count="1" selected="0">
            <x v="64"/>
          </reference>
          <reference field="25" count="1">
            <x v="0"/>
          </reference>
        </references>
      </pivotArea>
    </format>
    <format dxfId="2849">
      <pivotArea dataOnly="0" labelOnly="1" fieldPosition="0">
        <references count="4">
          <reference field="0" count="1" selected="0">
            <x v="8"/>
          </reference>
          <reference field="1" count="1" selected="0">
            <x v="44"/>
          </reference>
          <reference field="8" count="1" selected="0">
            <x v="66"/>
          </reference>
          <reference field="25" count="1">
            <x v="4"/>
          </reference>
        </references>
      </pivotArea>
    </format>
    <format dxfId="2848">
      <pivotArea dataOnly="0" labelOnly="1" fieldPosition="0">
        <references count="4">
          <reference field="0" count="1" selected="0">
            <x v="10"/>
          </reference>
          <reference field="1" count="1" selected="0">
            <x v="7"/>
          </reference>
          <reference field="8" count="1" selected="0">
            <x v="66"/>
          </reference>
          <reference field="25" count="1">
            <x v="5"/>
          </reference>
        </references>
      </pivotArea>
    </format>
    <format dxfId="2847">
      <pivotArea dataOnly="0" labelOnly="1" fieldPosition="0">
        <references count="4">
          <reference field="0" count="1" selected="0">
            <x v="14"/>
          </reference>
          <reference field="1" count="1" selected="0">
            <x v="1"/>
          </reference>
          <reference field="8" count="1" selected="0">
            <x v="66"/>
          </reference>
          <reference field="25" count="1">
            <x v="5"/>
          </reference>
        </references>
      </pivotArea>
    </format>
    <format dxfId="2846">
      <pivotArea dataOnly="0" labelOnly="1" fieldPosition="0">
        <references count="4">
          <reference field="0" count="1" selected="0">
            <x v="25"/>
          </reference>
          <reference field="1" count="1" selected="0">
            <x v="45"/>
          </reference>
          <reference field="8" count="1" selected="0">
            <x v="66"/>
          </reference>
          <reference field="25" count="1">
            <x v="0"/>
          </reference>
        </references>
      </pivotArea>
    </format>
    <format dxfId="284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66"/>
          </reference>
          <reference field="25" count="1">
            <x v="5"/>
          </reference>
        </references>
      </pivotArea>
    </format>
    <format dxfId="284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64"/>
          </reference>
          <reference field="25" count="1">
            <x v="5"/>
          </reference>
        </references>
      </pivotArea>
    </format>
    <format dxfId="2843">
      <pivotArea collapsedLevelsAreSubtotals="1" fieldPosition="0">
        <references count="4">
          <reference field="0" count="1" selected="0">
            <x v="14"/>
          </reference>
          <reference field="1" count="1" selected="0">
            <x v="1"/>
          </reference>
          <reference field="8" count="1" selected="0">
            <x v="66"/>
          </reference>
          <reference field="25" count="1">
            <x v="5"/>
          </reference>
        </references>
      </pivotArea>
    </format>
    <format dxfId="2842">
      <pivotArea dataOnly="0" labelOnly="1" fieldPosition="0">
        <references count="4">
          <reference field="0" count="1" selected="0">
            <x v="12"/>
          </reference>
          <reference field="1" count="1" selected="0">
            <x v="46"/>
          </reference>
          <reference field="8" count="1" selected="0">
            <x v="66"/>
          </reference>
          <reference field="25" count="1">
            <x v="5"/>
          </reference>
        </references>
      </pivotArea>
    </format>
    <format dxfId="2841">
      <pivotArea dataOnly="0" labelOnly="1" fieldPosition="0">
        <references count="4">
          <reference field="0" count="1" selected="0">
            <x v="14"/>
          </reference>
          <reference field="1" count="1" selected="0">
            <x v="1"/>
          </reference>
          <reference field="8" count="1" selected="0">
            <x v="66"/>
          </reference>
          <reference field="25" count="1">
            <x v="5"/>
          </reference>
        </references>
      </pivotArea>
    </format>
    <format dxfId="284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66"/>
          </reference>
          <reference field="25" count="1">
            <x v="5"/>
          </reference>
        </references>
      </pivotArea>
    </format>
    <format dxfId="283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66"/>
          </reference>
          <reference field="25" count="1">
            <x v="5"/>
          </reference>
        </references>
      </pivotArea>
    </format>
    <format dxfId="2838">
      <pivotArea collapsedLevelsAreSubtotals="1" fieldPosition="0">
        <references count="5">
          <reference field="4294967294" count="1" selected="0">
            <x v="1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66"/>
          </reference>
          <reference field="25" count="1">
            <x v="5"/>
          </reference>
        </references>
      </pivotArea>
    </format>
    <format dxfId="283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67"/>
          </reference>
          <reference field="25" count="1">
            <x v="4"/>
          </reference>
        </references>
      </pivotArea>
    </format>
    <format dxfId="283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67"/>
          </reference>
          <reference field="25" count="1">
            <x v="5"/>
          </reference>
        </references>
      </pivotArea>
    </format>
    <format dxfId="283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67"/>
          </reference>
          <reference field="25" count="1">
            <x v="5"/>
          </reference>
        </references>
      </pivotArea>
    </format>
    <format dxfId="283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67"/>
          </reference>
          <reference field="25" count="1">
            <x v="5"/>
          </reference>
        </references>
      </pivotArea>
    </format>
    <format dxfId="283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67"/>
          </reference>
          <reference field="25" count="1">
            <x v="0"/>
          </reference>
        </references>
      </pivotArea>
    </format>
    <format dxfId="283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75"/>
          </reference>
          <reference field="25" count="1">
            <x v="4"/>
          </reference>
        </references>
      </pivotArea>
    </format>
    <format dxfId="283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75"/>
          </reference>
          <reference field="25" count="1">
            <x v="5"/>
          </reference>
        </references>
      </pivotArea>
    </format>
    <format dxfId="283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75"/>
          </reference>
          <reference field="25" count="1">
            <x v="5"/>
          </reference>
        </references>
      </pivotArea>
    </format>
    <format dxfId="282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75"/>
          </reference>
          <reference field="25" count="1">
            <x v="5"/>
          </reference>
        </references>
      </pivotArea>
    </format>
    <format dxfId="282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75"/>
          </reference>
          <reference field="25" count="1">
            <x v="0"/>
          </reference>
        </references>
      </pivotArea>
    </format>
    <format dxfId="282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77"/>
          </reference>
          <reference field="25" count="1">
            <x v="4"/>
          </reference>
        </references>
      </pivotArea>
    </format>
    <format dxfId="282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77"/>
          </reference>
          <reference field="25" count="1">
            <x v="5"/>
          </reference>
        </references>
      </pivotArea>
    </format>
    <format dxfId="282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77"/>
          </reference>
          <reference field="25" count="1">
            <x v="5"/>
          </reference>
        </references>
      </pivotArea>
    </format>
    <format dxfId="282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77"/>
          </reference>
          <reference field="25" count="1">
            <x v="5"/>
          </reference>
        </references>
      </pivotArea>
    </format>
    <format dxfId="282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77"/>
          </reference>
          <reference field="25" count="1">
            <x v="0"/>
          </reference>
        </references>
      </pivotArea>
    </format>
    <format dxfId="282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79"/>
          </reference>
          <reference field="25" count="1">
            <x v="4"/>
          </reference>
        </references>
      </pivotArea>
    </format>
    <format dxfId="282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79"/>
          </reference>
          <reference field="25" count="1">
            <x v="5"/>
          </reference>
        </references>
      </pivotArea>
    </format>
    <format dxfId="282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79"/>
          </reference>
          <reference field="25" count="1">
            <x v="5"/>
          </reference>
        </references>
      </pivotArea>
    </format>
    <format dxfId="281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79"/>
          </reference>
          <reference field="25" count="1">
            <x v="5"/>
          </reference>
        </references>
      </pivotArea>
    </format>
    <format dxfId="281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79"/>
          </reference>
          <reference field="25" count="1">
            <x v="0"/>
          </reference>
        </references>
      </pivotArea>
    </format>
    <format dxfId="281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84"/>
          </reference>
          <reference field="25" count="1">
            <x v="4"/>
          </reference>
        </references>
      </pivotArea>
    </format>
    <format dxfId="281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84"/>
          </reference>
          <reference field="25" count="1">
            <x v="5"/>
          </reference>
        </references>
      </pivotArea>
    </format>
    <format dxfId="281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84"/>
          </reference>
          <reference field="25" count="1">
            <x v="5"/>
          </reference>
        </references>
      </pivotArea>
    </format>
    <format dxfId="281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84"/>
          </reference>
          <reference field="25" count="1">
            <x v="5"/>
          </reference>
        </references>
      </pivotArea>
    </format>
    <format dxfId="281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84"/>
          </reference>
          <reference field="25" count="1">
            <x v="0"/>
          </reference>
        </references>
      </pivotArea>
    </format>
    <format dxfId="281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85"/>
          </reference>
          <reference field="25" count="1">
            <x v="4"/>
          </reference>
        </references>
      </pivotArea>
    </format>
    <format dxfId="281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85"/>
          </reference>
          <reference field="25" count="1">
            <x v="5"/>
          </reference>
        </references>
      </pivotArea>
    </format>
    <format dxfId="281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85"/>
          </reference>
          <reference field="25" count="1">
            <x v="5"/>
          </reference>
        </references>
      </pivotArea>
    </format>
    <format dxfId="280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85"/>
          </reference>
          <reference field="25" count="1">
            <x v="5"/>
          </reference>
        </references>
      </pivotArea>
    </format>
    <format dxfId="280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85"/>
          </reference>
          <reference field="25" count="1">
            <x v="0"/>
          </reference>
        </references>
      </pivotArea>
    </format>
    <format dxfId="280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89"/>
          </reference>
          <reference field="25" count="1">
            <x v="4"/>
          </reference>
        </references>
      </pivotArea>
    </format>
    <format dxfId="280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89"/>
          </reference>
          <reference field="25" count="1">
            <x v="5"/>
          </reference>
        </references>
      </pivotArea>
    </format>
    <format dxfId="280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89"/>
          </reference>
          <reference field="25" count="1">
            <x v="5"/>
          </reference>
        </references>
      </pivotArea>
    </format>
    <format dxfId="280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89"/>
          </reference>
          <reference field="25" count="1">
            <x v="5"/>
          </reference>
        </references>
      </pivotArea>
    </format>
    <format dxfId="280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89"/>
          </reference>
          <reference field="25" count="1">
            <x v="0"/>
          </reference>
        </references>
      </pivotArea>
    </format>
    <format dxfId="280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91"/>
          </reference>
          <reference field="25" count="1">
            <x v="4"/>
          </reference>
        </references>
      </pivotArea>
    </format>
    <format dxfId="280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91"/>
          </reference>
          <reference field="25" count="1">
            <x v="5"/>
          </reference>
        </references>
      </pivotArea>
    </format>
    <format dxfId="280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91"/>
          </reference>
          <reference field="25" count="1">
            <x v="5"/>
          </reference>
        </references>
      </pivotArea>
    </format>
    <format dxfId="279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91"/>
          </reference>
          <reference field="25" count="1">
            <x v="5"/>
          </reference>
        </references>
      </pivotArea>
    </format>
    <format dxfId="279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91"/>
          </reference>
          <reference field="25" count="1">
            <x v="0"/>
          </reference>
        </references>
      </pivotArea>
    </format>
    <format dxfId="279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99"/>
          </reference>
          <reference field="25" count="1">
            <x v="4"/>
          </reference>
        </references>
      </pivotArea>
    </format>
    <format dxfId="279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99"/>
          </reference>
          <reference field="25" count="1">
            <x v="5"/>
          </reference>
        </references>
      </pivotArea>
    </format>
    <format dxfId="279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99"/>
          </reference>
          <reference field="25" count="1">
            <x v="5"/>
          </reference>
        </references>
      </pivotArea>
    </format>
    <format dxfId="279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99"/>
          </reference>
          <reference field="25" count="1">
            <x v="5"/>
          </reference>
        </references>
      </pivotArea>
    </format>
    <format dxfId="279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99"/>
          </reference>
          <reference field="25" count="1">
            <x v="0"/>
          </reference>
        </references>
      </pivotArea>
    </format>
    <format dxfId="279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01"/>
          </reference>
          <reference field="25" count="1">
            <x v="4"/>
          </reference>
        </references>
      </pivotArea>
    </format>
    <format dxfId="279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01"/>
          </reference>
          <reference field="25" count="1">
            <x v="5"/>
          </reference>
        </references>
      </pivotArea>
    </format>
    <format dxfId="279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01"/>
          </reference>
          <reference field="25" count="1">
            <x v="5"/>
          </reference>
        </references>
      </pivotArea>
    </format>
    <format dxfId="278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01"/>
          </reference>
          <reference field="25" count="1">
            <x v="5"/>
          </reference>
        </references>
      </pivotArea>
    </format>
    <format dxfId="278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01"/>
          </reference>
          <reference field="25" count="1">
            <x v="0"/>
          </reference>
        </references>
      </pivotArea>
    </format>
    <format dxfId="278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03"/>
          </reference>
          <reference field="25" count="1">
            <x v="4"/>
          </reference>
        </references>
      </pivotArea>
    </format>
    <format dxfId="278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03"/>
          </reference>
          <reference field="25" count="1">
            <x v="5"/>
          </reference>
        </references>
      </pivotArea>
    </format>
    <format dxfId="278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03"/>
          </reference>
          <reference field="25" count="1">
            <x v="5"/>
          </reference>
        </references>
      </pivotArea>
    </format>
    <format dxfId="278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03"/>
          </reference>
          <reference field="25" count="1">
            <x v="5"/>
          </reference>
        </references>
      </pivotArea>
    </format>
    <format dxfId="278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03"/>
          </reference>
          <reference field="25" count="1">
            <x v="0"/>
          </reference>
        </references>
      </pivotArea>
    </format>
    <format dxfId="278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08"/>
          </reference>
          <reference field="25" count="1">
            <x v="4"/>
          </reference>
        </references>
      </pivotArea>
    </format>
    <format dxfId="278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08"/>
          </reference>
          <reference field="25" count="1">
            <x v="5"/>
          </reference>
        </references>
      </pivotArea>
    </format>
    <format dxfId="278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08"/>
          </reference>
          <reference field="25" count="1">
            <x v="5"/>
          </reference>
        </references>
      </pivotArea>
    </format>
    <format dxfId="277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08"/>
          </reference>
          <reference field="25" count="1">
            <x v="5"/>
          </reference>
        </references>
      </pivotArea>
    </format>
    <format dxfId="277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08"/>
          </reference>
          <reference field="25" count="1">
            <x v="0"/>
          </reference>
        </references>
      </pivotArea>
    </format>
    <format dxfId="277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08"/>
          </reference>
          <reference field="25" count="1">
            <x v="4"/>
          </reference>
        </references>
      </pivotArea>
    </format>
    <format dxfId="277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08"/>
          </reference>
          <reference field="25" count="1">
            <x v="5"/>
          </reference>
        </references>
      </pivotArea>
    </format>
    <format dxfId="277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08"/>
          </reference>
          <reference field="25" count="1">
            <x v="5"/>
          </reference>
        </references>
      </pivotArea>
    </format>
    <format dxfId="277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08"/>
          </reference>
          <reference field="25" count="1">
            <x v="5"/>
          </reference>
        </references>
      </pivotArea>
    </format>
    <format dxfId="277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08"/>
          </reference>
          <reference field="25" count="1">
            <x v="0"/>
          </reference>
        </references>
      </pivotArea>
    </format>
    <format dxfId="277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10"/>
          </reference>
          <reference field="25" count="1">
            <x v="4"/>
          </reference>
        </references>
      </pivotArea>
    </format>
    <format dxfId="277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10"/>
          </reference>
          <reference field="25" count="1">
            <x v="5"/>
          </reference>
        </references>
      </pivotArea>
    </format>
    <format dxfId="277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10"/>
          </reference>
          <reference field="25" count="1">
            <x v="5"/>
          </reference>
        </references>
      </pivotArea>
    </format>
    <format dxfId="276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10"/>
          </reference>
          <reference field="25" count="1">
            <x v="5"/>
          </reference>
        </references>
      </pivotArea>
    </format>
    <format dxfId="276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10"/>
          </reference>
          <reference field="25" count="1">
            <x v="0"/>
          </reference>
        </references>
      </pivotArea>
    </format>
    <format dxfId="276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12"/>
          </reference>
          <reference field="25" count="1">
            <x v="4"/>
          </reference>
        </references>
      </pivotArea>
    </format>
    <format dxfId="276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12"/>
          </reference>
          <reference field="25" count="1">
            <x v="5"/>
          </reference>
        </references>
      </pivotArea>
    </format>
    <format dxfId="276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12"/>
          </reference>
          <reference field="25" count="1">
            <x v="5"/>
          </reference>
        </references>
      </pivotArea>
    </format>
    <format dxfId="276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12"/>
          </reference>
          <reference field="25" count="1">
            <x v="5"/>
          </reference>
        </references>
      </pivotArea>
    </format>
    <format dxfId="276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12"/>
          </reference>
          <reference field="25" count="1">
            <x v="0"/>
          </reference>
        </references>
      </pivotArea>
    </format>
    <format dxfId="276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14"/>
          </reference>
          <reference field="25" count="1">
            <x v="4"/>
          </reference>
        </references>
      </pivotArea>
    </format>
    <format dxfId="276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14"/>
          </reference>
          <reference field="25" count="1">
            <x v="5"/>
          </reference>
        </references>
      </pivotArea>
    </format>
    <format dxfId="276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14"/>
          </reference>
          <reference field="25" count="1">
            <x v="5"/>
          </reference>
        </references>
      </pivotArea>
    </format>
    <format dxfId="275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14"/>
          </reference>
          <reference field="25" count="1">
            <x v="5"/>
          </reference>
        </references>
      </pivotArea>
    </format>
    <format dxfId="275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14"/>
          </reference>
          <reference field="25" count="1">
            <x v="0"/>
          </reference>
        </references>
      </pivotArea>
    </format>
    <format dxfId="275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17"/>
          </reference>
          <reference field="25" count="1">
            <x v="4"/>
          </reference>
        </references>
      </pivotArea>
    </format>
    <format dxfId="275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17"/>
          </reference>
          <reference field="25" count="1">
            <x v="5"/>
          </reference>
        </references>
      </pivotArea>
    </format>
    <format dxfId="275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17"/>
          </reference>
          <reference field="25" count="1">
            <x v="5"/>
          </reference>
        </references>
      </pivotArea>
    </format>
    <format dxfId="275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17"/>
          </reference>
          <reference field="25" count="1">
            <x v="5"/>
          </reference>
        </references>
      </pivotArea>
    </format>
    <format dxfId="275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17"/>
          </reference>
          <reference field="25" count="1">
            <x v="0"/>
          </reference>
        </references>
      </pivotArea>
    </format>
    <format dxfId="275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19"/>
          </reference>
          <reference field="25" count="1">
            <x v="4"/>
          </reference>
        </references>
      </pivotArea>
    </format>
    <format dxfId="275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19"/>
          </reference>
          <reference field="25" count="1">
            <x v="5"/>
          </reference>
        </references>
      </pivotArea>
    </format>
    <format dxfId="275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19"/>
          </reference>
          <reference field="25" count="1">
            <x v="5"/>
          </reference>
        </references>
      </pivotArea>
    </format>
    <format dxfId="274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19"/>
          </reference>
          <reference field="25" count="1">
            <x v="5"/>
          </reference>
        </references>
      </pivotArea>
    </format>
    <format dxfId="274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19"/>
          </reference>
          <reference field="25" count="1">
            <x v="0"/>
          </reference>
        </references>
      </pivotArea>
    </format>
    <format dxfId="274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21"/>
          </reference>
          <reference field="25" count="1">
            <x v="4"/>
          </reference>
        </references>
      </pivotArea>
    </format>
    <format dxfId="274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21"/>
          </reference>
          <reference field="25" count="1">
            <x v="5"/>
          </reference>
        </references>
      </pivotArea>
    </format>
    <format dxfId="274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21"/>
          </reference>
          <reference field="25" count="1">
            <x v="5"/>
          </reference>
        </references>
      </pivotArea>
    </format>
    <format dxfId="274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21"/>
          </reference>
          <reference field="25" count="1">
            <x v="5"/>
          </reference>
        </references>
      </pivotArea>
    </format>
    <format dxfId="274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21"/>
          </reference>
          <reference field="25" count="1">
            <x v="0"/>
          </reference>
        </references>
      </pivotArea>
    </format>
    <format dxfId="2742">
      <pivotArea dataOnly="0" labelOnly="1" offset="B256:C256" fieldPosition="0">
        <references count="1">
          <reference field="8" count="1" sumSubtotal="1">
            <x v="64"/>
          </reference>
        </references>
      </pivotArea>
    </format>
    <format dxfId="2741">
      <pivotArea dataOnly="0" labelOnly="1" offset="B256:C256" fieldPosition="0">
        <references count="1">
          <reference field="8" count="1" sumSubtotal="1">
            <x v="66"/>
          </reference>
        </references>
      </pivotArea>
    </format>
    <format dxfId="2740">
      <pivotArea dataOnly="0" labelOnly="1" offset="B256:C256" fieldPosition="0">
        <references count="1">
          <reference field="8" count="1" sumSubtotal="1">
            <x v="67"/>
          </reference>
        </references>
      </pivotArea>
    </format>
    <format dxfId="2739">
      <pivotArea dataOnly="0" labelOnly="1" offset="B256:C256" fieldPosition="0">
        <references count="1">
          <reference field="8" count="1" sumSubtotal="1">
            <x v="75"/>
          </reference>
        </references>
      </pivotArea>
    </format>
    <format dxfId="2738">
      <pivotArea dataOnly="0" labelOnly="1" offset="B256:C256" fieldPosition="0">
        <references count="1">
          <reference field="8" count="1" sumSubtotal="1">
            <x v="77"/>
          </reference>
        </references>
      </pivotArea>
    </format>
    <format dxfId="2737">
      <pivotArea dataOnly="0" labelOnly="1" offset="B256:C256" fieldPosition="0">
        <references count="1">
          <reference field="8" count="1" sumSubtotal="1">
            <x v="79"/>
          </reference>
        </references>
      </pivotArea>
    </format>
    <format dxfId="2736">
      <pivotArea dataOnly="0" labelOnly="1" offset="B256:C256" fieldPosition="0">
        <references count="1">
          <reference field="8" count="1" sumSubtotal="1">
            <x v="84"/>
          </reference>
        </references>
      </pivotArea>
    </format>
    <format dxfId="2735">
      <pivotArea dataOnly="0" labelOnly="1" offset="B256:C256" fieldPosition="0">
        <references count="1">
          <reference field="8" count="1" sumSubtotal="1">
            <x v="85"/>
          </reference>
        </references>
      </pivotArea>
    </format>
    <format dxfId="2734">
      <pivotArea dataOnly="0" labelOnly="1" offset="B256:C256" fieldPosition="0">
        <references count="1">
          <reference field="8" count="1" sumSubtotal="1">
            <x v="89"/>
          </reference>
        </references>
      </pivotArea>
    </format>
    <format dxfId="2733">
      <pivotArea dataOnly="0" labelOnly="1" offset="B256:C256" fieldPosition="0">
        <references count="1">
          <reference field="8" count="1" sumSubtotal="1">
            <x v="91"/>
          </reference>
        </references>
      </pivotArea>
    </format>
    <format dxfId="2732">
      <pivotArea dataOnly="0" labelOnly="1" offset="B256:C256" fieldPosition="0">
        <references count="1">
          <reference field="8" count="1" sumSubtotal="1">
            <x v="99"/>
          </reference>
        </references>
      </pivotArea>
    </format>
    <format dxfId="2731">
      <pivotArea dataOnly="0" labelOnly="1" offset="B256:C256" fieldPosition="0">
        <references count="1">
          <reference field="8" count="1" sumSubtotal="1">
            <x v="101"/>
          </reference>
        </references>
      </pivotArea>
    </format>
    <format dxfId="2730">
      <pivotArea dataOnly="0" labelOnly="1" offset="B256:C256" fieldPosition="0">
        <references count="1">
          <reference field="8" count="1" sumSubtotal="1">
            <x v="103"/>
          </reference>
        </references>
      </pivotArea>
    </format>
    <format dxfId="2729">
      <pivotArea dataOnly="0" labelOnly="1" offset="B256:C256" fieldPosition="0">
        <references count="1">
          <reference field="8" count="1" sumSubtotal="1">
            <x v="108"/>
          </reference>
        </references>
      </pivotArea>
    </format>
    <format dxfId="2728">
      <pivotArea dataOnly="0" labelOnly="1" offset="B256:C256" fieldPosition="0">
        <references count="1">
          <reference field="8" count="1" sumSubtotal="1">
            <x v="110"/>
          </reference>
        </references>
      </pivotArea>
    </format>
    <format dxfId="2727">
      <pivotArea dataOnly="0" labelOnly="1" offset="B256:C256" fieldPosition="0">
        <references count="1">
          <reference field="8" count="1" sumSubtotal="1">
            <x v="112"/>
          </reference>
        </references>
      </pivotArea>
    </format>
    <format dxfId="2726">
      <pivotArea dataOnly="0" labelOnly="1" fieldPosition="0">
        <references count="2">
          <reference field="0" count="5">
            <x v="8"/>
            <x v="10"/>
            <x v="12"/>
            <x v="14"/>
            <x v="25"/>
          </reference>
          <reference field="8" count="1" selected="0">
            <x v="64"/>
          </reference>
        </references>
      </pivotArea>
    </format>
    <format dxfId="2725">
      <pivotArea dataOnly="0" labelOnly="1" fieldPosition="0">
        <references count="2">
          <reference field="0" count="5">
            <x v="8"/>
            <x v="10"/>
            <x v="12"/>
            <x v="14"/>
            <x v="25"/>
          </reference>
          <reference field="8" count="1" selected="0">
            <x v="66"/>
          </reference>
        </references>
      </pivotArea>
    </format>
    <format dxfId="2724">
      <pivotArea dataOnly="0" labelOnly="1" fieldPosition="0">
        <references count="2">
          <reference field="0" count="5">
            <x v="8"/>
            <x v="10"/>
            <x v="12"/>
            <x v="14"/>
            <x v="25"/>
          </reference>
          <reference field="8" count="1" selected="0">
            <x v="67"/>
          </reference>
        </references>
      </pivotArea>
    </format>
    <format dxfId="2723">
      <pivotArea dataOnly="0" labelOnly="1" fieldPosition="0">
        <references count="2">
          <reference field="0" count="5">
            <x v="8"/>
            <x v="10"/>
            <x v="12"/>
            <x v="14"/>
            <x v="25"/>
          </reference>
          <reference field="8" count="1" selected="0">
            <x v="75"/>
          </reference>
        </references>
      </pivotArea>
    </format>
    <format dxfId="2722">
      <pivotArea dataOnly="0" labelOnly="1" fieldPosition="0">
        <references count="2">
          <reference field="0" count="5">
            <x v="8"/>
            <x v="10"/>
            <x v="12"/>
            <x v="14"/>
            <x v="25"/>
          </reference>
          <reference field="8" count="1" selected="0">
            <x v="77"/>
          </reference>
        </references>
      </pivotArea>
    </format>
    <format dxfId="2721">
      <pivotArea dataOnly="0" labelOnly="1" fieldPosition="0">
        <references count="2">
          <reference field="0" count="5">
            <x v="8"/>
            <x v="10"/>
            <x v="12"/>
            <x v="14"/>
            <x v="25"/>
          </reference>
          <reference field="8" count="1" selected="0">
            <x v="79"/>
          </reference>
        </references>
      </pivotArea>
    </format>
    <format dxfId="2720">
      <pivotArea dataOnly="0" labelOnly="1" fieldPosition="0">
        <references count="2">
          <reference field="0" count="5">
            <x v="8"/>
            <x v="10"/>
            <x v="12"/>
            <x v="14"/>
            <x v="25"/>
          </reference>
          <reference field="8" count="1" selected="0">
            <x v="84"/>
          </reference>
        </references>
      </pivotArea>
    </format>
    <format dxfId="2719">
      <pivotArea dataOnly="0" labelOnly="1" fieldPosition="0">
        <references count="2">
          <reference field="0" count="5">
            <x v="8"/>
            <x v="10"/>
            <x v="12"/>
            <x v="14"/>
            <x v="25"/>
          </reference>
          <reference field="8" count="1" selected="0">
            <x v="85"/>
          </reference>
        </references>
      </pivotArea>
    </format>
    <format dxfId="2718">
      <pivotArea dataOnly="0" labelOnly="1" fieldPosition="0">
        <references count="2">
          <reference field="0" count="5">
            <x v="8"/>
            <x v="10"/>
            <x v="12"/>
            <x v="14"/>
            <x v="25"/>
          </reference>
          <reference field="8" count="1" selected="0">
            <x v="89"/>
          </reference>
        </references>
      </pivotArea>
    </format>
    <format dxfId="2717">
      <pivotArea dataOnly="0" labelOnly="1" fieldPosition="0">
        <references count="2">
          <reference field="0" count="5">
            <x v="8"/>
            <x v="10"/>
            <x v="12"/>
            <x v="14"/>
            <x v="25"/>
          </reference>
          <reference field="8" count="1" selected="0">
            <x v="91"/>
          </reference>
        </references>
      </pivotArea>
    </format>
    <format dxfId="2716">
      <pivotArea dataOnly="0" labelOnly="1" fieldPosition="0">
        <references count="2">
          <reference field="0" count="5">
            <x v="8"/>
            <x v="10"/>
            <x v="12"/>
            <x v="14"/>
            <x v="25"/>
          </reference>
          <reference field="8" count="1" selected="0">
            <x v="99"/>
          </reference>
        </references>
      </pivotArea>
    </format>
    <format dxfId="2715">
      <pivotArea dataOnly="0" labelOnly="1" fieldPosition="0">
        <references count="2">
          <reference field="0" count="5">
            <x v="8"/>
            <x v="10"/>
            <x v="12"/>
            <x v="14"/>
            <x v="25"/>
          </reference>
          <reference field="8" count="1" selected="0">
            <x v="101"/>
          </reference>
        </references>
      </pivotArea>
    </format>
    <format dxfId="2714">
      <pivotArea dataOnly="0" labelOnly="1" fieldPosition="0">
        <references count="2">
          <reference field="0" count="5">
            <x v="8"/>
            <x v="10"/>
            <x v="12"/>
            <x v="14"/>
            <x v="25"/>
          </reference>
          <reference field="8" count="1" selected="0">
            <x v="103"/>
          </reference>
        </references>
      </pivotArea>
    </format>
    <format dxfId="2713">
      <pivotArea dataOnly="0" labelOnly="1" fieldPosition="0">
        <references count="2">
          <reference field="0" count="5">
            <x v="8"/>
            <x v="10"/>
            <x v="12"/>
            <x v="14"/>
            <x v="25"/>
          </reference>
          <reference field="8" count="1" selected="0">
            <x v="108"/>
          </reference>
        </references>
      </pivotArea>
    </format>
    <format dxfId="2712">
      <pivotArea dataOnly="0" labelOnly="1" fieldPosition="0">
        <references count="2">
          <reference field="0" count="5">
            <x v="8"/>
            <x v="10"/>
            <x v="12"/>
            <x v="14"/>
            <x v="25"/>
          </reference>
          <reference field="8" count="1" selected="0">
            <x v="110"/>
          </reference>
        </references>
      </pivotArea>
    </format>
    <format dxfId="2711">
      <pivotArea dataOnly="0" labelOnly="1" fieldPosition="0">
        <references count="2">
          <reference field="0" count="5">
            <x v="8"/>
            <x v="10"/>
            <x v="12"/>
            <x v="14"/>
            <x v="25"/>
          </reference>
          <reference field="8" count="1" selected="0">
            <x v="112"/>
          </reference>
        </references>
      </pivotArea>
    </format>
    <format dxfId="2710">
      <pivotArea dataOnly="0" labelOnly="1" fieldPosition="0">
        <references count="2">
          <reference field="0" count="4">
            <x v="8"/>
            <x v="10"/>
            <x v="12"/>
            <x v="14"/>
          </reference>
          <reference field="8" count="1" selected="0">
            <x v="114"/>
          </reference>
        </references>
      </pivotArea>
    </format>
    <format dxfId="2709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64"/>
          </reference>
        </references>
      </pivotArea>
    </format>
    <format dxfId="2708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64"/>
          </reference>
        </references>
      </pivotArea>
    </format>
    <format dxfId="2707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64"/>
          </reference>
        </references>
      </pivotArea>
    </format>
    <format dxfId="2706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64"/>
          </reference>
        </references>
      </pivotArea>
    </format>
    <format dxfId="2705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64"/>
          </reference>
        </references>
      </pivotArea>
    </format>
    <format dxfId="2704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66"/>
          </reference>
        </references>
      </pivotArea>
    </format>
    <format dxfId="2703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66"/>
          </reference>
        </references>
      </pivotArea>
    </format>
    <format dxfId="2702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66"/>
          </reference>
        </references>
      </pivotArea>
    </format>
    <format dxfId="2701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66"/>
          </reference>
        </references>
      </pivotArea>
    </format>
    <format dxfId="2700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66"/>
          </reference>
        </references>
      </pivotArea>
    </format>
    <format dxfId="2699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67"/>
          </reference>
        </references>
      </pivotArea>
    </format>
    <format dxfId="2698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67"/>
          </reference>
        </references>
      </pivotArea>
    </format>
    <format dxfId="2697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67"/>
          </reference>
        </references>
      </pivotArea>
    </format>
    <format dxfId="2696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67"/>
          </reference>
        </references>
      </pivotArea>
    </format>
    <format dxfId="2695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67"/>
          </reference>
        </references>
      </pivotArea>
    </format>
    <format dxfId="2694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75"/>
          </reference>
        </references>
      </pivotArea>
    </format>
    <format dxfId="2693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75"/>
          </reference>
        </references>
      </pivotArea>
    </format>
    <format dxfId="2692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75"/>
          </reference>
        </references>
      </pivotArea>
    </format>
    <format dxfId="2691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75"/>
          </reference>
        </references>
      </pivotArea>
    </format>
    <format dxfId="2690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75"/>
          </reference>
        </references>
      </pivotArea>
    </format>
    <format dxfId="2689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77"/>
          </reference>
        </references>
      </pivotArea>
    </format>
    <format dxfId="2688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77"/>
          </reference>
        </references>
      </pivotArea>
    </format>
    <format dxfId="2687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77"/>
          </reference>
        </references>
      </pivotArea>
    </format>
    <format dxfId="2686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77"/>
          </reference>
        </references>
      </pivotArea>
    </format>
    <format dxfId="2685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77"/>
          </reference>
        </references>
      </pivotArea>
    </format>
    <format dxfId="2684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79"/>
          </reference>
        </references>
      </pivotArea>
    </format>
    <format dxfId="2683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79"/>
          </reference>
        </references>
      </pivotArea>
    </format>
    <format dxfId="2682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79"/>
          </reference>
        </references>
      </pivotArea>
    </format>
    <format dxfId="2681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79"/>
          </reference>
        </references>
      </pivotArea>
    </format>
    <format dxfId="2680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79"/>
          </reference>
        </references>
      </pivotArea>
    </format>
    <format dxfId="2679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84"/>
          </reference>
        </references>
      </pivotArea>
    </format>
    <format dxfId="2678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84"/>
          </reference>
        </references>
      </pivotArea>
    </format>
    <format dxfId="2677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84"/>
          </reference>
        </references>
      </pivotArea>
    </format>
    <format dxfId="2676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84"/>
          </reference>
        </references>
      </pivotArea>
    </format>
    <format dxfId="2675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84"/>
          </reference>
        </references>
      </pivotArea>
    </format>
    <format dxfId="2674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85"/>
          </reference>
        </references>
      </pivotArea>
    </format>
    <format dxfId="2673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85"/>
          </reference>
        </references>
      </pivotArea>
    </format>
    <format dxfId="2672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85"/>
          </reference>
        </references>
      </pivotArea>
    </format>
    <format dxfId="2671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85"/>
          </reference>
        </references>
      </pivotArea>
    </format>
    <format dxfId="2670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85"/>
          </reference>
        </references>
      </pivotArea>
    </format>
    <format dxfId="2669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89"/>
          </reference>
        </references>
      </pivotArea>
    </format>
    <format dxfId="2668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89"/>
          </reference>
        </references>
      </pivotArea>
    </format>
    <format dxfId="2667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89"/>
          </reference>
        </references>
      </pivotArea>
    </format>
    <format dxfId="2666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89"/>
          </reference>
        </references>
      </pivotArea>
    </format>
    <format dxfId="2665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89"/>
          </reference>
        </references>
      </pivotArea>
    </format>
    <format dxfId="2664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91"/>
          </reference>
        </references>
      </pivotArea>
    </format>
    <format dxfId="2663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91"/>
          </reference>
        </references>
      </pivotArea>
    </format>
    <format dxfId="2662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91"/>
          </reference>
        </references>
      </pivotArea>
    </format>
    <format dxfId="2661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91"/>
          </reference>
        </references>
      </pivotArea>
    </format>
    <format dxfId="2660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91"/>
          </reference>
        </references>
      </pivotArea>
    </format>
    <format dxfId="2659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99"/>
          </reference>
        </references>
      </pivotArea>
    </format>
    <format dxfId="2658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99"/>
          </reference>
        </references>
      </pivotArea>
    </format>
    <format dxfId="2657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99"/>
          </reference>
        </references>
      </pivotArea>
    </format>
    <format dxfId="2656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99"/>
          </reference>
        </references>
      </pivotArea>
    </format>
    <format dxfId="2655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99"/>
          </reference>
        </references>
      </pivotArea>
    </format>
    <format dxfId="2654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101"/>
          </reference>
        </references>
      </pivotArea>
    </format>
    <format dxfId="2653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101"/>
          </reference>
        </references>
      </pivotArea>
    </format>
    <format dxfId="2652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101"/>
          </reference>
        </references>
      </pivotArea>
    </format>
    <format dxfId="2651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101"/>
          </reference>
        </references>
      </pivotArea>
    </format>
    <format dxfId="2650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01"/>
          </reference>
        </references>
      </pivotArea>
    </format>
    <format dxfId="2649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103"/>
          </reference>
        </references>
      </pivotArea>
    </format>
    <format dxfId="2648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103"/>
          </reference>
        </references>
      </pivotArea>
    </format>
    <format dxfId="2647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103"/>
          </reference>
        </references>
      </pivotArea>
    </format>
    <format dxfId="2646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103"/>
          </reference>
        </references>
      </pivotArea>
    </format>
    <format dxfId="2645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03"/>
          </reference>
        </references>
      </pivotArea>
    </format>
    <format dxfId="2644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108"/>
          </reference>
        </references>
      </pivotArea>
    </format>
    <format dxfId="2643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108"/>
          </reference>
        </references>
      </pivotArea>
    </format>
    <format dxfId="2642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108"/>
          </reference>
        </references>
      </pivotArea>
    </format>
    <format dxfId="2641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108"/>
          </reference>
        </references>
      </pivotArea>
    </format>
    <format dxfId="2640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08"/>
          </reference>
        </references>
      </pivotArea>
    </format>
    <format dxfId="2639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110"/>
          </reference>
        </references>
      </pivotArea>
    </format>
    <format dxfId="2638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110"/>
          </reference>
        </references>
      </pivotArea>
    </format>
    <format dxfId="2637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110"/>
          </reference>
        </references>
      </pivotArea>
    </format>
    <format dxfId="2636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110"/>
          </reference>
        </references>
      </pivotArea>
    </format>
    <format dxfId="2635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10"/>
          </reference>
        </references>
      </pivotArea>
    </format>
    <format dxfId="2634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112"/>
          </reference>
        </references>
      </pivotArea>
    </format>
    <format dxfId="2633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112"/>
          </reference>
        </references>
      </pivotArea>
    </format>
    <format dxfId="2632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112"/>
          </reference>
        </references>
      </pivotArea>
    </format>
    <format dxfId="2631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112"/>
          </reference>
        </references>
      </pivotArea>
    </format>
    <format dxfId="2630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12"/>
          </reference>
        </references>
      </pivotArea>
    </format>
    <format dxfId="2629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114"/>
          </reference>
        </references>
      </pivotArea>
    </format>
    <format dxfId="2628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114"/>
          </reference>
        </references>
      </pivotArea>
    </format>
    <format dxfId="2627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114"/>
          </reference>
        </references>
      </pivotArea>
    </format>
    <format dxfId="2626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114"/>
          </reference>
        </references>
      </pivotArea>
    </format>
    <format dxfId="262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24"/>
          </reference>
          <reference field="25" count="1">
            <x v="4"/>
          </reference>
        </references>
      </pivotArea>
    </format>
    <format dxfId="262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24"/>
          </reference>
          <reference field="25" count="1">
            <x v="5"/>
          </reference>
        </references>
      </pivotArea>
    </format>
    <format dxfId="262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24"/>
          </reference>
          <reference field="25" count="1">
            <x v="5"/>
          </reference>
        </references>
      </pivotArea>
    </format>
    <format dxfId="262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24"/>
          </reference>
          <reference field="25" count="1">
            <x v="5"/>
          </reference>
        </references>
      </pivotArea>
    </format>
    <format dxfId="262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24"/>
          </reference>
          <reference field="25" count="1">
            <x v="0"/>
          </reference>
        </references>
      </pivotArea>
    </format>
    <format dxfId="262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25"/>
          </reference>
          <reference field="25" count="1">
            <x v="4"/>
          </reference>
        </references>
      </pivotArea>
    </format>
    <format dxfId="261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25"/>
          </reference>
          <reference field="25" count="1">
            <x v="5"/>
          </reference>
        </references>
      </pivotArea>
    </format>
    <format dxfId="261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25"/>
          </reference>
          <reference field="25" count="1">
            <x v="5"/>
          </reference>
        </references>
      </pivotArea>
    </format>
    <format dxfId="261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25"/>
          </reference>
          <reference field="25" count="1">
            <x v="5"/>
          </reference>
        </references>
      </pivotArea>
    </format>
    <format dxfId="261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25"/>
          </reference>
          <reference field="25" count="1">
            <x v="0"/>
          </reference>
        </references>
      </pivotArea>
    </format>
    <format dxfId="261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26"/>
          </reference>
          <reference field="25" count="1">
            <x v="4"/>
          </reference>
        </references>
      </pivotArea>
    </format>
    <format dxfId="261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26"/>
          </reference>
          <reference field="25" count="1">
            <x v="5"/>
          </reference>
        </references>
      </pivotArea>
    </format>
    <format dxfId="261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26"/>
          </reference>
          <reference field="25" count="1">
            <x v="5"/>
          </reference>
        </references>
      </pivotArea>
    </format>
    <format dxfId="261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26"/>
          </reference>
          <reference field="25" count="1">
            <x v="5"/>
          </reference>
        </references>
      </pivotArea>
    </format>
    <format dxfId="261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26"/>
          </reference>
          <reference field="25" count="1">
            <x v="0"/>
          </reference>
        </references>
      </pivotArea>
    </format>
    <format dxfId="261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27"/>
          </reference>
          <reference field="25" count="1">
            <x v="4"/>
          </reference>
        </references>
      </pivotArea>
    </format>
    <format dxfId="260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27"/>
          </reference>
          <reference field="25" count="1">
            <x v="5"/>
          </reference>
        </references>
      </pivotArea>
    </format>
    <format dxfId="260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27"/>
          </reference>
          <reference field="25" count="1">
            <x v="5"/>
          </reference>
        </references>
      </pivotArea>
    </format>
    <format dxfId="260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27"/>
          </reference>
          <reference field="25" count="1">
            <x v="5"/>
          </reference>
        </references>
      </pivotArea>
    </format>
    <format dxfId="260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27"/>
          </reference>
          <reference field="25" count="1">
            <x v="0"/>
          </reference>
        </references>
      </pivotArea>
    </format>
    <format dxfId="260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28"/>
          </reference>
          <reference field="25" count="1">
            <x v="4"/>
          </reference>
        </references>
      </pivotArea>
    </format>
    <format dxfId="260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28"/>
          </reference>
          <reference field="25" count="1">
            <x v="5"/>
          </reference>
        </references>
      </pivotArea>
    </format>
    <format dxfId="260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28"/>
          </reference>
          <reference field="25" count="1">
            <x v="5"/>
          </reference>
        </references>
      </pivotArea>
    </format>
    <format dxfId="260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28"/>
          </reference>
          <reference field="25" count="1">
            <x v="5"/>
          </reference>
        </references>
      </pivotArea>
    </format>
    <format dxfId="260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28"/>
          </reference>
          <reference field="25" count="1">
            <x v="0"/>
          </reference>
        </references>
      </pivotArea>
    </format>
    <format dxfId="260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29"/>
          </reference>
          <reference field="25" count="1">
            <x v="4"/>
          </reference>
        </references>
      </pivotArea>
    </format>
    <format dxfId="259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29"/>
          </reference>
          <reference field="25" count="1">
            <x v="5"/>
          </reference>
        </references>
      </pivotArea>
    </format>
    <format dxfId="259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29"/>
          </reference>
          <reference field="25" count="1">
            <x v="5"/>
          </reference>
        </references>
      </pivotArea>
    </format>
    <format dxfId="259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29"/>
          </reference>
          <reference field="25" count="1">
            <x v="5"/>
          </reference>
        </references>
      </pivotArea>
    </format>
    <format dxfId="259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29"/>
          </reference>
          <reference field="25" count="1">
            <x v="0"/>
          </reference>
        </references>
      </pivotArea>
    </format>
    <format dxfId="259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42"/>
          </reference>
          <reference field="25" count="1">
            <x v="4"/>
          </reference>
        </references>
      </pivotArea>
    </format>
    <format dxfId="259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42"/>
          </reference>
          <reference field="25" count="1">
            <x v="5"/>
          </reference>
        </references>
      </pivotArea>
    </format>
    <format dxfId="259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42"/>
          </reference>
          <reference field="25" count="1">
            <x v="5"/>
          </reference>
        </references>
      </pivotArea>
    </format>
    <format dxfId="259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42"/>
          </reference>
          <reference field="25" count="1">
            <x v="5"/>
          </reference>
        </references>
      </pivotArea>
    </format>
    <format dxfId="259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42"/>
          </reference>
          <reference field="25" count="1">
            <x v="0"/>
          </reference>
        </references>
      </pivotArea>
    </format>
    <format dxfId="259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43"/>
          </reference>
          <reference field="25" count="1">
            <x v="4"/>
          </reference>
        </references>
      </pivotArea>
    </format>
    <format dxfId="258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43"/>
          </reference>
          <reference field="25" count="1">
            <x v="5"/>
          </reference>
        </references>
      </pivotArea>
    </format>
    <format dxfId="258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43"/>
          </reference>
          <reference field="25" count="1">
            <x v="5"/>
          </reference>
        </references>
      </pivotArea>
    </format>
    <format dxfId="258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43"/>
          </reference>
          <reference field="25" count="1">
            <x v="5"/>
          </reference>
        </references>
      </pivotArea>
    </format>
    <format dxfId="258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43"/>
          </reference>
          <reference field="25" count="1">
            <x v="0"/>
          </reference>
        </references>
      </pivotArea>
    </format>
    <format dxfId="258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44"/>
          </reference>
          <reference field="25" count="1">
            <x v="4"/>
          </reference>
        </references>
      </pivotArea>
    </format>
    <format dxfId="258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44"/>
          </reference>
          <reference field="25" count="1">
            <x v="5"/>
          </reference>
        </references>
      </pivotArea>
    </format>
    <format dxfId="258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44"/>
          </reference>
          <reference field="25" count="1">
            <x v="5"/>
          </reference>
        </references>
      </pivotArea>
    </format>
    <format dxfId="258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44"/>
          </reference>
          <reference field="25" count="1">
            <x v="5"/>
          </reference>
        </references>
      </pivotArea>
    </format>
    <format dxfId="258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44"/>
          </reference>
          <reference field="25" count="1">
            <x v="0"/>
          </reference>
        </references>
      </pivotArea>
    </format>
    <format dxfId="258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51"/>
          </reference>
          <reference field="25" count="1">
            <x v="4"/>
          </reference>
        </references>
      </pivotArea>
    </format>
    <format dxfId="257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51"/>
          </reference>
          <reference field="25" count="1">
            <x v="5"/>
          </reference>
        </references>
      </pivotArea>
    </format>
    <format dxfId="257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51"/>
          </reference>
          <reference field="25" count="1">
            <x v="5"/>
          </reference>
        </references>
      </pivotArea>
    </format>
    <format dxfId="257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51"/>
          </reference>
          <reference field="25" count="1">
            <x v="5"/>
          </reference>
        </references>
      </pivotArea>
    </format>
    <format dxfId="257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51"/>
          </reference>
          <reference field="25" count="1">
            <x v="0"/>
          </reference>
        </references>
      </pivotArea>
    </format>
    <format dxfId="2575">
      <pivotArea dataOnly="0" labelOnly="1" fieldPosition="0">
        <references count="2">
          <reference field="0" count="1">
            <x v="15"/>
          </reference>
          <reference field="8" count="1" selected="0">
            <x v="154"/>
          </reference>
        </references>
      </pivotArea>
    </format>
    <format dxfId="257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  <reference field="8" count="1" selected="0">
            <x v="156"/>
          </reference>
          <reference field="25" count="1">
            <x v="5"/>
          </reference>
        </references>
      </pivotArea>
    </format>
    <format dxfId="257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1"/>
          </reference>
          <reference field="8" count="1" selected="0">
            <x v="156"/>
          </reference>
          <reference field="25" count="1">
            <x v="5"/>
          </reference>
        </references>
      </pivotArea>
    </format>
    <format dxfId="257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33"/>
          </reference>
          <reference field="8" count="1" selected="0">
            <x v="156"/>
          </reference>
          <reference field="25" count="1">
            <x v="2"/>
          </reference>
        </references>
      </pivotArea>
    </format>
    <format dxfId="257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38"/>
          </reference>
          <reference field="8" count="1" selected="0">
            <x v="156"/>
          </reference>
          <reference field="25" count="1">
            <x v="4"/>
          </reference>
        </references>
      </pivotArea>
    </format>
    <format dxfId="257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39"/>
          </reference>
          <reference field="8" count="1" selected="0">
            <x v="156"/>
          </reference>
          <reference field="25" count="1">
            <x v="0"/>
          </reference>
        </references>
      </pivotArea>
    </format>
    <format dxfId="256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  <reference field="8" count="1" selected="0">
            <x v="156"/>
          </reference>
          <reference field="25" count="1">
            <x v="5"/>
          </reference>
        </references>
      </pivotArea>
    </format>
    <format dxfId="256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  <reference field="8" count="1" selected="0">
            <x v="159"/>
          </reference>
          <reference field="25" count="1">
            <x v="5"/>
          </reference>
        </references>
      </pivotArea>
    </format>
    <format dxfId="256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2"/>
          </reference>
          <reference field="8" count="1" selected="0">
            <x v="159"/>
          </reference>
          <reference field="25" count="1">
            <x v="5"/>
          </reference>
        </references>
      </pivotArea>
    </format>
    <format dxfId="256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34"/>
          </reference>
          <reference field="8" count="1" selected="0">
            <x v="159"/>
          </reference>
          <reference field="25" count="1">
            <x v="2"/>
          </reference>
        </references>
      </pivotArea>
    </format>
    <format dxfId="256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38"/>
          </reference>
          <reference field="8" count="1" selected="0">
            <x v="159"/>
          </reference>
          <reference field="25" count="1">
            <x v="4"/>
          </reference>
        </references>
      </pivotArea>
    </format>
    <format dxfId="256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40"/>
          </reference>
          <reference field="8" count="1" selected="0">
            <x v="159"/>
          </reference>
          <reference field="25" count="1">
            <x v="0"/>
          </reference>
        </references>
      </pivotArea>
    </format>
    <format dxfId="256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  <reference field="8" count="1" selected="0">
            <x v="161"/>
          </reference>
          <reference field="25" count="1">
            <x v="5"/>
          </reference>
        </references>
      </pivotArea>
    </format>
    <format dxfId="256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0"/>
          </reference>
          <reference field="8" count="1" selected="0">
            <x v="161"/>
          </reference>
          <reference field="25" count="1">
            <x v="5"/>
          </reference>
        </references>
      </pivotArea>
    </format>
    <format dxfId="256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36"/>
          </reference>
          <reference field="8" count="1" selected="0">
            <x v="161"/>
          </reference>
          <reference field="25" count="1">
            <x v="2"/>
          </reference>
        </references>
      </pivotArea>
    </format>
    <format dxfId="256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41"/>
          </reference>
          <reference field="8" count="1" selected="0">
            <x v="161"/>
          </reference>
          <reference field="25" count="1">
            <x v="4"/>
          </reference>
        </references>
      </pivotArea>
    </format>
    <format dxfId="255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42"/>
          </reference>
          <reference field="8" count="1" selected="0">
            <x v="161"/>
          </reference>
          <reference field="25" count="1">
            <x v="0"/>
          </reference>
        </references>
      </pivotArea>
    </format>
    <format dxfId="255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54"/>
          </reference>
          <reference field="25" count="1">
            <x v="5"/>
          </reference>
        </references>
      </pivotArea>
    </format>
    <format dxfId="255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  <reference field="8" count="1" selected="0">
            <x v="154"/>
          </reference>
          <reference field="25" count="1">
            <x v="5"/>
          </reference>
        </references>
      </pivotArea>
    </format>
    <format dxfId="255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  <reference field="8" count="1" selected="0">
            <x v="154"/>
          </reference>
          <reference field="25" count="1">
            <x v="5"/>
          </reference>
        </references>
      </pivotArea>
    </format>
    <format dxfId="255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30"/>
          </reference>
          <reference field="8" count="1" selected="0">
            <x v="154"/>
          </reference>
          <reference field="25" count="1">
            <x v="4"/>
          </reference>
        </references>
      </pivotArea>
    </format>
    <format dxfId="255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37"/>
          </reference>
          <reference field="8" count="1" selected="0">
            <x v="154"/>
          </reference>
          <reference field="25" count="1">
            <x v="0"/>
          </reference>
        </references>
      </pivotArea>
    </format>
    <format dxfId="2553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24"/>
          </reference>
        </references>
      </pivotArea>
    </format>
    <format dxfId="2552">
      <pivotArea dataOnly="0" labelOnly="1" fieldPosition="0">
        <references count="2">
          <reference field="0" count="1">
            <x v="25"/>
          </reference>
          <reference field="8" count="1" selected="0">
            <x v="125"/>
          </reference>
        </references>
      </pivotArea>
    </format>
    <format dxfId="2551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25"/>
          </reference>
        </references>
      </pivotArea>
    </format>
    <format dxfId="2550">
      <pivotArea dataOnly="0" labelOnly="1" fieldPosition="0">
        <references count="2">
          <reference field="0" count="1">
            <x v="25"/>
          </reference>
          <reference field="8" count="1" selected="0">
            <x v="126"/>
          </reference>
        </references>
      </pivotArea>
    </format>
    <format dxfId="2549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26"/>
          </reference>
        </references>
      </pivotArea>
    </format>
    <format dxfId="2548">
      <pivotArea dataOnly="0" labelOnly="1" fieldPosition="0">
        <references count="2">
          <reference field="0" count="1">
            <x v="25"/>
          </reference>
          <reference field="8" count="1" selected="0">
            <x v="127"/>
          </reference>
        </references>
      </pivotArea>
    </format>
    <format dxfId="2547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27"/>
          </reference>
        </references>
      </pivotArea>
    </format>
    <format dxfId="2546">
      <pivotArea dataOnly="0" labelOnly="1" fieldPosition="0">
        <references count="2">
          <reference field="0" count="1">
            <x v="25"/>
          </reference>
          <reference field="8" count="1" selected="0">
            <x v="128"/>
          </reference>
        </references>
      </pivotArea>
    </format>
    <format dxfId="2545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28"/>
          </reference>
        </references>
      </pivotArea>
    </format>
    <format dxfId="2544">
      <pivotArea dataOnly="0" labelOnly="1" fieldPosition="0">
        <references count="2">
          <reference field="0" count="1">
            <x v="25"/>
          </reference>
          <reference field="8" count="1" selected="0">
            <x v="129"/>
          </reference>
        </references>
      </pivotArea>
    </format>
    <format dxfId="2543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29"/>
          </reference>
        </references>
      </pivotArea>
    </format>
    <format dxfId="2542">
      <pivotArea dataOnly="0" labelOnly="1" fieldPosition="0">
        <references count="2">
          <reference field="0" count="1">
            <x v="25"/>
          </reference>
          <reference field="8" count="1" selected="0">
            <x v="142"/>
          </reference>
        </references>
      </pivotArea>
    </format>
    <format dxfId="2541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42"/>
          </reference>
        </references>
      </pivotArea>
    </format>
    <format dxfId="2540">
      <pivotArea dataOnly="0" labelOnly="1" fieldPosition="0">
        <references count="2">
          <reference field="0" count="1">
            <x v="25"/>
          </reference>
          <reference field="8" count="1" selected="0">
            <x v="143"/>
          </reference>
        </references>
      </pivotArea>
    </format>
    <format dxfId="2539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43"/>
          </reference>
        </references>
      </pivotArea>
    </format>
    <format dxfId="2538">
      <pivotArea dataOnly="0" labelOnly="1" fieldPosition="0">
        <references count="2">
          <reference field="0" count="1">
            <x v="25"/>
          </reference>
          <reference field="8" count="1" selected="0">
            <x v="144"/>
          </reference>
        </references>
      </pivotArea>
    </format>
    <format dxfId="2537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44"/>
          </reference>
        </references>
      </pivotArea>
    </format>
    <format dxfId="2536">
      <pivotArea dataOnly="0" labelOnly="1" fieldPosition="0">
        <references count="2">
          <reference field="0" count="1">
            <x v="25"/>
          </reference>
          <reference field="8" count="1" selected="0">
            <x v="151"/>
          </reference>
        </references>
      </pivotArea>
    </format>
    <format dxfId="2535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51"/>
          </reference>
        </references>
      </pivotArea>
    </format>
    <format dxfId="2534">
      <pivotArea dataOnly="0" labelOnly="1" fieldPosition="0">
        <references count="2">
          <reference field="0" count="1">
            <x v="41"/>
          </reference>
          <reference field="8" count="1" selected="0">
            <x v="154"/>
          </reference>
        </references>
      </pivotArea>
    </format>
    <format dxfId="2533">
      <pivotArea dataOnly="0" labelOnly="1" fieldPosition="0">
        <references count="3">
          <reference field="0" count="1" selected="0">
            <x v="41"/>
          </reference>
          <reference field="1" count="1">
            <x v="37"/>
          </reference>
          <reference field="8" count="1" selected="0">
            <x v="154"/>
          </reference>
        </references>
      </pivotArea>
    </format>
    <format dxfId="2532">
      <pivotArea dataOnly="0" labelOnly="1" fieldPosition="0">
        <references count="2">
          <reference field="0" count="1">
            <x v="43"/>
          </reference>
          <reference field="8" count="1" selected="0">
            <x v="156"/>
          </reference>
        </references>
      </pivotArea>
    </format>
    <format dxfId="2531">
      <pivotArea dataOnly="0" labelOnly="1" fieldPosition="0">
        <references count="3">
          <reference field="0" count="1" selected="0">
            <x v="43"/>
          </reference>
          <reference field="1" count="1">
            <x v="39"/>
          </reference>
          <reference field="8" count="1" selected="0">
            <x v="156"/>
          </reference>
        </references>
      </pivotArea>
    </format>
    <format dxfId="2530">
      <pivotArea dataOnly="0" labelOnly="1" fieldPosition="0">
        <references count="2">
          <reference field="0" count="1">
            <x v="44"/>
          </reference>
          <reference field="8" count="1" selected="0">
            <x v="159"/>
          </reference>
        </references>
      </pivotArea>
    </format>
    <format dxfId="2529">
      <pivotArea dataOnly="0" labelOnly="1" fieldPosition="0">
        <references count="3">
          <reference field="0" count="1" selected="0">
            <x v="44"/>
          </reference>
          <reference field="1" count="1">
            <x v="40"/>
          </reference>
          <reference field="8" count="1" selected="0">
            <x v="159"/>
          </reference>
        </references>
      </pivotArea>
    </format>
    <format dxfId="2528">
      <pivotArea dataOnly="0" labelOnly="1" fieldPosition="0">
        <references count="2">
          <reference field="0" count="1">
            <x v="46"/>
          </reference>
          <reference field="8" count="1" selected="0">
            <x v="161"/>
          </reference>
        </references>
      </pivotArea>
    </format>
    <format dxfId="2527">
      <pivotArea dataOnly="0" labelOnly="1" fieldPosition="0">
        <references count="3">
          <reference field="0" count="1" selected="0">
            <x v="46"/>
          </reference>
          <reference field="1" count="1">
            <x v="42"/>
          </reference>
          <reference field="8" count="1" selected="0">
            <x v="161"/>
          </reference>
        </references>
      </pivotArea>
    </format>
    <format dxfId="2526">
      <pivotArea dataOnly="0" labelOnly="1" fieldPosition="0">
        <references count="2">
          <reference field="0" count="1">
            <x v="46"/>
          </reference>
          <reference field="8" count="1" selected="0">
            <x v="161"/>
          </reference>
        </references>
      </pivotArea>
    </format>
    <format dxfId="2525">
      <pivotArea dataOnly="0" labelOnly="1" fieldPosition="0">
        <references count="3">
          <reference field="0" count="1" selected="0">
            <x v="46"/>
          </reference>
          <reference field="1" count="1">
            <x v="42"/>
          </reference>
          <reference field="8" count="1" selected="0">
            <x v="161"/>
          </reference>
        </references>
      </pivotArea>
    </format>
    <format dxfId="2524">
      <pivotArea dataOnly="0" labelOnly="1" fieldPosition="0">
        <references count="2">
          <reference field="0" count="1">
            <x v="46"/>
          </reference>
          <reference field="8" count="1" selected="0">
            <x v="161"/>
          </reference>
        </references>
      </pivotArea>
    </format>
    <format dxfId="2523">
      <pivotArea dataOnly="0" labelOnly="1" fieldPosition="0">
        <references count="3">
          <reference field="0" count="1" selected="0">
            <x v="46"/>
          </reference>
          <reference field="1" count="1">
            <x v="42"/>
          </reference>
          <reference field="8" count="1" selected="0">
            <x v="161"/>
          </reference>
        </references>
      </pivotArea>
    </format>
    <format dxfId="2522">
      <pivotArea collapsedLevelsAreSubtotals="1" fieldPosition="0">
        <references count="4">
          <reference field="0" count="1" selected="0">
            <x v="8"/>
          </reference>
          <reference field="1" count="1" selected="0">
            <x v="44"/>
          </reference>
          <reference field="8" count="1" selected="0">
            <x v="157"/>
          </reference>
          <reference field="25" count="1">
            <x v="4"/>
          </reference>
        </references>
      </pivotArea>
    </format>
    <format dxfId="2521">
      <pivotArea collapsedLevelsAreSubtotals="1" fieldPosition="0">
        <references count="4">
          <reference field="0" count="1" selected="0">
            <x v="10"/>
          </reference>
          <reference field="1" count="1" selected="0">
            <x v="7"/>
          </reference>
          <reference field="8" count="1" selected="0">
            <x v="157"/>
          </reference>
          <reference field="25" count="1">
            <x v="5"/>
          </reference>
        </references>
      </pivotArea>
    </format>
    <format dxfId="2520">
      <pivotArea collapsedLevelsAreSubtotals="1" fieldPosition="0">
        <references count="4"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57"/>
          </reference>
          <reference field="25" count="1">
            <x v="5"/>
          </reference>
        </references>
      </pivotArea>
    </format>
    <format dxfId="2519">
      <pivotArea collapsedLevelsAreSubtotals="1" fieldPosition="0">
        <references count="4">
          <reference field="0" count="1" selected="0">
            <x v="14"/>
          </reference>
          <reference field="1" count="1" selected="0">
            <x v="1"/>
          </reference>
          <reference field="8" count="1" selected="0">
            <x v="157"/>
          </reference>
          <reference field="25" count="1">
            <x v="5"/>
          </reference>
        </references>
      </pivotArea>
    </format>
    <format dxfId="2518">
      <pivotArea collapsedLevelsAreSubtotals="1" fieldPosition="0">
        <references count="4"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57"/>
          </reference>
          <reference field="25" count="1">
            <x v="0"/>
          </reference>
        </references>
      </pivotArea>
    </format>
    <format dxfId="2517">
      <pivotArea collapsedLevelsAreSubtotals="1" fieldPosition="0">
        <references count="1">
          <reference field="8" count="1" sumSubtotal="1">
            <x v="157"/>
          </reference>
        </references>
      </pivotArea>
    </format>
    <format dxfId="2516">
      <pivotArea dataOnly="0" labelOnly="1" fieldPosition="0">
        <references count="1">
          <reference field="8" count="1" sumSubtotal="1">
            <x v="157"/>
          </reference>
        </references>
      </pivotArea>
    </format>
    <format dxfId="2515">
      <pivotArea dataOnly="0" labelOnly="1" fieldPosition="0">
        <references count="2">
          <reference field="0" count="5">
            <x v="8"/>
            <x v="10"/>
            <x v="12"/>
            <x v="14"/>
            <x v="25"/>
          </reference>
          <reference field="8" count="1" selected="0">
            <x v="157"/>
          </reference>
        </references>
      </pivotArea>
    </format>
    <format dxfId="2514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157"/>
          </reference>
        </references>
      </pivotArea>
    </format>
    <format dxfId="2513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157"/>
          </reference>
        </references>
      </pivotArea>
    </format>
    <format dxfId="2512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157"/>
          </reference>
        </references>
      </pivotArea>
    </format>
    <format dxfId="2511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157"/>
          </reference>
        </references>
      </pivotArea>
    </format>
    <format dxfId="2510">
      <pivotArea dataOnly="0" labelOnly="1" fieldPosition="0">
        <references count="4">
          <reference field="0" count="1" selected="0">
            <x v="8"/>
          </reference>
          <reference field="1" count="1" selected="0">
            <x v="44"/>
          </reference>
          <reference field="8" count="1" selected="0">
            <x v="157"/>
          </reference>
          <reference field="25" count="1">
            <x v="4"/>
          </reference>
        </references>
      </pivotArea>
    </format>
    <format dxfId="2509">
      <pivotArea dataOnly="0" labelOnly="1" fieldPosition="0">
        <references count="4">
          <reference field="0" count="1" selected="0">
            <x v="10"/>
          </reference>
          <reference field="1" count="1" selected="0">
            <x v="7"/>
          </reference>
          <reference field="8" count="1" selected="0">
            <x v="157"/>
          </reference>
          <reference field="25" count="1">
            <x v="5"/>
          </reference>
        </references>
      </pivotArea>
    </format>
    <format dxfId="2508">
      <pivotArea dataOnly="0" labelOnly="1" fieldPosition="0">
        <references count="4"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57"/>
          </reference>
          <reference field="25" count="1">
            <x v="5"/>
          </reference>
        </references>
      </pivotArea>
    </format>
    <format dxfId="2507">
      <pivotArea dataOnly="0" labelOnly="1" fieldPosition="0">
        <references count="4">
          <reference field="0" count="1" selected="0">
            <x v="14"/>
          </reference>
          <reference field="1" count="1" selected="0">
            <x v="1"/>
          </reference>
          <reference field="8" count="1" selected="0">
            <x v="157"/>
          </reference>
          <reference field="25" count="1">
            <x v="5"/>
          </reference>
        </references>
      </pivotArea>
    </format>
    <format dxfId="2506">
      <pivotArea dataOnly="0" labelOnly="1" fieldPosition="0">
        <references count="4"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57"/>
          </reference>
          <reference field="25" count="1">
            <x v="0"/>
          </reference>
        </references>
      </pivotArea>
    </format>
    <format dxfId="2505">
      <pivotArea dataOnly="0" labelOnly="1" fieldPosition="0">
        <references count="2">
          <reference field="0" count="1">
            <x v="25"/>
          </reference>
          <reference field="8" count="1" selected="0">
            <x v="157"/>
          </reference>
        </references>
      </pivotArea>
    </format>
    <format dxfId="2504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57"/>
          </reference>
        </references>
      </pivotArea>
    </format>
    <format dxfId="2503">
      <pivotArea dataOnly="0" labelOnly="1" fieldPosition="0">
        <references count="2">
          <reference field="0" count="1">
            <x v="25"/>
          </reference>
          <reference field="8" count="1" selected="0">
            <x v="157"/>
          </reference>
        </references>
      </pivotArea>
    </format>
    <format dxfId="2502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57"/>
          </reference>
        </references>
      </pivotArea>
    </format>
    <format dxfId="2501">
      <pivotArea dataOnly="0" labelOnly="1" fieldPosition="0">
        <references count="2">
          <reference field="0" count="1">
            <x v="25"/>
          </reference>
          <reference field="8" count="1" selected="0">
            <x v="167"/>
          </reference>
        </references>
      </pivotArea>
    </format>
    <format dxfId="2500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67"/>
          </reference>
        </references>
      </pivotArea>
    </format>
    <format dxfId="2499">
      <pivotArea dataOnly="0" labelOnly="1" fieldPosition="0">
        <references count="2">
          <reference field="0" count="1">
            <x v="25"/>
          </reference>
          <reference field="8" count="1" selected="0">
            <x v="168"/>
          </reference>
        </references>
      </pivotArea>
    </format>
    <format dxfId="2498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68"/>
          </reference>
        </references>
      </pivotArea>
    </format>
    <format dxfId="2497">
      <pivotArea dataOnly="0" labelOnly="1" fieldPosition="0">
        <references count="2">
          <reference field="0" count="1">
            <x v="25"/>
          </reference>
          <reference field="8" count="1" selected="0">
            <x v="169"/>
          </reference>
        </references>
      </pivotArea>
    </format>
    <format dxfId="2496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69"/>
          </reference>
        </references>
      </pivotArea>
    </format>
    <format dxfId="2495">
      <pivotArea dataOnly="0" labelOnly="1" fieldPosition="0">
        <references count="2">
          <reference field="0" count="1">
            <x v="25"/>
          </reference>
          <reference field="8" count="1" selected="0">
            <x v="173"/>
          </reference>
        </references>
      </pivotArea>
    </format>
    <format dxfId="2494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73"/>
          </reference>
        </references>
      </pivotArea>
    </format>
    <format dxfId="249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57"/>
          </reference>
          <reference field="25" count="1">
            <x v="4"/>
          </reference>
        </references>
      </pivotArea>
    </format>
    <format dxfId="249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57"/>
          </reference>
          <reference field="25" count="1">
            <x v="5"/>
          </reference>
        </references>
      </pivotArea>
    </format>
    <format dxfId="249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57"/>
          </reference>
          <reference field="25" count="1">
            <x v="5"/>
          </reference>
        </references>
      </pivotArea>
    </format>
    <format dxfId="249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57"/>
          </reference>
          <reference field="25" count="1">
            <x v="5"/>
          </reference>
        </references>
      </pivotArea>
    </format>
    <format dxfId="248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57"/>
          </reference>
          <reference field="25" count="1">
            <x v="0"/>
          </reference>
        </references>
      </pivotArea>
    </format>
    <format dxfId="248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82"/>
          </reference>
          <reference field="25" count="1">
            <x v="4"/>
          </reference>
        </references>
      </pivotArea>
    </format>
    <format dxfId="248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82"/>
          </reference>
          <reference field="25" count="1">
            <x v="5"/>
          </reference>
        </references>
      </pivotArea>
    </format>
    <format dxfId="248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82"/>
          </reference>
          <reference field="25" count="1">
            <x v="5"/>
          </reference>
        </references>
      </pivotArea>
    </format>
    <format dxfId="248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82"/>
          </reference>
          <reference field="25" count="1">
            <x v="5"/>
          </reference>
        </references>
      </pivotArea>
    </format>
    <format dxfId="248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82"/>
          </reference>
          <reference field="25" count="1">
            <x v="0"/>
          </reference>
        </references>
      </pivotArea>
    </format>
    <format dxfId="248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84"/>
          </reference>
          <reference field="25" count="1">
            <x v="4"/>
          </reference>
        </references>
      </pivotArea>
    </format>
    <format dxfId="248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84"/>
          </reference>
          <reference field="25" count="1">
            <x v="5"/>
          </reference>
        </references>
      </pivotArea>
    </format>
    <format dxfId="248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84"/>
          </reference>
          <reference field="25" count="1">
            <x v="5"/>
          </reference>
        </references>
      </pivotArea>
    </format>
    <format dxfId="248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84"/>
          </reference>
          <reference field="25" count="1">
            <x v="5"/>
          </reference>
        </references>
      </pivotArea>
    </format>
    <format dxfId="247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84"/>
          </reference>
          <reference field="25" count="1">
            <x v="0"/>
          </reference>
        </references>
      </pivotArea>
    </format>
    <format dxfId="247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86"/>
          </reference>
          <reference field="25" count="1">
            <x v="4"/>
          </reference>
        </references>
      </pivotArea>
    </format>
    <format dxfId="247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86"/>
          </reference>
          <reference field="25" count="1">
            <x v="5"/>
          </reference>
        </references>
      </pivotArea>
    </format>
    <format dxfId="247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86"/>
          </reference>
          <reference field="25" count="1">
            <x v="5"/>
          </reference>
        </references>
      </pivotArea>
    </format>
    <format dxfId="247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86"/>
          </reference>
          <reference field="25" count="1">
            <x v="5"/>
          </reference>
        </references>
      </pivotArea>
    </format>
    <format dxfId="247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86"/>
          </reference>
          <reference field="25" count="1">
            <x v="0"/>
          </reference>
        </references>
      </pivotArea>
    </format>
    <format dxfId="247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88"/>
          </reference>
          <reference field="25" count="1">
            <x v="4"/>
          </reference>
        </references>
      </pivotArea>
    </format>
    <format dxfId="247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88"/>
          </reference>
          <reference field="25" count="1">
            <x v="5"/>
          </reference>
        </references>
      </pivotArea>
    </format>
    <format dxfId="247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88"/>
          </reference>
          <reference field="25" count="1">
            <x v="5"/>
          </reference>
        </references>
      </pivotArea>
    </format>
    <format dxfId="247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88"/>
          </reference>
          <reference field="25" count="1">
            <x v="5"/>
          </reference>
        </references>
      </pivotArea>
    </format>
    <format dxfId="246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88"/>
          </reference>
          <reference field="25" count="1">
            <x v="0"/>
          </reference>
        </references>
      </pivotArea>
    </format>
    <format dxfId="246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80"/>
          </reference>
          <reference field="25" count="1">
            <x v="4"/>
          </reference>
        </references>
      </pivotArea>
    </format>
    <format dxfId="246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80"/>
          </reference>
          <reference field="25" count="1">
            <x v="5"/>
          </reference>
        </references>
      </pivotArea>
    </format>
    <format dxfId="246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80"/>
          </reference>
          <reference field="25" count="1">
            <x v="5"/>
          </reference>
        </references>
      </pivotArea>
    </format>
    <format dxfId="246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80"/>
          </reference>
          <reference field="25" count="1">
            <x v="5"/>
          </reference>
        </references>
      </pivotArea>
    </format>
    <format dxfId="246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80"/>
          </reference>
          <reference field="25" count="1">
            <x v="0"/>
          </reference>
        </references>
      </pivotArea>
    </format>
    <format dxfId="246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73"/>
          </reference>
          <reference field="25" count="1">
            <x v="4"/>
          </reference>
        </references>
      </pivotArea>
    </format>
    <format dxfId="246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73"/>
          </reference>
          <reference field="25" count="1">
            <x v="5"/>
          </reference>
        </references>
      </pivotArea>
    </format>
    <format dxfId="246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73"/>
          </reference>
          <reference field="25" count="1">
            <x v="5"/>
          </reference>
        </references>
      </pivotArea>
    </format>
    <format dxfId="246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73"/>
          </reference>
          <reference field="25" count="1">
            <x v="5"/>
          </reference>
        </references>
      </pivotArea>
    </format>
    <format dxfId="245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73"/>
          </reference>
          <reference field="25" count="1">
            <x v="0"/>
          </reference>
        </references>
      </pivotArea>
    </format>
    <format dxfId="245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69"/>
          </reference>
          <reference field="25" count="1">
            <x v="4"/>
          </reference>
        </references>
      </pivotArea>
    </format>
    <format dxfId="245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69"/>
          </reference>
          <reference field="25" count="1">
            <x v="5"/>
          </reference>
        </references>
      </pivotArea>
    </format>
    <format dxfId="245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69"/>
          </reference>
          <reference field="25" count="1">
            <x v="5"/>
          </reference>
        </references>
      </pivotArea>
    </format>
    <format dxfId="245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69"/>
          </reference>
          <reference field="25" count="1">
            <x v="5"/>
          </reference>
        </references>
      </pivotArea>
    </format>
    <format dxfId="245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69"/>
          </reference>
          <reference field="25" count="1">
            <x v="0"/>
          </reference>
        </references>
      </pivotArea>
    </format>
    <format dxfId="245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68"/>
          </reference>
          <reference field="25" count="1">
            <x v="4"/>
          </reference>
        </references>
      </pivotArea>
    </format>
    <format dxfId="245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68"/>
          </reference>
          <reference field="25" count="1">
            <x v="5"/>
          </reference>
        </references>
      </pivotArea>
    </format>
    <format dxfId="245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68"/>
          </reference>
          <reference field="25" count="1">
            <x v="5"/>
          </reference>
        </references>
      </pivotArea>
    </format>
    <format dxfId="245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68"/>
          </reference>
          <reference field="25" count="1">
            <x v="5"/>
          </reference>
        </references>
      </pivotArea>
    </format>
    <format dxfId="244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68"/>
          </reference>
          <reference field="25" count="1">
            <x v="0"/>
          </reference>
        </references>
      </pivotArea>
    </format>
    <format dxfId="244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67"/>
          </reference>
          <reference field="25" count="1">
            <x v="4"/>
          </reference>
        </references>
      </pivotArea>
    </format>
    <format dxfId="244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67"/>
          </reference>
          <reference field="25" count="1">
            <x v="5"/>
          </reference>
        </references>
      </pivotArea>
    </format>
    <format dxfId="244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67"/>
          </reference>
          <reference field="25" count="1">
            <x v="5"/>
          </reference>
        </references>
      </pivotArea>
    </format>
    <format dxfId="244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67"/>
          </reference>
          <reference field="25" count="1">
            <x v="5"/>
          </reference>
        </references>
      </pivotArea>
    </format>
    <format dxfId="244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67"/>
          </reference>
          <reference field="25" count="1">
            <x v="0"/>
          </reference>
        </references>
      </pivotArea>
    </format>
    <format dxfId="2443">
      <pivotArea dataOnly="0" labelOnly="1" fieldPosition="0">
        <references count="2">
          <reference field="0" count="1">
            <x v="25"/>
          </reference>
          <reference field="8" count="1" selected="0">
            <x v="180"/>
          </reference>
        </references>
      </pivotArea>
    </format>
    <format dxfId="2442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80"/>
          </reference>
        </references>
      </pivotArea>
    </format>
    <format dxfId="2441">
      <pivotArea dataOnly="0" labelOnly="1" fieldPosition="0">
        <references count="2">
          <reference field="0" count="1">
            <x v="25"/>
          </reference>
          <reference field="8" count="1" selected="0">
            <x v="182"/>
          </reference>
        </references>
      </pivotArea>
    </format>
    <format dxfId="2440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82"/>
          </reference>
        </references>
      </pivotArea>
    </format>
    <format dxfId="2439">
      <pivotArea dataOnly="0" labelOnly="1" fieldPosition="0">
        <references count="2">
          <reference field="0" count="2">
            <x v="14"/>
            <x v="25"/>
          </reference>
          <reference field="8" count="1" selected="0">
            <x v="184"/>
          </reference>
        </references>
      </pivotArea>
    </format>
    <format dxfId="2438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184"/>
          </reference>
        </references>
      </pivotArea>
    </format>
    <format dxfId="2437">
      <pivotArea dataOnly="0" labelOnly="1" fieldPosition="0">
        <references count="2">
          <reference field="0" count="1">
            <x v="25"/>
          </reference>
          <reference field="8" count="1" selected="0">
            <x v="184"/>
          </reference>
        </references>
      </pivotArea>
    </format>
    <format dxfId="2436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84"/>
          </reference>
        </references>
      </pivotArea>
    </format>
    <format dxfId="2435">
      <pivotArea dataOnly="0" labelOnly="1" fieldPosition="0">
        <references count="2">
          <reference field="0" count="1">
            <x v="25"/>
          </reference>
          <reference field="8" count="1" selected="0">
            <x v="186"/>
          </reference>
        </references>
      </pivotArea>
    </format>
    <format dxfId="2434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86"/>
          </reference>
        </references>
      </pivotArea>
    </format>
    <format dxfId="2433">
      <pivotArea dataOnly="0" labelOnly="1" fieldPosition="0">
        <references count="2">
          <reference field="0" count="1">
            <x v="25"/>
          </reference>
          <reference field="8" count="1" selected="0">
            <x v="188"/>
          </reference>
        </references>
      </pivotArea>
    </format>
    <format dxfId="2432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88"/>
          </reference>
        </references>
      </pivotArea>
    </format>
    <format dxfId="243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89"/>
          </reference>
          <reference field="25" count="1">
            <x v="5"/>
          </reference>
        </references>
      </pivotArea>
    </format>
    <format dxfId="243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  <reference field="8" count="1" selected="0">
            <x v="189"/>
          </reference>
          <reference field="25" count="1">
            <x v="5"/>
          </reference>
        </references>
      </pivotArea>
    </format>
    <format dxfId="242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  <reference field="8" count="1" selected="0">
            <x v="189"/>
          </reference>
          <reference field="25" count="1">
            <x v="5"/>
          </reference>
        </references>
      </pivotArea>
    </format>
    <format dxfId="242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30"/>
          </reference>
          <reference field="8" count="1" selected="0">
            <x v="189"/>
          </reference>
          <reference field="25" count="1">
            <x v="4"/>
          </reference>
        </references>
      </pivotArea>
    </format>
    <format dxfId="242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37"/>
          </reference>
          <reference field="8" count="1" selected="0">
            <x v="189"/>
          </reference>
          <reference field="25" count="1">
            <x v="0"/>
          </reference>
        </references>
      </pivotArea>
    </format>
    <format dxfId="242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96"/>
          </reference>
          <reference field="25" count="1">
            <x v="4"/>
          </reference>
        </references>
      </pivotArea>
    </format>
    <format dxfId="242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96"/>
          </reference>
          <reference field="25" count="1">
            <x v="5"/>
          </reference>
        </references>
      </pivotArea>
    </format>
    <format dxfId="242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96"/>
          </reference>
          <reference field="25" count="1">
            <x v="5"/>
          </reference>
        </references>
      </pivotArea>
    </format>
    <format dxfId="242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96"/>
          </reference>
          <reference field="25" count="1">
            <x v="5"/>
          </reference>
        </references>
      </pivotArea>
    </format>
    <format dxfId="242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96"/>
          </reference>
          <reference field="25" count="1">
            <x v="0"/>
          </reference>
        </references>
      </pivotArea>
    </format>
    <format dxfId="242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98"/>
          </reference>
          <reference field="25" count="1">
            <x v="4"/>
          </reference>
        </references>
      </pivotArea>
    </format>
    <format dxfId="242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198"/>
          </reference>
          <reference field="25" count="1">
            <x v="5"/>
          </reference>
        </references>
      </pivotArea>
    </format>
    <format dxfId="241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98"/>
          </reference>
          <reference field="25" count="1">
            <x v="5"/>
          </reference>
        </references>
      </pivotArea>
    </format>
    <format dxfId="241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198"/>
          </reference>
          <reference field="25" count="1">
            <x v="5"/>
          </reference>
        </references>
      </pivotArea>
    </format>
    <format dxfId="241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98"/>
          </reference>
          <reference field="25" count="1">
            <x v="0"/>
          </reference>
        </references>
      </pivotArea>
    </format>
    <format dxfId="241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00"/>
          </reference>
          <reference field="25" count="1">
            <x v="4"/>
          </reference>
        </references>
      </pivotArea>
    </format>
    <format dxfId="241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00"/>
          </reference>
          <reference field="25" count="1">
            <x v="5"/>
          </reference>
        </references>
      </pivotArea>
    </format>
    <format dxfId="241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00"/>
          </reference>
          <reference field="25" count="1">
            <x v="5"/>
          </reference>
        </references>
      </pivotArea>
    </format>
    <format dxfId="241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00"/>
          </reference>
          <reference field="25" count="1">
            <x v="5"/>
          </reference>
        </references>
      </pivotArea>
    </format>
    <format dxfId="241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00"/>
          </reference>
          <reference field="25" count="1">
            <x v="0"/>
          </reference>
        </references>
      </pivotArea>
    </format>
    <format dxfId="241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05"/>
          </reference>
          <reference field="25" count="1">
            <x v="5"/>
          </reference>
        </references>
      </pivotArea>
    </format>
    <format dxfId="241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  <reference field="8" count="1" selected="0">
            <x v="205"/>
          </reference>
          <reference field="25" count="1">
            <x v="5"/>
          </reference>
        </references>
      </pivotArea>
    </format>
    <format dxfId="240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  <reference field="8" count="1" selected="0">
            <x v="205"/>
          </reference>
          <reference field="25" count="1">
            <x v="5"/>
          </reference>
        </references>
      </pivotArea>
    </format>
    <format dxfId="240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6"/>
          </reference>
          <reference field="8" count="1" selected="0">
            <x v="205"/>
          </reference>
          <reference field="25" count="1">
            <x v="0"/>
          </reference>
        </references>
      </pivotArea>
    </format>
    <format dxfId="240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30"/>
          </reference>
          <reference field="8" count="1" selected="0">
            <x v="205"/>
          </reference>
          <reference field="25" count="1">
            <x v="4"/>
          </reference>
        </references>
      </pivotArea>
    </format>
    <format dxfId="240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02"/>
          </reference>
          <reference field="25" count="1">
            <x v="4"/>
          </reference>
        </references>
      </pivotArea>
    </format>
    <format dxfId="240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02"/>
          </reference>
          <reference field="25" count="1">
            <x v="5"/>
          </reference>
        </references>
      </pivotArea>
    </format>
    <format dxfId="240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02"/>
          </reference>
          <reference field="25" count="1">
            <x v="5"/>
          </reference>
        </references>
      </pivotArea>
    </format>
    <format dxfId="240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02"/>
          </reference>
          <reference field="25" count="1">
            <x v="5"/>
          </reference>
        </references>
      </pivotArea>
    </format>
    <format dxfId="240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02"/>
          </reference>
          <reference field="25" count="1">
            <x v="0"/>
          </reference>
        </references>
      </pivotArea>
    </format>
    <format dxfId="240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07"/>
          </reference>
          <reference field="25" count="1">
            <x v="4"/>
          </reference>
        </references>
      </pivotArea>
    </format>
    <format dxfId="240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07"/>
          </reference>
          <reference field="25" count="1">
            <x v="5"/>
          </reference>
        </references>
      </pivotArea>
    </format>
    <format dxfId="239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07"/>
          </reference>
          <reference field="25" count="1">
            <x v="5"/>
          </reference>
        </references>
      </pivotArea>
    </format>
    <format dxfId="239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07"/>
          </reference>
          <reference field="25" count="1">
            <x v="5"/>
          </reference>
        </references>
      </pivotArea>
    </format>
    <format dxfId="239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07"/>
          </reference>
          <reference field="25" count="1">
            <x v="0"/>
          </reference>
        </references>
      </pivotArea>
    </format>
    <format dxfId="239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  <reference field="8" count="1" selected="0">
            <x v="205"/>
          </reference>
          <reference field="25" count="1">
            <x v="5"/>
          </reference>
        </references>
      </pivotArea>
    </format>
    <format dxfId="2395">
      <pivotArea dataOnly="0" labelOnly="1" fieldPosition="0">
        <references count="2">
          <reference field="0" count="1">
            <x v="15"/>
          </reference>
          <reference field="8" count="1" selected="0">
            <x v="205"/>
          </reference>
        </references>
      </pivotArea>
    </format>
    <format dxfId="2394">
      <pivotArea dataOnly="0" labelOnly="1" fieldPosition="0">
        <references count="3">
          <reference field="0" count="1" selected="0">
            <x v="15"/>
          </reference>
          <reference field="1" count="1">
            <x v="0"/>
          </reference>
          <reference field="8" count="1" selected="0">
            <x v="205"/>
          </reference>
        </references>
      </pivotArea>
    </format>
    <format dxfId="2393">
      <pivotArea dataOnly="0" labelOnly="1" fieldPosition="0">
        <references count="4">
          <reference field="0" count="1" selected="0">
            <x v="15"/>
          </reference>
          <reference field="1" count="1" selected="0">
            <x v="0"/>
          </reference>
          <reference field="8" count="1" selected="0">
            <x v="205"/>
          </reference>
          <reference field="25" count="1">
            <x v="5"/>
          </reference>
        </references>
      </pivotArea>
    </format>
    <format dxfId="2392">
      <pivotArea dataOnly="0" labelOnly="1" fieldPosition="0">
        <references count="2">
          <reference field="0" count="1">
            <x v="41"/>
          </reference>
          <reference field="8" count="1" selected="0">
            <x v="189"/>
          </reference>
        </references>
      </pivotArea>
    </format>
    <format dxfId="2391">
      <pivotArea dataOnly="0" labelOnly="1" fieldPosition="0">
        <references count="3">
          <reference field="0" count="1" selected="0">
            <x v="41"/>
          </reference>
          <reference field="1" count="1">
            <x v="37"/>
          </reference>
          <reference field="8" count="1" selected="0">
            <x v="189"/>
          </reference>
        </references>
      </pivotArea>
    </format>
    <format dxfId="2390">
      <pivotArea dataOnly="0" labelOnly="1" fieldPosition="0">
        <references count="2">
          <reference field="0" count="1">
            <x v="25"/>
          </reference>
          <reference field="8" count="1" selected="0">
            <x v="196"/>
          </reference>
        </references>
      </pivotArea>
    </format>
    <format dxfId="2389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96"/>
          </reference>
        </references>
      </pivotArea>
    </format>
    <format dxfId="2388">
      <pivotArea dataOnly="0" labelOnly="1" fieldPosition="0">
        <references count="2">
          <reference field="0" count="1">
            <x v="25"/>
          </reference>
          <reference field="8" count="1" selected="0">
            <x v="198"/>
          </reference>
        </references>
      </pivotArea>
    </format>
    <format dxfId="2387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98"/>
          </reference>
        </references>
      </pivotArea>
    </format>
    <format dxfId="2386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00"/>
          </reference>
        </references>
      </pivotArea>
    </format>
    <format dxfId="2385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02"/>
          </reference>
        </references>
      </pivotArea>
    </format>
    <format dxfId="2384">
      <pivotArea dataOnly="0" labelOnly="1" fieldPosition="0">
        <references count="3">
          <reference field="0" count="1" selected="0">
            <x v="27"/>
          </reference>
          <reference field="1" count="1">
            <x v="6"/>
          </reference>
          <reference field="8" count="1" selected="0">
            <x v="205"/>
          </reference>
        </references>
      </pivotArea>
    </format>
    <format dxfId="2383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07"/>
          </reference>
        </references>
      </pivotArea>
    </format>
    <format dxfId="2382">
      <pivotArea collapsedLevelsAreSubtotals="1" fieldPosition="0">
        <references count="5">
          <reference field="4294967294" count="1" selected="0">
            <x v="1"/>
          </reference>
          <reference field="0" count="1" selected="0">
            <x v="44"/>
          </reference>
          <reference field="1" count="1" selected="0">
            <x v="40"/>
          </reference>
          <reference field="8" count="1" selected="0">
            <x v="159"/>
          </reference>
          <reference field="25" count="1">
            <x v="0"/>
          </reference>
        </references>
      </pivotArea>
    </format>
    <format dxfId="2381">
      <pivotArea collapsedLevelsAreSubtotals="1" fieldPosition="0">
        <references count="4">
          <reference field="0" count="1" selected="0">
            <x v="8"/>
          </reference>
          <reference field="1" count="1" selected="0">
            <x v="44"/>
          </reference>
          <reference field="8" count="1" selected="0">
            <x v="124"/>
          </reference>
          <reference field="25" count="1">
            <x v="4"/>
          </reference>
        </references>
      </pivotArea>
    </format>
    <format dxfId="2380">
      <pivotArea collapsedLevelsAreSubtotals="1" fieldPosition="0">
        <references count="4">
          <reference field="0" count="1" selected="0">
            <x v="10"/>
          </reference>
          <reference field="1" count="1" selected="0">
            <x v="7"/>
          </reference>
          <reference field="8" count="1" selected="0">
            <x v="124"/>
          </reference>
          <reference field="25" count="1">
            <x v="5"/>
          </reference>
        </references>
      </pivotArea>
    </format>
    <format dxfId="2379">
      <pivotArea collapsedLevelsAreSubtotals="1" fieldPosition="0">
        <references count="4"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24"/>
          </reference>
          <reference field="25" count="1">
            <x v="5"/>
          </reference>
        </references>
      </pivotArea>
    </format>
    <format dxfId="2378">
      <pivotArea collapsedLevelsAreSubtotals="1" fieldPosition="0">
        <references count="4">
          <reference field="0" count="1" selected="0">
            <x v="14"/>
          </reference>
          <reference field="1" count="1" selected="0">
            <x v="1"/>
          </reference>
          <reference field="8" count="1" selected="0">
            <x v="124"/>
          </reference>
          <reference field="25" count="1">
            <x v="5"/>
          </reference>
        </references>
      </pivotArea>
    </format>
    <format dxfId="2377">
      <pivotArea collapsedLevelsAreSubtotals="1" fieldPosition="0">
        <references count="4"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24"/>
          </reference>
          <reference field="25" count="1">
            <x v="0"/>
          </reference>
        </references>
      </pivotArea>
    </format>
    <format dxfId="2376">
      <pivotArea field="8" type="button" dataOnly="0" labelOnly="1" outline="0" axis="axisRow" fieldPosition="0"/>
    </format>
    <format dxfId="2375">
      <pivotArea field="0" type="button" dataOnly="0" labelOnly="1" outline="0" axis="axisRow" fieldPosition="1"/>
    </format>
    <format dxfId="2374">
      <pivotArea field="1" type="button" dataOnly="0" labelOnly="1" outline="0" axis="axisRow" fieldPosition="2"/>
    </format>
    <format dxfId="2373">
      <pivotArea field="25" type="button" dataOnly="0" labelOnly="1" outline="0" axis="axisRow" fieldPosition="3"/>
    </format>
    <format dxfId="2372">
      <pivotArea dataOnly="0" labelOnly="1" fieldPosition="0">
        <references count="2">
          <reference field="0" count="5">
            <x v="8"/>
            <x v="10"/>
            <x v="12"/>
            <x v="14"/>
            <x v="25"/>
          </reference>
          <reference field="8" count="1" selected="0">
            <x v="124"/>
          </reference>
        </references>
      </pivotArea>
    </format>
    <format dxfId="2371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124"/>
          </reference>
        </references>
      </pivotArea>
    </format>
    <format dxfId="2370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124"/>
          </reference>
        </references>
      </pivotArea>
    </format>
    <format dxfId="2369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124"/>
          </reference>
        </references>
      </pivotArea>
    </format>
    <format dxfId="2368">
      <pivotArea dataOnly="0" labelOnly="1" fieldPosition="0">
        <references count="4">
          <reference field="0" count="1" selected="0">
            <x v="10"/>
          </reference>
          <reference field="1" count="1" selected="0">
            <x v="7"/>
          </reference>
          <reference field="8" count="1" selected="0">
            <x v="124"/>
          </reference>
          <reference field="25" count="1">
            <x v="5"/>
          </reference>
        </references>
      </pivotArea>
    </format>
    <format dxfId="2367">
      <pivotArea dataOnly="0" labelOnly="1" fieldPosition="0">
        <references count="4">
          <reference field="0" count="1" selected="0">
            <x v="12"/>
          </reference>
          <reference field="1" count="1" selected="0">
            <x v="46"/>
          </reference>
          <reference field="8" count="1" selected="0">
            <x v="124"/>
          </reference>
          <reference field="25" count="1">
            <x v="5"/>
          </reference>
        </references>
      </pivotArea>
    </format>
    <format dxfId="2366">
      <pivotArea dataOnly="0" labelOnly="1" fieldPosition="0">
        <references count="4">
          <reference field="0" count="1" selected="0">
            <x v="14"/>
          </reference>
          <reference field="1" count="1" selected="0">
            <x v="1"/>
          </reference>
          <reference field="8" count="1" selected="0">
            <x v="124"/>
          </reference>
          <reference field="25" count="1">
            <x v="5"/>
          </reference>
        </references>
      </pivotArea>
    </format>
    <format dxfId="2365">
      <pivotArea dataOnly="0" labelOnly="1" fieldPosition="0">
        <references count="4">
          <reference field="0" count="1" selected="0">
            <x v="25"/>
          </reference>
          <reference field="1" count="1" selected="0">
            <x v="45"/>
          </reference>
          <reference field="8" count="1" selected="0">
            <x v="124"/>
          </reference>
          <reference field="25" count="1">
            <x v="0"/>
          </reference>
        </references>
      </pivotArea>
    </format>
    <format dxfId="23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63">
      <pivotArea dataOnly="0" labelOnly="1" fieldPosition="0">
        <references count="2">
          <reference field="0" count="1">
            <x v="25"/>
          </reference>
          <reference field="8" count="1" selected="0">
            <x v="124"/>
          </reference>
        </references>
      </pivotArea>
    </format>
    <format dxfId="2362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124"/>
          </reference>
        </references>
      </pivotArea>
    </format>
    <format dxfId="236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124"/>
          </reference>
          <reference field="25" count="1">
            <x v="4"/>
          </reference>
        </references>
      </pivotArea>
    </format>
    <format dxfId="2360">
      <pivotArea dataOnly="0" labelOnly="1" fieldPosition="0">
        <references count="2">
          <reference field="0" count="1">
            <x v="8"/>
          </reference>
          <reference field="8" count="1" selected="0">
            <x v="124"/>
          </reference>
        </references>
      </pivotArea>
    </format>
    <format dxfId="2359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124"/>
          </reference>
        </references>
      </pivotArea>
    </format>
    <format dxfId="2358">
      <pivotArea dataOnly="0" labelOnly="1" fieldPosition="0">
        <references count="4">
          <reference field="0" count="1" selected="0">
            <x v="8"/>
          </reference>
          <reference field="1" count="1" selected="0">
            <x v="44"/>
          </reference>
          <reference field="8" count="1" selected="0">
            <x v="124"/>
          </reference>
          <reference field="25" count="1">
            <x v="4"/>
          </reference>
        </references>
      </pivotArea>
    </format>
    <format dxfId="235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09"/>
          </reference>
          <reference field="25" count="1">
            <x v="4"/>
          </reference>
        </references>
      </pivotArea>
    </format>
    <format dxfId="235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09"/>
          </reference>
          <reference field="25" count="1">
            <x v="5"/>
          </reference>
        </references>
      </pivotArea>
    </format>
    <format dxfId="235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09"/>
          </reference>
          <reference field="25" count="1">
            <x v="5"/>
          </reference>
        </references>
      </pivotArea>
    </format>
    <format dxfId="235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09"/>
          </reference>
          <reference field="25" count="1">
            <x v="5"/>
          </reference>
        </references>
      </pivotArea>
    </format>
    <format dxfId="235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09"/>
          </reference>
          <reference field="25" count="1">
            <x v="0"/>
          </reference>
        </references>
      </pivotArea>
    </format>
    <format dxfId="235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10"/>
          </reference>
          <reference field="25" count="1">
            <x v="4"/>
          </reference>
        </references>
      </pivotArea>
    </format>
    <format dxfId="235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10"/>
          </reference>
          <reference field="25" count="1">
            <x v="5"/>
          </reference>
        </references>
      </pivotArea>
    </format>
    <format dxfId="235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10"/>
          </reference>
          <reference field="25" count="1">
            <x v="5"/>
          </reference>
        </references>
      </pivotArea>
    </format>
    <format dxfId="234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10"/>
          </reference>
          <reference field="25" count="1">
            <x v="5"/>
          </reference>
        </references>
      </pivotArea>
    </format>
    <format dxfId="234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10"/>
          </reference>
          <reference field="25" count="1">
            <x v="0"/>
          </reference>
        </references>
      </pivotArea>
    </format>
    <format dxfId="234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11"/>
          </reference>
          <reference field="25" count="1">
            <x v="4"/>
          </reference>
        </references>
      </pivotArea>
    </format>
    <format dxfId="234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11"/>
          </reference>
          <reference field="25" count="1">
            <x v="5"/>
          </reference>
        </references>
      </pivotArea>
    </format>
    <format dxfId="234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11"/>
          </reference>
          <reference field="25" count="1">
            <x v="5"/>
          </reference>
        </references>
      </pivotArea>
    </format>
    <format dxfId="234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11"/>
          </reference>
          <reference field="25" count="1">
            <x v="5"/>
          </reference>
        </references>
      </pivotArea>
    </format>
    <format dxfId="234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11"/>
          </reference>
          <reference field="25" count="1">
            <x v="0"/>
          </reference>
        </references>
      </pivotArea>
    </format>
    <format dxfId="234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12"/>
          </reference>
          <reference field="25" count="1">
            <x v="4"/>
          </reference>
        </references>
      </pivotArea>
    </format>
    <format dxfId="234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12"/>
          </reference>
          <reference field="25" count="1">
            <x v="5"/>
          </reference>
        </references>
      </pivotArea>
    </format>
    <format dxfId="234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12"/>
          </reference>
          <reference field="25" count="1">
            <x v="5"/>
          </reference>
        </references>
      </pivotArea>
    </format>
    <format dxfId="233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12"/>
          </reference>
          <reference field="25" count="1">
            <x v="5"/>
          </reference>
        </references>
      </pivotArea>
    </format>
    <format dxfId="233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12"/>
          </reference>
          <reference field="25" count="1">
            <x v="0"/>
          </reference>
        </references>
      </pivotArea>
    </format>
    <format dxfId="233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17"/>
          </reference>
          <reference field="25" count="1">
            <x v="4"/>
          </reference>
        </references>
      </pivotArea>
    </format>
    <format dxfId="233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17"/>
          </reference>
          <reference field="25" count="1">
            <x v="5"/>
          </reference>
        </references>
      </pivotArea>
    </format>
    <format dxfId="233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17"/>
          </reference>
          <reference field="25" count="1">
            <x v="5"/>
          </reference>
        </references>
      </pivotArea>
    </format>
    <format dxfId="233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17"/>
          </reference>
          <reference field="25" count="1">
            <x v="5"/>
          </reference>
        </references>
      </pivotArea>
    </format>
    <format dxfId="233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17"/>
          </reference>
          <reference field="25" count="1">
            <x v="0"/>
          </reference>
        </references>
      </pivotArea>
    </format>
    <format dxfId="233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18"/>
          </reference>
          <reference field="25" count="1">
            <x v="4"/>
          </reference>
        </references>
      </pivotArea>
    </format>
    <format dxfId="233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18"/>
          </reference>
          <reference field="25" count="1">
            <x v="5"/>
          </reference>
        </references>
      </pivotArea>
    </format>
    <format dxfId="233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18"/>
          </reference>
          <reference field="25" count="1">
            <x v="5"/>
          </reference>
        </references>
      </pivotArea>
    </format>
    <format dxfId="232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18"/>
          </reference>
          <reference field="25" count="1">
            <x v="5"/>
          </reference>
        </references>
      </pivotArea>
    </format>
    <format dxfId="232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18"/>
          </reference>
          <reference field="25" count="1">
            <x v="0"/>
          </reference>
        </references>
      </pivotArea>
    </format>
    <format dxfId="2327">
      <pivotArea dataOnly="0" labelOnly="1" fieldPosition="0">
        <references count="2">
          <reference field="0" count="2">
            <x v="10"/>
            <x v="12"/>
          </reference>
          <reference field="8" count="1" selected="0">
            <x v="209"/>
          </reference>
        </references>
      </pivotArea>
    </format>
    <format dxfId="2326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209"/>
          </reference>
        </references>
      </pivotArea>
    </format>
    <format dxfId="2325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209"/>
          </reference>
        </references>
      </pivotArea>
    </format>
    <format dxfId="2324">
      <pivotArea dataOnly="0" labelOnly="1" fieldPosition="0">
        <references count="2">
          <reference field="0" count="2">
            <x v="10"/>
            <x v="12"/>
          </reference>
          <reference field="8" count="1" selected="0">
            <x v="210"/>
          </reference>
        </references>
      </pivotArea>
    </format>
    <format dxfId="2323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210"/>
          </reference>
        </references>
      </pivotArea>
    </format>
    <format dxfId="2322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210"/>
          </reference>
        </references>
      </pivotArea>
    </format>
    <format dxfId="2321">
      <pivotArea dataOnly="0" labelOnly="1" offset="B256:C256" fieldPosition="0">
        <references count="1">
          <reference field="8" count="1" sumSubtotal="1">
            <x v="209"/>
          </reference>
        </references>
      </pivotArea>
    </format>
    <format dxfId="2320">
      <pivotArea dataOnly="0" labelOnly="1" fieldPosition="0">
        <references count="2">
          <reference field="0" count="4">
            <x v="10"/>
            <x v="12"/>
            <x v="14"/>
            <x v="25"/>
          </reference>
          <reference field="8" count="1" selected="0">
            <x v="209"/>
          </reference>
        </references>
      </pivotArea>
    </format>
    <format dxfId="2319">
      <pivotArea dataOnly="0" labelOnly="1" fieldPosition="0">
        <references count="2">
          <reference field="0" count="4">
            <x v="8"/>
            <x v="10"/>
            <x v="12"/>
            <x v="14"/>
          </reference>
          <reference field="8" count="1" selected="0">
            <x v="210"/>
          </reference>
        </references>
      </pivotArea>
    </format>
    <format dxfId="2318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209"/>
          </reference>
        </references>
      </pivotArea>
    </format>
    <format dxfId="2317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209"/>
          </reference>
        </references>
      </pivotArea>
    </format>
    <format dxfId="2316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209"/>
          </reference>
        </references>
      </pivotArea>
    </format>
    <format dxfId="2315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210"/>
          </reference>
        </references>
      </pivotArea>
    </format>
    <format dxfId="2314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210"/>
          </reference>
        </references>
      </pivotArea>
    </format>
    <format dxfId="2313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210"/>
          </reference>
        </references>
      </pivotArea>
    </format>
    <format dxfId="2312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210"/>
          </reference>
        </references>
      </pivotArea>
    </format>
    <format dxfId="231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3"/>
          </reference>
          <reference field="8" count="1" selected="0">
            <x v="230"/>
          </reference>
          <reference field="25" count="1">
            <x v="4"/>
          </reference>
        </references>
      </pivotArea>
    </format>
    <format dxfId="231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30"/>
          </reference>
          <reference field="25" count="1">
            <x v="5"/>
          </reference>
        </references>
      </pivotArea>
    </format>
    <format dxfId="230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"/>
          </reference>
          <reference field="8" count="1" selected="0">
            <x v="230"/>
          </reference>
          <reference field="25" count="1">
            <x v="5"/>
          </reference>
        </references>
      </pivotArea>
    </format>
    <format dxfId="230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5"/>
          </reference>
          <reference field="8" count="1" selected="0">
            <x v="230"/>
          </reference>
          <reference field="25" count="1">
            <x v="5"/>
          </reference>
        </references>
      </pivotArea>
    </format>
    <format dxfId="230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20"/>
          </reference>
          <reference field="8" count="1" selected="0">
            <x v="230"/>
          </reference>
          <reference field="25" count="1">
            <x v="0"/>
          </reference>
        </references>
      </pivotArea>
    </format>
    <format dxfId="230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26"/>
          </reference>
          <reference field="25" count="1">
            <x v="4"/>
          </reference>
        </references>
      </pivotArea>
    </format>
    <format dxfId="230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26"/>
          </reference>
          <reference field="25" count="1">
            <x v="5"/>
          </reference>
        </references>
      </pivotArea>
    </format>
    <format dxfId="230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26"/>
          </reference>
          <reference field="25" count="1">
            <x v="5"/>
          </reference>
        </references>
      </pivotArea>
    </format>
    <format dxfId="230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26"/>
          </reference>
          <reference field="25" count="1">
            <x v="5"/>
          </reference>
        </references>
      </pivotArea>
    </format>
    <format dxfId="230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26"/>
          </reference>
          <reference field="25" count="1">
            <x v="0"/>
          </reference>
        </references>
      </pivotArea>
    </format>
    <format dxfId="230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27"/>
          </reference>
          <reference field="25" count="1">
            <x v="4"/>
          </reference>
        </references>
      </pivotArea>
    </format>
    <format dxfId="230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27"/>
          </reference>
          <reference field="25" count="1">
            <x v="5"/>
          </reference>
        </references>
      </pivotArea>
    </format>
    <format dxfId="229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27"/>
          </reference>
          <reference field="25" count="1">
            <x v="5"/>
          </reference>
        </references>
      </pivotArea>
    </format>
    <format dxfId="229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27"/>
          </reference>
          <reference field="25" count="1">
            <x v="5"/>
          </reference>
        </references>
      </pivotArea>
    </format>
    <format dxfId="229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27"/>
          </reference>
          <reference field="25" count="1">
            <x v="0"/>
          </reference>
        </references>
      </pivotArea>
    </format>
    <format dxfId="229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28"/>
          </reference>
          <reference field="25" count="1">
            <x v="4"/>
          </reference>
        </references>
      </pivotArea>
    </format>
    <format dxfId="229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28"/>
          </reference>
          <reference field="25" count="1">
            <x v="5"/>
          </reference>
        </references>
      </pivotArea>
    </format>
    <format dxfId="229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28"/>
          </reference>
          <reference field="25" count="1">
            <x v="5"/>
          </reference>
        </references>
      </pivotArea>
    </format>
    <format dxfId="229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28"/>
          </reference>
          <reference field="25" count="1">
            <x v="5"/>
          </reference>
        </references>
      </pivotArea>
    </format>
    <format dxfId="229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28"/>
          </reference>
          <reference field="25" count="1">
            <x v="0"/>
          </reference>
        </references>
      </pivotArea>
    </format>
    <format dxfId="2291">
      <pivotArea dataOnly="0" labelOnly="1" fieldPosition="0">
        <references count="2">
          <reference field="0" count="1">
            <x v="24"/>
          </reference>
          <reference field="8" count="1" selected="0">
            <x v="230"/>
          </reference>
        </references>
      </pivotArea>
    </format>
    <format dxfId="2290">
      <pivotArea dataOnly="0" labelOnly="1" fieldPosition="0">
        <references count="3">
          <reference field="0" count="1" selected="0">
            <x v="24"/>
          </reference>
          <reference field="1" count="1">
            <x v="20"/>
          </reference>
          <reference field="8" count="1" selected="0">
            <x v="230"/>
          </reference>
        </references>
      </pivotArea>
    </format>
    <format dxfId="2289">
      <pivotArea collapsedLevelsAreSubtotals="1" fieldPosition="0">
        <references count="1">
          <reference field="8" count="1" sumSubtotal="1">
            <x v="238"/>
          </reference>
        </references>
      </pivotArea>
    </format>
    <format dxfId="228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38"/>
          </reference>
          <reference field="25" count="1">
            <x v="4"/>
          </reference>
        </references>
      </pivotArea>
    </format>
    <format dxfId="228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38"/>
          </reference>
          <reference field="25" count="1">
            <x v="5"/>
          </reference>
        </references>
      </pivotArea>
    </format>
    <format dxfId="228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38"/>
          </reference>
          <reference field="25" count="1">
            <x v="5"/>
          </reference>
        </references>
      </pivotArea>
    </format>
    <format dxfId="228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38"/>
          </reference>
          <reference field="25" count="1">
            <x v="5"/>
          </reference>
        </references>
      </pivotArea>
    </format>
    <format dxfId="228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38"/>
          </reference>
          <reference field="25" count="1">
            <x v="0"/>
          </reference>
        </references>
      </pivotArea>
    </format>
    <format dxfId="228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45"/>
          </reference>
          <reference field="25" count="1">
            <x v="4"/>
          </reference>
        </references>
      </pivotArea>
    </format>
    <format dxfId="228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45"/>
          </reference>
          <reference field="25" count="1">
            <x v="5"/>
          </reference>
        </references>
      </pivotArea>
    </format>
    <format dxfId="228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45"/>
          </reference>
          <reference field="25" count="1">
            <x v="5"/>
          </reference>
        </references>
      </pivotArea>
    </format>
    <format dxfId="228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45"/>
          </reference>
          <reference field="25" count="1">
            <x v="5"/>
          </reference>
        </references>
      </pivotArea>
    </format>
    <format dxfId="227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45"/>
          </reference>
          <reference field="25" count="1">
            <x v="0"/>
          </reference>
        </references>
      </pivotArea>
    </format>
    <format dxfId="227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47"/>
          </reference>
          <reference field="25" count="1">
            <x v="4"/>
          </reference>
        </references>
      </pivotArea>
    </format>
    <format dxfId="227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47"/>
          </reference>
          <reference field="25" count="1">
            <x v="5"/>
          </reference>
        </references>
      </pivotArea>
    </format>
    <format dxfId="227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47"/>
          </reference>
          <reference field="25" count="1">
            <x v="5"/>
          </reference>
        </references>
      </pivotArea>
    </format>
    <format dxfId="227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47"/>
          </reference>
          <reference field="25" count="1">
            <x v="5"/>
          </reference>
        </references>
      </pivotArea>
    </format>
    <format dxfId="227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47"/>
          </reference>
          <reference field="25" count="1">
            <x v="0"/>
          </reference>
        </references>
      </pivotArea>
    </format>
    <format dxfId="227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49"/>
          </reference>
          <reference field="25" count="1">
            <x v="5"/>
          </reference>
        </references>
      </pivotArea>
    </format>
    <format dxfId="227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  <reference field="8" count="1" selected="0">
            <x v="249"/>
          </reference>
          <reference field="25" count="1">
            <x v="5"/>
          </reference>
        </references>
      </pivotArea>
    </format>
    <format dxfId="227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  <reference field="8" count="1" selected="0">
            <x v="249"/>
          </reference>
          <reference field="25" count="1">
            <x v="5"/>
          </reference>
        </references>
      </pivotArea>
    </format>
    <format dxfId="227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6"/>
          </reference>
          <reference field="8" count="1" selected="0">
            <x v="249"/>
          </reference>
          <reference field="25" count="1">
            <x v="0"/>
          </reference>
        </references>
      </pivotArea>
    </format>
    <format dxfId="226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30"/>
          </reference>
          <reference field="8" count="1" selected="0">
            <x v="249"/>
          </reference>
          <reference field="25" count="1">
            <x v="4"/>
          </reference>
        </references>
      </pivotArea>
    </format>
    <format dxfId="226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31"/>
          </reference>
          <reference field="8" count="1" selected="0">
            <x v="249"/>
          </reference>
          <reference field="25" count="1">
            <x v="2"/>
          </reference>
        </references>
      </pivotArea>
    </format>
    <format dxfId="226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51"/>
          </reference>
          <reference field="25" count="1">
            <x v="4"/>
          </reference>
        </references>
      </pivotArea>
    </format>
    <format dxfId="226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51"/>
          </reference>
          <reference field="25" count="1">
            <x v="5"/>
          </reference>
        </references>
      </pivotArea>
    </format>
    <format dxfId="226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51"/>
          </reference>
          <reference field="25" count="1">
            <x v="5"/>
          </reference>
        </references>
      </pivotArea>
    </format>
    <format dxfId="226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51"/>
          </reference>
          <reference field="25" count="1">
            <x v="5"/>
          </reference>
        </references>
      </pivotArea>
    </format>
    <format dxfId="226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51"/>
          </reference>
          <reference field="25" count="1">
            <x v="0"/>
          </reference>
        </references>
      </pivotArea>
    </format>
    <format dxfId="226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53"/>
          </reference>
          <reference field="25" count="1">
            <x v="0"/>
          </reference>
        </references>
      </pivotArea>
    </format>
    <format dxfId="226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53"/>
          </reference>
          <reference field="25" count="1">
            <x v="4"/>
          </reference>
        </references>
      </pivotArea>
    </format>
    <format dxfId="226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53"/>
          </reference>
          <reference field="25" count="1">
            <x v="5"/>
          </reference>
        </references>
      </pivotArea>
    </format>
    <format dxfId="225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53"/>
          </reference>
          <reference field="25" count="1">
            <x v="5"/>
          </reference>
        </references>
      </pivotArea>
    </format>
    <format dxfId="225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53"/>
          </reference>
          <reference field="25" count="1">
            <x v="5"/>
          </reference>
        </references>
      </pivotArea>
    </format>
    <format dxfId="225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55"/>
          </reference>
          <reference field="25" count="1">
            <x v="4"/>
          </reference>
        </references>
      </pivotArea>
    </format>
    <format dxfId="225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55"/>
          </reference>
          <reference field="25" count="1">
            <x v="5"/>
          </reference>
        </references>
      </pivotArea>
    </format>
    <format dxfId="225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55"/>
          </reference>
          <reference field="25" count="1">
            <x v="5"/>
          </reference>
        </references>
      </pivotArea>
    </format>
    <format dxfId="225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55"/>
          </reference>
          <reference field="25" count="1">
            <x v="5"/>
          </reference>
        </references>
      </pivotArea>
    </format>
    <format dxfId="225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55"/>
          </reference>
          <reference field="25" count="1">
            <x v="0"/>
          </reference>
        </references>
      </pivotArea>
    </format>
    <format dxfId="225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56"/>
          </reference>
          <reference field="25" count="1">
            <x v="4"/>
          </reference>
        </references>
      </pivotArea>
    </format>
    <format dxfId="225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56"/>
          </reference>
          <reference field="25" count="1">
            <x v="5"/>
          </reference>
        </references>
      </pivotArea>
    </format>
    <format dxfId="225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56"/>
          </reference>
          <reference field="25" count="1">
            <x v="5"/>
          </reference>
        </references>
      </pivotArea>
    </format>
    <format dxfId="224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56"/>
          </reference>
          <reference field="25" count="1">
            <x v="5"/>
          </reference>
        </references>
      </pivotArea>
    </format>
    <format dxfId="224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56"/>
          </reference>
          <reference field="25" count="1">
            <x v="0"/>
          </reference>
        </references>
      </pivotArea>
    </format>
    <format dxfId="224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57"/>
          </reference>
          <reference field="25" count="1">
            <x v="4"/>
          </reference>
        </references>
      </pivotArea>
    </format>
    <format dxfId="224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57"/>
          </reference>
          <reference field="25" count="1">
            <x v="5"/>
          </reference>
        </references>
      </pivotArea>
    </format>
    <format dxfId="224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57"/>
          </reference>
          <reference field="25" count="1">
            <x v="5"/>
          </reference>
        </references>
      </pivotArea>
    </format>
    <format dxfId="224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57"/>
          </reference>
          <reference field="25" count="1">
            <x v="5"/>
          </reference>
        </references>
      </pivotArea>
    </format>
    <format dxfId="224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57"/>
          </reference>
          <reference field="25" count="1">
            <x v="0"/>
          </reference>
        </references>
      </pivotArea>
    </format>
    <format dxfId="2242">
      <pivotArea dataOnly="0" labelOnly="1" fieldPosition="0">
        <references count="1">
          <reference field="8" count="0"/>
        </references>
      </pivotArea>
    </format>
    <format dxfId="224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65"/>
          </reference>
          <reference field="25" count="1">
            <x v="4"/>
          </reference>
        </references>
      </pivotArea>
    </format>
    <format dxfId="224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65"/>
          </reference>
          <reference field="25" count="1">
            <x v="5"/>
          </reference>
        </references>
      </pivotArea>
    </format>
    <format dxfId="223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65"/>
          </reference>
          <reference field="25" count="1">
            <x v="5"/>
          </reference>
        </references>
      </pivotArea>
    </format>
    <format dxfId="223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65"/>
          </reference>
          <reference field="25" count="1">
            <x v="5"/>
          </reference>
        </references>
      </pivotArea>
    </format>
    <format dxfId="223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65"/>
          </reference>
          <reference field="25" count="1">
            <x v="0"/>
          </reference>
        </references>
      </pivotArea>
    </format>
    <format dxfId="2236">
      <pivotArea dataOnly="0" labelOnly="1" fieldPosition="0">
        <references count="2">
          <reference field="0" count="1">
            <x v="25"/>
          </reference>
          <reference field="8" count="1" selected="0">
            <x v="209"/>
          </reference>
        </references>
      </pivotArea>
    </format>
    <format dxfId="2235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09"/>
          </reference>
        </references>
      </pivotArea>
    </format>
    <format dxfId="2234">
      <pivotArea dataOnly="0" labelOnly="1" fieldPosition="0">
        <references count="2">
          <reference field="0" count="1">
            <x v="25"/>
          </reference>
          <reference field="8" count="1" selected="0">
            <x v="210"/>
          </reference>
        </references>
      </pivotArea>
    </format>
    <format dxfId="2233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10"/>
          </reference>
        </references>
      </pivotArea>
    </format>
    <format dxfId="2232">
      <pivotArea dataOnly="0" labelOnly="1" fieldPosition="0">
        <references count="2">
          <reference field="0" count="1">
            <x v="25"/>
          </reference>
          <reference field="8" count="1" selected="0">
            <x v="211"/>
          </reference>
        </references>
      </pivotArea>
    </format>
    <format dxfId="2231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11"/>
          </reference>
        </references>
      </pivotArea>
    </format>
    <format dxfId="2230">
      <pivotArea dataOnly="0" labelOnly="1" fieldPosition="0">
        <references count="2">
          <reference field="0" count="1">
            <x v="25"/>
          </reference>
          <reference field="8" count="1" selected="0">
            <x v="212"/>
          </reference>
        </references>
      </pivotArea>
    </format>
    <format dxfId="2229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12"/>
          </reference>
        </references>
      </pivotArea>
    </format>
    <format dxfId="2228">
      <pivotArea dataOnly="0" labelOnly="1" fieldPosition="0">
        <references count="2">
          <reference field="0" count="1">
            <x v="25"/>
          </reference>
          <reference field="8" count="1" selected="0">
            <x v="217"/>
          </reference>
        </references>
      </pivotArea>
    </format>
    <format dxfId="2227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17"/>
          </reference>
        </references>
      </pivotArea>
    </format>
    <format dxfId="2226">
      <pivotArea dataOnly="0" labelOnly="1" fieldPosition="0">
        <references count="2">
          <reference field="0" count="1">
            <x v="25"/>
          </reference>
          <reference field="8" count="1" selected="0">
            <x v="218"/>
          </reference>
        </references>
      </pivotArea>
    </format>
    <format dxfId="2225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18"/>
          </reference>
        </references>
      </pivotArea>
    </format>
    <format dxfId="2224">
      <pivotArea dataOnly="0" labelOnly="1" fieldPosition="0">
        <references count="2">
          <reference field="0" count="1">
            <x v="25"/>
          </reference>
          <reference field="8" count="1" selected="0">
            <x v="226"/>
          </reference>
        </references>
      </pivotArea>
    </format>
    <format dxfId="2223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26"/>
          </reference>
        </references>
      </pivotArea>
    </format>
    <format dxfId="2222">
      <pivotArea dataOnly="0" labelOnly="1" fieldPosition="0">
        <references count="2">
          <reference field="0" count="1">
            <x v="25"/>
          </reference>
          <reference field="8" count="1" selected="0">
            <x v="227"/>
          </reference>
        </references>
      </pivotArea>
    </format>
    <format dxfId="2221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27"/>
          </reference>
        </references>
      </pivotArea>
    </format>
    <format dxfId="2220">
      <pivotArea dataOnly="0" labelOnly="1" fieldPosition="0">
        <references count="2">
          <reference field="0" count="1">
            <x v="25"/>
          </reference>
          <reference field="8" count="1" selected="0">
            <x v="228"/>
          </reference>
        </references>
      </pivotArea>
    </format>
    <format dxfId="2219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28"/>
          </reference>
        </references>
      </pivotArea>
    </format>
    <format dxfId="2218">
      <pivotArea dataOnly="0" labelOnly="1" fieldPosition="0">
        <references count="2">
          <reference field="0" count="1">
            <x v="25"/>
          </reference>
          <reference field="8" count="1" selected="0">
            <x v="238"/>
          </reference>
        </references>
      </pivotArea>
    </format>
    <format dxfId="2217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38"/>
          </reference>
        </references>
      </pivotArea>
    </format>
    <format dxfId="2216">
      <pivotArea dataOnly="0" labelOnly="1" fieldPosition="0">
        <references count="2">
          <reference field="0" count="1">
            <x v="25"/>
          </reference>
          <reference field="8" count="1" selected="0">
            <x v="245"/>
          </reference>
        </references>
      </pivotArea>
    </format>
    <format dxfId="2215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45"/>
          </reference>
        </references>
      </pivotArea>
    </format>
    <format dxfId="2214">
      <pivotArea dataOnly="0" labelOnly="1" fieldPosition="0">
        <references count="2">
          <reference field="0" count="1">
            <x v="25"/>
          </reference>
          <reference field="8" count="1" selected="0">
            <x v="247"/>
          </reference>
        </references>
      </pivotArea>
    </format>
    <format dxfId="2213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47"/>
          </reference>
        </references>
      </pivotArea>
    </format>
    <format dxfId="2212">
      <pivotArea dataOnly="0" labelOnly="1" fieldPosition="0">
        <references count="2">
          <reference field="0" count="1">
            <x v="34"/>
          </reference>
          <reference field="8" count="1" selected="0">
            <x v="249"/>
          </reference>
        </references>
      </pivotArea>
    </format>
    <format dxfId="2211">
      <pivotArea dataOnly="0" labelOnly="1" fieldPosition="0">
        <references count="3">
          <reference field="0" count="1" selected="0">
            <x v="34"/>
          </reference>
          <reference field="1" count="1">
            <x v="31"/>
          </reference>
          <reference field="8" count="1" selected="0">
            <x v="249"/>
          </reference>
        </references>
      </pivotArea>
    </format>
    <format dxfId="2210">
      <pivotArea dataOnly="0" labelOnly="1" fieldPosition="0">
        <references count="2">
          <reference field="0" count="1">
            <x v="34"/>
          </reference>
          <reference field="8" count="1" selected="0">
            <x v="249"/>
          </reference>
        </references>
      </pivotArea>
    </format>
    <format dxfId="2209">
      <pivotArea dataOnly="0" labelOnly="1" fieldPosition="0">
        <references count="3">
          <reference field="0" count="1" selected="0">
            <x v="34"/>
          </reference>
          <reference field="1" count="1">
            <x v="31"/>
          </reference>
          <reference field="8" count="1" selected="0">
            <x v="249"/>
          </reference>
        </references>
      </pivotArea>
    </format>
    <format dxfId="2208">
      <pivotArea dataOnly="0" labelOnly="1" fieldPosition="0">
        <references count="2">
          <reference field="0" count="1">
            <x v="27"/>
          </reference>
          <reference field="8" count="1" selected="0">
            <x v="249"/>
          </reference>
        </references>
      </pivotArea>
    </format>
    <format dxfId="2207">
      <pivotArea dataOnly="0" labelOnly="1" fieldPosition="0">
        <references count="3">
          <reference field="0" count="1" selected="0">
            <x v="27"/>
          </reference>
          <reference field="1" count="1">
            <x v="6"/>
          </reference>
          <reference field="8" count="1" selected="0">
            <x v="249"/>
          </reference>
        </references>
      </pivotArea>
    </format>
    <format dxfId="2206">
      <pivotArea dataOnly="0" labelOnly="1" fieldPosition="0">
        <references count="2">
          <reference field="0" count="1">
            <x v="25"/>
          </reference>
          <reference field="8" count="1" selected="0">
            <x v="251"/>
          </reference>
        </references>
      </pivotArea>
    </format>
    <format dxfId="2205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51"/>
          </reference>
        </references>
      </pivotArea>
    </format>
    <format dxfId="2204">
      <pivotArea dataOnly="0" labelOnly="1" fieldPosition="0">
        <references count="2">
          <reference field="0" count="1">
            <x v="25"/>
          </reference>
          <reference field="8" count="1" selected="0">
            <x v="253"/>
          </reference>
        </references>
      </pivotArea>
    </format>
    <format dxfId="2203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53"/>
          </reference>
        </references>
      </pivotArea>
    </format>
    <format dxfId="2202">
      <pivotArea dataOnly="0" labelOnly="1" fieldPosition="0">
        <references count="2">
          <reference field="0" count="1">
            <x v="25"/>
          </reference>
          <reference field="8" count="1" selected="0">
            <x v="256"/>
          </reference>
        </references>
      </pivotArea>
    </format>
    <format dxfId="2201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56"/>
          </reference>
        </references>
      </pivotArea>
    </format>
    <format dxfId="2200">
      <pivotArea dataOnly="0" labelOnly="1" fieldPosition="0">
        <references count="2">
          <reference field="0" count="1">
            <x v="25"/>
          </reference>
          <reference field="8" count="1" selected="0">
            <x v="257"/>
          </reference>
        </references>
      </pivotArea>
    </format>
    <format dxfId="2199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57"/>
          </reference>
        </references>
      </pivotArea>
    </format>
    <format dxfId="2198">
      <pivotArea dataOnly="0" labelOnly="1" fieldPosition="0">
        <references count="2">
          <reference field="0" count="1">
            <x v="25"/>
          </reference>
          <reference field="8" count="1" selected="0">
            <x v="265"/>
          </reference>
        </references>
      </pivotArea>
    </format>
    <format dxfId="2197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65"/>
          </reference>
        </references>
      </pivotArea>
    </format>
    <format dxfId="2196">
      <pivotArea dataOnly="0" labelOnly="1" fieldPosition="0">
        <references count="2">
          <reference field="0" count="1">
            <x v="25"/>
          </reference>
          <reference field="8" count="1" selected="0">
            <x v="255"/>
          </reference>
        </references>
      </pivotArea>
    </format>
    <format dxfId="2195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55"/>
          </reference>
        </references>
      </pivotArea>
    </format>
    <format dxfId="2194">
      <pivotArea dataOnly="0" labelOnly="1" fieldPosition="0">
        <references count="2">
          <reference field="0" count="1">
            <x v="24"/>
          </reference>
          <reference field="8" count="1" selected="0">
            <x v="230"/>
          </reference>
        </references>
      </pivotArea>
    </format>
    <format dxfId="2193">
      <pivotArea dataOnly="0" labelOnly="1" fieldPosition="0">
        <references count="3">
          <reference field="0" count="1" selected="0">
            <x v="24"/>
          </reference>
          <reference field="1" count="1">
            <x v="20"/>
          </reference>
          <reference field="8" count="1" selected="0">
            <x v="230"/>
          </reference>
        </references>
      </pivotArea>
    </format>
    <format dxfId="219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69"/>
          </reference>
          <reference field="25" count="1">
            <x v="4"/>
          </reference>
        </references>
      </pivotArea>
    </format>
    <format dxfId="219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69"/>
          </reference>
          <reference field="25" count="1">
            <x v="5"/>
          </reference>
        </references>
      </pivotArea>
    </format>
    <format dxfId="219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69"/>
          </reference>
          <reference field="25" count="1">
            <x v="5"/>
          </reference>
        </references>
      </pivotArea>
    </format>
    <format dxfId="218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69"/>
          </reference>
          <reference field="25" count="1">
            <x v="5"/>
          </reference>
        </references>
      </pivotArea>
    </format>
    <format dxfId="218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69"/>
          </reference>
          <reference field="25" count="1">
            <x v="0"/>
          </reference>
        </references>
      </pivotArea>
    </format>
    <format dxfId="2187">
      <pivotArea dataOnly="0" labelOnly="1" fieldPosition="0">
        <references count="2">
          <reference field="0" count="1">
            <x v="25"/>
          </reference>
          <reference field="8" count="1" selected="0">
            <x v="269"/>
          </reference>
        </references>
      </pivotArea>
    </format>
    <format dxfId="2186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269"/>
          </reference>
        </references>
      </pivotArea>
    </format>
    <format dxfId="218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09"/>
          </reference>
          <reference field="25" count="1">
            <x v="4"/>
          </reference>
        </references>
      </pivotArea>
    </format>
    <format dxfId="2184">
      <pivotArea dataOnly="0" labelOnly="1" fieldPosition="0">
        <references count="2">
          <reference field="0" count="1">
            <x v="46"/>
          </reference>
          <reference field="8" count="1" selected="0">
            <x v="270"/>
          </reference>
        </references>
      </pivotArea>
    </format>
    <format dxfId="2183">
      <pivotArea dataOnly="0" labelOnly="1" fieldPosition="0">
        <references count="3">
          <reference field="0" count="1" selected="0">
            <x v="46"/>
          </reference>
          <reference field="1" count="1">
            <x v="42"/>
          </reference>
          <reference field="8" count="1" selected="0">
            <x v="270"/>
          </reference>
        </references>
      </pivotArea>
    </format>
    <format dxfId="218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  <reference field="8" count="1" selected="0">
            <x v="270"/>
          </reference>
          <reference field="25" count="1">
            <x v="5"/>
          </reference>
        </references>
      </pivotArea>
    </format>
    <format dxfId="218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0"/>
          </reference>
          <reference field="8" count="1" selected="0">
            <x v="270"/>
          </reference>
          <reference field="25" count="1">
            <x v="5"/>
          </reference>
        </references>
      </pivotArea>
    </format>
    <format dxfId="218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41"/>
          </reference>
          <reference field="8" count="1" selected="0">
            <x v="270"/>
          </reference>
          <reference field="25" count="1">
            <x v="4"/>
          </reference>
        </references>
      </pivotArea>
    </format>
    <format dxfId="217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42"/>
          </reference>
          <reference field="8" count="1" selected="0">
            <x v="270"/>
          </reference>
          <reference field="25" count="1">
            <x v="0"/>
          </reference>
        </references>
      </pivotArea>
    </format>
    <format dxfId="2178">
      <pivotArea collapsedLevelsAreSubtotals="1" fieldPosition="0">
        <references count="4">
          <reference field="0" count="1" selected="0">
            <x v="15"/>
          </reference>
          <reference field="1" count="1" selected="0">
            <x v="0"/>
          </reference>
          <reference field="8" count="1" selected="0">
            <x v="270"/>
          </reference>
          <reference field="25" count="1">
            <x v="5"/>
          </reference>
        </references>
      </pivotArea>
    </format>
    <format dxfId="2177">
      <pivotArea collapsedLevelsAreSubtotals="1" fieldPosition="0">
        <references count="4">
          <reference field="0" count="1" selected="0">
            <x v="22"/>
          </reference>
          <reference field="1" count="1" selected="0">
            <x v="10"/>
          </reference>
          <reference field="8" count="1" selected="0">
            <x v="270"/>
          </reference>
          <reference field="25" count="1">
            <x v="5"/>
          </reference>
        </references>
      </pivotArea>
    </format>
    <format dxfId="2176">
      <pivotArea collapsedLevelsAreSubtotals="1" fieldPosition="0">
        <references count="4">
          <reference field="0" count="1" selected="0">
            <x v="45"/>
          </reference>
          <reference field="1" count="1" selected="0">
            <x v="41"/>
          </reference>
          <reference field="8" count="1" selected="0">
            <x v="270"/>
          </reference>
          <reference field="25" count="1">
            <x v="4"/>
          </reference>
        </references>
      </pivotArea>
    </format>
    <format dxfId="2175">
      <pivotArea collapsedLevelsAreSubtotals="1" fieldPosition="0">
        <references count="4">
          <reference field="0" count="1" selected="0">
            <x v="46"/>
          </reference>
          <reference field="1" count="1" selected="0">
            <x v="42"/>
          </reference>
          <reference field="8" count="1" selected="0">
            <x v="270"/>
          </reference>
          <reference field="25" count="1">
            <x v="0"/>
          </reference>
        </references>
      </pivotArea>
    </format>
    <format dxfId="2174">
      <pivotArea dataOnly="0" labelOnly="1" fieldPosition="0">
        <references count="1">
          <reference field="8" count="1">
            <x v="270"/>
          </reference>
        </references>
      </pivotArea>
    </format>
    <format dxfId="2173">
      <pivotArea dataOnly="0" labelOnly="1" fieldPosition="0">
        <references count="2">
          <reference field="0" count="4">
            <x v="15"/>
            <x v="22"/>
            <x v="45"/>
            <x v="46"/>
          </reference>
          <reference field="8" count="1" selected="0">
            <x v="270"/>
          </reference>
        </references>
      </pivotArea>
    </format>
    <format dxfId="2172">
      <pivotArea dataOnly="0" labelOnly="1" fieldPosition="0">
        <references count="3">
          <reference field="0" count="1" selected="0">
            <x v="15"/>
          </reference>
          <reference field="1" count="1">
            <x v="0"/>
          </reference>
          <reference field="8" count="1" selected="0">
            <x v="270"/>
          </reference>
        </references>
      </pivotArea>
    </format>
    <format dxfId="2171">
      <pivotArea dataOnly="0" labelOnly="1" fieldPosition="0">
        <references count="3">
          <reference field="0" count="1" selected="0">
            <x v="22"/>
          </reference>
          <reference field="1" count="1">
            <x v="10"/>
          </reference>
          <reference field="8" count="1" selected="0">
            <x v="270"/>
          </reference>
        </references>
      </pivotArea>
    </format>
    <format dxfId="2170">
      <pivotArea dataOnly="0" labelOnly="1" fieldPosition="0">
        <references count="3">
          <reference field="0" count="1" selected="0">
            <x v="45"/>
          </reference>
          <reference field="1" count="1">
            <x v="41"/>
          </reference>
          <reference field="8" count="1" selected="0">
            <x v="270"/>
          </reference>
        </references>
      </pivotArea>
    </format>
    <format dxfId="2169">
      <pivotArea dataOnly="0" labelOnly="1" fieldPosition="0">
        <references count="3">
          <reference field="0" count="1" selected="0">
            <x v="46"/>
          </reference>
          <reference field="1" count="1">
            <x v="42"/>
          </reference>
          <reference field="8" count="1" selected="0">
            <x v="270"/>
          </reference>
        </references>
      </pivotArea>
    </format>
    <format dxfId="2168">
      <pivotArea dataOnly="0" labelOnly="1" fieldPosition="0">
        <references count="4">
          <reference field="0" count="1" selected="0">
            <x v="15"/>
          </reference>
          <reference field="1" count="1" selected="0">
            <x v="0"/>
          </reference>
          <reference field="8" count="1" selected="0">
            <x v="270"/>
          </reference>
          <reference field="25" count="1">
            <x v="5"/>
          </reference>
        </references>
      </pivotArea>
    </format>
    <format dxfId="2167">
      <pivotArea dataOnly="0" labelOnly="1" fieldPosition="0">
        <references count="4">
          <reference field="0" count="1" selected="0">
            <x v="22"/>
          </reference>
          <reference field="1" count="1" selected="0">
            <x v="10"/>
          </reference>
          <reference field="8" count="1" selected="0">
            <x v="270"/>
          </reference>
          <reference field="25" count="1">
            <x v="5"/>
          </reference>
        </references>
      </pivotArea>
    </format>
    <format dxfId="2166">
      <pivotArea dataOnly="0" labelOnly="1" fieldPosition="0">
        <references count="4">
          <reference field="0" count="1" selected="0">
            <x v="45"/>
          </reference>
          <reference field="1" count="1" selected="0">
            <x v="41"/>
          </reference>
          <reference field="8" count="1" selected="0">
            <x v="270"/>
          </reference>
          <reference field="25" count="1">
            <x v="4"/>
          </reference>
        </references>
      </pivotArea>
    </format>
    <format dxfId="2165">
      <pivotArea dataOnly="0" labelOnly="1" fieldPosition="0">
        <references count="4">
          <reference field="0" count="1" selected="0">
            <x v="46"/>
          </reference>
          <reference field="1" count="1" selected="0">
            <x v="42"/>
          </reference>
          <reference field="8" count="1" selected="0">
            <x v="270"/>
          </reference>
          <reference field="25" count="1">
            <x v="0"/>
          </reference>
        </references>
      </pivotArea>
    </format>
    <format dxfId="216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72"/>
          </reference>
          <reference field="25" count="1">
            <x v="4"/>
          </reference>
        </references>
      </pivotArea>
    </format>
    <format dxfId="216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72"/>
          </reference>
          <reference field="25" count="1">
            <x v="5"/>
          </reference>
        </references>
      </pivotArea>
    </format>
    <format dxfId="216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72"/>
          </reference>
          <reference field="25" count="1">
            <x v="5"/>
          </reference>
        </references>
      </pivotArea>
    </format>
    <format dxfId="216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72"/>
          </reference>
          <reference field="25" count="1">
            <x v="5"/>
          </reference>
        </references>
      </pivotArea>
    </format>
    <format dxfId="216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72"/>
          </reference>
          <reference field="25" count="1">
            <x v="0"/>
          </reference>
        </references>
      </pivotArea>
    </format>
    <format dxfId="215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71"/>
          </reference>
          <reference field="25" count="1">
            <x v="4"/>
          </reference>
        </references>
      </pivotArea>
    </format>
    <format dxfId="215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71"/>
          </reference>
          <reference field="25" count="1">
            <x v="5"/>
          </reference>
        </references>
      </pivotArea>
    </format>
    <format dxfId="215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71"/>
          </reference>
          <reference field="25" count="1">
            <x v="5"/>
          </reference>
        </references>
      </pivotArea>
    </format>
    <format dxfId="215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71"/>
          </reference>
          <reference field="25" count="1">
            <x v="5"/>
          </reference>
        </references>
      </pivotArea>
    </format>
    <format dxfId="215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71"/>
          </reference>
          <reference field="25" count="1">
            <x v="0"/>
          </reference>
        </references>
      </pivotArea>
    </format>
    <format dxfId="2154">
      <pivotArea dataOnly="0" labelOnly="1" offset="IV1" fieldPosition="0">
        <references count="1">
          <reference field="8" count="1">
            <x v="271"/>
          </reference>
        </references>
      </pivotArea>
    </format>
    <format dxfId="215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73"/>
          </reference>
          <reference field="25" count="1">
            <x v="4"/>
          </reference>
        </references>
      </pivotArea>
    </format>
    <format dxfId="215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73"/>
          </reference>
          <reference field="25" count="1">
            <x v="5"/>
          </reference>
        </references>
      </pivotArea>
    </format>
    <format dxfId="215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73"/>
          </reference>
          <reference field="25" count="1">
            <x v="5"/>
          </reference>
        </references>
      </pivotArea>
    </format>
    <format dxfId="215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73"/>
          </reference>
          <reference field="25" count="1">
            <x v="5"/>
          </reference>
        </references>
      </pivotArea>
    </format>
    <format dxfId="214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73"/>
          </reference>
          <reference field="25" count="1">
            <x v="0"/>
          </reference>
        </references>
      </pivotArea>
    </format>
    <format dxfId="214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75"/>
          </reference>
          <reference field="25" count="1">
            <x v="4"/>
          </reference>
        </references>
      </pivotArea>
    </format>
    <format dxfId="214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75"/>
          </reference>
          <reference field="25" count="1">
            <x v="5"/>
          </reference>
        </references>
      </pivotArea>
    </format>
    <format dxfId="214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75"/>
          </reference>
          <reference field="25" count="1">
            <x v="5"/>
          </reference>
        </references>
      </pivotArea>
    </format>
    <format dxfId="214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75"/>
          </reference>
          <reference field="25" count="1">
            <x v="5"/>
          </reference>
        </references>
      </pivotArea>
    </format>
    <format dxfId="214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75"/>
          </reference>
          <reference field="25" count="1">
            <x v="0"/>
          </reference>
        </references>
      </pivotArea>
    </format>
    <format dxfId="214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76"/>
          </reference>
          <reference field="25" count="1">
            <x v="4"/>
          </reference>
        </references>
      </pivotArea>
    </format>
    <format dxfId="214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76"/>
          </reference>
          <reference field="25" count="1">
            <x v="5"/>
          </reference>
        </references>
      </pivotArea>
    </format>
    <format dxfId="214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76"/>
          </reference>
          <reference field="25" count="1">
            <x v="5"/>
          </reference>
        </references>
      </pivotArea>
    </format>
    <format dxfId="214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76"/>
          </reference>
          <reference field="25" count="1">
            <x v="5"/>
          </reference>
        </references>
      </pivotArea>
    </format>
    <format dxfId="213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76"/>
          </reference>
          <reference field="25" count="1">
            <x v="0"/>
          </reference>
        </references>
      </pivotArea>
    </format>
    <format dxfId="213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77"/>
          </reference>
          <reference field="25" count="1">
            <x v="4"/>
          </reference>
        </references>
      </pivotArea>
    </format>
    <format dxfId="213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77"/>
          </reference>
          <reference field="25" count="1">
            <x v="5"/>
          </reference>
        </references>
      </pivotArea>
    </format>
    <format dxfId="213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77"/>
          </reference>
          <reference field="25" count="1">
            <x v="5"/>
          </reference>
        </references>
      </pivotArea>
    </format>
    <format dxfId="213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77"/>
          </reference>
          <reference field="25" count="1">
            <x v="5"/>
          </reference>
        </references>
      </pivotArea>
    </format>
    <format dxfId="213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77"/>
          </reference>
          <reference field="25" count="1">
            <x v="0"/>
          </reference>
        </references>
      </pivotArea>
    </format>
    <format dxfId="213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78"/>
          </reference>
          <reference field="25" count="1">
            <x v="4"/>
          </reference>
        </references>
      </pivotArea>
    </format>
    <format dxfId="213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78"/>
          </reference>
          <reference field="25" count="1">
            <x v="5"/>
          </reference>
        </references>
      </pivotArea>
    </format>
    <format dxfId="213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78"/>
          </reference>
          <reference field="25" count="1">
            <x v="5"/>
          </reference>
        </references>
      </pivotArea>
    </format>
    <format dxfId="213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78"/>
          </reference>
          <reference field="25" count="1">
            <x v="5"/>
          </reference>
        </references>
      </pivotArea>
    </format>
    <format dxfId="212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78"/>
          </reference>
          <reference field="25" count="1">
            <x v="0"/>
          </reference>
        </references>
      </pivotArea>
    </format>
    <format dxfId="212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3"/>
          </reference>
          <reference field="8" count="1" selected="0">
            <x v="291"/>
          </reference>
          <reference field="25" count="1">
            <x v="4"/>
          </reference>
        </references>
      </pivotArea>
    </format>
    <format dxfId="212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91"/>
          </reference>
          <reference field="25" count="1">
            <x v="5"/>
          </reference>
        </references>
      </pivotArea>
    </format>
    <format dxfId="212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"/>
          </reference>
          <reference field="8" count="1" selected="0">
            <x v="291"/>
          </reference>
          <reference field="25" count="1">
            <x v="5"/>
          </reference>
        </references>
      </pivotArea>
    </format>
    <format dxfId="212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5"/>
          </reference>
          <reference field="8" count="1" selected="0">
            <x v="291"/>
          </reference>
          <reference field="25" count="1">
            <x v="5"/>
          </reference>
        </references>
      </pivotArea>
    </format>
    <format dxfId="212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20"/>
          </reference>
          <reference field="8" count="1" selected="0">
            <x v="291"/>
          </reference>
          <reference field="25" count="1">
            <x v="0"/>
          </reference>
        </references>
      </pivotArea>
    </format>
    <format dxfId="212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72"/>
          </reference>
          <reference field="25" count="1">
            <x v="5"/>
          </reference>
        </references>
      </pivotArea>
    </format>
    <format dxfId="2122">
      <pivotArea dataOnly="0" labelOnly="1" fieldPosition="0">
        <references count="1">
          <reference field="8" count="1">
            <x v="272"/>
          </reference>
        </references>
      </pivotArea>
    </format>
    <format dxfId="2121">
      <pivotArea dataOnly="0" labelOnly="1" offset="A256" fieldPosition="0">
        <references count="1">
          <reference field="8" count="1" sumSubtotal="1">
            <x v="272"/>
          </reference>
        </references>
      </pivotArea>
    </format>
    <format dxfId="2120">
      <pivotArea dataOnly="0" labelOnly="1" fieldPosition="0">
        <references count="1">
          <reference field="8" count="1">
            <x v="273"/>
          </reference>
        </references>
      </pivotArea>
    </format>
    <format dxfId="2119">
      <pivotArea dataOnly="0" labelOnly="1" offset="A256" fieldPosition="0">
        <references count="1">
          <reference field="8" count="1" sumSubtotal="1">
            <x v="273"/>
          </reference>
        </references>
      </pivotArea>
    </format>
    <format dxfId="211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94"/>
          </reference>
          <reference field="25" count="1">
            <x v="4"/>
          </reference>
        </references>
      </pivotArea>
    </format>
    <format dxfId="211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94"/>
          </reference>
          <reference field="25" count="1">
            <x v="5"/>
          </reference>
        </references>
      </pivotArea>
    </format>
    <format dxfId="211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94"/>
          </reference>
          <reference field="25" count="1">
            <x v="5"/>
          </reference>
        </references>
      </pivotArea>
    </format>
    <format dxfId="211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94"/>
          </reference>
          <reference field="25" count="1">
            <x v="5"/>
          </reference>
        </references>
      </pivotArea>
    </format>
    <format dxfId="211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94"/>
          </reference>
          <reference field="25" count="1">
            <x v="0"/>
          </reference>
        </references>
      </pivotArea>
    </format>
    <format dxfId="211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95"/>
          </reference>
          <reference field="25" count="1">
            <x v="4"/>
          </reference>
        </references>
      </pivotArea>
    </format>
    <format dxfId="211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95"/>
          </reference>
          <reference field="25" count="1">
            <x v="5"/>
          </reference>
        </references>
      </pivotArea>
    </format>
    <format dxfId="211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95"/>
          </reference>
          <reference field="25" count="1">
            <x v="5"/>
          </reference>
        </references>
      </pivotArea>
    </format>
    <format dxfId="211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95"/>
          </reference>
          <reference field="25" count="1">
            <x v="5"/>
          </reference>
        </references>
      </pivotArea>
    </format>
    <format dxfId="210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95"/>
          </reference>
          <reference field="25" count="1">
            <x v="0"/>
          </reference>
        </references>
      </pivotArea>
    </format>
    <format dxfId="210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296"/>
          </reference>
          <reference field="25" count="1">
            <x v="4"/>
          </reference>
        </references>
      </pivotArea>
    </format>
    <format dxfId="210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296"/>
          </reference>
          <reference field="25" count="1">
            <x v="5"/>
          </reference>
        </references>
      </pivotArea>
    </format>
    <format dxfId="210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296"/>
          </reference>
          <reference field="25" count="1">
            <x v="5"/>
          </reference>
        </references>
      </pivotArea>
    </format>
    <format dxfId="210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296"/>
          </reference>
          <reference field="25" count="1">
            <x v="5"/>
          </reference>
        </references>
      </pivotArea>
    </format>
    <format dxfId="210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296"/>
          </reference>
          <reference field="25" count="1">
            <x v="0"/>
          </reference>
        </references>
      </pivotArea>
    </format>
    <format dxfId="210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05"/>
          </reference>
          <reference field="25" count="1">
            <x v="4"/>
          </reference>
        </references>
      </pivotArea>
    </format>
    <format dxfId="210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05"/>
          </reference>
          <reference field="25" count="1">
            <x v="5"/>
          </reference>
        </references>
      </pivotArea>
    </format>
    <format dxfId="210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05"/>
          </reference>
          <reference field="25" count="1">
            <x v="5"/>
          </reference>
        </references>
      </pivotArea>
    </format>
    <format dxfId="210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05"/>
          </reference>
          <reference field="25" count="1">
            <x v="5"/>
          </reference>
        </references>
      </pivotArea>
    </format>
    <format dxfId="209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05"/>
          </reference>
          <reference field="25" count="1">
            <x v="0"/>
          </reference>
        </references>
      </pivotArea>
    </format>
    <format dxfId="209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09"/>
          </reference>
          <reference field="25" count="1">
            <x v="4"/>
          </reference>
        </references>
      </pivotArea>
    </format>
    <format dxfId="209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09"/>
          </reference>
          <reference field="25" count="1">
            <x v="5"/>
          </reference>
        </references>
      </pivotArea>
    </format>
    <format dxfId="209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09"/>
          </reference>
          <reference field="25" count="1">
            <x v="5"/>
          </reference>
        </references>
      </pivotArea>
    </format>
    <format dxfId="209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09"/>
          </reference>
          <reference field="25" count="1">
            <x v="5"/>
          </reference>
        </references>
      </pivotArea>
    </format>
    <format dxfId="209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09"/>
          </reference>
          <reference field="25" count="1">
            <x v="0"/>
          </reference>
        </references>
      </pivotArea>
    </format>
    <format dxfId="209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12"/>
          </reference>
          <reference field="25" count="1">
            <x v="4"/>
          </reference>
        </references>
      </pivotArea>
    </format>
    <format dxfId="209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12"/>
          </reference>
          <reference field="25" count="1">
            <x v="5"/>
          </reference>
        </references>
      </pivotArea>
    </format>
    <format dxfId="209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12"/>
          </reference>
          <reference field="25" count="1">
            <x v="5"/>
          </reference>
        </references>
      </pivotArea>
    </format>
    <format dxfId="209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12"/>
          </reference>
          <reference field="25" count="1">
            <x v="5"/>
          </reference>
        </references>
      </pivotArea>
    </format>
    <format dxfId="208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12"/>
          </reference>
          <reference field="25" count="1">
            <x v="0"/>
          </reference>
        </references>
      </pivotArea>
    </format>
    <format dxfId="208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14"/>
          </reference>
          <reference field="25" count="1">
            <x v="4"/>
          </reference>
        </references>
      </pivotArea>
    </format>
    <format dxfId="208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14"/>
          </reference>
          <reference field="25" count="1">
            <x v="5"/>
          </reference>
        </references>
      </pivotArea>
    </format>
    <format dxfId="208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14"/>
          </reference>
          <reference field="25" count="1">
            <x v="5"/>
          </reference>
        </references>
      </pivotArea>
    </format>
    <format dxfId="208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14"/>
          </reference>
          <reference field="25" count="1">
            <x v="5"/>
          </reference>
        </references>
      </pivotArea>
    </format>
    <format dxfId="208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14"/>
          </reference>
          <reference field="25" count="1">
            <x v="0"/>
          </reference>
        </references>
      </pivotArea>
    </format>
    <format dxfId="208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16"/>
          </reference>
          <reference field="25" count="1">
            <x v="4"/>
          </reference>
        </references>
      </pivotArea>
    </format>
    <format dxfId="208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16"/>
          </reference>
          <reference field="25" count="1">
            <x v="5"/>
          </reference>
        </references>
      </pivotArea>
    </format>
    <format dxfId="208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16"/>
          </reference>
          <reference field="25" count="1">
            <x v="5"/>
          </reference>
        </references>
      </pivotArea>
    </format>
    <format dxfId="208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16"/>
          </reference>
          <reference field="25" count="1">
            <x v="5"/>
          </reference>
        </references>
      </pivotArea>
    </format>
    <format dxfId="207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16"/>
          </reference>
          <reference field="25" count="1">
            <x v="0"/>
          </reference>
        </references>
      </pivotArea>
    </format>
    <format dxfId="207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18"/>
          </reference>
          <reference field="25" count="1">
            <x v="4"/>
          </reference>
        </references>
      </pivotArea>
    </format>
    <format dxfId="207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18"/>
          </reference>
          <reference field="25" count="1">
            <x v="5"/>
          </reference>
        </references>
      </pivotArea>
    </format>
    <format dxfId="207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18"/>
          </reference>
          <reference field="25" count="1">
            <x v="5"/>
          </reference>
        </references>
      </pivotArea>
    </format>
    <format dxfId="207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18"/>
          </reference>
          <reference field="25" count="1">
            <x v="5"/>
          </reference>
        </references>
      </pivotArea>
    </format>
    <format dxfId="207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18"/>
          </reference>
          <reference field="25" count="1">
            <x v="0"/>
          </reference>
        </references>
      </pivotArea>
    </format>
    <format dxfId="207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20"/>
          </reference>
          <reference field="25" count="1">
            <x v="4"/>
          </reference>
        </references>
      </pivotArea>
    </format>
    <format dxfId="207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20"/>
          </reference>
          <reference field="25" count="1">
            <x v="5"/>
          </reference>
        </references>
      </pivotArea>
    </format>
    <format dxfId="207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20"/>
          </reference>
          <reference field="25" count="1">
            <x v="5"/>
          </reference>
        </references>
      </pivotArea>
    </format>
    <format dxfId="207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20"/>
          </reference>
          <reference field="25" count="1">
            <x v="5"/>
          </reference>
        </references>
      </pivotArea>
    </format>
    <format dxfId="206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20"/>
          </reference>
          <reference field="25" count="1">
            <x v="0"/>
          </reference>
        </references>
      </pivotArea>
    </format>
    <format dxfId="2068">
      <pivotArea dataOnly="0" labelOnly="1" fieldPosition="0">
        <references count="3">
          <reference field="0" count="1" selected="0">
            <x v="41"/>
          </reference>
          <reference field="1" count="1">
            <x v="37"/>
          </reference>
          <reference field="8" count="1" selected="0">
            <x v="322"/>
          </reference>
        </references>
      </pivotArea>
    </format>
    <format dxfId="2067">
      <pivotArea dataOnly="0" labelOnly="1" fieldPosition="0">
        <references count="3">
          <reference field="0" count="1" selected="0">
            <x v="24"/>
          </reference>
          <reference field="1" count="1">
            <x v="20"/>
          </reference>
          <reference field="8" count="1" selected="0">
            <x v="291"/>
          </reference>
        </references>
      </pivotArea>
    </format>
    <format dxfId="206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32"/>
          </reference>
          <reference field="25" count="1">
            <x v="4"/>
          </reference>
        </references>
      </pivotArea>
    </format>
    <format dxfId="206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32"/>
          </reference>
          <reference field="25" count="1">
            <x v="5"/>
          </reference>
        </references>
      </pivotArea>
    </format>
    <format dxfId="206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32"/>
          </reference>
          <reference field="25" count="1">
            <x v="5"/>
          </reference>
        </references>
      </pivotArea>
    </format>
    <format dxfId="206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32"/>
          </reference>
          <reference field="25" count="1">
            <x v="5"/>
          </reference>
        </references>
      </pivotArea>
    </format>
    <format dxfId="206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32"/>
          </reference>
          <reference field="25" count="1">
            <x v="0"/>
          </reference>
        </references>
      </pivotArea>
    </format>
    <format dxfId="206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37"/>
          </reference>
          <reference field="25" count="1">
            <x v="4"/>
          </reference>
        </references>
      </pivotArea>
    </format>
    <format dxfId="206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37"/>
          </reference>
          <reference field="25" count="1">
            <x v="5"/>
          </reference>
        </references>
      </pivotArea>
    </format>
    <format dxfId="205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37"/>
          </reference>
          <reference field="25" count="1">
            <x v="5"/>
          </reference>
        </references>
      </pivotArea>
    </format>
    <format dxfId="205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37"/>
          </reference>
          <reference field="25" count="1">
            <x v="5"/>
          </reference>
        </references>
      </pivotArea>
    </format>
    <format dxfId="205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37"/>
          </reference>
          <reference field="25" count="1">
            <x v="0"/>
          </reference>
        </references>
      </pivotArea>
    </format>
    <format dxfId="205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38"/>
          </reference>
          <reference field="25" count="1">
            <x v="4"/>
          </reference>
        </references>
      </pivotArea>
    </format>
    <format dxfId="205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38"/>
          </reference>
          <reference field="25" count="1">
            <x v="5"/>
          </reference>
        </references>
      </pivotArea>
    </format>
    <format dxfId="205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38"/>
          </reference>
          <reference field="25" count="1">
            <x v="5"/>
          </reference>
        </references>
      </pivotArea>
    </format>
    <format dxfId="205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38"/>
          </reference>
          <reference field="25" count="1">
            <x v="5"/>
          </reference>
        </references>
      </pivotArea>
    </format>
    <format dxfId="205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38"/>
          </reference>
          <reference field="25" count="1">
            <x v="0"/>
          </reference>
        </references>
      </pivotArea>
    </format>
    <format dxfId="205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40"/>
          </reference>
          <reference field="25" count="1">
            <x v="4"/>
          </reference>
        </references>
      </pivotArea>
    </format>
    <format dxfId="205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40"/>
          </reference>
          <reference field="25" count="1">
            <x v="5"/>
          </reference>
        </references>
      </pivotArea>
    </format>
    <format dxfId="204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40"/>
          </reference>
          <reference field="25" count="1">
            <x v="5"/>
          </reference>
        </references>
      </pivotArea>
    </format>
    <format dxfId="204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40"/>
          </reference>
          <reference field="25" count="1">
            <x v="5"/>
          </reference>
        </references>
      </pivotArea>
    </format>
    <format dxfId="204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40"/>
          </reference>
          <reference field="25" count="1">
            <x v="0"/>
          </reference>
        </references>
      </pivotArea>
    </format>
    <format dxfId="204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22"/>
          </reference>
          <reference field="25" count="1">
            <x v="5"/>
          </reference>
        </references>
      </pivotArea>
    </format>
    <format dxfId="204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  <reference field="8" count="1" selected="0">
            <x v="322"/>
          </reference>
          <reference field="25" count="1">
            <x v="5"/>
          </reference>
        </references>
      </pivotArea>
    </format>
    <format dxfId="204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  <reference field="8" count="1" selected="0">
            <x v="322"/>
          </reference>
          <reference field="25" count="1">
            <x v="5"/>
          </reference>
        </references>
      </pivotArea>
    </format>
    <format dxfId="204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30"/>
          </reference>
          <reference field="8" count="1" selected="0">
            <x v="322"/>
          </reference>
          <reference field="25" count="1">
            <x v="4"/>
          </reference>
        </references>
      </pivotArea>
    </format>
    <format dxfId="204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37"/>
          </reference>
          <reference field="8" count="1" selected="0">
            <x v="322"/>
          </reference>
          <reference field="25" count="1">
            <x v="0"/>
          </reference>
        </references>
      </pivotArea>
    </format>
    <format dxfId="2041">
      <pivotArea collapsedLevelsAreSubtotals="1" fieldPosition="0">
        <references count="4">
          <reference field="0" count="1" selected="0">
            <x v="8"/>
          </reference>
          <reference field="1" count="1" selected="0">
            <x v="44"/>
          </reference>
          <reference field="8" count="1" selected="0">
            <x v="336"/>
          </reference>
          <reference field="25" count="1">
            <x v="4"/>
          </reference>
        </references>
      </pivotArea>
    </format>
    <format dxfId="2040">
      <pivotArea collapsedLevelsAreSubtotals="1" fieldPosition="0">
        <references count="4">
          <reference field="0" count="1" selected="0">
            <x v="10"/>
          </reference>
          <reference field="1" count="1" selected="0">
            <x v="7"/>
          </reference>
          <reference field="8" count="1" selected="0">
            <x v="336"/>
          </reference>
          <reference field="25" count="1">
            <x v="5"/>
          </reference>
        </references>
      </pivotArea>
    </format>
    <format dxfId="2039">
      <pivotArea collapsedLevelsAreSubtotals="1" fieldPosition="0">
        <references count="4"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36"/>
          </reference>
          <reference field="25" count="1">
            <x v="5"/>
          </reference>
        </references>
      </pivotArea>
    </format>
    <format dxfId="2038">
      <pivotArea collapsedLevelsAreSubtotals="1" fieldPosition="0">
        <references count="4">
          <reference field="0" count="1" selected="0">
            <x v="14"/>
          </reference>
          <reference field="1" count="1" selected="0">
            <x v="1"/>
          </reference>
          <reference field="8" count="1" selected="0">
            <x v="336"/>
          </reference>
          <reference field="25" count="1">
            <x v="5"/>
          </reference>
        </references>
      </pivotArea>
    </format>
    <format dxfId="2037">
      <pivotArea collapsedLevelsAreSubtotals="1" fieldPosition="0">
        <references count="4"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36"/>
          </reference>
          <reference field="25" count="1">
            <x v="0"/>
          </reference>
        </references>
      </pivotArea>
    </format>
    <format dxfId="2036">
      <pivotArea dataOnly="0" labelOnly="1" fieldPosition="0">
        <references count="1">
          <reference field="8" count="1">
            <x v="336"/>
          </reference>
        </references>
      </pivotArea>
    </format>
    <format dxfId="2035">
      <pivotArea dataOnly="0" labelOnly="1" fieldPosition="0">
        <references count="2">
          <reference field="0" count="5">
            <x v="8"/>
            <x v="10"/>
            <x v="12"/>
            <x v="14"/>
            <x v="25"/>
          </reference>
          <reference field="8" count="1" selected="0">
            <x v="336"/>
          </reference>
        </references>
      </pivotArea>
    </format>
    <format dxfId="2034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336"/>
          </reference>
        </references>
      </pivotArea>
    </format>
    <format dxfId="2033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336"/>
          </reference>
        </references>
      </pivotArea>
    </format>
    <format dxfId="2032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336"/>
          </reference>
        </references>
      </pivotArea>
    </format>
    <format dxfId="2031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336"/>
          </reference>
        </references>
      </pivotArea>
    </format>
    <format dxfId="2030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336"/>
          </reference>
        </references>
      </pivotArea>
    </format>
    <format dxfId="2029">
      <pivotArea dataOnly="0" labelOnly="1" fieldPosition="0">
        <references count="4">
          <reference field="0" count="1" selected="0">
            <x v="8"/>
          </reference>
          <reference field="1" count="1" selected="0">
            <x v="44"/>
          </reference>
          <reference field="8" count="1" selected="0">
            <x v="336"/>
          </reference>
          <reference field="25" count="1">
            <x v="4"/>
          </reference>
        </references>
      </pivotArea>
    </format>
    <format dxfId="2028">
      <pivotArea dataOnly="0" labelOnly="1" fieldPosition="0">
        <references count="4">
          <reference field="0" count="1" selected="0">
            <x v="10"/>
          </reference>
          <reference field="1" count="1" selected="0">
            <x v="7"/>
          </reference>
          <reference field="8" count="1" selected="0">
            <x v="336"/>
          </reference>
          <reference field="25" count="1">
            <x v="5"/>
          </reference>
        </references>
      </pivotArea>
    </format>
    <format dxfId="2027">
      <pivotArea dataOnly="0" labelOnly="1" fieldPosition="0">
        <references count="4"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36"/>
          </reference>
          <reference field="25" count="1">
            <x v="5"/>
          </reference>
        </references>
      </pivotArea>
    </format>
    <format dxfId="2026">
      <pivotArea dataOnly="0" labelOnly="1" fieldPosition="0">
        <references count="4">
          <reference field="0" count="1" selected="0">
            <x v="14"/>
          </reference>
          <reference field="1" count="1" selected="0">
            <x v="1"/>
          </reference>
          <reference field="8" count="1" selected="0">
            <x v="336"/>
          </reference>
          <reference field="25" count="1">
            <x v="5"/>
          </reference>
        </references>
      </pivotArea>
    </format>
    <format dxfId="2025">
      <pivotArea dataOnly="0" labelOnly="1" fieldPosition="0">
        <references count="4"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36"/>
          </reference>
          <reference field="25" count="1">
            <x v="0"/>
          </reference>
        </references>
      </pivotArea>
    </format>
    <format dxfId="202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36"/>
          </reference>
          <reference field="25" count="1">
            <x v="4"/>
          </reference>
        </references>
      </pivotArea>
    </format>
    <format dxfId="202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36"/>
          </reference>
          <reference field="25" count="1">
            <x v="5"/>
          </reference>
        </references>
      </pivotArea>
    </format>
    <format dxfId="202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36"/>
          </reference>
          <reference field="25" count="1">
            <x v="5"/>
          </reference>
        </references>
      </pivotArea>
    </format>
    <format dxfId="202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36"/>
          </reference>
          <reference field="25" count="1">
            <x v="5"/>
          </reference>
        </references>
      </pivotArea>
    </format>
    <format dxfId="202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36"/>
          </reference>
          <reference field="25" count="1">
            <x v="0"/>
          </reference>
        </references>
      </pivotArea>
    </format>
    <format dxfId="2019">
      <pivotArea dataOnly="0" labelOnly="1" fieldPosition="0">
        <references count="2">
          <reference field="0" count="1">
            <x v="15"/>
          </reference>
          <reference field="8" count="1" selected="0">
            <x v="345"/>
          </reference>
        </references>
      </pivotArea>
    </format>
    <format dxfId="2018">
      <pivotArea dataOnly="0" labelOnly="1" fieldPosition="0">
        <references count="3">
          <reference field="0" count="1" selected="0">
            <x v="15"/>
          </reference>
          <reference field="1" count="1">
            <x v="0"/>
          </reference>
          <reference field="8" count="1" selected="0">
            <x v="345"/>
          </reference>
        </references>
      </pivotArea>
    </format>
    <format dxfId="201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49"/>
          </reference>
          <reference field="25" count="1">
            <x v="4"/>
          </reference>
        </references>
      </pivotArea>
    </format>
    <format dxfId="201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49"/>
          </reference>
          <reference field="25" count="1">
            <x v="5"/>
          </reference>
        </references>
      </pivotArea>
    </format>
    <format dxfId="201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49"/>
          </reference>
          <reference field="25" count="1">
            <x v="5"/>
          </reference>
        </references>
      </pivotArea>
    </format>
    <format dxfId="201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49"/>
          </reference>
          <reference field="25" count="1">
            <x v="5"/>
          </reference>
        </references>
      </pivotArea>
    </format>
    <format dxfId="201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49"/>
          </reference>
          <reference field="25" count="1">
            <x v="0"/>
          </reference>
        </references>
      </pivotArea>
    </format>
    <format dxfId="201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47"/>
          </reference>
          <reference field="25" count="1">
            <x v="4"/>
          </reference>
        </references>
      </pivotArea>
    </format>
    <format dxfId="201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47"/>
          </reference>
          <reference field="25" count="1">
            <x v="5"/>
          </reference>
        </references>
      </pivotArea>
    </format>
    <format dxfId="201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47"/>
          </reference>
          <reference field="25" count="1">
            <x v="5"/>
          </reference>
        </references>
      </pivotArea>
    </format>
    <format dxfId="200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47"/>
          </reference>
          <reference field="25" count="1">
            <x v="5"/>
          </reference>
        </references>
      </pivotArea>
    </format>
    <format dxfId="200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47"/>
          </reference>
          <reference field="25" count="1">
            <x v="0"/>
          </reference>
        </references>
      </pivotArea>
    </format>
    <format dxfId="200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30"/>
          </reference>
          <reference field="8" count="1" selected="0">
            <x v="345"/>
          </reference>
          <reference field="25" count="1">
            <x v="4"/>
          </reference>
        </references>
      </pivotArea>
    </format>
    <format dxfId="200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45"/>
          </reference>
          <reference field="25" count="1">
            <x v="5"/>
          </reference>
        </references>
      </pivotArea>
    </format>
    <format dxfId="200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  <reference field="8" count="1" selected="0">
            <x v="345"/>
          </reference>
          <reference field="25" count="1">
            <x v="5"/>
          </reference>
        </references>
      </pivotArea>
    </format>
    <format dxfId="200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  <reference field="8" count="1" selected="0">
            <x v="345"/>
          </reference>
          <reference field="25" count="1">
            <x v="5"/>
          </reference>
        </references>
      </pivotArea>
    </format>
    <format dxfId="200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6"/>
          </reference>
          <reference field="8" count="1" selected="0">
            <x v="345"/>
          </reference>
          <reference field="25" count="1">
            <x v="0"/>
          </reference>
        </references>
      </pivotArea>
    </format>
    <format dxfId="200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30"/>
          </reference>
          <reference field="8" count="1" selected="0">
            <x v="345"/>
          </reference>
          <reference field="25" count="1">
            <x v="4"/>
          </reference>
        </references>
      </pivotArea>
    </format>
    <format dxfId="200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31"/>
          </reference>
          <reference field="8" count="1" selected="0">
            <x v="345"/>
          </reference>
          <reference field="25" count="1">
            <x v="2"/>
          </reference>
        </references>
      </pivotArea>
    </format>
    <format dxfId="200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58"/>
          </reference>
          <reference field="25" count="1">
            <x v="4"/>
          </reference>
        </references>
      </pivotArea>
    </format>
    <format dxfId="199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58"/>
          </reference>
          <reference field="25" count="1">
            <x v="5"/>
          </reference>
        </references>
      </pivotArea>
    </format>
    <format dxfId="199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58"/>
          </reference>
          <reference field="25" count="1">
            <x v="5"/>
          </reference>
        </references>
      </pivotArea>
    </format>
    <format dxfId="199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58"/>
          </reference>
          <reference field="25" count="1">
            <x v="5"/>
          </reference>
        </references>
      </pivotArea>
    </format>
    <format dxfId="199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58"/>
          </reference>
          <reference field="25" count="1">
            <x v="0"/>
          </reference>
        </references>
      </pivotArea>
    </format>
    <format dxfId="199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59"/>
          </reference>
          <reference field="25" count="1">
            <x v="4"/>
          </reference>
        </references>
      </pivotArea>
    </format>
    <format dxfId="199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59"/>
          </reference>
          <reference field="25" count="1">
            <x v="5"/>
          </reference>
        </references>
      </pivotArea>
    </format>
    <format dxfId="199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59"/>
          </reference>
          <reference field="25" count="1">
            <x v="5"/>
          </reference>
        </references>
      </pivotArea>
    </format>
    <format dxfId="199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59"/>
          </reference>
          <reference field="25" count="1">
            <x v="5"/>
          </reference>
        </references>
      </pivotArea>
    </format>
    <format dxfId="199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59"/>
          </reference>
          <reference field="25" count="1">
            <x v="0"/>
          </reference>
        </references>
      </pivotArea>
    </format>
    <format dxfId="199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60"/>
          </reference>
          <reference field="25" count="1">
            <x v="4"/>
          </reference>
        </references>
      </pivotArea>
    </format>
    <format dxfId="198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60"/>
          </reference>
          <reference field="25" count="1">
            <x v="5"/>
          </reference>
        </references>
      </pivotArea>
    </format>
    <format dxfId="198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60"/>
          </reference>
          <reference field="25" count="1">
            <x v="5"/>
          </reference>
        </references>
      </pivotArea>
    </format>
    <format dxfId="198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60"/>
          </reference>
          <reference field="25" count="1">
            <x v="5"/>
          </reference>
        </references>
      </pivotArea>
    </format>
    <format dxfId="198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60"/>
          </reference>
          <reference field="25" count="1">
            <x v="0"/>
          </reference>
        </references>
      </pivotArea>
    </format>
    <format dxfId="198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61"/>
          </reference>
          <reference field="25" count="1">
            <x v="4"/>
          </reference>
        </references>
      </pivotArea>
    </format>
    <format dxfId="198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61"/>
          </reference>
          <reference field="25" count="1">
            <x v="5"/>
          </reference>
        </references>
      </pivotArea>
    </format>
    <format dxfId="198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61"/>
          </reference>
          <reference field="25" count="1">
            <x v="5"/>
          </reference>
        </references>
      </pivotArea>
    </format>
    <format dxfId="198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61"/>
          </reference>
          <reference field="25" count="1">
            <x v="5"/>
          </reference>
        </references>
      </pivotArea>
    </format>
    <format dxfId="198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61"/>
          </reference>
          <reference field="25" count="1">
            <x v="0"/>
          </reference>
        </references>
      </pivotArea>
    </format>
    <format dxfId="198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69"/>
          </reference>
          <reference field="25" count="1">
            <x v="4"/>
          </reference>
        </references>
      </pivotArea>
    </format>
    <format dxfId="197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69"/>
          </reference>
          <reference field="25" count="1">
            <x v="5"/>
          </reference>
        </references>
      </pivotArea>
    </format>
    <format dxfId="197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69"/>
          </reference>
          <reference field="25" count="1">
            <x v="5"/>
          </reference>
        </references>
      </pivotArea>
    </format>
    <format dxfId="197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69"/>
          </reference>
          <reference field="25" count="1">
            <x v="5"/>
          </reference>
        </references>
      </pivotArea>
    </format>
    <format dxfId="197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69"/>
          </reference>
          <reference field="25" count="1">
            <x v="0"/>
          </reference>
        </references>
      </pivotArea>
    </format>
    <format dxfId="197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70"/>
          </reference>
          <reference field="25" count="1">
            <x v="4"/>
          </reference>
        </references>
      </pivotArea>
    </format>
    <format dxfId="197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70"/>
          </reference>
          <reference field="25" count="1">
            <x v="5"/>
          </reference>
        </references>
      </pivotArea>
    </format>
    <format dxfId="197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70"/>
          </reference>
          <reference field="25" count="1">
            <x v="5"/>
          </reference>
        </references>
      </pivotArea>
    </format>
    <format dxfId="197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70"/>
          </reference>
          <reference field="25" count="1">
            <x v="5"/>
          </reference>
        </references>
      </pivotArea>
    </format>
    <format dxfId="197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70"/>
          </reference>
          <reference field="25" count="1">
            <x v="0"/>
          </reference>
        </references>
      </pivotArea>
    </format>
    <format dxfId="197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71"/>
          </reference>
          <reference field="25" count="1">
            <x v="4"/>
          </reference>
        </references>
      </pivotArea>
    </format>
    <format dxfId="196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71"/>
          </reference>
          <reference field="25" count="1">
            <x v="5"/>
          </reference>
        </references>
      </pivotArea>
    </format>
    <format dxfId="196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71"/>
          </reference>
          <reference field="25" count="1">
            <x v="5"/>
          </reference>
        </references>
      </pivotArea>
    </format>
    <format dxfId="196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71"/>
          </reference>
          <reference field="25" count="1">
            <x v="5"/>
          </reference>
        </references>
      </pivotArea>
    </format>
    <format dxfId="196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71"/>
          </reference>
          <reference field="25" count="1">
            <x v="0"/>
          </reference>
        </references>
      </pivotArea>
    </format>
    <format dxfId="196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72"/>
          </reference>
          <reference field="25" count="1">
            <x v="4"/>
          </reference>
        </references>
      </pivotArea>
    </format>
    <format dxfId="196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72"/>
          </reference>
          <reference field="25" count="1">
            <x v="5"/>
          </reference>
        </references>
      </pivotArea>
    </format>
    <format dxfId="196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72"/>
          </reference>
          <reference field="25" count="1">
            <x v="5"/>
          </reference>
        </references>
      </pivotArea>
    </format>
    <format dxfId="196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72"/>
          </reference>
          <reference field="25" count="1">
            <x v="5"/>
          </reference>
        </references>
      </pivotArea>
    </format>
    <format dxfId="196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72"/>
          </reference>
          <reference field="25" count="1">
            <x v="0"/>
          </reference>
        </references>
      </pivotArea>
    </format>
    <format dxfId="196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78"/>
          </reference>
          <reference field="25" count="1">
            <x v="4"/>
          </reference>
        </references>
      </pivotArea>
    </format>
    <format dxfId="195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78"/>
          </reference>
          <reference field="25" count="1">
            <x v="5"/>
          </reference>
        </references>
      </pivotArea>
    </format>
    <format dxfId="195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78"/>
          </reference>
          <reference field="25" count="1">
            <x v="5"/>
          </reference>
        </references>
      </pivotArea>
    </format>
    <format dxfId="195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78"/>
          </reference>
          <reference field="25" count="1">
            <x v="5"/>
          </reference>
        </references>
      </pivotArea>
    </format>
    <format dxfId="195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78"/>
          </reference>
          <reference field="25" count="1">
            <x v="0"/>
          </reference>
        </references>
      </pivotArea>
    </format>
    <format dxfId="195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80"/>
          </reference>
          <reference field="25" count="1">
            <x v="4"/>
          </reference>
        </references>
      </pivotArea>
    </format>
    <format dxfId="195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80"/>
          </reference>
          <reference field="25" count="1">
            <x v="5"/>
          </reference>
        </references>
      </pivotArea>
    </format>
    <format dxfId="195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80"/>
          </reference>
          <reference field="25" count="1">
            <x v="5"/>
          </reference>
        </references>
      </pivotArea>
    </format>
    <format dxfId="195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80"/>
          </reference>
          <reference field="25" count="1">
            <x v="5"/>
          </reference>
        </references>
      </pivotArea>
    </format>
    <format dxfId="195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80"/>
          </reference>
          <reference field="25" count="1">
            <x v="0"/>
          </reference>
        </references>
      </pivotArea>
    </format>
    <format dxfId="195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83"/>
          </reference>
          <reference field="25" count="1">
            <x v="4"/>
          </reference>
        </references>
      </pivotArea>
    </format>
    <format dxfId="194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83"/>
          </reference>
          <reference field="25" count="1">
            <x v="5"/>
          </reference>
        </references>
      </pivotArea>
    </format>
    <format dxfId="194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83"/>
          </reference>
          <reference field="25" count="1">
            <x v="5"/>
          </reference>
        </references>
      </pivotArea>
    </format>
    <format dxfId="194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83"/>
          </reference>
          <reference field="25" count="1">
            <x v="5"/>
          </reference>
        </references>
      </pivotArea>
    </format>
    <format dxfId="194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83"/>
          </reference>
          <reference field="25" count="1">
            <x v="0"/>
          </reference>
        </references>
      </pivotArea>
    </format>
    <format dxfId="194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85"/>
          </reference>
          <reference field="25" count="1">
            <x v="4"/>
          </reference>
        </references>
      </pivotArea>
    </format>
    <format dxfId="194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85"/>
          </reference>
          <reference field="25" count="1">
            <x v="5"/>
          </reference>
        </references>
      </pivotArea>
    </format>
    <format dxfId="194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85"/>
          </reference>
          <reference field="25" count="1">
            <x v="5"/>
          </reference>
        </references>
      </pivotArea>
    </format>
    <format dxfId="194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85"/>
          </reference>
          <reference field="25" count="1">
            <x v="5"/>
          </reference>
        </references>
      </pivotArea>
    </format>
    <format dxfId="194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85"/>
          </reference>
          <reference field="25" count="1">
            <x v="0"/>
          </reference>
        </references>
      </pivotArea>
    </format>
    <format dxfId="194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87"/>
          </reference>
          <reference field="25" count="1">
            <x v="4"/>
          </reference>
        </references>
      </pivotArea>
    </format>
    <format dxfId="193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87"/>
          </reference>
          <reference field="25" count="1">
            <x v="5"/>
          </reference>
        </references>
      </pivotArea>
    </format>
    <format dxfId="193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87"/>
          </reference>
          <reference field="25" count="1">
            <x v="5"/>
          </reference>
        </references>
      </pivotArea>
    </format>
    <format dxfId="193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87"/>
          </reference>
          <reference field="25" count="1">
            <x v="5"/>
          </reference>
        </references>
      </pivotArea>
    </format>
    <format dxfId="193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87"/>
          </reference>
          <reference field="25" count="1">
            <x v="0"/>
          </reference>
        </references>
      </pivotArea>
    </format>
    <format dxfId="193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91"/>
          </reference>
          <reference field="25" count="1">
            <x v="4"/>
          </reference>
        </references>
      </pivotArea>
    </format>
    <format dxfId="193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91"/>
          </reference>
          <reference field="25" count="1">
            <x v="5"/>
          </reference>
        </references>
      </pivotArea>
    </format>
    <format dxfId="193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91"/>
          </reference>
          <reference field="25" count="1">
            <x v="5"/>
          </reference>
        </references>
      </pivotArea>
    </format>
    <format dxfId="193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91"/>
          </reference>
          <reference field="25" count="1">
            <x v="5"/>
          </reference>
        </references>
      </pivotArea>
    </format>
    <format dxfId="193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91"/>
          </reference>
          <reference field="25" count="1">
            <x v="0"/>
          </reference>
        </references>
      </pivotArea>
    </format>
    <format dxfId="193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95"/>
          </reference>
          <reference field="25" count="1">
            <x v="4"/>
          </reference>
        </references>
      </pivotArea>
    </format>
    <format dxfId="192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95"/>
          </reference>
          <reference field="25" count="1">
            <x v="5"/>
          </reference>
        </references>
      </pivotArea>
    </format>
    <format dxfId="192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95"/>
          </reference>
          <reference field="25" count="1">
            <x v="5"/>
          </reference>
        </references>
      </pivotArea>
    </format>
    <format dxfId="192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95"/>
          </reference>
          <reference field="25" count="1">
            <x v="5"/>
          </reference>
        </references>
      </pivotArea>
    </format>
    <format dxfId="192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95"/>
          </reference>
          <reference field="25" count="1">
            <x v="0"/>
          </reference>
        </references>
      </pivotArea>
    </format>
    <format dxfId="192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397"/>
          </reference>
          <reference field="25" count="1">
            <x v="4"/>
          </reference>
        </references>
      </pivotArea>
    </format>
    <format dxfId="192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397"/>
          </reference>
          <reference field="25" count="1">
            <x v="5"/>
          </reference>
        </references>
      </pivotArea>
    </format>
    <format dxfId="192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397"/>
          </reference>
          <reference field="25" count="1">
            <x v="5"/>
          </reference>
        </references>
      </pivotArea>
    </format>
    <format dxfId="192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397"/>
          </reference>
          <reference field="25" count="1">
            <x v="5"/>
          </reference>
        </references>
      </pivotArea>
    </format>
    <format dxfId="192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397"/>
          </reference>
          <reference field="25" count="1">
            <x v="0"/>
          </reference>
        </references>
      </pivotArea>
    </format>
    <format dxfId="1920">
      <pivotArea collapsedLevelsAreSubtotals="1" fieldPosition="0">
        <references count="4">
          <reference field="0" count="1" selected="0">
            <x v="8"/>
          </reference>
          <reference field="1" count="1" selected="0">
            <x v="44"/>
          </reference>
          <reference field="8" count="1" selected="0">
            <x v="400"/>
          </reference>
          <reference field="25" count="1">
            <x v="4"/>
          </reference>
        </references>
      </pivotArea>
    </format>
    <format dxfId="1919">
      <pivotArea collapsedLevelsAreSubtotals="1" fieldPosition="0">
        <references count="4">
          <reference field="0" count="1" selected="0">
            <x v="10"/>
          </reference>
          <reference field="1" count="1" selected="0">
            <x v="7"/>
          </reference>
          <reference field="8" count="1" selected="0">
            <x v="400"/>
          </reference>
          <reference field="25" count="1">
            <x v="5"/>
          </reference>
        </references>
      </pivotArea>
    </format>
    <format dxfId="1918">
      <pivotArea collapsedLevelsAreSubtotals="1" fieldPosition="0">
        <references count="4"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00"/>
          </reference>
          <reference field="25" count="1">
            <x v="5"/>
          </reference>
        </references>
      </pivotArea>
    </format>
    <format dxfId="1917">
      <pivotArea collapsedLevelsAreSubtotals="1" fieldPosition="0">
        <references count="4">
          <reference field="0" count="1" selected="0">
            <x v="14"/>
          </reference>
          <reference field="1" count="1" selected="0">
            <x v="1"/>
          </reference>
          <reference field="8" count="1" selected="0">
            <x v="400"/>
          </reference>
          <reference field="25" count="1">
            <x v="5"/>
          </reference>
        </references>
      </pivotArea>
    </format>
    <format dxfId="1916">
      <pivotArea collapsedLevelsAreSubtotals="1" fieldPosition="0">
        <references count="4"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00"/>
          </reference>
          <reference field="25" count="1">
            <x v="0"/>
          </reference>
        </references>
      </pivotArea>
    </format>
    <format dxfId="1915">
      <pivotArea dataOnly="0" labelOnly="1" fieldPosition="0">
        <references count="1">
          <reference field="8" count="1">
            <x v="400"/>
          </reference>
        </references>
      </pivotArea>
    </format>
    <format dxfId="1914">
      <pivotArea dataOnly="0" labelOnly="1" fieldPosition="0">
        <references count="2">
          <reference field="0" count="5">
            <x v="8"/>
            <x v="10"/>
            <x v="12"/>
            <x v="14"/>
            <x v="25"/>
          </reference>
          <reference field="8" count="1" selected="0">
            <x v="400"/>
          </reference>
        </references>
      </pivotArea>
    </format>
    <format dxfId="1913">
      <pivotArea dataOnly="0" labelOnly="1" fieldPosition="0">
        <references count="3">
          <reference field="0" count="1" selected="0">
            <x v="8"/>
          </reference>
          <reference field="1" count="1">
            <x v="44"/>
          </reference>
          <reference field="8" count="1" selected="0">
            <x v="400"/>
          </reference>
        </references>
      </pivotArea>
    </format>
    <format dxfId="1912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400"/>
          </reference>
        </references>
      </pivotArea>
    </format>
    <format dxfId="1911">
      <pivotArea dataOnly="0" labelOnly="1" fieldPosition="0">
        <references count="3">
          <reference field="0" count="1" selected="0">
            <x v="12"/>
          </reference>
          <reference field="1" count="1">
            <x v="46"/>
          </reference>
          <reference field="8" count="1" selected="0">
            <x v="400"/>
          </reference>
        </references>
      </pivotArea>
    </format>
    <format dxfId="1910">
      <pivotArea dataOnly="0" labelOnly="1" fieldPosition="0">
        <references count="3">
          <reference field="0" count="1" selected="0">
            <x v="14"/>
          </reference>
          <reference field="1" count="1">
            <x v="1"/>
          </reference>
          <reference field="8" count="1" selected="0">
            <x v="400"/>
          </reference>
        </references>
      </pivotArea>
    </format>
    <format dxfId="1909">
      <pivotArea dataOnly="0" labelOnly="1" fieldPosition="0">
        <references count="3">
          <reference field="0" count="1" selected="0">
            <x v="25"/>
          </reference>
          <reference field="1" count="1">
            <x v="45"/>
          </reference>
          <reference field="8" count="1" selected="0">
            <x v="400"/>
          </reference>
        </references>
      </pivotArea>
    </format>
    <format dxfId="1908">
      <pivotArea dataOnly="0" labelOnly="1" fieldPosition="0">
        <references count="4">
          <reference field="0" count="1" selected="0">
            <x v="8"/>
          </reference>
          <reference field="1" count="1" selected="0">
            <x v="44"/>
          </reference>
          <reference field="8" count="1" selected="0">
            <x v="400"/>
          </reference>
          <reference field="25" count="1">
            <x v="4"/>
          </reference>
        </references>
      </pivotArea>
    </format>
    <format dxfId="1907">
      <pivotArea dataOnly="0" labelOnly="1" fieldPosition="0">
        <references count="4">
          <reference field="0" count="1" selected="0">
            <x v="10"/>
          </reference>
          <reference field="1" count="1" selected="0">
            <x v="7"/>
          </reference>
          <reference field="8" count="1" selected="0">
            <x v="400"/>
          </reference>
          <reference field="25" count="1">
            <x v="5"/>
          </reference>
        </references>
      </pivotArea>
    </format>
    <format dxfId="1906">
      <pivotArea dataOnly="0" labelOnly="1" fieldPosition="0">
        <references count="4"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00"/>
          </reference>
          <reference field="25" count="1">
            <x v="5"/>
          </reference>
        </references>
      </pivotArea>
    </format>
    <format dxfId="1905">
      <pivotArea dataOnly="0" labelOnly="1" fieldPosition="0">
        <references count="4">
          <reference field="0" count="1" selected="0">
            <x v="14"/>
          </reference>
          <reference field="1" count="1" selected="0">
            <x v="1"/>
          </reference>
          <reference field="8" count="1" selected="0">
            <x v="400"/>
          </reference>
          <reference field="25" count="1">
            <x v="5"/>
          </reference>
        </references>
      </pivotArea>
    </format>
    <format dxfId="1904">
      <pivotArea dataOnly="0" labelOnly="1" fieldPosition="0">
        <references count="4"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00"/>
          </reference>
          <reference field="25" count="1">
            <x v="0"/>
          </reference>
        </references>
      </pivotArea>
    </format>
    <format dxfId="190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00"/>
          </reference>
          <reference field="25" count="1">
            <x v="4"/>
          </reference>
        </references>
      </pivotArea>
    </format>
    <format dxfId="190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00"/>
          </reference>
          <reference field="25" count="1">
            <x v="5"/>
          </reference>
        </references>
      </pivotArea>
    </format>
    <format dxfId="190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00"/>
          </reference>
          <reference field="25" count="1">
            <x v="5"/>
          </reference>
        </references>
      </pivotArea>
    </format>
    <format dxfId="190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00"/>
          </reference>
          <reference field="25" count="1">
            <x v="5"/>
          </reference>
        </references>
      </pivotArea>
    </format>
    <format dxfId="189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00"/>
          </reference>
          <reference field="25" count="1">
            <x v="0"/>
          </reference>
        </references>
      </pivotArea>
    </format>
    <format dxfId="189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04"/>
          </reference>
          <reference field="25" count="1">
            <x v="4"/>
          </reference>
        </references>
      </pivotArea>
    </format>
    <format dxfId="189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04"/>
          </reference>
          <reference field="25" count="1">
            <x v="5"/>
          </reference>
        </references>
      </pivotArea>
    </format>
    <format dxfId="189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04"/>
          </reference>
          <reference field="25" count="1">
            <x v="5"/>
          </reference>
        </references>
      </pivotArea>
    </format>
    <format dxfId="189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04"/>
          </reference>
          <reference field="25" count="1">
            <x v="5"/>
          </reference>
        </references>
      </pivotArea>
    </format>
    <format dxfId="189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04"/>
          </reference>
          <reference field="25" count="1">
            <x v="0"/>
          </reference>
        </references>
      </pivotArea>
    </format>
    <format dxfId="189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08"/>
          </reference>
          <reference field="25" count="1">
            <x v="4"/>
          </reference>
        </references>
      </pivotArea>
    </format>
    <format dxfId="189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08"/>
          </reference>
          <reference field="25" count="1">
            <x v="5"/>
          </reference>
        </references>
      </pivotArea>
    </format>
    <format dxfId="189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08"/>
          </reference>
          <reference field="25" count="1">
            <x v="5"/>
          </reference>
        </references>
      </pivotArea>
    </format>
    <format dxfId="189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08"/>
          </reference>
          <reference field="25" count="1">
            <x v="5"/>
          </reference>
        </references>
      </pivotArea>
    </format>
    <format dxfId="188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08"/>
          </reference>
          <reference field="25" count="1">
            <x v="0"/>
          </reference>
        </references>
      </pivotArea>
    </format>
    <format dxfId="188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3"/>
          </reference>
          <reference field="8" count="1" selected="0">
            <x v="417"/>
          </reference>
          <reference field="25" count="1">
            <x v="4"/>
          </reference>
        </references>
      </pivotArea>
    </format>
    <format dxfId="188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17"/>
          </reference>
          <reference field="25" count="1">
            <x v="5"/>
          </reference>
        </references>
      </pivotArea>
    </format>
    <format dxfId="188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"/>
          </reference>
          <reference field="8" count="1" selected="0">
            <x v="417"/>
          </reference>
          <reference field="25" count="1">
            <x v="5"/>
          </reference>
        </references>
      </pivotArea>
    </format>
    <format dxfId="188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5"/>
          </reference>
          <reference field="8" count="1" selected="0">
            <x v="417"/>
          </reference>
          <reference field="25" count="1">
            <x v="5"/>
          </reference>
        </references>
      </pivotArea>
    </format>
    <format dxfId="188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20"/>
          </reference>
          <reference field="8" count="1" selected="0">
            <x v="417"/>
          </reference>
          <reference field="25" count="1">
            <x v="0"/>
          </reference>
        </references>
      </pivotArea>
    </format>
    <format dxfId="188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20"/>
          </reference>
          <reference field="25" count="1">
            <x v="4"/>
          </reference>
        </references>
      </pivotArea>
    </format>
    <format dxfId="188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20"/>
          </reference>
          <reference field="25" count="1">
            <x v="5"/>
          </reference>
        </references>
      </pivotArea>
    </format>
    <format dxfId="188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20"/>
          </reference>
          <reference field="25" count="1">
            <x v="5"/>
          </reference>
        </references>
      </pivotArea>
    </format>
    <format dxfId="188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20"/>
          </reference>
          <reference field="25" count="1">
            <x v="5"/>
          </reference>
        </references>
      </pivotArea>
    </format>
    <format dxfId="187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20"/>
          </reference>
          <reference field="25" count="1">
            <x v="0"/>
          </reference>
        </references>
      </pivotArea>
    </format>
    <format dxfId="187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23"/>
          </reference>
          <reference field="25" count="1">
            <x v="5"/>
          </reference>
        </references>
      </pivotArea>
    </format>
    <format dxfId="187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  <reference field="8" count="1" selected="0">
            <x v="423"/>
          </reference>
          <reference field="25" count="1">
            <x v="5"/>
          </reference>
        </references>
      </pivotArea>
    </format>
    <format dxfId="187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  <reference field="8" count="1" selected="0">
            <x v="423"/>
          </reference>
          <reference field="25" count="1">
            <x v="5"/>
          </reference>
        </references>
      </pivotArea>
    </format>
    <format dxfId="187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  <reference field="8" count="1" selected="0">
            <x v="423"/>
          </reference>
          <reference field="25" count="1">
            <x v="5"/>
          </reference>
        </references>
      </pivotArea>
    </format>
    <format dxfId="187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24"/>
          </reference>
          <reference field="8" count="1" selected="0">
            <x v="423"/>
          </reference>
          <reference field="25" count="1">
            <x v="0"/>
          </reference>
        </references>
      </pivotArea>
    </format>
    <format dxfId="187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41"/>
          </reference>
          <reference field="8" count="1" selected="0">
            <x v="423"/>
          </reference>
          <reference field="25" count="1">
            <x v="4"/>
          </reference>
        </references>
      </pivotArea>
    </format>
    <format dxfId="187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47"/>
          </reference>
          <reference field="8" count="1" selected="0">
            <x v="423"/>
          </reference>
          <reference field="25" count="1">
            <x v="2"/>
          </reference>
        </references>
      </pivotArea>
    </format>
    <format dxfId="187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25"/>
          </reference>
          <reference field="25" count="1">
            <x v="4"/>
          </reference>
        </references>
      </pivotArea>
    </format>
    <format dxfId="187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25"/>
          </reference>
          <reference field="25" count="1">
            <x v="5"/>
          </reference>
        </references>
      </pivotArea>
    </format>
    <format dxfId="186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25"/>
          </reference>
          <reference field="25" count="1">
            <x v="5"/>
          </reference>
        </references>
      </pivotArea>
    </format>
    <format dxfId="186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25"/>
          </reference>
          <reference field="25" count="1">
            <x v="5"/>
          </reference>
        </references>
      </pivotArea>
    </format>
    <format dxfId="186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25"/>
          </reference>
          <reference field="25" count="1">
            <x v="0"/>
          </reference>
        </references>
      </pivotArea>
    </format>
    <format dxfId="1866">
      <pivotArea dataOnly="0" labelOnly="1" fieldPosition="0">
        <references count="4">
          <reference field="0" count="1" selected="0">
            <x v="8"/>
          </reference>
          <reference field="1" count="1" selected="0">
            <x v="44"/>
          </reference>
          <reference field="8" count="1" selected="0">
            <x v="425"/>
          </reference>
          <reference field="25" count="1">
            <x v="4"/>
          </reference>
        </references>
      </pivotArea>
    </format>
    <format dxfId="1865">
      <pivotArea dataOnly="0" labelOnly="1" fieldPosition="0">
        <references count="4">
          <reference field="0" count="1" selected="0">
            <x v="10"/>
          </reference>
          <reference field="1" count="1" selected="0">
            <x v="7"/>
          </reference>
          <reference field="8" count="1" selected="0">
            <x v="425"/>
          </reference>
          <reference field="25" count="1">
            <x v="5"/>
          </reference>
        </references>
      </pivotArea>
    </format>
    <format dxfId="1864">
      <pivotArea dataOnly="0" labelOnly="1" fieldPosition="0">
        <references count="4"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25"/>
          </reference>
          <reference field="25" count="1">
            <x v="5"/>
          </reference>
        </references>
      </pivotArea>
    </format>
    <format dxfId="1863">
      <pivotArea dataOnly="0" labelOnly="1" fieldPosition="0">
        <references count="4">
          <reference field="0" count="1" selected="0">
            <x v="14"/>
          </reference>
          <reference field="1" count="1" selected="0">
            <x v="1"/>
          </reference>
          <reference field="8" count="1" selected="0">
            <x v="425"/>
          </reference>
          <reference field="25" count="1">
            <x v="5"/>
          </reference>
        </references>
      </pivotArea>
    </format>
    <format dxfId="1862">
      <pivotArea dataOnly="0" labelOnly="1" fieldPosition="0">
        <references count="4"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25"/>
          </reference>
          <reference field="25" count="1">
            <x v="0"/>
          </reference>
        </references>
      </pivotArea>
    </format>
    <format dxfId="1861">
      <pivotArea dataOnly="0" labelOnly="1" fieldPosition="0">
        <references count="4">
          <reference field="0" count="1" selected="0">
            <x v="8"/>
          </reference>
          <reference field="1" count="1" selected="0">
            <x v="44"/>
          </reference>
          <reference field="8" count="1" selected="0">
            <x v="425"/>
          </reference>
          <reference field="25" count="1">
            <x v="4"/>
          </reference>
        </references>
      </pivotArea>
    </format>
    <format dxfId="1860">
      <pivotArea dataOnly="0" labelOnly="1" fieldPosition="0">
        <references count="4">
          <reference field="0" count="1" selected="0">
            <x v="10"/>
          </reference>
          <reference field="1" count="1" selected="0">
            <x v="7"/>
          </reference>
          <reference field="8" count="1" selected="0">
            <x v="425"/>
          </reference>
          <reference field="25" count="1">
            <x v="5"/>
          </reference>
        </references>
      </pivotArea>
    </format>
    <format dxfId="1859">
      <pivotArea dataOnly="0" labelOnly="1" fieldPosition="0">
        <references count="4"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25"/>
          </reference>
          <reference field="25" count="1">
            <x v="5"/>
          </reference>
        </references>
      </pivotArea>
    </format>
    <format dxfId="1858">
      <pivotArea dataOnly="0" labelOnly="1" fieldPosition="0">
        <references count="4">
          <reference field="0" count="1" selected="0">
            <x v="14"/>
          </reference>
          <reference field="1" count="1" selected="0">
            <x v="1"/>
          </reference>
          <reference field="8" count="1" selected="0">
            <x v="425"/>
          </reference>
          <reference field="25" count="1">
            <x v="5"/>
          </reference>
        </references>
      </pivotArea>
    </format>
    <format dxfId="1857">
      <pivotArea dataOnly="0" labelOnly="1" fieldPosition="0">
        <references count="4"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25"/>
          </reference>
          <reference field="25" count="1">
            <x v="0"/>
          </reference>
        </references>
      </pivotArea>
    </format>
    <format dxfId="185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33"/>
          </reference>
          <reference field="25" count="1">
            <x v="4"/>
          </reference>
        </references>
      </pivotArea>
    </format>
    <format dxfId="185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33"/>
          </reference>
          <reference field="25" count="1">
            <x v="5"/>
          </reference>
        </references>
      </pivotArea>
    </format>
    <format dxfId="185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33"/>
          </reference>
          <reference field="25" count="1">
            <x v="5"/>
          </reference>
        </references>
      </pivotArea>
    </format>
    <format dxfId="185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33"/>
          </reference>
          <reference field="25" count="1">
            <x v="5"/>
          </reference>
        </references>
      </pivotArea>
    </format>
    <format dxfId="185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33"/>
          </reference>
          <reference field="25" count="1">
            <x v="0"/>
          </reference>
        </references>
      </pivotArea>
    </format>
    <format dxfId="185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34"/>
          </reference>
          <reference field="25" count="1">
            <x v="4"/>
          </reference>
        </references>
      </pivotArea>
    </format>
    <format dxfId="185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34"/>
          </reference>
          <reference field="25" count="1">
            <x v="5"/>
          </reference>
        </references>
      </pivotArea>
    </format>
    <format dxfId="184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34"/>
          </reference>
          <reference field="25" count="1">
            <x v="5"/>
          </reference>
        </references>
      </pivotArea>
    </format>
    <format dxfId="184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34"/>
          </reference>
          <reference field="25" count="1">
            <x v="5"/>
          </reference>
        </references>
      </pivotArea>
    </format>
    <format dxfId="184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34"/>
          </reference>
          <reference field="25" count="1">
            <x v="0"/>
          </reference>
        </references>
      </pivotArea>
    </format>
    <format dxfId="184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36"/>
          </reference>
          <reference field="25" count="1">
            <x v="4"/>
          </reference>
        </references>
      </pivotArea>
    </format>
    <format dxfId="184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36"/>
          </reference>
          <reference field="25" count="1">
            <x v="5"/>
          </reference>
        </references>
      </pivotArea>
    </format>
    <format dxfId="184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36"/>
          </reference>
          <reference field="25" count="1">
            <x v="5"/>
          </reference>
        </references>
      </pivotArea>
    </format>
    <format dxfId="184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36"/>
          </reference>
          <reference field="25" count="1">
            <x v="5"/>
          </reference>
        </references>
      </pivotArea>
    </format>
    <format dxfId="184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36"/>
          </reference>
          <reference field="25" count="1">
            <x v="0"/>
          </reference>
        </references>
      </pivotArea>
    </format>
    <format dxfId="184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40"/>
          </reference>
          <reference field="25" count="1">
            <x v="4"/>
          </reference>
        </references>
      </pivotArea>
    </format>
    <format dxfId="184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40"/>
          </reference>
          <reference field="25" count="1">
            <x v="5"/>
          </reference>
        </references>
      </pivotArea>
    </format>
    <format dxfId="183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40"/>
          </reference>
          <reference field="25" count="1">
            <x v="5"/>
          </reference>
        </references>
      </pivotArea>
    </format>
    <format dxfId="183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40"/>
          </reference>
          <reference field="25" count="1">
            <x v="5"/>
          </reference>
        </references>
      </pivotArea>
    </format>
    <format dxfId="183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40"/>
          </reference>
          <reference field="25" count="1">
            <x v="0"/>
          </reference>
        </references>
      </pivotArea>
    </format>
    <format dxfId="183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41"/>
          </reference>
          <reference field="25" count="1">
            <x v="4"/>
          </reference>
        </references>
      </pivotArea>
    </format>
    <format dxfId="183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41"/>
          </reference>
          <reference field="25" count="1">
            <x v="5"/>
          </reference>
        </references>
      </pivotArea>
    </format>
    <format dxfId="183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41"/>
          </reference>
          <reference field="25" count="1">
            <x v="5"/>
          </reference>
        </references>
      </pivotArea>
    </format>
    <format dxfId="183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41"/>
          </reference>
          <reference field="25" count="1">
            <x v="5"/>
          </reference>
        </references>
      </pivotArea>
    </format>
    <format dxfId="183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41"/>
          </reference>
          <reference field="25" count="1">
            <x v="0"/>
          </reference>
        </references>
      </pivotArea>
    </format>
    <format dxfId="183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42"/>
          </reference>
          <reference field="25" count="1">
            <x v="4"/>
          </reference>
        </references>
      </pivotArea>
    </format>
    <format dxfId="183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42"/>
          </reference>
          <reference field="25" count="1">
            <x v="5"/>
          </reference>
        </references>
      </pivotArea>
    </format>
    <format dxfId="182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42"/>
          </reference>
          <reference field="25" count="1">
            <x v="5"/>
          </reference>
        </references>
      </pivotArea>
    </format>
    <format dxfId="182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42"/>
          </reference>
          <reference field="25" count="1">
            <x v="5"/>
          </reference>
        </references>
      </pivotArea>
    </format>
    <format dxfId="182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42"/>
          </reference>
          <reference field="25" count="1">
            <x v="0"/>
          </reference>
        </references>
      </pivotArea>
    </format>
    <format dxfId="1826">
      <pivotArea dataOnly="0" labelOnly="1" offset="IV1" fieldPosition="0">
        <references count="1">
          <reference field="8" count="1">
            <x v="440"/>
          </reference>
        </references>
      </pivotArea>
    </format>
    <format dxfId="1825">
      <pivotArea dataOnly="0" labelOnly="1" offset="IV1" fieldPosition="0">
        <references count="1">
          <reference field="8" count="1">
            <x v="440"/>
          </reference>
        </references>
      </pivotArea>
    </format>
    <format dxfId="1824">
      <pivotArea collapsedLevelsAreSubtotals="1" fieldPosition="0">
        <references count="4">
          <reference field="0" count="1" selected="0">
            <x v="10"/>
          </reference>
          <reference field="1" count="1" selected="0">
            <x v="7"/>
          </reference>
          <reference field="8" count="1" selected="0">
            <x v="410"/>
          </reference>
          <reference field="25" count="1">
            <x v="5"/>
          </reference>
        </references>
      </pivotArea>
    </format>
    <format dxfId="1823">
      <pivotArea collapsedLevelsAreSubtotals="1" fieldPosition="0">
        <references count="4">
          <reference field="0" count="1" selected="0">
            <x v="15"/>
          </reference>
          <reference field="1" count="1" selected="0">
            <x v="0"/>
          </reference>
          <reference field="8" count="1" selected="0">
            <x v="410"/>
          </reference>
          <reference field="25" count="1">
            <x v="5"/>
          </reference>
        </references>
      </pivotArea>
    </format>
    <format dxfId="1822">
      <pivotArea collapsedLevelsAreSubtotals="1" fieldPosition="0">
        <references count="4">
          <reference field="0" count="1" selected="0">
            <x v="18"/>
          </reference>
          <reference field="1" count="1" selected="0">
            <x v="3"/>
          </reference>
          <reference field="8" count="1" selected="0">
            <x v="410"/>
          </reference>
          <reference field="25" count="1">
            <x v="5"/>
          </reference>
        </references>
      </pivotArea>
    </format>
    <format dxfId="1821">
      <pivotArea collapsedLevelsAreSubtotals="1" fieldPosition="0">
        <references count="4">
          <reference field="0" count="1" selected="0">
            <x v="27"/>
          </reference>
          <reference field="1" count="1" selected="0">
            <x v="6"/>
          </reference>
          <reference field="8" count="1" selected="0">
            <x v="410"/>
          </reference>
          <reference field="25" count="1">
            <x v="0"/>
          </reference>
        </references>
      </pivotArea>
    </format>
    <format dxfId="1820">
      <pivotArea collapsedLevelsAreSubtotals="1" fieldPosition="0">
        <references count="4">
          <reference field="0" count="1" selected="0">
            <x v="33"/>
          </reference>
          <reference field="1" count="1" selected="0">
            <x v="30"/>
          </reference>
          <reference field="8" count="1" selected="0">
            <x v="410"/>
          </reference>
          <reference field="25" count="1">
            <x v="4"/>
          </reference>
        </references>
      </pivotArea>
    </format>
    <format dxfId="1819">
      <pivotArea dataOnly="0" labelOnly="1" fieldPosition="0">
        <references count="1">
          <reference field="8" count="1">
            <x v="410"/>
          </reference>
        </references>
      </pivotArea>
    </format>
    <format dxfId="1818">
      <pivotArea dataOnly="0" labelOnly="1" fieldPosition="0">
        <references count="2">
          <reference field="0" count="5">
            <x v="10"/>
            <x v="15"/>
            <x v="18"/>
            <x v="27"/>
            <x v="33"/>
          </reference>
          <reference field="8" count="1" selected="0">
            <x v="410"/>
          </reference>
        </references>
      </pivotArea>
    </format>
    <format dxfId="1817">
      <pivotArea dataOnly="0" labelOnly="1" fieldPosition="0">
        <references count="3">
          <reference field="0" count="1" selected="0">
            <x v="10"/>
          </reference>
          <reference field="1" count="1">
            <x v="7"/>
          </reference>
          <reference field="8" count="1" selected="0">
            <x v="410"/>
          </reference>
        </references>
      </pivotArea>
    </format>
    <format dxfId="1816">
      <pivotArea dataOnly="0" labelOnly="1" fieldPosition="0">
        <references count="3">
          <reference field="0" count="1" selected="0">
            <x v="15"/>
          </reference>
          <reference field="1" count="1">
            <x v="0"/>
          </reference>
          <reference field="8" count="1" selected="0">
            <x v="410"/>
          </reference>
        </references>
      </pivotArea>
    </format>
    <format dxfId="1815">
      <pivotArea dataOnly="0" labelOnly="1" fieldPosition="0">
        <references count="3">
          <reference field="0" count="1" selected="0">
            <x v="18"/>
          </reference>
          <reference field="1" count="1">
            <x v="3"/>
          </reference>
          <reference field="8" count="1" selected="0">
            <x v="410"/>
          </reference>
        </references>
      </pivotArea>
    </format>
    <format dxfId="1814">
      <pivotArea dataOnly="0" labelOnly="1" fieldPosition="0">
        <references count="3">
          <reference field="0" count="1" selected="0">
            <x v="27"/>
          </reference>
          <reference field="1" count="1">
            <x v="6"/>
          </reference>
          <reference field="8" count="1" selected="0">
            <x v="410"/>
          </reference>
        </references>
      </pivotArea>
    </format>
    <format dxfId="1813">
      <pivotArea dataOnly="0" labelOnly="1" fieldPosition="0">
        <references count="3">
          <reference field="0" count="1" selected="0">
            <x v="33"/>
          </reference>
          <reference field="1" count="1">
            <x v="30"/>
          </reference>
          <reference field="8" count="1" selected="0">
            <x v="410"/>
          </reference>
        </references>
      </pivotArea>
    </format>
    <format dxfId="1812">
      <pivotArea dataOnly="0" labelOnly="1" fieldPosition="0">
        <references count="4">
          <reference field="0" count="1" selected="0">
            <x v="10"/>
          </reference>
          <reference field="1" count="1" selected="0">
            <x v="7"/>
          </reference>
          <reference field="8" count="1" selected="0">
            <x v="410"/>
          </reference>
          <reference field="25" count="1">
            <x v="5"/>
          </reference>
        </references>
      </pivotArea>
    </format>
    <format dxfId="1811">
      <pivotArea dataOnly="0" labelOnly="1" fieldPosition="0">
        <references count="4">
          <reference field="0" count="1" selected="0">
            <x v="15"/>
          </reference>
          <reference field="1" count="1" selected="0">
            <x v="0"/>
          </reference>
          <reference field="8" count="1" selected="0">
            <x v="410"/>
          </reference>
          <reference field="25" count="1">
            <x v="5"/>
          </reference>
        </references>
      </pivotArea>
    </format>
    <format dxfId="1810">
      <pivotArea dataOnly="0" labelOnly="1" fieldPosition="0">
        <references count="4">
          <reference field="0" count="1" selected="0">
            <x v="18"/>
          </reference>
          <reference field="1" count="1" selected="0">
            <x v="3"/>
          </reference>
          <reference field="8" count="1" selected="0">
            <x v="410"/>
          </reference>
          <reference field="25" count="1">
            <x v="5"/>
          </reference>
        </references>
      </pivotArea>
    </format>
    <format dxfId="1809">
      <pivotArea dataOnly="0" labelOnly="1" fieldPosition="0">
        <references count="4">
          <reference field="0" count="1" selected="0">
            <x v="27"/>
          </reference>
          <reference field="1" count="1" selected="0">
            <x v="6"/>
          </reference>
          <reference field="8" count="1" selected="0">
            <x v="410"/>
          </reference>
          <reference field="25" count="1">
            <x v="0"/>
          </reference>
        </references>
      </pivotArea>
    </format>
    <format dxfId="1808">
      <pivotArea dataOnly="0" labelOnly="1" fieldPosition="0">
        <references count="4">
          <reference field="0" count="1" selected="0">
            <x v="33"/>
          </reference>
          <reference field="1" count="1" selected="0">
            <x v="30"/>
          </reference>
          <reference field="8" count="1" selected="0">
            <x v="410"/>
          </reference>
          <reference field="25" count="1">
            <x v="4"/>
          </reference>
        </references>
      </pivotArea>
    </format>
    <format dxfId="180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10"/>
          </reference>
          <reference field="25" count="1">
            <x v="5"/>
          </reference>
        </references>
      </pivotArea>
    </format>
    <format dxfId="180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  <reference field="8" count="1" selected="0">
            <x v="410"/>
          </reference>
          <reference field="25" count="1">
            <x v="5"/>
          </reference>
        </references>
      </pivotArea>
    </format>
    <format dxfId="180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  <reference field="8" count="1" selected="0">
            <x v="410"/>
          </reference>
          <reference field="25" count="1">
            <x v="5"/>
          </reference>
        </references>
      </pivotArea>
    </format>
    <format dxfId="180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6"/>
          </reference>
          <reference field="8" count="1" selected="0">
            <x v="410"/>
          </reference>
          <reference field="25" count="1">
            <x v="0"/>
          </reference>
        </references>
      </pivotArea>
    </format>
    <format dxfId="180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30"/>
          </reference>
          <reference field="8" count="1" selected="0">
            <x v="410"/>
          </reference>
          <reference field="25" count="1">
            <x v="4"/>
          </reference>
        </references>
      </pivotArea>
    </format>
    <format dxfId="180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48"/>
          </reference>
          <reference field="25" count="1">
            <x v="4"/>
          </reference>
        </references>
      </pivotArea>
    </format>
    <format dxfId="180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48"/>
          </reference>
          <reference field="25" count="1">
            <x v="5"/>
          </reference>
        </references>
      </pivotArea>
    </format>
    <format dxfId="180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48"/>
          </reference>
          <reference field="25" count="1">
            <x v="5"/>
          </reference>
        </references>
      </pivotArea>
    </format>
    <format dxfId="179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48"/>
          </reference>
          <reference field="25" count="1">
            <x v="5"/>
          </reference>
        </references>
      </pivotArea>
    </format>
    <format dxfId="179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48"/>
          </reference>
          <reference field="25" count="1">
            <x v="0"/>
          </reference>
        </references>
      </pivotArea>
    </format>
    <format dxfId="179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50"/>
          </reference>
          <reference field="25" count="1">
            <x v="4"/>
          </reference>
        </references>
      </pivotArea>
    </format>
    <format dxfId="179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50"/>
          </reference>
          <reference field="25" count="1">
            <x v="5"/>
          </reference>
        </references>
      </pivotArea>
    </format>
    <format dxfId="179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50"/>
          </reference>
          <reference field="25" count="1">
            <x v="5"/>
          </reference>
        </references>
      </pivotArea>
    </format>
    <format dxfId="179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50"/>
          </reference>
          <reference field="25" count="1">
            <x v="5"/>
          </reference>
        </references>
      </pivotArea>
    </format>
    <format dxfId="179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50"/>
          </reference>
          <reference field="25" count="1">
            <x v="0"/>
          </reference>
        </references>
      </pivotArea>
    </format>
    <format dxfId="1792">
      <pivotArea dataOnly="0" labelOnly="1" fieldPosition="0">
        <references count="2">
          <reference field="0" count="1">
            <x v="15"/>
          </reference>
          <reference field="8" count="1" selected="0">
            <x v="423"/>
          </reference>
        </references>
      </pivotArea>
    </format>
    <format dxfId="1791">
      <pivotArea dataOnly="0" labelOnly="1" fieldPosition="0">
        <references count="3">
          <reference field="0" count="1" selected="0">
            <x v="15"/>
          </reference>
          <reference field="1" count="1">
            <x v="0"/>
          </reference>
          <reference field="8" count="1" selected="0">
            <x v="423"/>
          </reference>
        </references>
      </pivotArea>
    </format>
    <format dxfId="179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53"/>
          </reference>
          <reference field="25" count="1">
            <x v="4"/>
          </reference>
        </references>
      </pivotArea>
    </format>
    <format dxfId="178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53"/>
          </reference>
          <reference field="25" count="1">
            <x v="5"/>
          </reference>
        </references>
      </pivotArea>
    </format>
    <format dxfId="178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53"/>
          </reference>
          <reference field="25" count="1">
            <x v="5"/>
          </reference>
        </references>
      </pivotArea>
    </format>
    <format dxfId="178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53"/>
          </reference>
          <reference field="25" count="1">
            <x v="5"/>
          </reference>
        </references>
      </pivotArea>
    </format>
    <format dxfId="178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53"/>
          </reference>
          <reference field="25" count="1">
            <x v="0"/>
          </reference>
        </references>
      </pivotArea>
    </format>
    <format dxfId="178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55"/>
          </reference>
          <reference field="25" count="1">
            <x v="4"/>
          </reference>
        </references>
      </pivotArea>
    </format>
    <format dxfId="178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55"/>
          </reference>
          <reference field="25" count="1">
            <x v="5"/>
          </reference>
        </references>
      </pivotArea>
    </format>
    <format dxfId="178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55"/>
          </reference>
          <reference field="25" count="1">
            <x v="5"/>
          </reference>
        </references>
      </pivotArea>
    </format>
    <format dxfId="178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55"/>
          </reference>
          <reference field="25" count="1">
            <x v="5"/>
          </reference>
        </references>
      </pivotArea>
    </format>
    <format dxfId="178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55"/>
          </reference>
          <reference field="25" count="1">
            <x v="0"/>
          </reference>
        </references>
      </pivotArea>
    </format>
    <format dxfId="178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59"/>
          </reference>
          <reference field="25" count="1">
            <x v="4"/>
          </reference>
        </references>
      </pivotArea>
    </format>
    <format dxfId="177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59"/>
          </reference>
          <reference field="25" count="1">
            <x v="5"/>
          </reference>
        </references>
      </pivotArea>
    </format>
    <format dxfId="177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59"/>
          </reference>
          <reference field="25" count="1">
            <x v="5"/>
          </reference>
        </references>
      </pivotArea>
    </format>
    <format dxfId="177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59"/>
          </reference>
          <reference field="25" count="1">
            <x v="5"/>
          </reference>
        </references>
      </pivotArea>
    </format>
    <format dxfId="177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59"/>
          </reference>
          <reference field="25" count="1">
            <x v="0"/>
          </reference>
        </references>
      </pivotArea>
    </format>
    <format dxfId="177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63"/>
          </reference>
          <reference field="25" count="1">
            <x v="4"/>
          </reference>
        </references>
      </pivotArea>
    </format>
    <format dxfId="177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63"/>
          </reference>
          <reference field="25" count="1">
            <x v="5"/>
          </reference>
        </references>
      </pivotArea>
    </format>
    <format dxfId="177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63"/>
          </reference>
          <reference field="25" count="1">
            <x v="5"/>
          </reference>
        </references>
      </pivotArea>
    </format>
    <format dxfId="177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63"/>
          </reference>
          <reference field="25" count="1">
            <x v="5"/>
          </reference>
        </references>
      </pivotArea>
    </format>
    <format dxfId="177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63"/>
          </reference>
          <reference field="25" count="1">
            <x v="0"/>
          </reference>
        </references>
      </pivotArea>
    </format>
    <format dxfId="177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64"/>
          </reference>
          <reference field="25" count="1">
            <x v="4"/>
          </reference>
        </references>
      </pivotArea>
    </format>
    <format dxfId="176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64"/>
          </reference>
          <reference field="25" count="1">
            <x v="5"/>
          </reference>
        </references>
      </pivotArea>
    </format>
    <format dxfId="176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64"/>
          </reference>
          <reference field="25" count="1">
            <x v="5"/>
          </reference>
        </references>
      </pivotArea>
    </format>
    <format dxfId="176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64"/>
          </reference>
          <reference field="25" count="1">
            <x v="5"/>
          </reference>
        </references>
      </pivotArea>
    </format>
    <format dxfId="176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64"/>
          </reference>
          <reference field="25" count="1">
            <x v="0"/>
          </reference>
        </references>
      </pivotArea>
    </format>
    <format dxfId="176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65"/>
          </reference>
          <reference field="25" count="1">
            <x v="5"/>
          </reference>
        </references>
      </pivotArea>
    </format>
    <format dxfId="176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  <reference field="8" count="1" selected="0">
            <x v="465"/>
          </reference>
          <reference field="25" count="1">
            <x v="5"/>
          </reference>
        </references>
      </pivotArea>
    </format>
    <format dxfId="176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  <reference field="8" count="1" selected="0">
            <x v="465"/>
          </reference>
          <reference field="25" count="1">
            <x v="5"/>
          </reference>
        </references>
      </pivotArea>
    </format>
    <format dxfId="176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30"/>
          </reference>
          <reference field="8" count="1" selected="0">
            <x v="465"/>
          </reference>
          <reference field="25" count="1">
            <x v="4"/>
          </reference>
        </references>
      </pivotArea>
    </format>
    <format dxfId="176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37"/>
          </reference>
          <reference field="8" count="1" selected="0">
            <x v="465"/>
          </reference>
          <reference field="25" count="1">
            <x v="0"/>
          </reference>
        </references>
      </pivotArea>
    </format>
    <format dxfId="176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78"/>
          </reference>
          <reference field="25" count="1">
            <x v="4"/>
          </reference>
        </references>
      </pivotArea>
    </format>
    <format dxfId="175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78"/>
          </reference>
          <reference field="25" count="1">
            <x v="5"/>
          </reference>
        </references>
      </pivotArea>
    </format>
    <format dxfId="175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78"/>
          </reference>
          <reference field="25" count="1">
            <x v="5"/>
          </reference>
        </references>
      </pivotArea>
    </format>
    <format dxfId="175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78"/>
          </reference>
          <reference field="25" count="1">
            <x v="5"/>
          </reference>
        </references>
      </pivotArea>
    </format>
    <format dxfId="175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78"/>
          </reference>
          <reference field="25" count="1">
            <x v="0"/>
          </reference>
        </references>
      </pivotArea>
    </format>
    <format dxfId="175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79"/>
          </reference>
          <reference field="25" count="1">
            <x v="4"/>
          </reference>
        </references>
      </pivotArea>
    </format>
    <format dxfId="175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79"/>
          </reference>
          <reference field="25" count="1">
            <x v="5"/>
          </reference>
        </references>
      </pivotArea>
    </format>
    <format dxfId="175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79"/>
          </reference>
          <reference field="25" count="1">
            <x v="5"/>
          </reference>
        </references>
      </pivotArea>
    </format>
    <format dxfId="175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79"/>
          </reference>
          <reference field="25" count="1">
            <x v="5"/>
          </reference>
        </references>
      </pivotArea>
    </format>
    <format dxfId="175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79"/>
          </reference>
          <reference field="25" count="1">
            <x v="0"/>
          </reference>
        </references>
      </pivotArea>
    </format>
    <format dxfId="175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80"/>
          </reference>
          <reference field="25" count="1">
            <x v="4"/>
          </reference>
        </references>
      </pivotArea>
    </format>
    <format dxfId="174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80"/>
          </reference>
          <reference field="25" count="1">
            <x v="5"/>
          </reference>
        </references>
      </pivotArea>
    </format>
    <format dxfId="174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80"/>
          </reference>
          <reference field="25" count="1">
            <x v="5"/>
          </reference>
        </references>
      </pivotArea>
    </format>
    <format dxfId="174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80"/>
          </reference>
          <reference field="25" count="1">
            <x v="5"/>
          </reference>
        </references>
      </pivotArea>
    </format>
    <format dxfId="174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80"/>
          </reference>
          <reference field="25" count="1">
            <x v="0"/>
          </reference>
        </references>
      </pivotArea>
    </format>
    <format dxfId="174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81"/>
          </reference>
          <reference field="25" count="1">
            <x v="4"/>
          </reference>
        </references>
      </pivotArea>
    </format>
    <format dxfId="174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81"/>
          </reference>
          <reference field="25" count="1">
            <x v="5"/>
          </reference>
        </references>
      </pivotArea>
    </format>
    <format dxfId="174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81"/>
          </reference>
          <reference field="25" count="1">
            <x v="5"/>
          </reference>
        </references>
      </pivotArea>
    </format>
    <format dxfId="174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81"/>
          </reference>
          <reference field="25" count="1">
            <x v="5"/>
          </reference>
        </references>
      </pivotArea>
    </format>
    <format dxfId="174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81"/>
          </reference>
          <reference field="25" count="1">
            <x v="0"/>
          </reference>
        </references>
      </pivotArea>
    </format>
    <format dxfId="174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82"/>
          </reference>
          <reference field="25" count="1">
            <x v="4"/>
          </reference>
        </references>
      </pivotArea>
    </format>
    <format dxfId="173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82"/>
          </reference>
          <reference field="25" count="1">
            <x v="5"/>
          </reference>
        </references>
      </pivotArea>
    </format>
    <format dxfId="173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82"/>
          </reference>
          <reference field="25" count="1">
            <x v="5"/>
          </reference>
        </references>
      </pivotArea>
    </format>
    <format dxfId="173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82"/>
          </reference>
          <reference field="25" count="1">
            <x v="5"/>
          </reference>
        </references>
      </pivotArea>
    </format>
    <format dxfId="173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82"/>
          </reference>
          <reference field="25" count="1">
            <x v="0"/>
          </reference>
        </references>
      </pivotArea>
    </format>
    <format dxfId="173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83"/>
          </reference>
          <reference field="25" count="1">
            <x v="4"/>
          </reference>
        </references>
      </pivotArea>
    </format>
    <format dxfId="173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83"/>
          </reference>
          <reference field="25" count="1">
            <x v="5"/>
          </reference>
        </references>
      </pivotArea>
    </format>
    <format dxfId="173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83"/>
          </reference>
          <reference field="25" count="1">
            <x v="5"/>
          </reference>
        </references>
      </pivotArea>
    </format>
    <format dxfId="173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83"/>
          </reference>
          <reference field="25" count="1">
            <x v="5"/>
          </reference>
        </references>
      </pivotArea>
    </format>
    <format dxfId="173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83"/>
          </reference>
          <reference field="25" count="1">
            <x v="0"/>
          </reference>
        </references>
      </pivotArea>
    </format>
    <format dxfId="173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87"/>
          </reference>
          <reference field="25" count="1">
            <x v="4"/>
          </reference>
        </references>
      </pivotArea>
    </format>
    <format dxfId="172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87"/>
          </reference>
          <reference field="25" count="1">
            <x v="5"/>
          </reference>
        </references>
      </pivotArea>
    </format>
    <format dxfId="172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87"/>
          </reference>
          <reference field="25" count="1">
            <x v="5"/>
          </reference>
        </references>
      </pivotArea>
    </format>
    <format dxfId="172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87"/>
          </reference>
          <reference field="25" count="1">
            <x v="5"/>
          </reference>
        </references>
      </pivotArea>
    </format>
    <format dxfId="172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87"/>
          </reference>
          <reference field="25" count="1">
            <x v="0"/>
          </reference>
        </references>
      </pivotArea>
    </format>
    <format dxfId="172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4"/>
          </reference>
          <reference field="8" count="1" selected="0">
            <x v="489"/>
          </reference>
          <reference field="25" count="1">
            <x v="4"/>
          </reference>
        </references>
      </pivotArea>
    </format>
    <format dxfId="172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  <reference field="8" count="1" selected="0">
            <x v="489"/>
          </reference>
          <reference field="25" count="1">
            <x v="5"/>
          </reference>
        </references>
      </pivotArea>
    </format>
    <format dxfId="172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6"/>
          </reference>
          <reference field="8" count="1" selected="0">
            <x v="489"/>
          </reference>
          <reference field="25" count="1">
            <x v="5"/>
          </reference>
        </references>
      </pivotArea>
    </format>
    <format dxfId="172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  <reference field="8" count="1" selected="0">
            <x v="489"/>
          </reference>
          <reference field="25" count="1">
            <x v="5"/>
          </reference>
        </references>
      </pivotArea>
    </format>
    <format dxfId="172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5"/>
          </reference>
          <reference field="8" count="1" selected="0">
            <x v="489"/>
          </reference>
          <reference field="25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8480F-A5C6-426B-88B0-494739968A7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2" firstHeaderRow="0" firstDataRow="1" firstDataCol="5" rowPageCount="1" colPageCount="1"/>
  <pivotFields count="40">
    <pivotField axis="axisRow" outline="0" showAll="0" defaultSubtotal="0">
      <items count="49">
        <item x="30"/>
        <item x="14"/>
        <item x="7"/>
        <item m="1" x="33"/>
        <item x="18"/>
        <item x="17"/>
        <item x="19"/>
        <item x="20"/>
        <item x="23"/>
        <item x="22"/>
        <item x="11"/>
        <item x="1"/>
        <item x="12"/>
        <item x="2"/>
        <item x="13"/>
        <item x="0"/>
        <item m="1" x="48"/>
        <item m="1" x="34"/>
        <item x="4"/>
        <item m="1" x="45"/>
        <item x="16"/>
        <item m="1" x="44"/>
        <item m="1" x="35"/>
        <item m="1" x="36"/>
        <item x="6"/>
        <item x="5"/>
        <item x="25"/>
        <item x="9"/>
        <item m="1" x="37"/>
        <item m="1" x="47"/>
        <item x="26"/>
        <item x="8"/>
        <item x="32"/>
        <item x="28"/>
        <item x="31"/>
        <item m="1" x="46"/>
        <item x="15"/>
        <item m="1" x="41"/>
        <item m="1" x="42"/>
        <item m="1" x="43"/>
        <item m="1" x="39"/>
        <item x="29"/>
        <item m="1" x="40"/>
        <item x="21"/>
        <item m="1" x="38"/>
        <item x="24"/>
        <item x="27"/>
        <item x="10"/>
        <item x="3"/>
      </items>
    </pivotField>
    <pivotField axis="axisRow" outline="0" showAll="0" defaultSubtotal="0">
      <items count="48">
        <item x="0"/>
        <item x="13"/>
        <item x="12"/>
        <item x="1"/>
        <item x="4"/>
        <item x="5"/>
        <item m="1" x="47"/>
        <item m="1" x="34"/>
        <item x="9"/>
        <item x="11"/>
        <item x="26"/>
        <item m="1" x="37"/>
        <item m="1" x="35"/>
        <item x="16"/>
        <item m="1" x="36"/>
        <item m="1" x="45"/>
        <item m="1" x="44"/>
        <item x="18"/>
        <item m="1" x="33"/>
        <item x="19"/>
        <item x="20"/>
        <item x="8"/>
        <item m="1" x="46"/>
        <item x="17"/>
        <item x="23"/>
        <item x="22"/>
        <item x="25"/>
        <item x="7"/>
        <item x="14"/>
        <item x="30"/>
        <item x="32"/>
        <item x="28"/>
        <item x="31"/>
        <item x="15"/>
        <item m="1" x="41"/>
        <item m="1" x="42"/>
        <item m="1" x="43"/>
        <item m="1" x="39"/>
        <item x="29"/>
        <item m="1" x="40"/>
        <item x="21"/>
        <item m="1" x="38"/>
        <item x="24"/>
        <item x="27"/>
        <item x="10"/>
        <item x="2"/>
        <item x="6"/>
        <item x="3"/>
      </items>
    </pivotField>
    <pivotField showAll="0"/>
    <pivotField axis="axisRow" showAll="0">
      <items count="24">
        <item x="5"/>
        <item x="19"/>
        <item m="1" x="21"/>
        <item x="11"/>
        <item x="15"/>
        <item x="4"/>
        <item x="10"/>
        <item x="0"/>
        <item x="3"/>
        <item x="2"/>
        <item x="12"/>
        <item x="13"/>
        <item x="1"/>
        <item x="17"/>
        <item x="6"/>
        <item x="20"/>
        <item x="18"/>
        <item x="14"/>
        <item m="1" x="22"/>
        <item x="16"/>
        <item x="7"/>
        <item x="8"/>
        <item x="9"/>
        <item t="default"/>
      </items>
    </pivotField>
    <pivotField showAll="0"/>
    <pivotField showAll="0"/>
    <pivotField showAll="0"/>
    <pivotField showAll="0"/>
    <pivotField axis="axisRow" outline="0" showAll="0" sumSubtotal="1">
      <items count="492">
        <item h="1" x="0"/>
        <item h="1" m="1" x="430"/>
        <item h="1" m="1" x="431"/>
        <item h="1" m="1" x="432"/>
        <item h="1" m="1" x="446"/>
        <item h="1" m="1" x="433"/>
        <item h="1" m="1" x="445"/>
        <item h="1" m="1" x="447"/>
        <item h="1" m="1" x="448"/>
        <item h="1" m="1" x="449"/>
        <item h="1" m="1" x="462"/>
        <item h="1" m="1" x="463"/>
        <item h="1" m="1" x="464"/>
        <item h="1" m="1" x="471"/>
        <item h="1" m="1" x="480"/>
        <item h="1" m="1" x="482"/>
        <item h="1" m="1" x="434"/>
        <item h="1" m="1" x="436"/>
        <item h="1" m="1" x="438"/>
        <item h="1" m="1" x="440"/>
        <item h="1" m="1" x="442"/>
        <item h="1" m="1" x="450"/>
        <item h="1" m="1" x="452"/>
        <item h="1" m="1" x="454"/>
        <item h="1" m="1" x="456"/>
        <item h="1" m="1" x="458"/>
        <item h="1" m="1" x="460"/>
        <item h="1" m="1" x="465"/>
        <item h="1" m="1" x="467"/>
        <item h="1" m="1" x="469"/>
        <item h="1" m="1" x="472"/>
        <item h="1" m="1" x="474"/>
        <item h="1" m="1" x="476"/>
        <item h="1" m="1" x="478"/>
        <item h="1" m="1" x="435"/>
        <item h="1" m="1" x="437"/>
        <item h="1" m="1" x="439"/>
        <item h="1" m="1" x="441"/>
        <item h="1" m="1" x="443"/>
        <item h="1" m="1" x="451"/>
        <item h="1" m="1" x="453"/>
        <item h="1" m="1" x="455"/>
        <item h="1" m="1" x="457"/>
        <item h="1" m="1" x="459"/>
        <item h="1" m="1" x="461"/>
        <item h="1" m="1" x="466"/>
        <item h="1" m="1" x="468"/>
        <item h="1" m="1" x="470"/>
        <item h="1" m="1" x="473"/>
        <item h="1" m="1" x="475"/>
        <item h="1" m="1" x="477"/>
        <item h="1" m="1" x="479"/>
        <item m="1" x="444"/>
        <item m="1" x="481"/>
        <item h="1" x="83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m="1" x="399"/>
        <item m="1" x="400"/>
        <item m="1" x="401"/>
        <item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m="1" x="369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m="1" x="323"/>
        <item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m="1" x="351"/>
        <item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m="1" x="223"/>
        <item h="1" m="1" x="224"/>
        <item h="1" m="1" x="225"/>
        <item h="1" m="1" x="226"/>
        <item h="1" m="1" x="227"/>
        <item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84"/>
        <item h="1" m="1" x="85"/>
        <item m="1" x="86"/>
        <item h="1" m="1" x="87"/>
        <item h="1" m="1" x="88"/>
        <item h="1" m="1" x="89"/>
        <item h="1" m="1" x="90"/>
        <item h="1" m="1" x="91"/>
        <item h="1" m="1" x="92"/>
        <item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m="1" x="139"/>
        <item m="1" x="140"/>
        <item h="1" m="1" x="141"/>
        <item h="1" m="1" x="142"/>
        <item h="1" m="1" x="143"/>
        <item m="1" x="144"/>
        <item m="1" x="145"/>
        <item h="1" m="1" x="146"/>
        <item h="1" m="1" x="147"/>
        <item h="1" m="1" x="148"/>
        <item h="1" m="1" x="149"/>
        <item h="1" m="1" x="150"/>
        <item h="1" m="1" x="151"/>
        <item x="1"/>
        <item h="1" x="2"/>
        <item h="1" x="3"/>
        <item h="1" x="4"/>
        <item h="1" x="5"/>
        <item x="6"/>
        <item h="1" x="7"/>
        <item h="1" x="8"/>
        <item h="1" x="9"/>
        <item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x="58"/>
        <item h="1" x="59"/>
        <item h="1" x="60"/>
        <item h="1" x="61"/>
        <item x="62"/>
        <item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t="sum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8">
        <item x="2"/>
        <item x="4"/>
        <item x="1"/>
        <item x="5"/>
        <item x="3"/>
        <item x="0"/>
        <item x="6"/>
        <item x="7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0"/>
        <item h="1" x="3"/>
        <item h="1" x="4"/>
        <item h="1" x="2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5">
    <field x="8"/>
    <field x="0"/>
    <field x="1"/>
    <field x="25"/>
    <field x="3"/>
  </rowFields>
  <rowItems count="19">
    <i>
      <x v="409"/>
      <x v="24"/>
      <x v="46"/>
      <x/>
      <x v="5"/>
    </i>
    <i r="1">
      <x v="31"/>
      <x v="21"/>
      <x/>
      <x/>
    </i>
    <i t="sum">
      <x v="409"/>
    </i>
    <i>
      <x v="414"/>
      <x v="24"/>
      <x v="46"/>
      <x/>
      <x v="5"/>
    </i>
    <i r="1">
      <x v="31"/>
      <x v="21"/>
      <x/>
      <x/>
    </i>
    <i t="sum">
      <x v="414"/>
    </i>
    <i>
      <x v="418"/>
      <x v="24"/>
      <x v="46"/>
      <x/>
      <x v="5"/>
    </i>
    <i r="1">
      <x v="31"/>
      <x v="21"/>
      <x/>
      <x/>
    </i>
    <i t="sum">
      <x v="418"/>
    </i>
    <i>
      <x v="466"/>
      <x v="24"/>
      <x v="46"/>
      <x/>
      <x v="5"/>
    </i>
    <i r="1">
      <x v="31"/>
      <x v="21"/>
      <x/>
      <x/>
    </i>
    <i t="sum">
      <x v="466"/>
    </i>
    <i>
      <x v="470"/>
      <x v="24"/>
      <x v="46"/>
      <x/>
      <x v="5"/>
    </i>
    <i r="1">
      <x v="31"/>
      <x v="21"/>
      <x/>
      <x/>
    </i>
    <i t="sum">
      <x v="470"/>
    </i>
    <i>
      <x v="471"/>
      <x v="24"/>
      <x v="46"/>
      <x/>
      <x v="5"/>
    </i>
    <i r="1">
      <x v="31"/>
      <x v="21"/>
      <x/>
      <x/>
    </i>
    <i t="sum">
      <x v="471"/>
    </i>
    <i t="grand">
      <x/>
    </i>
  </rowItems>
  <colFields count="1">
    <field x="-2"/>
  </colFields>
  <colItems count="2">
    <i>
      <x/>
    </i>
    <i i="1">
      <x v="1"/>
    </i>
  </colItems>
  <pageFields count="1">
    <pageField fld="33" hier="-1"/>
  </pageFields>
  <dataFields count="2">
    <dataField name="Sum of Quantity in UnE" fld="26" baseField="0" baseItem="0"/>
    <dataField name="Sum of Amt.in Loc.Cur." fld="27" baseField="0" baseItem="0"/>
  </dataFields>
  <formats count="276">
    <format dxfId="1720">
      <pivotArea dataOnly="0" labelOnly="1" offset="IV1" fieldPosition="0">
        <references count="1">
          <reference field="8" count="1">
            <x v="15"/>
          </reference>
        </references>
      </pivotArea>
    </format>
    <format dxfId="1719">
      <pivotArea dataOnly="0" labelOnly="1" fieldPosition="0">
        <references count="2">
          <reference field="0" count="2">
            <x v="25"/>
            <x v="28"/>
          </reference>
          <reference field="8" count="1" selected="0">
            <x v="52"/>
          </reference>
        </references>
      </pivotArea>
    </format>
    <format dxfId="1718">
      <pivotArea dataOnly="0" labelOnly="1" fieldPosition="0">
        <references count="2">
          <reference field="0" count="2">
            <x v="25"/>
            <x v="30"/>
          </reference>
          <reference field="8" count="1" selected="0">
            <x v="53"/>
          </reference>
        </references>
      </pivotArea>
    </format>
    <format dxfId="171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5"/>
          </reference>
          <reference field="8" count="1" selected="0">
            <x v="53"/>
          </reference>
          <reference field="25" count="1">
            <x v="5"/>
          </reference>
        </references>
      </pivotArea>
    </format>
    <format dxfId="171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3"/>
          </reference>
          <reference field="8" count="1" selected="0">
            <x v="53"/>
          </reference>
          <reference field="25" count="1">
            <x v="5"/>
          </reference>
        </references>
      </pivotArea>
    </format>
    <format dxfId="171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9"/>
          </reference>
          <reference field="8" count="1" selected="0">
            <x v="94"/>
          </reference>
          <reference field="25" count="1">
            <x v="5"/>
          </reference>
        </references>
      </pivotArea>
    </format>
    <format dxfId="171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3"/>
          </reference>
          <reference field="8" count="1" selected="0">
            <x v="94"/>
          </reference>
          <reference field="25" count="1">
            <x v="5"/>
          </reference>
        </references>
      </pivotArea>
    </format>
    <format dxfId="171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45"/>
          </reference>
          <reference field="8" count="1" selected="0">
            <x v="94"/>
          </reference>
          <reference field="25" count="1">
            <x v="5"/>
          </reference>
        </references>
      </pivotArea>
    </format>
    <format dxfId="171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5"/>
          </reference>
          <reference field="8" count="1" selected="0">
            <x v="94"/>
          </reference>
          <reference field="25" count="1">
            <x v="0"/>
          </reference>
        </references>
      </pivotArea>
    </format>
    <format dxfId="171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1"/>
          </reference>
          <reference field="8" count="1" selected="0">
            <x v="94"/>
          </reference>
          <reference field="25" count="1">
            <x v="0"/>
          </reference>
        </references>
      </pivotArea>
    </format>
    <format dxfId="171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9"/>
          </reference>
          <reference field="8" count="1" selected="0">
            <x v="92"/>
          </reference>
          <reference field="25" count="1">
            <x v="5"/>
          </reference>
        </references>
      </pivotArea>
    </format>
    <format dxfId="170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3"/>
          </reference>
          <reference field="8" count="1" selected="0">
            <x v="92"/>
          </reference>
          <reference field="25" count="1">
            <x v="5"/>
          </reference>
        </references>
      </pivotArea>
    </format>
    <format dxfId="170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45"/>
          </reference>
          <reference field="8" count="1" selected="0">
            <x v="92"/>
          </reference>
          <reference field="25" count="1">
            <x v="5"/>
          </reference>
        </references>
      </pivotArea>
    </format>
    <format dxfId="170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5"/>
          </reference>
          <reference field="8" count="1" selected="0">
            <x v="92"/>
          </reference>
          <reference field="25" count="1">
            <x v="0"/>
          </reference>
        </references>
      </pivotArea>
    </format>
    <format dxfId="170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1"/>
          </reference>
          <reference field="8" count="1" selected="0">
            <x v="92"/>
          </reference>
          <reference field="25" count="1">
            <x v="0"/>
          </reference>
        </references>
      </pivotArea>
    </format>
    <format dxfId="170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9"/>
          </reference>
          <reference field="8" count="1" selected="0">
            <x v="95"/>
          </reference>
          <reference field="25" count="1">
            <x v="5"/>
          </reference>
        </references>
      </pivotArea>
    </format>
    <format dxfId="170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3"/>
          </reference>
          <reference field="8" count="1" selected="0">
            <x v="95"/>
          </reference>
          <reference field="25" count="1">
            <x v="5"/>
          </reference>
        </references>
      </pivotArea>
    </format>
    <format dxfId="170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45"/>
          </reference>
          <reference field="8" count="1" selected="0">
            <x v="95"/>
          </reference>
          <reference field="25" count="1">
            <x v="5"/>
          </reference>
        </references>
      </pivotArea>
    </format>
    <format dxfId="170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5"/>
          </reference>
          <reference field="8" count="1" selected="0">
            <x v="95"/>
          </reference>
          <reference field="25" count="1">
            <x v="0"/>
          </reference>
        </references>
      </pivotArea>
    </format>
    <format dxfId="170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1"/>
          </reference>
          <reference field="8" count="1" selected="0">
            <x v="95"/>
          </reference>
          <reference field="25" count="1">
            <x v="0"/>
          </reference>
        </references>
      </pivotArea>
    </format>
    <format dxfId="1700">
      <pivotArea dataOnly="0" labelOnly="1" fieldPosition="0">
        <references count="2">
          <reference field="0" count="1">
            <x v="11"/>
          </reference>
          <reference field="8" count="1" selected="0">
            <x v="95"/>
          </reference>
        </references>
      </pivotArea>
    </format>
    <format dxfId="1699">
      <pivotArea dataOnly="0" labelOnly="1" fieldPosition="0">
        <references count="3">
          <reference field="0" count="1" selected="0">
            <x v="11"/>
          </reference>
          <reference field="1" count="1">
            <x v="3"/>
          </reference>
          <reference field="8" count="1" selected="0">
            <x v="95"/>
          </reference>
        </references>
      </pivotArea>
    </format>
    <format dxfId="1698">
      <pivotArea dataOnly="0" labelOnly="1" fieldPosition="0">
        <references count="2">
          <reference field="0" count="1">
            <x v="11"/>
          </reference>
          <reference field="8" count="1" selected="0">
            <x v="94"/>
          </reference>
        </references>
      </pivotArea>
    </format>
    <format dxfId="1697">
      <pivotArea dataOnly="0" labelOnly="1" fieldPosition="0">
        <references count="3">
          <reference field="0" count="1" selected="0">
            <x v="11"/>
          </reference>
          <reference field="1" count="1">
            <x v="3"/>
          </reference>
          <reference field="8" count="1" selected="0">
            <x v="94"/>
          </reference>
        </references>
      </pivotArea>
    </format>
    <format dxfId="1696">
      <pivotArea dataOnly="0" labelOnly="1" fieldPosition="0">
        <references count="2">
          <reference field="0" count="1">
            <x v="11"/>
          </reference>
          <reference field="8" count="1" selected="0">
            <x v="92"/>
          </reference>
        </references>
      </pivotArea>
    </format>
    <format dxfId="1695">
      <pivotArea dataOnly="0" labelOnly="1" fieldPosition="0">
        <references count="3">
          <reference field="0" count="1" selected="0">
            <x v="11"/>
          </reference>
          <reference field="1" count="1">
            <x v="3"/>
          </reference>
          <reference field="8" count="1" selected="0">
            <x v="92"/>
          </reference>
        </references>
      </pivotArea>
    </format>
    <format dxfId="169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46"/>
          </reference>
          <reference field="8" count="1" selected="0">
            <x v="123"/>
          </reference>
          <reference field="25" count="1">
            <x v="0"/>
          </reference>
        </references>
      </pivotArea>
    </format>
    <format dxfId="169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1"/>
          </reference>
          <reference field="8" count="1" selected="0">
            <x v="123"/>
          </reference>
          <reference field="25" count="1">
            <x v="0"/>
          </reference>
        </references>
      </pivotArea>
    </format>
    <format dxfId="169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  <reference field="8" count="1" selected="0">
            <x v="162"/>
          </reference>
          <reference field="25" count="1">
            <x v="5"/>
          </reference>
        </references>
      </pivotArea>
    </format>
    <format dxfId="169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6"/>
          </reference>
          <reference field="8" count="1" selected="0">
            <x v="162"/>
          </reference>
          <reference field="25" count="1">
            <x v="5"/>
          </reference>
        </references>
      </pivotArea>
    </format>
    <format dxfId="169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5"/>
          </reference>
          <reference field="8" count="1" selected="0">
            <x v="162"/>
          </reference>
          <reference field="25" count="1">
            <x v="0"/>
          </reference>
        </references>
      </pivotArea>
    </format>
    <format dxfId="168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36"/>
          </reference>
          <reference field="8" count="1" selected="0">
            <x v="162"/>
          </reference>
          <reference field="25" count="1">
            <x v="2"/>
          </reference>
        </references>
      </pivotArea>
    </format>
    <format dxfId="168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44"/>
          </reference>
          <reference field="8" count="1" selected="0">
            <x v="162"/>
          </reference>
          <reference field="25" count="1">
            <x v="0"/>
          </reference>
        </references>
      </pivotArea>
    </format>
    <format dxfId="168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  <reference field="8" count="1" selected="0">
            <x v="163"/>
          </reference>
          <reference field="25" count="1">
            <x v="5"/>
          </reference>
        </references>
      </pivotArea>
    </format>
    <format dxfId="168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5"/>
          </reference>
          <reference field="8" count="1" selected="0">
            <x v="163"/>
          </reference>
          <reference field="25" count="1">
            <x v="5"/>
          </reference>
        </references>
      </pivotArea>
    </format>
    <format dxfId="168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5"/>
          </reference>
          <reference field="8" count="1" selected="0">
            <x v="163"/>
          </reference>
          <reference field="25" count="1">
            <x v="0"/>
          </reference>
        </references>
      </pivotArea>
    </format>
    <format dxfId="168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10"/>
          </reference>
          <reference field="8" count="1" selected="0">
            <x v="163"/>
          </reference>
          <reference field="25" count="1">
            <x v="0"/>
          </reference>
        </references>
      </pivotArea>
    </format>
    <format dxfId="168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33"/>
          </reference>
          <reference field="8" count="1" selected="0">
            <x v="163"/>
          </reference>
          <reference field="25" count="1">
            <x v="2"/>
          </reference>
        </references>
      </pivotArea>
    </format>
    <format dxfId="1682">
      <pivotArea dataOnly="0" labelOnly="1" fieldPosition="0">
        <references count="2">
          <reference field="0" count="1">
            <x v="30"/>
          </reference>
          <reference field="8" count="1" selected="0">
            <x v="163"/>
          </reference>
        </references>
      </pivotArea>
    </format>
    <format dxfId="1681">
      <pivotArea dataOnly="0" labelOnly="1" fieldPosition="0">
        <references count="2">
          <reference field="0" count="1">
            <x v="47"/>
          </reference>
          <reference field="8" count="1" selected="0">
            <x v="162"/>
          </reference>
        </references>
      </pivotArea>
    </format>
    <format dxfId="1680">
      <pivotArea dataOnly="0" labelOnly="1" fieldPosition="0">
        <references count="3">
          <reference field="0" count="1" selected="0">
            <x v="47"/>
          </reference>
          <reference field="1" count="1">
            <x v="44"/>
          </reference>
          <reference field="8" count="1" selected="0">
            <x v="162"/>
          </reference>
        </references>
      </pivotArea>
    </format>
    <format dxfId="1679">
      <pivotArea dataOnly="0" labelOnly="1" fieldPosition="0">
        <references count="2">
          <reference field="0" count="1">
            <x v="25"/>
          </reference>
          <reference field="8" count="1" selected="0">
            <x v="162"/>
          </reference>
        </references>
      </pivotArea>
    </format>
    <format dxfId="1678">
      <pivotArea dataOnly="0" labelOnly="1" fieldPosition="0">
        <references count="3">
          <reference field="0" count="1" selected="0">
            <x v="25"/>
          </reference>
          <reference field="1" count="1">
            <x v="5"/>
          </reference>
          <reference field="8" count="1" selected="0">
            <x v="162"/>
          </reference>
        </references>
      </pivotArea>
    </format>
    <format dxfId="1677">
      <pivotArea dataOnly="0" labelOnly="1" fieldPosition="0">
        <references count="2">
          <reference field="0" count="1">
            <x v="25"/>
          </reference>
          <reference field="8" count="1" selected="0">
            <x v="135"/>
          </reference>
        </references>
      </pivotArea>
    </format>
    <format dxfId="1676">
      <pivotArea dataOnly="0" labelOnly="1" fieldPosition="0">
        <references count="3">
          <reference field="0" count="1" selected="0">
            <x v="25"/>
          </reference>
          <reference field="1" count="1">
            <x v="5"/>
          </reference>
          <reference field="8" count="1" selected="0">
            <x v="135"/>
          </reference>
        </references>
      </pivotArea>
    </format>
    <format dxfId="1675">
      <pivotArea dataOnly="0" labelOnly="1" fieldPosition="0">
        <references count="2">
          <reference field="0" count="1">
            <x v="25"/>
          </reference>
          <reference field="8" count="1" selected="0">
            <x v="163"/>
          </reference>
        </references>
      </pivotArea>
    </format>
    <format dxfId="1674">
      <pivotArea dataOnly="0" labelOnly="1" fieldPosition="0">
        <references count="3">
          <reference field="0" count="1" selected="0">
            <x v="25"/>
          </reference>
          <reference field="1" count="1">
            <x v="5"/>
          </reference>
          <reference field="8" count="1" selected="0">
            <x v="163"/>
          </reference>
        </references>
      </pivotArea>
    </format>
    <format dxfId="1673">
      <pivotArea outline="0" collapsedLevelsAreSubtotals="1" fieldPosition="0"/>
    </format>
    <format dxfId="167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9"/>
          </reference>
          <reference field="8" count="1" selected="0">
            <x v="135"/>
          </reference>
          <reference field="25" count="1">
            <x v="5"/>
          </reference>
        </references>
      </pivotArea>
    </format>
    <format dxfId="167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3"/>
          </reference>
          <reference field="8" count="1" selected="0">
            <x v="135"/>
          </reference>
          <reference field="25" count="1">
            <x v="5"/>
          </reference>
        </references>
      </pivotArea>
    </format>
    <format dxfId="167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45"/>
          </reference>
          <reference field="8" count="1" selected="0">
            <x v="135"/>
          </reference>
          <reference field="25" count="1">
            <x v="5"/>
          </reference>
        </references>
      </pivotArea>
    </format>
    <format dxfId="166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5"/>
          </reference>
          <reference field="8" count="1" selected="0">
            <x v="135"/>
          </reference>
          <reference field="25" count="1">
            <x v="0"/>
          </reference>
        </references>
      </pivotArea>
    </format>
    <format dxfId="166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1"/>
          </reference>
          <reference field="8" count="1" selected="0">
            <x v="135"/>
          </reference>
          <reference field="25" count="1">
            <x v="0"/>
          </reference>
        </references>
      </pivotArea>
    </format>
    <format dxfId="1667">
      <pivotArea collapsedLevelsAreSubtotals="1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123"/>
          </reference>
          <reference field="25" count="1">
            <x v="0"/>
          </reference>
        </references>
      </pivotArea>
    </format>
    <format dxfId="1666">
      <pivotArea collapsedLevelsAreSubtotals="1" fieldPosition="0">
        <references count="4">
          <reference field="0" count="1" selected="0">
            <x v="31"/>
          </reference>
          <reference field="1" count="1" selected="0">
            <x v="21"/>
          </reference>
          <reference field="8" count="1" selected="0">
            <x v="123"/>
          </reference>
          <reference field="25" count="1">
            <x v="0"/>
          </reference>
        </references>
      </pivotArea>
    </format>
    <format dxfId="1665">
      <pivotArea dataOnly="0" labelOnly="1" fieldPosition="0">
        <references count="2">
          <reference field="0" count="2">
            <x v="24"/>
            <x v="31"/>
          </reference>
          <reference field="8" count="1" selected="0">
            <x v="123"/>
          </reference>
        </references>
      </pivotArea>
    </format>
    <format dxfId="1664">
      <pivotArea dataOnly="0" labelOnly="1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123"/>
          </reference>
          <reference field="25" count="1">
            <x v="0"/>
          </reference>
        </references>
      </pivotArea>
    </format>
    <format dxfId="1663">
      <pivotArea dataOnly="0" labelOnly="1" fieldPosition="0">
        <references count="4">
          <reference field="0" count="1" selected="0">
            <x v="31"/>
          </reference>
          <reference field="1" count="1" selected="0">
            <x v="21"/>
          </reference>
          <reference field="8" count="1" selected="0">
            <x v="123"/>
          </reference>
          <reference field="25" count="1">
            <x v="0"/>
          </reference>
        </references>
      </pivotArea>
    </format>
    <format dxfId="166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1"/>
          </reference>
          <reference field="8" count="1" selected="0">
            <x v="135"/>
          </reference>
          <reference field="25" count="1">
            <x v="0"/>
          </reference>
        </references>
      </pivotArea>
    </format>
    <format dxfId="166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44"/>
          </reference>
          <reference field="8" count="1" selected="0">
            <x v="162"/>
          </reference>
          <reference field="25" count="1">
            <x v="0"/>
          </reference>
        </references>
      </pivotArea>
    </format>
    <format dxfId="166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10"/>
          </reference>
          <reference field="8" count="1" selected="0">
            <x v="163"/>
          </reference>
          <reference field="25" count="1">
            <x v="0"/>
          </reference>
        </references>
      </pivotArea>
    </format>
    <format dxfId="165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46"/>
          </reference>
          <reference field="8" count="1" selected="0">
            <x v="123"/>
          </reference>
          <reference field="25" count="1">
            <x v="0"/>
          </reference>
        </references>
      </pivotArea>
    </format>
    <format dxfId="165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1"/>
          </reference>
          <reference field="8" count="1" selected="0">
            <x v="190"/>
          </reference>
          <reference field="25" count="1">
            <x v="0"/>
          </reference>
        </references>
      </pivotArea>
    </format>
    <format dxfId="165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5"/>
          </reference>
          <reference field="8" count="1" selected="0">
            <x v="190"/>
          </reference>
          <reference field="25" count="1">
            <x v="0"/>
          </reference>
        </references>
      </pivotArea>
    </format>
    <format dxfId="1656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9"/>
          </reference>
          <reference field="8" count="1" selected="0">
            <x v="190"/>
          </reference>
          <reference field="25" count="1">
            <x v="5"/>
          </reference>
        </references>
      </pivotArea>
    </format>
    <format dxfId="1655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3"/>
          </reference>
          <reference field="8" count="1" selected="0">
            <x v="190"/>
          </reference>
          <reference field="25" count="1">
            <x v="5"/>
          </reference>
        </references>
      </pivotArea>
    </format>
    <format dxfId="1654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5"/>
          </reference>
          <reference field="8" count="1" selected="0">
            <x v="190"/>
          </reference>
          <reference field="25" count="1">
            <x v="0"/>
          </reference>
        </references>
      </pivotArea>
    </format>
    <format dxfId="1653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9"/>
          </reference>
          <reference field="8" count="1" selected="0">
            <x v="191"/>
          </reference>
          <reference field="25" count="1">
            <x v="5"/>
          </reference>
        </references>
      </pivotArea>
    </format>
    <format dxfId="1652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3"/>
          </reference>
          <reference field="8" count="1" selected="0">
            <x v="191"/>
          </reference>
          <reference field="25" count="1">
            <x v="5"/>
          </reference>
        </references>
      </pivotArea>
    </format>
    <format dxfId="1651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45"/>
          </reference>
          <reference field="8" count="1" selected="0">
            <x v="191"/>
          </reference>
          <reference field="25" count="1">
            <x v="5"/>
          </reference>
        </references>
      </pivotArea>
    </format>
    <format dxfId="1650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46"/>
          </reference>
          <reference field="8" count="1" selected="0">
            <x v="191"/>
          </reference>
          <reference field="25" count="1">
            <x v="0"/>
          </reference>
        </references>
      </pivotArea>
    </format>
    <format dxfId="1649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5"/>
          </reference>
          <reference field="8" count="1" selected="0">
            <x v="191"/>
          </reference>
          <reference field="25" count="1">
            <x v="0"/>
          </reference>
        </references>
      </pivotArea>
    </format>
    <format dxfId="1648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45"/>
          </reference>
          <reference field="8" count="1" selected="0">
            <x v="190"/>
          </reference>
          <reference field="25" count="1">
            <x v="5"/>
          </reference>
        </references>
      </pivotArea>
    </format>
    <format dxfId="1647">
      <pivotArea collapsedLevelsAreSubtotals="1" fieldPosition="0">
        <references count="5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1"/>
          </reference>
          <reference field="8" count="1" selected="0">
            <x v="190"/>
          </reference>
          <reference field="25" count="1">
            <x v="0"/>
          </reference>
        </references>
      </pivotArea>
    </format>
    <format dxfId="1646">
      <pivotArea dataOnly="0" labelOnly="1" fieldPosition="0">
        <references count="2">
          <reference field="0" count="1">
            <x v="24"/>
          </reference>
          <reference field="8" count="1" selected="0">
            <x v="191"/>
          </reference>
        </references>
      </pivotArea>
    </format>
    <format dxfId="1645">
      <pivotArea dataOnly="0" labelOnly="1" fieldPosition="0">
        <references count="3">
          <reference field="0" count="1" selected="0">
            <x v="24"/>
          </reference>
          <reference field="1" count="1">
            <x v="46"/>
          </reference>
          <reference field="8" count="1" selected="0">
            <x v="191"/>
          </reference>
        </references>
      </pivotArea>
    </format>
    <format dxfId="1644">
      <pivotArea dataOnly="0" labelOnly="1" offset="IV1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191"/>
          </reference>
          <reference field="25" count="1">
            <x v="0"/>
          </reference>
        </references>
      </pivotArea>
    </format>
    <format dxfId="1643">
      <pivotArea dataOnly="0" labelOnly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0"/>
          </reference>
          <reference field="8" count="1" selected="0">
            <x v="191"/>
          </reference>
          <reference field="25" count="1" selected="0">
            <x v="0"/>
          </reference>
        </references>
      </pivotArea>
    </format>
    <format dxfId="1642">
      <pivotArea dataOnly="0" labelOnly="1" fieldPosition="0">
        <references count="2">
          <reference field="0" count="1">
            <x v="25"/>
          </reference>
          <reference field="8" count="1" selected="0">
            <x v="191"/>
          </reference>
        </references>
      </pivotArea>
    </format>
    <format dxfId="1641">
      <pivotArea dataOnly="0" labelOnly="1" fieldPosition="0">
        <references count="3">
          <reference field="0" count="1" selected="0">
            <x v="25"/>
          </reference>
          <reference field="1" count="1">
            <x v="5"/>
          </reference>
          <reference field="8" count="1" selected="0">
            <x v="191"/>
          </reference>
        </references>
      </pivotArea>
    </format>
    <format dxfId="1640">
      <pivotArea dataOnly="0" labelOnly="1" offset="IV256" fieldPosition="0">
        <references count="4">
          <reference field="0" count="1" selected="0">
            <x v="25"/>
          </reference>
          <reference field="1" count="1" selected="0">
            <x v="5"/>
          </reference>
          <reference field="8" count="1" selected="0">
            <x v="190"/>
          </reference>
          <reference field="25" count="1">
            <x v="0"/>
          </reference>
        </references>
      </pivotArea>
    </format>
    <format dxfId="1639">
      <pivotArea dataOnly="0" labelOnly="1" fieldPosition="0">
        <references count="2">
          <reference field="0" count="1">
            <x v="30"/>
          </reference>
          <reference field="8" count="1" selected="0">
            <x v="163"/>
          </reference>
        </references>
      </pivotArea>
    </format>
    <format dxfId="1638">
      <pivotArea dataOnly="0" labelOnly="1" fieldPosition="0">
        <references count="3">
          <reference field="0" count="1" selected="0">
            <x v="30"/>
          </reference>
          <reference field="1" count="1">
            <x v="10"/>
          </reference>
          <reference field="8" count="1" selected="0">
            <x v="163"/>
          </reference>
        </references>
      </pivotArea>
    </format>
    <format dxfId="1637">
      <pivotArea dataOnly="0" labelOnly="1" offset="IV256" fieldPosition="0">
        <references count="4">
          <reference field="0" count="1" selected="0">
            <x v="25"/>
          </reference>
          <reference field="1" count="1" selected="0">
            <x v="5"/>
          </reference>
          <reference field="8" count="1" selected="0">
            <x v="163"/>
          </reference>
          <reference field="25" count="1">
            <x v="0"/>
          </reference>
        </references>
      </pivotArea>
    </format>
    <format dxfId="1636">
      <pivotArea dataOnly="0" labelOnly="1" fieldPosition="0">
        <references count="5">
          <reference field="0" count="1" selected="0">
            <x v="30"/>
          </reference>
          <reference field="1" count="1" selected="0">
            <x v="10"/>
          </reference>
          <reference field="3" count="1">
            <x v="0"/>
          </reference>
          <reference field="8" count="1" selected="0">
            <x v="163"/>
          </reference>
          <reference field="25" count="1" selected="0">
            <x v="0"/>
          </reference>
        </references>
      </pivotArea>
    </format>
    <format dxfId="1635">
      <pivotArea dataOnly="0" labelOnly="1" fieldPosition="0">
        <references count="2">
          <reference field="0" count="1">
            <x v="47"/>
          </reference>
          <reference field="8" count="1" selected="0">
            <x v="162"/>
          </reference>
        </references>
      </pivotArea>
    </format>
    <format dxfId="1634">
      <pivotArea dataOnly="0" labelOnly="1" fieldPosition="0">
        <references count="3">
          <reference field="0" count="1" selected="0">
            <x v="47"/>
          </reference>
          <reference field="1" count="1">
            <x v="44"/>
          </reference>
          <reference field="8" count="1" selected="0">
            <x v="162"/>
          </reference>
        </references>
      </pivotArea>
    </format>
    <format dxfId="1633">
      <pivotArea dataOnly="0" labelOnly="1" fieldPosition="0">
        <references count="4">
          <reference field="0" count="1" selected="0">
            <x v="47"/>
          </reference>
          <reference field="1" count="1" selected="0">
            <x v="44"/>
          </reference>
          <reference field="8" count="1" selected="0">
            <x v="162"/>
          </reference>
          <reference field="25" count="1">
            <x v="0"/>
          </reference>
        </references>
      </pivotArea>
    </format>
    <format dxfId="1632">
      <pivotArea dataOnly="0" labelOnly="1" fieldPosition="0">
        <references count="5">
          <reference field="0" count="1" selected="0">
            <x v="47"/>
          </reference>
          <reference field="1" count="1" selected="0">
            <x v="44"/>
          </reference>
          <reference field="3" count="1">
            <x v="0"/>
          </reference>
          <reference field="8" count="1" selected="0">
            <x v="162"/>
          </reference>
          <reference field="25" count="1" selected="0">
            <x v="0"/>
          </reference>
        </references>
      </pivotArea>
    </format>
    <format dxfId="1631">
      <pivotArea dataOnly="0" labelOnly="1" offset="IV256" fieldPosition="0">
        <references count="4">
          <reference field="0" count="1" selected="0">
            <x v="25"/>
          </reference>
          <reference field="1" count="1" selected="0">
            <x v="5"/>
          </reference>
          <reference field="8" count="1" selected="0">
            <x v="135"/>
          </reference>
          <reference field="25" count="1">
            <x v="0"/>
          </reference>
        </references>
      </pivotArea>
    </format>
    <format dxfId="1630">
      <pivotArea dataOnly="0" labelOnly="1" fieldPosition="0">
        <references count="2">
          <reference field="0" count="1">
            <x v="24"/>
          </reference>
          <reference field="8" count="1" selected="0">
            <x v="123"/>
          </reference>
        </references>
      </pivotArea>
    </format>
    <format dxfId="1629">
      <pivotArea dataOnly="0" labelOnly="1" fieldPosition="0">
        <references count="3">
          <reference field="0" count="1" selected="0">
            <x v="24"/>
          </reference>
          <reference field="1" count="1">
            <x v="46"/>
          </reference>
          <reference field="8" count="1" selected="0">
            <x v="123"/>
          </reference>
        </references>
      </pivotArea>
    </format>
    <format dxfId="1628">
      <pivotArea dataOnly="0" labelOnly="1" offset="IV1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123"/>
          </reference>
          <reference field="25" count="1">
            <x v="0"/>
          </reference>
        </references>
      </pivotArea>
    </format>
    <format dxfId="1627">
      <pivotArea dataOnly="0" labelOnly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0"/>
          </reference>
          <reference field="8" count="1" selected="0">
            <x v="123"/>
          </reference>
          <reference field="25" count="1" selected="0">
            <x v="0"/>
          </reference>
        </references>
      </pivotArea>
    </format>
    <format dxfId="1626">
      <pivotArea dataOnly="0" labelOnly="1" offset="IV256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123"/>
          </reference>
          <reference field="25" count="1">
            <x v="0"/>
          </reference>
        </references>
      </pivotArea>
    </format>
    <format dxfId="1625">
      <pivotArea dataOnly="0" labelOnly="1" fieldPosition="0">
        <references count="5">
          <reference field="0" count="1" selected="0">
            <x v="31"/>
          </reference>
          <reference field="1" count="1" selected="0">
            <x v="21"/>
          </reference>
          <reference field="3" count="1">
            <x v="5"/>
          </reference>
          <reference field="8" count="1" selected="0">
            <x v="123"/>
          </reference>
          <reference field="25" count="1" selected="0">
            <x v="0"/>
          </reference>
        </references>
      </pivotArea>
    </format>
    <format dxfId="1624">
      <pivotArea dataOnly="0" labelOnly="1" fieldPosition="0">
        <references count="2">
          <reference field="0" count="1">
            <x v="31"/>
          </reference>
          <reference field="8" count="0" selected="0"/>
        </references>
      </pivotArea>
    </format>
    <format dxfId="1623">
      <pivotArea dataOnly="0" labelOnly="1" fieldPosition="0">
        <references count="3">
          <reference field="0" count="1" selected="0">
            <x v="31"/>
          </reference>
          <reference field="1" count="1">
            <x v="21"/>
          </reference>
          <reference field="8" count="0" selected="0"/>
        </references>
      </pivotArea>
    </format>
    <format dxfId="1622">
      <pivotArea dataOnly="0" labelOnly="1" fieldPosition="0">
        <references count="2">
          <reference field="0" count="1">
            <x v="31"/>
          </reference>
          <reference field="8" count="0" selected="0"/>
        </references>
      </pivotArea>
    </format>
    <format dxfId="1621">
      <pivotArea dataOnly="0" labelOnly="1" fieldPosition="0">
        <references count="3">
          <reference field="0" count="1" selected="0">
            <x v="31"/>
          </reference>
          <reference field="1" count="1">
            <x v="21"/>
          </reference>
          <reference field="8" count="0" selected="0"/>
        </references>
      </pivotArea>
    </format>
    <format dxfId="1620">
      <pivotArea dataOnly="0" labelOnly="1" offset="B256:D256" fieldPosition="0">
        <references count="1">
          <reference field="8" count="1" sumSubtotal="1">
            <x v="208"/>
          </reference>
        </references>
      </pivotArea>
    </format>
    <format dxfId="1619">
      <pivotArea dataOnly="0" labelOnly="1" fieldPosition="0">
        <references count="2">
          <reference field="0" count="5">
            <x v="10"/>
            <x v="11"/>
            <x v="13"/>
            <x v="25"/>
            <x v="31"/>
          </reference>
          <reference field="8" count="1" selected="0">
            <x v="213"/>
          </reference>
        </references>
      </pivotArea>
    </format>
    <format dxfId="1618">
      <pivotArea dataOnly="0" labelOnly="1" fieldPosition="0">
        <references count="3">
          <reference field="0" count="1" selected="0">
            <x v="10"/>
          </reference>
          <reference field="1" count="1">
            <x v="9"/>
          </reference>
          <reference field="8" count="1" selected="0">
            <x v="213"/>
          </reference>
        </references>
      </pivotArea>
    </format>
    <format dxfId="1617">
      <pivotArea dataOnly="0" labelOnly="1" fieldPosition="0">
        <references count="3">
          <reference field="0" count="1" selected="0">
            <x v="11"/>
          </reference>
          <reference field="1" count="1">
            <x v="3"/>
          </reference>
          <reference field="8" count="1" selected="0">
            <x v="213"/>
          </reference>
        </references>
      </pivotArea>
    </format>
    <format dxfId="1616">
      <pivotArea dataOnly="0" labelOnly="1" fieldPosition="0">
        <references count="3">
          <reference field="0" count="1" selected="0">
            <x v="13"/>
          </reference>
          <reference field="1" count="1">
            <x v="45"/>
          </reference>
          <reference field="8" count="1" selected="0">
            <x v="213"/>
          </reference>
        </references>
      </pivotArea>
    </format>
    <format dxfId="1615">
      <pivotArea dataOnly="0" labelOnly="1" fieldPosition="0">
        <references count="3">
          <reference field="0" count="1" selected="0">
            <x v="25"/>
          </reference>
          <reference field="1" count="1">
            <x v="5"/>
          </reference>
          <reference field="8" count="1" selected="0">
            <x v="213"/>
          </reference>
        </references>
      </pivotArea>
    </format>
    <format dxfId="1614">
      <pivotArea dataOnly="0" labelOnly="1" fieldPosition="0">
        <references count="4">
          <reference field="0" count="1" selected="0">
            <x v="10"/>
          </reference>
          <reference field="1" count="1" selected="0">
            <x v="9"/>
          </reference>
          <reference field="8" count="1" selected="0">
            <x v="213"/>
          </reference>
          <reference field="25" count="1">
            <x v="5"/>
          </reference>
        </references>
      </pivotArea>
    </format>
    <format dxfId="1613">
      <pivotArea dataOnly="0" labelOnly="1" fieldPosition="0">
        <references count="4">
          <reference field="0" count="1" selected="0">
            <x v="25"/>
          </reference>
          <reference field="1" count="1" selected="0">
            <x v="5"/>
          </reference>
          <reference field="8" count="1" selected="0">
            <x v="213"/>
          </reference>
          <reference field="25" count="1">
            <x v="0"/>
          </reference>
        </references>
      </pivotArea>
    </format>
    <format dxfId="1612">
      <pivotArea collapsedLevelsAreSubtotals="1" fieldPosition="0">
        <references count="6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9"/>
          </reference>
          <reference field="3" count="1">
            <x v="5"/>
          </reference>
          <reference field="8" count="1" selected="0">
            <x v="208"/>
          </reference>
          <reference field="25" count="1" selected="0">
            <x v="5"/>
          </reference>
        </references>
      </pivotArea>
    </format>
    <format dxfId="1611">
      <pivotArea collapsedLevelsAreSubtotals="1" fieldPosition="0">
        <references count="6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3"/>
          </reference>
          <reference field="3" count="1">
            <x v="5"/>
          </reference>
          <reference field="8" count="1" selected="0">
            <x v="208"/>
          </reference>
          <reference field="25" count="1" selected="0">
            <x v="5"/>
          </reference>
        </references>
      </pivotArea>
    </format>
    <format dxfId="1610">
      <pivotArea collapsedLevelsAreSubtotals="1" fieldPosition="0">
        <references count="6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45"/>
          </reference>
          <reference field="3" count="1">
            <x v="5"/>
          </reference>
          <reference field="8" count="1" selected="0">
            <x v="208"/>
          </reference>
          <reference field="25" count="1" selected="0">
            <x v="5"/>
          </reference>
        </references>
      </pivotArea>
    </format>
    <format dxfId="1609">
      <pivotArea collapsedLevelsAreSubtotals="1" fieldPosition="0">
        <references count="6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5"/>
          </reference>
          <reference field="3" count="1">
            <x v="5"/>
          </reference>
          <reference field="8" count="1" selected="0">
            <x v="208"/>
          </reference>
          <reference field="25" count="1" selected="0">
            <x v="0"/>
          </reference>
        </references>
      </pivotArea>
    </format>
    <format dxfId="1608">
      <pivotArea collapsedLevelsAreSubtotals="1" fieldPosition="0">
        <references count="6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1"/>
          </reference>
          <reference field="3" count="1">
            <x v="0"/>
          </reference>
          <reference field="8" count="1" selected="0">
            <x v="208"/>
          </reference>
          <reference field="25" count="1" selected="0">
            <x v="0"/>
          </reference>
        </references>
      </pivotArea>
    </format>
    <format dxfId="1607">
      <pivotArea collapsedLevelsAreSubtotals="1" fieldPosition="0">
        <references count="6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9"/>
          </reference>
          <reference field="3" count="1">
            <x v="5"/>
          </reference>
          <reference field="8" count="1" selected="0">
            <x v="213"/>
          </reference>
          <reference field="25" count="1" selected="0">
            <x v="5"/>
          </reference>
        </references>
      </pivotArea>
    </format>
    <format dxfId="1606">
      <pivotArea collapsedLevelsAreSubtotals="1" fieldPosition="0">
        <references count="6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3"/>
          </reference>
          <reference field="3" count="1">
            <x v="5"/>
          </reference>
          <reference field="8" count="1" selected="0">
            <x v="213"/>
          </reference>
          <reference field="25" count="1" selected="0">
            <x v="5"/>
          </reference>
        </references>
      </pivotArea>
    </format>
    <format dxfId="1605">
      <pivotArea collapsedLevelsAreSubtotals="1" fieldPosition="0">
        <references count="6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45"/>
          </reference>
          <reference field="3" count="1">
            <x v="5"/>
          </reference>
          <reference field="8" count="1" selected="0">
            <x v="213"/>
          </reference>
          <reference field="25" count="1" selected="0">
            <x v="5"/>
          </reference>
        </references>
      </pivotArea>
    </format>
    <format dxfId="1604">
      <pivotArea collapsedLevelsAreSubtotals="1" fieldPosition="0">
        <references count="6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5"/>
          </reference>
          <reference field="3" count="1">
            <x v="5"/>
          </reference>
          <reference field="8" count="1" selected="0">
            <x v="213"/>
          </reference>
          <reference field="25" count="1" selected="0">
            <x v="0"/>
          </reference>
        </references>
      </pivotArea>
    </format>
    <format dxfId="1603">
      <pivotArea collapsedLevelsAreSubtotals="1" fieldPosition="0">
        <references count="6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1"/>
          </reference>
          <reference field="3" count="1">
            <x v="0"/>
          </reference>
          <reference field="8" count="1" selected="0">
            <x v="213"/>
          </reference>
          <reference field="25" count="1" selected="0">
            <x v="0"/>
          </reference>
        </references>
      </pivotArea>
    </format>
    <format dxfId="1602">
      <pivotArea collapsedLevelsAreSubtotals="1" fieldPosition="0">
        <references count="6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9"/>
          </reference>
          <reference field="3" count="1">
            <x v="5"/>
          </reference>
          <reference field="8" count="1" selected="0">
            <x v="231"/>
          </reference>
          <reference field="25" count="1" selected="0">
            <x v="5"/>
          </reference>
        </references>
      </pivotArea>
    </format>
    <format dxfId="1601">
      <pivotArea collapsedLevelsAreSubtotals="1" fieldPosition="0">
        <references count="6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3"/>
          </reference>
          <reference field="3" count="1">
            <x v="5"/>
          </reference>
          <reference field="8" count="1" selected="0">
            <x v="231"/>
          </reference>
          <reference field="25" count="1" selected="0">
            <x v="5"/>
          </reference>
        </references>
      </pivotArea>
    </format>
    <format dxfId="1600">
      <pivotArea collapsedLevelsAreSubtotals="1" fieldPosition="0">
        <references count="6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45"/>
          </reference>
          <reference field="3" count="1">
            <x v="5"/>
          </reference>
          <reference field="8" count="1" selected="0">
            <x v="231"/>
          </reference>
          <reference field="25" count="1" selected="0">
            <x v="5"/>
          </reference>
        </references>
      </pivotArea>
    </format>
    <format dxfId="1599">
      <pivotArea collapsedLevelsAreSubtotals="1" fieldPosition="0">
        <references count="6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46"/>
          </reference>
          <reference field="3" count="1">
            <x v="0"/>
          </reference>
          <reference field="8" count="1" selected="0">
            <x v="231"/>
          </reference>
          <reference field="25" count="1" selected="0">
            <x v="0"/>
          </reference>
        </references>
      </pivotArea>
    </format>
    <format dxfId="1598">
      <pivotArea collapsedLevelsAreSubtotals="1" fieldPosition="0">
        <references count="6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5"/>
          </reference>
          <reference field="3" count="1">
            <x v="5"/>
          </reference>
          <reference field="8" count="1" selected="0">
            <x v="231"/>
          </reference>
          <reference field="25" count="1" selected="0">
            <x v="0"/>
          </reference>
        </references>
      </pivotArea>
    </format>
    <format dxfId="1597">
      <pivotArea dataOnly="0" labelOnly="1" fieldPosition="0">
        <references count="2">
          <reference field="0" count="1">
            <x v="31"/>
          </reference>
          <reference field="8" count="1" selected="0">
            <x v="208"/>
          </reference>
        </references>
      </pivotArea>
    </format>
    <format dxfId="1596">
      <pivotArea dataOnly="0" labelOnly="1" fieldPosition="0">
        <references count="3">
          <reference field="0" count="1" selected="0">
            <x v="31"/>
          </reference>
          <reference field="1" count="1">
            <x v="21"/>
          </reference>
          <reference field="8" count="1" selected="0">
            <x v="208"/>
          </reference>
        </references>
      </pivotArea>
    </format>
    <format dxfId="1595">
      <pivotArea dataOnly="0" labelOnly="1" fieldPosition="0">
        <references count="2">
          <reference field="0" count="1">
            <x v="31"/>
          </reference>
          <reference field="8" count="1" selected="0">
            <x v="213"/>
          </reference>
        </references>
      </pivotArea>
    </format>
    <format dxfId="1594">
      <pivotArea dataOnly="0" labelOnly="1" fieldPosition="0">
        <references count="3">
          <reference field="0" count="1" selected="0">
            <x v="31"/>
          </reference>
          <reference field="1" count="1">
            <x v="21"/>
          </reference>
          <reference field="8" count="1" selected="0">
            <x v="213"/>
          </reference>
        </references>
      </pivotArea>
    </format>
    <format dxfId="1593">
      <pivotArea dataOnly="0" labelOnly="1" fieldPosition="0">
        <references count="2">
          <reference field="0" count="1">
            <x v="24"/>
          </reference>
          <reference field="8" count="1" selected="0">
            <x v="231"/>
          </reference>
        </references>
      </pivotArea>
    </format>
    <format dxfId="1592">
      <pivotArea dataOnly="0" labelOnly="1" fieldPosition="0">
        <references count="3">
          <reference field="0" count="1" selected="0">
            <x v="24"/>
          </reference>
          <reference field="1" count="1">
            <x v="46"/>
          </reference>
          <reference field="8" count="1" selected="0">
            <x v="231"/>
          </reference>
        </references>
      </pivotArea>
    </format>
    <format dxfId="1591">
      <pivotArea dataOnly="0" labelOnly="1" fieldPosition="0">
        <references count="2">
          <reference field="0" count="1">
            <x v="25"/>
          </reference>
          <reference field="8" count="1" selected="0">
            <x v="231"/>
          </reference>
        </references>
      </pivotArea>
    </format>
    <format dxfId="1590">
      <pivotArea dataOnly="0" labelOnly="1" fieldPosition="0">
        <references count="3">
          <reference field="0" count="1" selected="0">
            <x v="25"/>
          </reference>
          <reference field="1" count="1">
            <x v="5"/>
          </reference>
          <reference field="8" count="1" selected="0">
            <x v="231"/>
          </reference>
        </references>
      </pivotArea>
    </format>
    <format dxfId="1589">
      <pivotArea dataOnly="0" labelOnly="1" offset="IV1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231"/>
          </reference>
          <reference field="25" count="1">
            <x v="0"/>
          </reference>
        </references>
      </pivotArea>
    </format>
    <format dxfId="1588">
      <pivotArea dataOnly="0" labelOnly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0"/>
          </reference>
          <reference field="8" count="1" selected="0">
            <x v="231"/>
          </reference>
          <reference field="25" count="1" selected="0">
            <x v="0"/>
          </reference>
        </references>
      </pivotArea>
    </format>
    <format dxfId="1587">
      <pivotArea dataOnly="0" labelOnly="1" fieldPosition="0">
        <references count="5">
          <reference field="0" count="1" selected="0">
            <x v="31"/>
          </reference>
          <reference field="1" count="1" selected="0">
            <x v="21"/>
          </reference>
          <reference field="3" count="1">
            <x v="0"/>
          </reference>
          <reference field="8" count="1" selected="0">
            <x v="213"/>
          </reference>
          <reference field="25" count="1" selected="0">
            <x v="0"/>
          </reference>
        </references>
      </pivotArea>
    </format>
    <format dxfId="1586">
      <pivotArea dataOnly="0" labelOnly="1" fieldPosition="0">
        <references count="5">
          <reference field="0" count="1" selected="0">
            <x v="31"/>
          </reference>
          <reference field="1" count="1" selected="0">
            <x v="21"/>
          </reference>
          <reference field="3" count="1">
            <x v="0"/>
          </reference>
          <reference field="8" count="1" selected="0">
            <x v="208"/>
          </reference>
          <reference field="25" count="1" selected="0">
            <x v="0"/>
          </reference>
        </references>
      </pivotArea>
    </format>
    <format dxfId="1585">
      <pivotArea dataOnly="0" labelOnly="1" fieldPosition="0">
        <references count="2">
          <reference field="0" count="1">
            <x v="31"/>
          </reference>
          <reference field="8" count="1" selected="0">
            <x v="239"/>
          </reference>
        </references>
      </pivotArea>
    </format>
    <format dxfId="1584">
      <pivotArea dataOnly="0" labelOnly="1" fieldPosition="0">
        <references count="3">
          <reference field="0" count="1" selected="0">
            <x v="31"/>
          </reference>
          <reference field="1" count="1">
            <x v="21"/>
          </reference>
          <reference field="8" count="1" selected="0">
            <x v="239"/>
          </reference>
        </references>
      </pivotArea>
    </format>
    <format dxfId="1583">
      <pivotArea dataOnly="0" labelOnly="1" offset="IV256" fieldPosition="0">
        <references count="4">
          <reference field="0" count="1" selected="0">
            <x v="25"/>
          </reference>
          <reference field="1" count="1" selected="0">
            <x v="5"/>
          </reference>
          <reference field="8" count="1" selected="0">
            <x v="213"/>
          </reference>
          <reference field="25" count="1">
            <x v="0"/>
          </reference>
        </references>
      </pivotArea>
    </format>
    <format dxfId="1582">
      <pivotArea dataOnly="0" labelOnly="1" offset="IV256" fieldPosition="0">
        <references count="4">
          <reference field="0" count="1" selected="0">
            <x v="25"/>
          </reference>
          <reference field="1" count="1" selected="0">
            <x v="5"/>
          </reference>
          <reference field="8" count="1" selected="0">
            <x v="208"/>
          </reference>
          <reference field="25" count="1">
            <x v="0"/>
          </reference>
        </references>
      </pivotArea>
    </format>
    <format dxfId="1581">
      <pivotArea dataOnly="0" labelOnly="1" offset="IV1" fieldPosition="0">
        <references count="4">
          <reference field="0" count="1" selected="0">
            <x v="25"/>
          </reference>
          <reference field="1" count="1" selected="0">
            <x v="5"/>
          </reference>
          <reference field="8" count="1" selected="0">
            <x v="208"/>
          </reference>
          <reference field="25" count="1">
            <x v="0"/>
          </reference>
        </references>
      </pivotArea>
    </format>
    <format dxfId="1580">
      <pivotArea dataOnly="0" labelOnly="1" offset="IV1" fieldPosition="0">
        <references count="4">
          <reference field="0" count="1" selected="0">
            <x v="25"/>
          </reference>
          <reference field="1" count="1" selected="0">
            <x v="5"/>
          </reference>
          <reference field="8" count="1" selected="0">
            <x v="213"/>
          </reference>
          <reference field="25" count="1">
            <x v="0"/>
          </reference>
        </references>
      </pivotArea>
    </format>
    <format dxfId="1579">
      <pivotArea dataOnly="0" labelOnly="1" offset="IV256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239"/>
          </reference>
          <reference field="25" count="1">
            <x v="0"/>
          </reference>
        </references>
      </pivotArea>
    </format>
    <format dxfId="1578">
      <pivotArea dataOnly="0" labelOnly="1" fieldPosition="0">
        <references count="5">
          <reference field="0" count="1" selected="0">
            <x v="31"/>
          </reference>
          <reference field="1" count="1" selected="0">
            <x v="21"/>
          </reference>
          <reference field="3" count="1">
            <x v="0"/>
          </reference>
          <reference field="8" count="1" selected="0">
            <x v="239"/>
          </reference>
          <reference field="25" count="1" selected="0">
            <x v="0"/>
          </reference>
        </references>
      </pivotArea>
    </format>
    <format dxfId="1577">
      <pivotArea dataOnly="0" labelOnly="1" offset="IV256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262"/>
          </reference>
          <reference field="25" count="1">
            <x v="0"/>
          </reference>
        </references>
      </pivotArea>
    </format>
    <format dxfId="1576">
      <pivotArea dataOnly="0" labelOnly="1" fieldPosition="0">
        <references count="5">
          <reference field="0" count="1" selected="0">
            <x v="31"/>
          </reference>
          <reference field="1" count="1" selected="0">
            <x v="21"/>
          </reference>
          <reference field="3" count="1">
            <x v="0"/>
          </reference>
          <reference field="8" count="1" selected="0">
            <x v="262"/>
          </reference>
          <reference field="25" count="1" selected="0">
            <x v="0"/>
          </reference>
        </references>
      </pivotArea>
    </format>
    <format dxfId="1575">
      <pivotArea dataOnly="0" labelOnly="1" offset="IV256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239"/>
          </reference>
          <reference field="25" count="1">
            <x v="0"/>
          </reference>
        </references>
      </pivotArea>
    </format>
    <format dxfId="1574">
      <pivotArea dataOnly="0" labelOnly="1" offset="IV1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239"/>
          </reference>
          <reference field="25" count="1">
            <x v="0"/>
          </reference>
        </references>
      </pivotArea>
    </format>
    <format dxfId="1573">
      <pivotArea dataOnly="0" labelOnly="1" fieldPosition="0">
        <references count="2">
          <reference field="0" count="1">
            <x v="31"/>
          </reference>
          <reference field="8" count="1" selected="0">
            <x v="262"/>
          </reference>
        </references>
      </pivotArea>
    </format>
    <format dxfId="1572">
      <pivotArea dataOnly="0" labelOnly="1" fieldPosition="0">
        <references count="3">
          <reference field="0" count="1" selected="0">
            <x v="31"/>
          </reference>
          <reference field="1" count="1">
            <x v="21"/>
          </reference>
          <reference field="8" count="1" selected="0">
            <x v="262"/>
          </reference>
        </references>
      </pivotArea>
    </format>
    <format dxfId="1571">
      <pivotArea dataOnly="0" labelOnly="1" fieldPosition="0">
        <references count="2">
          <reference field="0" count="1">
            <x v="31"/>
          </reference>
          <reference field="8" count="1" selected="0">
            <x v="239"/>
          </reference>
        </references>
      </pivotArea>
    </format>
    <format dxfId="1570">
      <pivotArea dataOnly="0" labelOnly="1" fieldPosition="0">
        <references count="3">
          <reference field="0" count="1" selected="0">
            <x v="31"/>
          </reference>
          <reference field="1" count="1">
            <x v="21"/>
          </reference>
          <reference field="8" count="1" selected="0">
            <x v="239"/>
          </reference>
        </references>
      </pivotArea>
    </format>
    <format dxfId="1569">
      <pivotArea dataOnly="0" labelOnly="1" fieldPosition="0">
        <references count="2">
          <reference field="0" count="1">
            <x v="24"/>
          </reference>
          <reference field="8" count="1" selected="0">
            <x v="231"/>
          </reference>
        </references>
      </pivotArea>
    </format>
    <format dxfId="1568">
      <pivotArea dataOnly="0" labelOnly="1" fieldPosition="0">
        <references count="3">
          <reference field="0" count="1" selected="0">
            <x v="24"/>
          </reference>
          <reference field="1" count="1">
            <x v="46"/>
          </reference>
          <reference field="8" count="1" selected="0">
            <x v="231"/>
          </reference>
        </references>
      </pivotArea>
    </format>
    <format dxfId="1567">
      <pivotArea dataOnly="0" labelOnly="1" offset="IV1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231"/>
          </reference>
          <reference field="25" count="1">
            <x v="0"/>
          </reference>
        </references>
      </pivotArea>
    </format>
    <format dxfId="1566">
      <pivotArea dataOnly="0" labelOnly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0"/>
          </reference>
          <reference field="8" count="1" selected="0">
            <x v="231"/>
          </reference>
          <reference field="25" count="1" selected="0">
            <x v="0"/>
          </reference>
        </references>
      </pivotArea>
    </format>
    <format dxfId="1565">
      <pivotArea dataOnly="0" labelOnly="1" offset="IV1" fieldPosition="0">
        <references count="2">
          <reference field="0" count="1">
            <x v="46"/>
          </reference>
          <reference field="8" count="1" selected="0">
            <x v="323"/>
          </reference>
        </references>
      </pivotArea>
    </format>
    <format dxfId="1564">
      <pivotArea dataOnly="0" labelOnly="1" offset="IV1" fieldPosition="0">
        <references count="3">
          <reference field="0" count="1" selected="0">
            <x v="46"/>
          </reference>
          <reference field="1" count="1">
            <x v="43"/>
          </reference>
          <reference field="8" count="1" selected="0">
            <x v="323"/>
          </reference>
        </references>
      </pivotArea>
    </format>
    <format dxfId="1563">
      <pivotArea collapsedLevelsAreSubtotals="1" fieldPosition="0">
        <references count="6">
          <reference field="4294967294" count="1" selected="0">
            <x v="1"/>
          </reference>
          <reference field="0" count="1" selected="0">
            <x v="46"/>
          </reference>
          <reference field="1" count="1" selected="0">
            <x v="43"/>
          </reference>
          <reference field="3" count="2">
            <x v="0"/>
            <x v="5"/>
          </reference>
          <reference field="8" count="1" selected="0">
            <x v="323"/>
          </reference>
          <reference field="25" count="1" selected="0">
            <x v="0"/>
          </reference>
        </references>
      </pivotArea>
    </format>
    <format dxfId="1562">
      <pivotArea dataOnly="0" labelOnly="1" fieldPosition="0">
        <references count="2">
          <reference field="0" count="1">
            <x v="31"/>
          </reference>
          <reference field="8" count="1" selected="0">
            <x v="350"/>
          </reference>
        </references>
      </pivotArea>
    </format>
    <format dxfId="1561">
      <pivotArea dataOnly="0" labelOnly="1" fieldPosition="0">
        <references count="3">
          <reference field="0" count="1" selected="0">
            <x v="31"/>
          </reference>
          <reference field="1" count="1">
            <x v="21"/>
          </reference>
          <reference field="8" count="1" selected="0">
            <x v="350"/>
          </reference>
        </references>
      </pivotArea>
    </format>
    <format dxfId="1560">
      <pivotArea dataOnly="0" fieldPosition="0">
        <references count="3">
          <reference field="1" count="1" selected="0">
            <x v="21"/>
          </reference>
          <reference field="3" count="1">
            <x v="0"/>
          </reference>
          <reference field="25" count="1" selected="0">
            <x v="0"/>
          </reference>
        </references>
      </pivotArea>
    </format>
    <format dxfId="1559">
      <pivotArea dataOnly="0" labelOnly="1" offset="IV256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350"/>
          </reference>
          <reference field="25" count="1">
            <x v="0"/>
          </reference>
        </references>
      </pivotArea>
    </format>
    <format dxfId="1558">
      <pivotArea collapsedLevelsAreSubtotals="1" fieldPosition="0">
        <references count="5">
          <reference field="0" count="1" selected="0">
            <x v="13"/>
          </reference>
          <reference field="1" count="1" selected="0">
            <x v="45"/>
          </reference>
          <reference field="3" count="1">
            <x v="5"/>
          </reference>
          <reference field="8" count="1" selected="0">
            <x v="364"/>
          </reference>
          <reference field="25" count="1" selected="0">
            <x v="5"/>
          </reference>
        </references>
      </pivotArea>
    </format>
    <format dxfId="1557">
      <pivotArea dataOnly="0" labelOnly="1" offset="IV3:IV256" fieldPosition="0">
        <references count="1">
          <reference field="8" count="1">
            <x v="364"/>
          </reference>
        </references>
      </pivotArea>
    </format>
    <format dxfId="1556">
      <pivotArea dataOnly="0" labelOnly="1" fieldPosition="0">
        <references count="2">
          <reference field="0" count="3">
            <x v="13"/>
            <x v="24"/>
            <x v="25"/>
          </reference>
          <reference field="8" count="1" selected="0">
            <x v="364"/>
          </reference>
        </references>
      </pivotArea>
    </format>
    <format dxfId="1555">
      <pivotArea dataOnly="0" labelOnly="1" fieldPosition="0">
        <references count="3">
          <reference field="0" count="1" selected="0">
            <x v="13"/>
          </reference>
          <reference field="1" count="1">
            <x v="45"/>
          </reference>
          <reference field="8" count="1" selected="0">
            <x v="364"/>
          </reference>
        </references>
      </pivotArea>
    </format>
    <format dxfId="1554">
      <pivotArea dataOnly="0" labelOnly="1" offset="IV256" fieldPosition="0">
        <references count="4">
          <reference field="0" count="1" selected="0">
            <x v="10"/>
          </reference>
          <reference field="1" count="1" selected="0">
            <x v="9"/>
          </reference>
          <reference field="8" count="1" selected="0">
            <x v="364"/>
          </reference>
          <reference field="25" count="1">
            <x v="5"/>
          </reference>
        </references>
      </pivotArea>
    </format>
    <format dxfId="1553">
      <pivotArea dataOnly="0" labelOnly="1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364"/>
          </reference>
          <reference field="25" count="1">
            <x v="0"/>
          </reference>
        </references>
      </pivotArea>
    </format>
    <format dxfId="1552">
      <pivotArea dataOnly="0" labelOnly="1" fieldPosition="0">
        <references count="5">
          <reference field="0" count="1" selected="0">
            <x v="13"/>
          </reference>
          <reference field="1" count="1" selected="0">
            <x v="45"/>
          </reference>
          <reference field="3" count="1">
            <x v="5"/>
          </reference>
          <reference field="8" count="1" selected="0">
            <x v="364"/>
          </reference>
          <reference field="25" count="1" selected="0">
            <x v="5"/>
          </reference>
        </references>
      </pivotArea>
    </format>
    <format dxfId="1551">
      <pivotArea dataOnly="0" labelOnly="1" offset="IV1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350"/>
          </reference>
          <reference field="25" count="1">
            <x v="0"/>
          </reference>
        </references>
      </pivotArea>
    </format>
    <format dxfId="1550">
      <pivotArea collapsedLevelsAreSubtotals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0"/>
          </reference>
          <reference field="8" count="1" selected="0">
            <x v="364"/>
          </reference>
          <reference field="25" count="1" selected="0">
            <x v="0"/>
          </reference>
        </references>
      </pivotArea>
    </format>
    <format dxfId="1549">
      <pivotArea dataOnly="0" labelOnly="1" fieldPosition="0">
        <references count="2">
          <reference field="0" count="1">
            <x v="24"/>
          </reference>
          <reference field="8" count="1" selected="0">
            <x v="364"/>
          </reference>
        </references>
      </pivotArea>
    </format>
    <format dxfId="1548">
      <pivotArea dataOnly="0" labelOnly="1" fieldPosition="0">
        <references count="3">
          <reference field="0" count="1" selected="0">
            <x v="24"/>
          </reference>
          <reference field="1" count="1">
            <x v="46"/>
          </reference>
          <reference field="8" count="1" selected="0">
            <x v="364"/>
          </reference>
        </references>
      </pivotArea>
    </format>
    <format dxfId="1547">
      <pivotArea dataOnly="0" labelOnly="1" offset="IV1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364"/>
          </reference>
          <reference field="25" count="1">
            <x v="0"/>
          </reference>
        </references>
      </pivotArea>
    </format>
    <format dxfId="1546">
      <pivotArea dataOnly="0" labelOnly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0"/>
          </reference>
          <reference field="8" count="1" selected="0">
            <x v="364"/>
          </reference>
          <reference field="25" count="1" selected="0">
            <x v="0"/>
          </reference>
        </references>
      </pivotArea>
    </format>
    <format dxfId="1545">
      <pivotArea collapsedLevelsAreSubtotals="1" fieldPosition="0">
        <references count="5">
          <reference field="0" count="1" selected="0">
            <x v="25"/>
          </reference>
          <reference field="1" count="1" selected="0">
            <x v="5"/>
          </reference>
          <reference field="3" count="1">
            <x v="5"/>
          </reference>
          <reference field="8" count="1" selected="0">
            <x v="364"/>
          </reference>
          <reference field="25" count="1" selected="0">
            <x v="0"/>
          </reference>
        </references>
      </pivotArea>
    </format>
    <format dxfId="1544">
      <pivotArea dataOnly="0" labelOnly="1" fieldPosition="0">
        <references count="2">
          <reference field="0" count="1">
            <x v="25"/>
          </reference>
          <reference field="8" count="1" selected="0">
            <x v="364"/>
          </reference>
        </references>
      </pivotArea>
    </format>
    <format dxfId="1543">
      <pivotArea dataOnly="0" labelOnly="1" fieldPosition="0">
        <references count="3">
          <reference field="0" count="1" selected="0">
            <x v="25"/>
          </reference>
          <reference field="1" count="1">
            <x v="5"/>
          </reference>
          <reference field="8" count="1" selected="0">
            <x v="364"/>
          </reference>
        </references>
      </pivotArea>
    </format>
    <format dxfId="1542">
      <pivotArea dataOnly="0" labelOnly="1" offset="IV256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364"/>
          </reference>
          <reference field="25" count="1">
            <x v="0"/>
          </reference>
        </references>
      </pivotArea>
    </format>
    <format dxfId="1541">
      <pivotArea dataOnly="0" labelOnly="1" fieldPosition="0">
        <references count="5">
          <reference field="0" count="1" selected="0">
            <x v="25"/>
          </reference>
          <reference field="1" count="1" selected="0">
            <x v="5"/>
          </reference>
          <reference field="3" count="1">
            <x v="5"/>
          </reference>
          <reference field="8" count="1" selected="0">
            <x v="364"/>
          </reference>
          <reference field="25" count="1" selected="0">
            <x v="0"/>
          </reference>
        </references>
      </pivotArea>
    </format>
    <format dxfId="1540">
      <pivotArea collapsedLevelsAreSubtotals="1" fieldPosition="0">
        <references count="5">
          <reference field="0" count="1" selected="0">
            <x v="10"/>
          </reference>
          <reference field="1" count="1" selected="0">
            <x v="9"/>
          </reference>
          <reference field="3" count="1">
            <x v="5"/>
          </reference>
          <reference field="8" count="1" selected="0">
            <x v="343"/>
          </reference>
          <reference field="25" count="1" selected="0">
            <x v="5"/>
          </reference>
        </references>
      </pivotArea>
    </format>
    <format dxfId="1539">
      <pivotArea collapsedLevelsAreSubtotals="1" fieldPosition="0">
        <references count="5">
          <reference field="0" count="1" selected="0">
            <x v="11"/>
          </reference>
          <reference field="1" count="1" selected="0">
            <x v="3"/>
          </reference>
          <reference field="3" count="1">
            <x v="5"/>
          </reference>
          <reference field="8" count="1" selected="0">
            <x v="343"/>
          </reference>
          <reference field="25" count="1" selected="0">
            <x v="5"/>
          </reference>
        </references>
      </pivotArea>
    </format>
    <format dxfId="1538">
      <pivotArea collapsedLevelsAreSubtotals="1" fieldPosition="0">
        <references count="5">
          <reference field="0" count="1" selected="0">
            <x v="13"/>
          </reference>
          <reference field="1" count="1" selected="0">
            <x v="45"/>
          </reference>
          <reference field="3" count="1">
            <x v="5"/>
          </reference>
          <reference field="8" count="1" selected="0">
            <x v="343"/>
          </reference>
          <reference field="25" count="1" selected="0">
            <x v="5"/>
          </reference>
        </references>
      </pivotArea>
    </format>
    <format dxfId="1537">
      <pivotArea collapsedLevelsAreSubtotals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0"/>
          </reference>
          <reference field="8" count="1" selected="0">
            <x v="343"/>
          </reference>
          <reference field="25" count="1" selected="0">
            <x v="0"/>
          </reference>
        </references>
      </pivotArea>
    </format>
    <format dxfId="1536">
      <pivotArea dataOnly="0" labelOnly="1" fieldPosition="0">
        <references count="2">
          <reference field="0" count="5">
            <x v="10"/>
            <x v="11"/>
            <x v="13"/>
            <x v="24"/>
            <x v="25"/>
          </reference>
          <reference field="8" count="1" selected="0">
            <x v="343"/>
          </reference>
        </references>
      </pivotArea>
    </format>
    <format dxfId="1535">
      <pivotArea dataOnly="0" labelOnly="1" fieldPosition="0">
        <references count="3">
          <reference field="0" count="1" selected="0">
            <x v="10"/>
          </reference>
          <reference field="1" count="1">
            <x v="9"/>
          </reference>
          <reference field="8" count="1" selected="0">
            <x v="343"/>
          </reference>
        </references>
      </pivotArea>
    </format>
    <format dxfId="1534">
      <pivotArea dataOnly="0" labelOnly="1" fieldPosition="0">
        <references count="3">
          <reference field="0" count="1" selected="0">
            <x v="11"/>
          </reference>
          <reference field="1" count="1">
            <x v="3"/>
          </reference>
          <reference field="8" count="1" selected="0">
            <x v="343"/>
          </reference>
        </references>
      </pivotArea>
    </format>
    <format dxfId="1533">
      <pivotArea dataOnly="0" labelOnly="1" fieldPosition="0">
        <references count="3">
          <reference field="0" count="1" selected="0">
            <x v="13"/>
          </reference>
          <reference field="1" count="1">
            <x v="45"/>
          </reference>
          <reference field="8" count="1" selected="0">
            <x v="343"/>
          </reference>
        </references>
      </pivotArea>
    </format>
    <format dxfId="1532">
      <pivotArea dataOnly="0" labelOnly="1" fieldPosition="0">
        <references count="3">
          <reference field="0" count="1" selected="0">
            <x v="24"/>
          </reference>
          <reference field="1" count="1">
            <x v="46"/>
          </reference>
          <reference field="8" count="1" selected="0">
            <x v="343"/>
          </reference>
        </references>
      </pivotArea>
    </format>
    <format dxfId="1531">
      <pivotArea dataOnly="0" labelOnly="1" fieldPosition="0">
        <references count="4">
          <reference field="0" count="1" selected="0">
            <x v="10"/>
          </reference>
          <reference field="1" count="1" selected="0">
            <x v="9"/>
          </reference>
          <reference field="8" count="1" selected="0">
            <x v="343"/>
          </reference>
          <reference field="25" count="1">
            <x v="5"/>
          </reference>
        </references>
      </pivotArea>
    </format>
    <format dxfId="1530">
      <pivotArea dataOnly="0" labelOnly="1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343"/>
          </reference>
          <reference field="25" count="1">
            <x v="0"/>
          </reference>
        </references>
      </pivotArea>
    </format>
    <format dxfId="1529">
      <pivotArea dataOnly="0" labelOnly="1" fieldPosition="0">
        <references count="5">
          <reference field="0" count="1" selected="0">
            <x v="10"/>
          </reference>
          <reference field="1" count="1" selected="0">
            <x v="9"/>
          </reference>
          <reference field="3" count="1">
            <x v="5"/>
          </reference>
          <reference field="8" count="1" selected="0">
            <x v="343"/>
          </reference>
          <reference field="25" count="1" selected="0">
            <x v="5"/>
          </reference>
        </references>
      </pivotArea>
    </format>
    <format dxfId="1528">
      <pivotArea dataOnly="0" labelOnly="1" fieldPosition="0">
        <references count="5">
          <reference field="0" count="1" selected="0">
            <x v="11"/>
          </reference>
          <reference field="1" count="1" selected="0">
            <x v="3"/>
          </reference>
          <reference field="3" count="1">
            <x v="5"/>
          </reference>
          <reference field="8" count="1" selected="0">
            <x v="343"/>
          </reference>
          <reference field="25" count="1" selected="0">
            <x v="5"/>
          </reference>
        </references>
      </pivotArea>
    </format>
    <format dxfId="1527">
      <pivotArea dataOnly="0" labelOnly="1" fieldPosition="0">
        <references count="5">
          <reference field="0" count="1" selected="0">
            <x v="13"/>
          </reference>
          <reference field="1" count="1" selected="0">
            <x v="45"/>
          </reference>
          <reference field="3" count="1">
            <x v="5"/>
          </reference>
          <reference field="8" count="1" selected="0">
            <x v="343"/>
          </reference>
          <reference field="25" count="1" selected="0">
            <x v="5"/>
          </reference>
        </references>
      </pivotArea>
    </format>
    <format dxfId="1526">
      <pivotArea dataOnly="0" labelOnly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0"/>
          </reference>
          <reference field="8" count="1" selected="0">
            <x v="343"/>
          </reference>
          <reference field="25" count="1" selected="0">
            <x v="0"/>
          </reference>
        </references>
      </pivotArea>
    </format>
    <format dxfId="1525">
      <pivotArea collapsedLevelsAreSubtotals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0"/>
          </reference>
          <reference field="8" count="1" selected="0">
            <x v="343"/>
          </reference>
          <reference field="25" count="1" selected="0">
            <x v="0"/>
          </reference>
        </references>
      </pivotArea>
    </format>
    <format dxfId="1524">
      <pivotArea dataOnly="0" labelOnly="1" fieldPosition="0">
        <references count="2">
          <reference field="0" count="1">
            <x v="24"/>
          </reference>
          <reference field="8" count="1" selected="0">
            <x v="343"/>
          </reference>
        </references>
      </pivotArea>
    </format>
    <format dxfId="1523">
      <pivotArea dataOnly="0" labelOnly="1" fieldPosition="0">
        <references count="3">
          <reference field="0" count="1" selected="0">
            <x v="24"/>
          </reference>
          <reference field="1" count="1">
            <x v="46"/>
          </reference>
          <reference field="8" count="1" selected="0">
            <x v="343"/>
          </reference>
        </references>
      </pivotArea>
    </format>
    <format dxfId="1522">
      <pivotArea dataOnly="0" labelOnly="1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343"/>
          </reference>
          <reference field="25" count="1">
            <x v="0"/>
          </reference>
        </references>
      </pivotArea>
    </format>
    <format dxfId="1521">
      <pivotArea dataOnly="0" labelOnly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0"/>
          </reference>
          <reference field="8" count="1" selected="0">
            <x v="343"/>
          </reference>
          <reference field="25" count="1" selected="0">
            <x v="0"/>
          </reference>
        </references>
      </pivotArea>
    </format>
    <format dxfId="1520">
      <pivotArea collapsedLevelsAreSubtotals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0"/>
          </reference>
          <reference field="8" count="1" selected="0">
            <x v="343"/>
          </reference>
          <reference field="25" count="1" selected="0">
            <x v="0"/>
          </reference>
        </references>
      </pivotArea>
    </format>
    <format dxfId="1519">
      <pivotArea dataOnly="0" labelOnly="1" fieldPosition="0">
        <references count="2">
          <reference field="0" count="1">
            <x v="24"/>
          </reference>
          <reference field="8" count="1" selected="0">
            <x v="343"/>
          </reference>
        </references>
      </pivotArea>
    </format>
    <format dxfId="1518">
      <pivotArea dataOnly="0" labelOnly="1" fieldPosition="0">
        <references count="3">
          <reference field="0" count="1" selected="0">
            <x v="24"/>
          </reference>
          <reference field="1" count="1">
            <x v="46"/>
          </reference>
          <reference field="8" count="1" selected="0">
            <x v="343"/>
          </reference>
        </references>
      </pivotArea>
    </format>
    <format dxfId="1517">
      <pivotArea dataOnly="0" labelOnly="1" offset="IV1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343"/>
          </reference>
          <reference field="25" count="1">
            <x v="0"/>
          </reference>
        </references>
      </pivotArea>
    </format>
    <format dxfId="1516">
      <pivotArea dataOnly="0" labelOnly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0"/>
          </reference>
          <reference field="8" count="1" selected="0">
            <x v="343"/>
          </reference>
          <reference field="25" count="1" selected="0">
            <x v="0"/>
          </reference>
        </references>
      </pivotArea>
    </format>
    <format dxfId="1515">
      <pivotArea collapsedLevelsAreSubtotals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0"/>
          </reference>
          <reference field="8" count="1" selected="0">
            <x v="343"/>
          </reference>
          <reference field="25" count="1" selected="0">
            <x v="0"/>
          </reference>
        </references>
      </pivotArea>
    </format>
    <format dxfId="1514">
      <pivotArea dataOnly="0" labelOnly="1" fieldPosition="0">
        <references count="2">
          <reference field="0" count="1">
            <x v="24"/>
          </reference>
          <reference field="8" count="1" selected="0">
            <x v="343"/>
          </reference>
        </references>
      </pivotArea>
    </format>
    <format dxfId="1513">
      <pivotArea dataOnly="0" labelOnly="1" fieldPosition="0">
        <references count="3">
          <reference field="0" count="1" selected="0">
            <x v="24"/>
          </reference>
          <reference field="1" count="1">
            <x v="46"/>
          </reference>
          <reference field="8" count="1" selected="0">
            <x v="343"/>
          </reference>
        </references>
      </pivotArea>
    </format>
    <format dxfId="1512">
      <pivotArea dataOnly="0" labelOnly="1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343"/>
          </reference>
          <reference field="25" count="1">
            <x v="0"/>
          </reference>
        </references>
      </pivotArea>
    </format>
    <format dxfId="1511">
      <pivotArea dataOnly="0" labelOnly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0"/>
          </reference>
          <reference field="8" count="1" selected="0">
            <x v="343"/>
          </reference>
          <reference field="25" count="1" selected="0">
            <x v="0"/>
          </reference>
        </references>
      </pivotArea>
    </format>
    <format dxfId="1510">
      <pivotArea collapsedLevelsAreSubtotals="1" fieldPosition="0">
        <references count="5">
          <reference field="0" count="1" selected="0">
            <x v="25"/>
          </reference>
          <reference field="1" count="1" selected="0">
            <x v="5"/>
          </reference>
          <reference field="3" count="1">
            <x v="5"/>
          </reference>
          <reference field="8" count="1" selected="0">
            <x v="343"/>
          </reference>
          <reference field="25" count="1" selected="0">
            <x v="0"/>
          </reference>
        </references>
      </pivotArea>
    </format>
    <format dxfId="1509">
      <pivotArea dataOnly="0" labelOnly="1" fieldPosition="0">
        <references count="2">
          <reference field="0" count="1">
            <x v="25"/>
          </reference>
          <reference field="8" count="1" selected="0">
            <x v="343"/>
          </reference>
        </references>
      </pivotArea>
    </format>
    <format dxfId="1508">
      <pivotArea dataOnly="0" labelOnly="1" fieldPosition="0">
        <references count="3">
          <reference field="0" count="1" selected="0">
            <x v="25"/>
          </reference>
          <reference field="1" count="1">
            <x v="5"/>
          </reference>
          <reference field="8" count="1" selected="0">
            <x v="343"/>
          </reference>
        </references>
      </pivotArea>
    </format>
    <format dxfId="1507">
      <pivotArea dataOnly="0" labelOnly="1" fieldPosition="0">
        <references count="5">
          <reference field="0" count="1" selected="0">
            <x v="25"/>
          </reference>
          <reference field="1" count="1" selected="0">
            <x v="5"/>
          </reference>
          <reference field="3" count="1">
            <x v="5"/>
          </reference>
          <reference field="8" count="1" selected="0">
            <x v="343"/>
          </reference>
          <reference field="25" count="1" selected="0">
            <x v="0"/>
          </reference>
        </references>
      </pivotArea>
    </format>
    <format dxfId="1506">
      <pivotArea collapsedLevelsAreSubtotals="1" fieldPosition="0">
        <references count="6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45"/>
          </reference>
          <reference field="3" count="1">
            <x v="5"/>
          </reference>
          <reference field="8" count="1" selected="0">
            <x v="343"/>
          </reference>
          <reference field="25" count="1" selected="0">
            <x v="5"/>
          </reference>
        </references>
      </pivotArea>
    </format>
    <format dxfId="1505">
      <pivotArea dataOnly="0" labelOnly="1" offset="IV1" fieldPosition="0">
        <references count="1">
          <reference field="8" count="1">
            <x v="401"/>
          </reference>
        </references>
      </pivotArea>
    </format>
    <format dxfId="1504">
      <pivotArea collapsedLevelsAreSubtotals="1" fieldPosition="0">
        <references count="6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45"/>
          </reference>
          <reference field="3" count="1">
            <x v="5"/>
          </reference>
          <reference field="8" count="1" selected="0">
            <x v="401"/>
          </reference>
          <reference field="25" count="1" selected="0">
            <x v="5"/>
          </reference>
        </references>
      </pivotArea>
    </format>
    <format dxfId="1503">
      <pivotArea collapsedLevelsAreSubtotals="1" fieldPosition="0">
        <references count="5">
          <reference field="0" count="1" selected="0">
            <x v="31"/>
          </reference>
          <reference field="1" count="1" selected="0">
            <x v="21"/>
          </reference>
          <reference field="3" count="1">
            <x v="0"/>
          </reference>
          <reference field="8" count="1" selected="0">
            <x v="409"/>
          </reference>
          <reference field="25" count="1" selected="0">
            <x v="0"/>
          </reference>
        </references>
      </pivotArea>
    </format>
    <format dxfId="1502">
      <pivotArea dataOnly="0" labelOnly="1" fieldPosition="0">
        <references count="2">
          <reference field="0" count="1">
            <x v="31"/>
          </reference>
          <reference field="8" count="1" selected="0">
            <x v="409"/>
          </reference>
        </references>
      </pivotArea>
    </format>
    <format dxfId="1501">
      <pivotArea dataOnly="0" labelOnly="1" fieldPosition="0">
        <references count="3">
          <reference field="0" count="1" selected="0">
            <x v="31"/>
          </reference>
          <reference field="1" count="1">
            <x v="21"/>
          </reference>
          <reference field="8" count="1" selected="0">
            <x v="409"/>
          </reference>
        </references>
      </pivotArea>
    </format>
    <format dxfId="1500">
      <pivotArea dataOnly="0" labelOnly="1" fieldPosition="0">
        <references count="5">
          <reference field="0" count="1" selected="0">
            <x v="31"/>
          </reference>
          <reference field="1" count="1" selected="0">
            <x v="21"/>
          </reference>
          <reference field="3" count="1">
            <x v="0"/>
          </reference>
          <reference field="8" count="1" selected="0">
            <x v="409"/>
          </reference>
          <reference field="25" count="1" selected="0">
            <x v="0"/>
          </reference>
        </references>
      </pivotArea>
    </format>
    <format dxfId="1499">
      <pivotArea collapsedLevelsAreSubtotals="1" fieldPosition="0">
        <references count="5">
          <reference field="0" count="1" selected="0">
            <x v="31"/>
          </reference>
          <reference field="1" count="1" selected="0">
            <x v="21"/>
          </reference>
          <reference field="3" count="1">
            <x v="0"/>
          </reference>
          <reference field="8" count="1" selected="0">
            <x v="414"/>
          </reference>
          <reference field="25" count="1" selected="0">
            <x v="0"/>
          </reference>
        </references>
      </pivotArea>
    </format>
    <format dxfId="1498">
      <pivotArea dataOnly="0" labelOnly="1" fieldPosition="0">
        <references count="2">
          <reference field="0" count="1">
            <x v="31"/>
          </reference>
          <reference field="8" count="1" selected="0">
            <x v="414"/>
          </reference>
        </references>
      </pivotArea>
    </format>
    <format dxfId="1497">
      <pivotArea dataOnly="0" labelOnly="1" fieldPosition="0">
        <references count="3">
          <reference field="0" count="1" selected="0">
            <x v="31"/>
          </reference>
          <reference field="1" count="1">
            <x v="21"/>
          </reference>
          <reference field="8" count="1" selected="0">
            <x v="414"/>
          </reference>
        </references>
      </pivotArea>
    </format>
    <format dxfId="1496">
      <pivotArea dataOnly="0" labelOnly="1" fieldPosition="0">
        <references count="5">
          <reference field="0" count="1" selected="0">
            <x v="31"/>
          </reference>
          <reference field="1" count="1" selected="0">
            <x v="21"/>
          </reference>
          <reference field="3" count="1">
            <x v="0"/>
          </reference>
          <reference field="8" count="1" selected="0">
            <x v="414"/>
          </reference>
          <reference field="25" count="1" selected="0">
            <x v="0"/>
          </reference>
        </references>
      </pivotArea>
    </format>
    <format dxfId="1495">
      <pivotArea dataOnly="0" labelOnly="1" offset="D256" fieldPosition="0">
        <references count="1">
          <reference field="8" count="1" sumSubtotal="1">
            <x v="409"/>
          </reference>
        </references>
      </pivotArea>
    </format>
    <format dxfId="1494">
      <pivotArea dataOnly="0" labelOnly="1" offset="D256" fieldPosition="0">
        <references count="1">
          <reference field="8" count="1" sumSubtotal="1">
            <x v="414"/>
          </reference>
        </references>
      </pivotArea>
    </format>
    <format dxfId="1493">
      <pivotArea dataOnly="0" labelOnly="1" offset="IV256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409"/>
          </reference>
          <reference field="25" count="1">
            <x v="0"/>
          </reference>
        </references>
      </pivotArea>
    </format>
    <format dxfId="1492">
      <pivotArea dataOnly="0" labelOnly="1" offset="IV256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414"/>
          </reference>
          <reference field="25" count="1">
            <x v="0"/>
          </reference>
        </references>
      </pivotArea>
    </format>
    <format dxfId="1491">
      <pivotArea dataOnly="0" labelOnly="1" offset="IV256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418"/>
          </reference>
          <reference field="25" count="1">
            <x v="0"/>
          </reference>
        </references>
      </pivotArea>
    </format>
    <format dxfId="1490">
      <pivotArea dataOnly="0" labelOnly="1" offset="IV256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466"/>
          </reference>
          <reference field="25" count="1">
            <x v="0"/>
          </reference>
        </references>
      </pivotArea>
    </format>
    <format dxfId="1489">
      <pivotArea collapsedLevelsAreSubtotals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5"/>
          </reference>
          <reference field="8" count="1" selected="0">
            <x v="418"/>
          </reference>
          <reference field="25" count="1" selected="0">
            <x v="0"/>
          </reference>
        </references>
      </pivotArea>
    </format>
    <format dxfId="1488">
      <pivotArea collapsedLevelsAreSubtotals="1" fieldPosition="0">
        <references count="1">
          <reference field="8" count="1" sumSubtotal="1">
            <x v="418"/>
          </reference>
        </references>
      </pivotArea>
    </format>
    <format dxfId="1487">
      <pivotArea collapsedLevelsAreSubtotals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5"/>
          </reference>
          <reference field="8" count="1" selected="0">
            <x v="466"/>
          </reference>
          <reference field="25" count="1" selected="0">
            <x v="0"/>
          </reference>
        </references>
      </pivotArea>
    </format>
    <format dxfId="1486">
      <pivotArea collapsedLevelsAreSubtotals="1" fieldPosition="0">
        <references count="1">
          <reference field="8" count="1" sumSubtotal="1">
            <x v="466"/>
          </reference>
        </references>
      </pivotArea>
    </format>
    <format dxfId="1485">
      <pivotArea collapsedLevelsAreSubtotals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5"/>
          </reference>
          <reference field="8" count="1" selected="0">
            <x v="470"/>
          </reference>
          <reference field="25" count="1" selected="0">
            <x v="0"/>
          </reference>
        </references>
      </pivotArea>
    </format>
    <format dxfId="1484">
      <pivotArea collapsedLevelsAreSubtotals="1" fieldPosition="0">
        <references count="1">
          <reference field="8" count="1" sumSubtotal="1">
            <x v="470"/>
          </reference>
        </references>
      </pivotArea>
    </format>
    <format dxfId="1483">
      <pivotArea collapsedLevelsAreSubtotals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5"/>
          </reference>
          <reference field="8" count="1" selected="0">
            <x v="471"/>
          </reference>
          <reference field="25" count="1" selected="0">
            <x v="0"/>
          </reference>
        </references>
      </pivotArea>
    </format>
    <format dxfId="1482">
      <pivotArea dataOnly="0" labelOnly="1" offset="B256:IV256" fieldPosition="0">
        <references count="1">
          <reference field="8" count="1" sumSubtotal="1">
            <x v="418"/>
          </reference>
        </references>
      </pivotArea>
    </format>
    <format dxfId="1481">
      <pivotArea dataOnly="0" labelOnly="1" offset="B256:IV256" fieldPosition="0">
        <references count="1">
          <reference field="8" count="1" sumSubtotal="1">
            <x v="466"/>
          </reference>
        </references>
      </pivotArea>
    </format>
    <format dxfId="1480">
      <pivotArea dataOnly="0" labelOnly="1" offset="B256:IV256" fieldPosition="0">
        <references count="1">
          <reference field="8" count="1" sumSubtotal="1">
            <x v="470"/>
          </reference>
        </references>
      </pivotArea>
    </format>
    <format dxfId="1479">
      <pivotArea dataOnly="0" labelOnly="1" fieldPosition="0">
        <references count="2">
          <reference field="0" count="2">
            <x v="24"/>
            <x v="31"/>
          </reference>
          <reference field="8" count="1" selected="0">
            <x v="418"/>
          </reference>
        </references>
      </pivotArea>
    </format>
    <format dxfId="1478">
      <pivotArea dataOnly="0" labelOnly="1" fieldPosition="0">
        <references count="2">
          <reference field="0" count="2">
            <x v="24"/>
            <x v="31"/>
          </reference>
          <reference field="8" count="1" selected="0">
            <x v="466"/>
          </reference>
        </references>
      </pivotArea>
    </format>
    <format dxfId="1477">
      <pivotArea dataOnly="0" labelOnly="1" fieldPosition="0">
        <references count="2">
          <reference field="0" count="2">
            <x v="24"/>
            <x v="31"/>
          </reference>
          <reference field="8" count="1" selected="0">
            <x v="470"/>
          </reference>
        </references>
      </pivotArea>
    </format>
    <format dxfId="1476">
      <pivotArea dataOnly="0" labelOnly="1" fieldPosition="0">
        <references count="2">
          <reference field="0" count="2">
            <x v="24"/>
            <x v="31"/>
          </reference>
          <reference field="8" count="1" selected="0">
            <x v="471"/>
          </reference>
        </references>
      </pivotArea>
    </format>
    <format dxfId="1475">
      <pivotArea dataOnly="0" labelOnly="1" fieldPosition="0">
        <references count="3">
          <reference field="0" count="1" selected="0">
            <x v="24"/>
          </reference>
          <reference field="1" count="1">
            <x v="46"/>
          </reference>
          <reference field="8" count="1" selected="0">
            <x v="418"/>
          </reference>
        </references>
      </pivotArea>
    </format>
    <format dxfId="1474">
      <pivotArea dataOnly="0" labelOnly="1" fieldPosition="0">
        <references count="3">
          <reference field="0" count="1" selected="0">
            <x v="24"/>
          </reference>
          <reference field="1" count="1">
            <x v="46"/>
          </reference>
          <reference field="8" count="1" selected="0">
            <x v="466"/>
          </reference>
        </references>
      </pivotArea>
    </format>
    <format dxfId="1473">
      <pivotArea dataOnly="0" labelOnly="1" fieldPosition="0">
        <references count="3">
          <reference field="0" count="1" selected="0">
            <x v="24"/>
          </reference>
          <reference field="1" count="1">
            <x v="46"/>
          </reference>
          <reference field="8" count="1" selected="0">
            <x v="470"/>
          </reference>
        </references>
      </pivotArea>
    </format>
    <format dxfId="1472">
      <pivotArea dataOnly="0" labelOnly="1" fieldPosition="0">
        <references count="3">
          <reference field="0" count="1" selected="0">
            <x v="24"/>
          </reference>
          <reference field="1" count="1">
            <x v="46"/>
          </reference>
          <reference field="8" count="1" selected="0">
            <x v="471"/>
          </reference>
        </references>
      </pivotArea>
    </format>
    <format dxfId="1471">
      <pivotArea dataOnly="0" labelOnly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5"/>
          </reference>
          <reference field="8" count="1" selected="0">
            <x v="418"/>
          </reference>
          <reference field="25" count="1" selected="0">
            <x v="0"/>
          </reference>
        </references>
      </pivotArea>
    </format>
    <format dxfId="1470">
      <pivotArea dataOnly="0" labelOnly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5"/>
          </reference>
          <reference field="8" count="1" selected="0">
            <x v="466"/>
          </reference>
          <reference field="25" count="1" selected="0">
            <x v="0"/>
          </reference>
        </references>
      </pivotArea>
    </format>
    <format dxfId="1469">
      <pivotArea dataOnly="0" labelOnly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5"/>
          </reference>
          <reference field="8" count="1" selected="0">
            <x v="470"/>
          </reference>
          <reference field="25" count="1" selected="0">
            <x v="0"/>
          </reference>
        </references>
      </pivotArea>
    </format>
    <format dxfId="1468">
      <pivotArea dataOnly="0" labelOnly="1" fieldPosition="0">
        <references count="5">
          <reference field="0" count="1" selected="0">
            <x v="24"/>
          </reference>
          <reference field="1" count="1" selected="0">
            <x v="46"/>
          </reference>
          <reference field="3" count="1">
            <x v="5"/>
          </reference>
          <reference field="8" count="1" selected="0">
            <x v="471"/>
          </reference>
          <reference field="25" count="1" selected="0">
            <x v="0"/>
          </reference>
        </references>
      </pivotArea>
    </format>
    <format dxfId="1467">
      <pivotArea collapsedLevelsAreSubtotals="1" fieldPosition="0">
        <references count="5">
          <reference field="0" count="1" selected="0">
            <x v="31"/>
          </reference>
          <reference field="1" count="1" selected="0">
            <x v="21"/>
          </reference>
          <reference field="3" count="1">
            <x v="0"/>
          </reference>
          <reference field="8" count="1" selected="0">
            <x v="418"/>
          </reference>
          <reference field="25" count="1" selected="0">
            <x v="0"/>
          </reference>
        </references>
      </pivotArea>
    </format>
    <format dxfId="1466">
      <pivotArea dataOnly="0" labelOnly="1" fieldPosition="0">
        <references count="2">
          <reference field="0" count="1">
            <x v="31"/>
          </reference>
          <reference field="8" count="1" selected="0">
            <x v="418"/>
          </reference>
        </references>
      </pivotArea>
    </format>
    <format dxfId="1465">
      <pivotArea dataOnly="0" labelOnly="1" fieldPosition="0">
        <references count="3">
          <reference field="0" count="1" selected="0">
            <x v="31"/>
          </reference>
          <reference field="1" count="1">
            <x v="21"/>
          </reference>
          <reference field="8" count="1" selected="0">
            <x v="418"/>
          </reference>
        </references>
      </pivotArea>
    </format>
    <format dxfId="1464">
      <pivotArea dataOnly="0" labelOnly="1" fieldPosition="0">
        <references count="5">
          <reference field="0" count="1" selected="0">
            <x v="31"/>
          </reference>
          <reference field="1" count="1" selected="0">
            <x v="21"/>
          </reference>
          <reference field="3" count="1">
            <x v="0"/>
          </reference>
          <reference field="8" count="1" selected="0">
            <x v="418"/>
          </reference>
          <reference field="25" count="1" selected="0">
            <x v="0"/>
          </reference>
        </references>
      </pivotArea>
    </format>
    <format dxfId="1463">
      <pivotArea collapsedLevelsAreSubtotals="1" fieldPosition="0">
        <references count="5">
          <reference field="0" count="1" selected="0">
            <x v="31"/>
          </reference>
          <reference field="1" count="1" selected="0">
            <x v="21"/>
          </reference>
          <reference field="3" count="1">
            <x v="0"/>
          </reference>
          <reference field="8" count="1" selected="0">
            <x v="466"/>
          </reference>
          <reference field="25" count="1" selected="0">
            <x v="0"/>
          </reference>
        </references>
      </pivotArea>
    </format>
    <format dxfId="1462">
      <pivotArea dataOnly="0" labelOnly="1" fieldPosition="0">
        <references count="2">
          <reference field="0" count="1">
            <x v="31"/>
          </reference>
          <reference field="8" count="1" selected="0">
            <x v="466"/>
          </reference>
        </references>
      </pivotArea>
    </format>
    <format dxfId="1461">
      <pivotArea dataOnly="0" labelOnly="1" fieldPosition="0">
        <references count="3">
          <reference field="0" count="1" selected="0">
            <x v="31"/>
          </reference>
          <reference field="1" count="1">
            <x v="21"/>
          </reference>
          <reference field="8" count="1" selected="0">
            <x v="466"/>
          </reference>
        </references>
      </pivotArea>
    </format>
    <format dxfId="1460">
      <pivotArea dataOnly="0" labelOnly="1" fieldPosition="0">
        <references count="5">
          <reference field="0" count="1" selected="0">
            <x v="31"/>
          </reference>
          <reference field="1" count="1" selected="0">
            <x v="21"/>
          </reference>
          <reference field="3" count="1">
            <x v="0"/>
          </reference>
          <reference field="8" count="1" selected="0">
            <x v="466"/>
          </reference>
          <reference field="25" count="1" selected="0">
            <x v="0"/>
          </reference>
        </references>
      </pivotArea>
    </format>
    <format dxfId="1459">
      <pivotArea collapsedLevelsAreSubtotals="1" fieldPosition="0">
        <references count="5">
          <reference field="0" count="1" selected="0">
            <x v="31"/>
          </reference>
          <reference field="1" count="1" selected="0">
            <x v="21"/>
          </reference>
          <reference field="3" count="1">
            <x v="0"/>
          </reference>
          <reference field="8" count="1" selected="0">
            <x v="470"/>
          </reference>
          <reference field="25" count="1" selected="0">
            <x v="0"/>
          </reference>
        </references>
      </pivotArea>
    </format>
    <format dxfId="1458">
      <pivotArea dataOnly="0" labelOnly="1" fieldPosition="0">
        <references count="2">
          <reference field="0" count="1">
            <x v="31"/>
          </reference>
          <reference field="8" count="1" selected="0">
            <x v="470"/>
          </reference>
        </references>
      </pivotArea>
    </format>
    <format dxfId="1457">
      <pivotArea dataOnly="0" labelOnly="1" fieldPosition="0">
        <references count="3">
          <reference field="0" count="1" selected="0">
            <x v="31"/>
          </reference>
          <reference field="1" count="1">
            <x v="21"/>
          </reference>
          <reference field="8" count="1" selected="0">
            <x v="470"/>
          </reference>
        </references>
      </pivotArea>
    </format>
    <format dxfId="1456">
      <pivotArea dataOnly="0" labelOnly="1" fieldPosition="0">
        <references count="5">
          <reference field="0" count="1" selected="0">
            <x v="31"/>
          </reference>
          <reference field="1" count="1" selected="0">
            <x v="21"/>
          </reference>
          <reference field="3" count="1">
            <x v="0"/>
          </reference>
          <reference field="8" count="1" selected="0">
            <x v="470"/>
          </reference>
          <reference field="25" count="1" selected="0">
            <x v="0"/>
          </reference>
        </references>
      </pivotArea>
    </format>
    <format dxfId="1455">
      <pivotArea collapsedLevelsAreSubtotals="1" fieldPosition="0">
        <references count="5">
          <reference field="0" count="1" selected="0">
            <x v="31"/>
          </reference>
          <reference field="1" count="1" selected="0">
            <x v="21"/>
          </reference>
          <reference field="3" count="1">
            <x v="0"/>
          </reference>
          <reference field="8" count="1" selected="0">
            <x v="471"/>
          </reference>
          <reference field="25" count="1" selected="0">
            <x v="0"/>
          </reference>
        </references>
      </pivotArea>
    </format>
    <format dxfId="1454">
      <pivotArea dataOnly="0" labelOnly="1" fieldPosition="0">
        <references count="2">
          <reference field="0" count="1">
            <x v="31"/>
          </reference>
          <reference field="8" count="1" selected="0">
            <x v="471"/>
          </reference>
        </references>
      </pivotArea>
    </format>
    <format dxfId="1453">
      <pivotArea dataOnly="0" labelOnly="1" fieldPosition="0">
        <references count="3">
          <reference field="0" count="1" selected="0">
            <x v="31"/>
          </reference>
          <reference field="1" count="1">
            <x v="21"/>
          </reference>
          <reference field="8" count="1" selected="0">
            <x v="471"/>
          </reference>
        </references>
      </pivotArea>
    </format>
    <format dxfId="1452">
      <pivotArea dataOnly="0" labelOnly="1" fieldPosition="0">
        <references count="5">
          <reference field="0" count="1" selected="0">
            <x v="31"/>
          </reference>
          <reference field="1" count="1" selected="0">
            <x v="21"/>
          </reference>
          <reference field="3" count="1">
            <x v="0"/>
          </reference>
          <reference field="8" count="1" selected="0">
            <x v="471"/>
          </reference>
          <reference field="25" count="1" selected="0">
            <x v="0"/>
          </reference>
        </references>
      </pivotArea>
    </format>
    <format dxfId="1451">
      <pivotArea dataOnly="0" labelOnly="1" fieldPosition="0">
        <references count="1">
          <reference field="25" count="0"/>
        </references>
      </pivotArea>
    </format>
    <format dxfId="1450">
      <pivotArea dataOnly="0" labelOnly="1" offset="IV256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409"/>
          </reference>
          <reference field="25" count="1">
            <x v="0"/>
          </reference>
        </references>
      </pivotArea>
    </format>
    <format dxfId="1449">
      <pivotArea dataOnly="0" labelOnly="1" offset="IV256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414"/>
          </reference>
          <reference field="25" count="1">
            <x v="0"/>
          </reference>
        </references>
      </pivotArea>
    </format>
    <format dxfId="1448">
      <pivotArea dataOnly="0" labelOnly="1" offset="IV256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418"/>
          </reference>
          <reference field="25" count="1">
            <x v="0"/>
          </reference>
        </references>
      </pivotArea>
    </format>
    <format dxfId="1447">
      <pivotArea dataOnly="0" labelOnly="1" offset="IV256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466"/>
          </reference>
          <reference field="25" count="1">
            <x v="0"/>
          </reference>
        </references>
      </pivotArea>
    </format>
    <format dxfId="1446">
      <pivotArea dataOnly="0" labelOnly="1" offset="IV256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470"/>
          </reference>
          <reference field="25" count="1">
            <x v="0"/>
          </reference>
        </references>
      </pivotArea>
    </format>
    <format dxfId="1445">
      <pivotArea dataOnly="0" labelOnly="1" offset="IV256" fieldPosition="0">
        <references count="4">
          <reference field="0" count="1" selected="0">
            <x v="24"/>
          </reference>
          <reference field="1" count="1" selected="0">
            <x v="46"/>
          </reference>
          <reference field="8" count="1" selected="0">
            <x v="471"/>
          </reference>
          <reference field="25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54806-D6C4-4CB9-833A-1B1A2936E96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418" firstHeaderRow="0" firstDataRow="1" firstDataCol="5" rowPageCount="1" colPageCount="1"/>
  <pivotFields count="40">
    <pivotField axis="axisRow" outline="0" showAll="0" defaultSubtotal="0">
      <items count="49">
        <item x="30"/>
        <item x="14"/>
        <item x="7"/>
        <item m="1" x="46"/>
        <item m="1" x="33"/>
        <item x="18"/>
        <item x="17"/>
        <item x="19"/>
        <item x="20"/>
        <item x="23"/>
        <item x="24"/>
        <item x="28"/>
        <item x="22"/>
        <item m="1" x="40"/>
        <item x="11"/>
        <item x="1"/>
        <item x="12"/>
        <item x="2"/>
        <item x="13"/>
        <item x="31"/>
        <item x="0"/>
        <item m="1" x="48"/>
        <item m="1" x="34"/>
        <item x="15"/>
        <item m="1" x="41"/>
        <item m="1" x="42"/>
        <item x="4"/>
        <item m="1" x="45"/>
        <item x="16"/>
        <item m="1" x="44"/>
        <item m="1" x="35"/>
        <item m="1" x="36"/>
        <item m="1" x="43"/>
        <item m="1" x="39"/>
        <item x="6"/>
        <item x="5"/>
        <item x="25"/>
        <item x="9"/>
        <item m="1" x="37"/>
        <item m="1" x="47"/>
        <item m="1" x="38"/>
        <item x="21"/>
        <item x="27"/>
        <item x="26"/>
        <item x="10"/>
        <item x="29"/>
        <item x="8"/>
        <item x="32"/>
        <item x="3"/>
      </items>
    </pivotField>
    <pivotField axis="axisRow" outline="0" showAll="0" defaultSubtotal="0">
      <items count="48">
        <item x="0"/>
        <item x="13"/>
        <item x="12"/>
        <item x="1"/>
        <item x="4"/>
        <item x="5"/>
        <item m="1" x="47"/>
        <item m="1" x="34"/>
        <item x="9"/>
        <item x="11"/>
        <item x="27"/>
        <item x="21"/>
        <item m="1" x="38"/>
        <item x="26"/>
        <item x="10"/>
        <item m="1" x="37"/>
        <item m="1" x="35"/>
        <item x="16"/>
        <item m="1" x="36"/>
        <item m="1" x="45"/>
        <item m="1" x="44"/>
        <item x="18"/>
        <item m="1" x="33"/>
        <item x="19"/>
        <item x="20"/>
        <item x="8"/>
        <item x="6"/>
        <item m="1" x="46"/>
        <item x="29"/>
        <item x="17"/>
        <item x="24"/>
        <item x="28"/>
        <item x="23"/>
        <item x="22"/>
        <item x="25"/>
        <item m="1" x="40"/>
        <item x="2"/>
        <item m="1" x="39"/>
        <item m="1" x="41"/>
        <item m="1" x="42"/>
        <item x="15"/>
        <item m="1" x="43"/>
        <item x="31"/>
        <item x="7"/>
        <item x="14"/>
        <item x="30"/>
        <item x="32"/>
        <item x="3"/>
      </items>
    </pivotField>
    <pivotField showAll="0"/>
    <pivotField showAll="0"/>
    <pivotField showAll="0"/>
    <pivotField showAll="0"/>
    <pivotField showAll="0"/>
    <pivotField axis="axisRow" outline="0" showAll="0" defaultSubtotal="0">
      <items count="261">
        <item x="32"/>
        <item m="1" x="193"/>
        <item m="1" x="202"/>
        <item m="1" x="203"/>
        <item m="1" x="204"/>
        <item m="1" x="207"/>
        <item m="1" x="188"/>
        <item m="1" x="136"/>
        <item x="7"/>
        <item m="1" x="208"/>
        <item m="1" x="209"/>
        <item m="1" x="210"/>
        <item m="1" x="224"/>
        <item x="31"/>
        <item m="1" x="225"/>
        <item m="1" x="226"/>
        <item m="1" x="237"/>
        <item m="1" x="239"/>
        <item m="1" x="150"/>
        <item m="1" x="195"/>
        <item m="1" x="241"/>
        <item m="1" x="243"/>
        <item m="1" x="245"/>
        <item m="1" x="247"/>
        <item m="1" x="194"/>
        <item x="5"/>
        <item m="1" x="142"/>
        <item x="0"/>
        <item x="27"/>
        <item x="2"/>
        <item m="1" x="214"/>
        <item m="1" x="198"/>
        <item m="1" x="200"/>
        <item m="1" x="197"/>
        <item m="1" x="206"/>
        <item m="1" x="199"/>
        <item m="1" x="133"/>
        <item m="1" x="205"/>
        <item m="1" x="228"/>
        <item x="20"/>
        <item m="1" x="251"/>
        <item m="1" x="134"/>
        <item m="1" x="135"/>
        <item m="1" x="137"/>
        <item m="1" x="161"/>
        <item m="1" x="153"/>
        <item m="1" x="131"/>
        <item m="1" x="128"/>
        <item m="1" x="215"/>
        <item m="1" x="249"/>
        <item m="1" x="222"/>
        <item x="70"/>
        <item m="1" x="233"/>
        <item x="34"/>
        <item x="14"/>
        <item m="1" x="230"/>
        <item m="1" x="201"/>
        <item m="1" x="132"/>
        <item m="1" x="227"/>
        <item m="1" x="231"/>
        <item m="1" x="232"/>
        <item x="50"/>
        <item m="1" x="212"/>
        <item x="96"/>
        <item m="1" x="211"/>
        <item x="68"/>
        <item m="1" x="190"/>
        <item m="1" x="259"/>
        <item x="11"/>
        <item x="10"/>
        <item m="1" x="216"/>
        <item m="1" x="219"/>
        <item m="1" x="218"/>
        <item m="1" x="220"/>
        <item m="1" x="221"/>
        <item m="1" x="141"/>
        <item m="1" x="223"/>
        <item x="21"/>
        <item m="1" x="234"/>
        <item m="1" x="235"/>
        <item m="1" x="236"/>
        <item m="1" x="238"/>
        <item m="1" x="240"/>
        <item x="49"/>
        <item m="1" x="242"/>
        <item m="1" x="260"/>
        <item m="1" x="229"/>
        <item m="1" x="244"/>
        <item x="30"/>
        <item m="1" x="246"/>
        <item m="1" x="248"/>
        <item x="92"/>
        <item m="1" x="250"/>
        <item m="1" x="213"/>
        <item m="1" x="127"/>
        <item x="13"/>
        <item m="1" x="191"/>
        <item m="1" x="192"/>
        <item m="1" x="196"/>
        <item m="1" x="217"/>
        <item x="126"/>
        <item m="1" x="145"/>
        <item m="1" x="140"/>
        <item m="1" x="252"/>
        <item m="1" x="253"/>
        <item m="1" x="129"/>
        <item m="1" x="254"/>
        <item m="1" x="255"/>
        <item m="1" x="256"/>
        <item m="1" x="152"/>
        <item m="1" x="130"/>
        <item m="1" x="138"/>
        <item m="1" x="257"/>
        <item m="1" x="151"/>
        <item m="1" x="258"/>
        <item m="1" x="139"/>
        <item m="1" x="143"/>
        <item m="1" x="144"/>
        <item x="71"/>
        <item x="18"/>
        <item m="1" x="146"/>
        <item m="1" x="147"/>
        <item m="1" x="148"/>
        <item m="1" x="149"/>
        <item x="15"/>
        <item m="1" x="154"/>
        <item m="1" x="155"/>
        <item m="1" x="156"/>
        <item m="1" x="157"/>
        <item m="1" x="158"/>
        <item m="1" x="159"/>
        <item m="1" x="160"/>
        <item m="1" x="162"/>
        <item x="115"/>
        <item x="3"/>
        <item m="1" x="170"/>
        <item x="8"/>
        <item x="28"/>
        <item m="1" x="163"/>
        <item m="1" x="164"/>
        <item m="1" x="165"/>
        <item m="1" x="166"/>
        <item m="1" x="167"/>
        <item x="17"/>
        <item m="1" x="168"/>
        <item m="1" x="169"/>
        <item x="33"/>
        <item m="1" x="171"/>
        <item m="1" x="172"/>
        <item m="1" x="173"/>
        <item m="1" x="174"/>
        <item m="1" x="175"/>
        <item m="1" x="176"/>
        <item m="1" x="177"/>
        <item m="1" x="178"/>
        <item x="6"/>
        <item m="1" x="179"/>
        <item x="9"/>
        <item x="16"/>
        <item x="48"/>
        <item x="1"/>
        <item x="117"/>
        <item x="23"/>
        <item m="1" x="180"/>
        <item x="22"/>
        <item m="1" x="181"/>
        <item x="24"/>
        <item m="1" x="182"/>
        <item x="37"/>
        <item m="1" x="189"/>
        <item m="1" x="183"/>
        <item x="46"/>
        <item m="1" x="184"/>
        <item m="1" x="185"/>
        <item x="47"/>
        <item m="1" x="186"/>
        <item x="66"/>
        <item x="19"/>
        <item m="1" x="187"/>
        <item x="67"/>
        <item x="4"/>
        <item x="12"/>
        <item x="25"/>
        <item x="26"/>
        <item x="29"/>
        <item x="35"/>
        <item x="36"/>
        <item x="38"/>
        <item x="39"/>
        <item x="40"/>
        <item x="41"/>
        <item x="42"/>
        <item x="43"/>
        <item x="44"/>
        <item x="45"/>
        <item x="116"/>
        <item x="65"/>
        <item x="118"/>
        <item x="11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120"/>
        <item x="121"/>
        <item x="93"/>
        <item x="69"/>
        <item x="72"/>
        <item x="73"/>
        <item x="74"/>
        <item x="75"/>
        <item x="76"/>
        <item x="77"/>
        <item x="122"/>
        <item x="78"/>
        <item x="113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2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24"/>
        <item x="125"/>
        <item x="112"/>
        <item x="114"/>
      </items>
    </pivotField>
    <pivotField axis="axisRow" outline="0" showAll="0" sumSubtotal="1">
      <items count="492">
        <item x="0"/>
        <item m="1" x="430"/>
        <item m="1" x="431"/>
        <item m="1" x="432"/>
        <item m="1" x="446"/>
        <item m="1" x="433"/>
        <item m="1" x="445"/>
        <item m="1" x="447"/>
        <item m="1" x="448"/>
        <item m="1" x="449"/>
        <item m="1" x="462"/>
        <item m="1" x="463"/>
        <item m="1" x="464"/>
        <item m="1" x="471"/>
        <item m="1" x="480"/>
        <item m="1" x="482"/>
        <item m="1" x="375"/>
        <item m="1" x="376"/>
        <item m="1" x="377"/>
        <item m="1" x="378"/>
        <item m="1" x="379"/>
        <item m="1" x="387"/>
        <item m="1" x="388"/>
        <item m="1" x="389"/>
        <item m="1" x="390"/>
        <item m="1" x="403"/>
        <item m="1" x="404"/>
        <item m="1" x="412"/>
        <item m="1" x="414"/>
        <item m="1" x="413"/>
        <item m="1" x="423"/>
        <item m="1" x="429"/>
        <item m="1" x="291"/>
        <item m="1" x="292"/>
        <item m="1" x="293"/>
        <item m="1" x="294"/>
        <item m="1" x="295"/>
        <item m="1" x="297"/>
        <item m="1" x="298"/>
        <item m="1" x="325"/>
        <item m="1" x="326"/>
        <item m="1" x="335"/>
        <item m="1" x="336"/>
        <item m="1" x="337"/>
        <item m="1" x="338"/>
        <item m="1" x="339"/>
        <item m="1" x="354"/>
        <item m="1" x="355"/>
        <item m="1" x="356"/>
        <item m="1" x="229"/>
        <item m="1" x="230"/>
        <item m="1" x="231"/>
        <item m="1" x="238"/>
        <item m="1" x="247"/>
        <item m="1" x="248"/>
        <item m="1" x="249"/>
        <item m="1" x="255"/>
        <item m="1" x="256"/>
        <item m="1" x="257"/>
        <item m="1" x="273"/>
        <item m="1" x="274"/>
        <item m="1" x="278"/>
        <item m="1" x="156"/>
        <item m="1" x="161"/>
        <item m="1" x="162"/>
        <item m="1" x="163"/>
        <item m="1" x="164"/>
        <item m="1" x="179"/>
        <item m="1" x="180"/>
        <item m="1" x="181"/>
        <item m="1" x="182"/>
        <item m="1" x="188"/>
        <item m="1" x="189"/>
        <item m="1" x="192"/>
        <item m="1" x="434"/>
        <item m="1" x="436"/>
        <item m="1" x="438"/>
        <item m="1" x="440"/>
        <item m="1" x="442"/>
        <item m="1" x="450"/>
        <item m="1" x="452"/>
        <item m="1" x="454"/>
        <item m="1" x="456"/>
        <item m="1" x="458"/>
        <item m="1" x="460"/>
        <item m="1" x="465"/>
        <item m="1" x="467"/>
        <item m="1" x="469"/>
        <item m="1" x="472"/>
        <item m="1" x="474"/>
        <item m="1" x="476"/>
        <item m="1" x="478"/>
        <item m="1" x="483"/>
        <item m="1" x="485"/>
        <item m="1" x="487"/>
        <item m="1" x="489"/>
        <item m="1" x="370"/>
        <item m="1" x="372"/>
        <item m="1" x="380"/>
        <item m="1" x="381"/>
        <item m="1" x="383"/>
        <item m="1" x="385"/>
        <item m="1" x="393"/>
        <item m="1" x="394"/>
        <item m="1" x="395"/>
        <item m="1" x="397"/>
        <item m="1" x="405"/>
        <item m="1" x="407"/>
        <item m="1" x="409"/>
        <item m="1" x="411"/>
        <item m="1" x="416"/>
        <item m="1" x="418"/>
        <item m="1" x="420"/>
        <item m="1" x="422"/>
        <item m="1" x="425"/>
        <item m="1" x="427"/>
        <item m="1" x="299"/>
        <item m="1" x="300"/>
        <item m="1" x="301"/>
        <item m="1" x="302"/>
        <item m="1" x="306"/>
        <item m="1" x="307"/>
        <item m="1" x="308"/>
        <item m="1" x="309"/>
        <item m="1" x="310"/>
        <item m="1" x="314"/>
        <item m="1" x="311"/>
        <item m="1" x="313"/>
        <item m="1" x="316"/>
        <item m="1" x="319"/>
        <item m="1" x="321"/>
        <item m="1" x="327"/>
        <item m="1" x="331"/>
        <item m="1" x="332"/>
        <item m="1" x="333"/>
        <item m="1" x="340"/>
        <item m="1" x="342"/>
        <item m="1" x="344"/>
        <item m="1" x="346"/>
        <item m="1" x="348"/>
        <item m="1" x="353"/>
        <item m="1" x="358"/>
        <item m="1" x="360"/>
        <item m="1" x="362"/>
        <item m="1" x="364"/>
        <item m="1" x="365"/>
        <item m="1" x="367"/>
        <item m="1" x="244"/>
        <item m="1" x="234"/>
        <item m="1" x="235"/>
        <item m="1" x="236"/>
        <item m="1" x="237"/>
        <item m="1" x="239"/>
        <item m="1" x="240"/>
        <item m="1" x="250"/>
        <item m="1" x="251"/>
        <item m="1" x="252"/>
        <item m="1" x="258"/>
        <item m="1" x="259"/>
        <item m="1" x="261"/>
        <item m="1" x="263"/>
        <item m="1" x="265"/>
        <item m="1" x="267"/>
        <item m="1" x="269"/>
        <item m="1" x="275"/>
        <item m="1" x="276"/>
        <item m="1" x="279"/>
        <item m="1" x="281"/>
        <item m="1" x="282"/>
        <item m="1" x="283"/>
        <item m="1" x="171"/>
        <item m="1" x="165"/>
        <item m="1" x="166"/>
        <item m="1" x="167"/>
        <item m="1" x="168"/>
        <item m="1" x="169"/>
        <item m="1" x="170"/>
        <item m="1" x="172"/>
        <item m="1" x="175"/>
        <item m="1" x="184"/>
        <item m="1" x="185"/>
        <item m="1" x="186"/>
        <item m="1" x="190"/>
        <item m="1" x="193"/>
        <item m="1" x="195"/>
        <item m="1" x="197"/>
        <item m="1" x="199"/>
        <item m="1" x="201"/>
        <item m="1" x="203"/>
        <item m="1" x="435"/>
        <item m="1" x="437"/>
        <item m="1" x="439"/>
        <item m="1" x="441"/>
        <item m="1" x="443"/>
        <item m="1" x="451"/>
        <item m="1" x="453"/>
        <item m="1" x="455"/>
        <item m="1" x="457"/>
        <item m="1" x="459"/>
        <item m="1" x="461"/>
        <item m="1" x="466"/>
        <item m="1" x="468"/>
        <item m="1" x="470"/>
        <item m="1" x="473"/>
        <item m="1" x="475"/>
        <item m="1" x="477"/>
        <item m="1" x="479"/>
        <item m="1" x="484"/>
        <item m="1" x="486"/>
        <item m="1" x="488"/>
        <item m="1" x="490"/>
        <item m="1" x="371"/>
        <item m="1" x="373"/>
        <item m="1" x="374"/>
        <item m="1" x="382"/>
        <item m="1" x="384"/>
        <item m="1" x="386"/>
        <item m="1" x="391"/>
        <item m="1" x="392"/>
        <item m="1" x="396"/>
        <item m="1" x="398"/>
        <item m="1" x="406"/>
        <item m="1" x="408"/>
        <item m="1" x="410"/>
        <item m="1" x="415"/>
        <item m="1" x="417"/>
        <item m="1" x="419"/>
        <item m="1" x="421"/>
        <item m="1" x="424"/>
        <item m="1" x="426"/>
        <item m="1" x="428"/>
        <item m="1" x="285"/>
        <item m="1" x="286"/>
        <item m="1" x="287"/>
        <item m="1" x="288"/>
        <item m="1" x="289"/>
        <item m="1" x="290"/>
        <item m="1" x="303"/>
        <item m="1" x="304"/>
        <item m="1" x="305"/>
        <item m="1" x="312"/>
        <item m="1" x="315"/>
        <item m="1" x="317"/>
        <item m="1" x="318"/>
        <item m="1" x="320"/>
        <item m="1" x="322"/>
        <item m="1" x="328"/>
        <item m="1" x="329"/>
        <item m="1" x="330"/>
        <item m="1" x="334"/>
        <item m="1" x="341"/>
        <item m="1" x="343"/>
        <item m="1" x="345"/>
        <item m="1" x="347"/>
        <item m="1" x="349"/>
        <item m="1" x="350"/>
        <item m="1" x="357"/>
        <item m="1" x="359"/>
        <item m="1" x="361"/>
        <item m="1" x="363"/>
        <item m="1" x="366"/>
        <item m="1" x="368"/>
        <item m="1" x="224"/>
        <item m="1" x="225"/>
        <item m="1" x="226"/>
        <item m="1" x="227"/>
        <item m="1" x="232"/>
        <item m="1" x="233"/>
        <item m="1" x="241"/>
        <item m="1" x="242"/>
        <item m="1" x="243"/>
        <item m="1" x="245"/>
        <item m="1" x="253"/>
        <item m="1" x="260"/>
        <item m="1" x="262"/>
        <item m="1" x="264"/>
        <item m="1" x="266"/>
        <item m="1" x="268"/>
        <item m="1" x="270"/>
        <item m="1" x="271"/>
        <item m="1" x="272"/>
        <item m="1" x="280"/>
        <item m="1" x="284"/>
        <item m="1" x="152"/>
        <item m="1" x="153"/>
        <item m="1" x="154"/>
        <item m="1" x="155"/>
        <item m="1" x="157"/>
        <item m="1" x="158"/>
        <item m="1" x="159"/>
        <item m="1" x="160"/>
        <item m="1" x="173"/>
        <item m="1" x="176"/>
        <item m="1" x="177"/>
        <item m="1" x="178"/>
        <item m="1" x="187"/>
        <item m="1" x="191"/>
        <item m="1" x="194"/>
        <item m="1" x="196"/>
        <item m="1" x="198"/>
        <item m="1" x="200"/>
        <item m="1" x="202"/>
        <item m="1" x="204"/>
        <item m="1" x="444"/>
        <item m="1" x="481"/>
        <item m="1" x="399"/>
        <item m="1" x="400"/>
        <item m="1" x="401"/>
        <item m="1" x="402"/>
        <item m="1" x="369"/>
        <item m="1" x="296"/>
        <item m="1" x="323"/>
        <item m="1" x="324"/>
        <item m="1" x="351"/>
        <item m="1" x="352"/>
        <item m="1" x="223"/>
        <item m="1" x="228"/>
        <item m="1" x="246"/>
        <item m="1" x="254"/>
        <item m="1" x="277"/>
        <item m="1" x="174"/>
        <item m="1" x="183"/>
        <item m="1" x="205"/>
        <item x="83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sum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4"/>
        <item x="1"/>
        <item x="5"/>
        <item x="3"/>
        <item x="0"/>
        <item x="6"/>
        <item x="7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0"/>
        <item x="3"/>
        <item x="4"/>
        <item x="2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5">
    <field x="8"/>
    <field x="0"/>
    <field x="1"/>
    <field x="7"/>
    <field x="25"/>
  </rowFields>
  <rowItems count="415">
    <i>
      <x v="409"/>
      <x v="34"/>
      <x v="26"/>
      <x v="69"/>
      <x/>
    </i>
    <i r="1">
      <x v="46"/>
      <x v="25"/>
      <x v="69"/>
      <x/>
    </i>
    <i t="sum">
      <x v="409"/>
    </i>
    <i>
      <x v="410"/>
      <x v="11"/>
      <x v="31"/>
      <x v="185"/>
      <x v="4"/>
    </i>
    <i r="1">
      <x v="14"/>
      <x v="9"/>
      <x v="39"/>
      <x v="5"/>
    </i>
    <i r="1">
      <x v="20"/>
      <x/>
      <x v="27"/>
      <x v="5"/>
    </i>
    <i r="1">
      <x v="26"/>
      <x v="4"/>
      <x v="25"/>
      <x v="5"/>
    </i>
    <i r="1">
      <x v="37"/>
      <x v="8"/>
      <x v="181"/>
      <x/>
    </i>
    <i t="sum">
      <x v="410"/>
    </i>
    <i>
      <x v="411"/>
      <x v="1"/>
      <x v="44"/>
      <x v="177"/>
      <x v="4"/>
    </i>
    <i r="1">
      <x v="5"/>
      <x v="21"/>
      <x v="177"/>
      <x v="4"/>
    </i>
    <i r="1">
      <x v="6"/>
      <x v="29"/>
      <x v="177"/>
      <x v="4"/>
    </i>
    <i t="sum">
      <x v="411"/>
    </i>
    <i>
      <x v="412"/>
      <x v="2"/>
      <x v="43"/>
      <x v="77"/>
      <x v="4"/>
    </i>
    <i r="3">
      <x v="136"/>
      <x v="4"/>
    </i>
    <i r="1">
      <x v="7"/>
      <x v="23"/>
      <x v="136"/>
      <x v="4"/>
    </i>
    <i r="1">
      <x v="8"/>
      <x v="24"/>
      <x v="136"/>
      <x v="4"/>
    </i>
    <i t="sum">
      <x v="412"/>
    </i>
    <i>
      <x v="413"/>
      <x v="1"/>
      <x v="44"/>
      <x v="162"/>
      <x v="4"/>
    </i>
    <i r="3">
      <x v="177"/>
      <x v="4"/>
    </i>
    <i r="1">
      <x v="5"/>
      <x v="21"/>
      <x v="177"/>
      <x v="4"/>
    </i>
    <i r="1">
      <x v="6"/>
      <x v="29"/>
      <x v="177"/>
      <x v="4"/>
    </i>
    <i t="sum">
      <x v="413"/>
    </i>
    <i>
      <x v="414"/>
      <x v="34"/>
      <x v="26"/>
      <x v="69"/>
      <x/>
    </i>
    <i r="1">
      <x v="46"/>
      <x v="25"/>
      <x v="69"/>
      <x/>
    </i>
    <i t="sum">
      <x v="414"/>
    </i>
    <i>
      <x v="415"/>
      <x v="1"/>
      <x v="44"/>
      <x v="182"/>
      <x v="4"/>
    </i>
    <i r="1">
      <x v="5"/>
      <x v="21"/>
      <x v="193"/>
      <x v="4"/>
    </i>
    <i t="sum">
      <x v="415"/>
    </i>
    <i>
      <x v="416"/>
      <x v="5"/>
      <x v="21"/>
      <x v="177"/>
      <x v="4"/>
    </i>
    <i r="1">
      <x v="6"/>
      <x v="29"/>
      <x v="53"/>
      <x v="4"/>
    </i>
    <i r="1">
      <x v="7"/>
      <x v="23"/>
      <x v="88"/>
      <x v="4"/>
    </i>
    <i r="1">
      <x v="12"/>
      <x v="33"/>
      <x v="185"/>
      <x v="4"/>
    </i>
    <i t="sum">
      <x v="416"/>
    </i>
    <i>
      <x v="417"/>
      <x v="12"/>
      <x v="33"/>
      <x v="185"/>
      <x v="4"/>
    </i>
    <i r="1">
      <x v="14"/>
      <x v="9"/>
      <x v="39"/>
      <x v="5"/>
    </i>
    <i r="1">
      <x v="15"/>
      <x v="3"/>
      <x v="124"/>
      <x v="5"/>
    </i>
    <i r="3">
      <x v="160"/>
      <x v="5"/>
    </i>
    <i r="1">
      <x v="17"/>
      <x v="36"/>
      <x v="29"/>
      <x v="5"/>
    </i>
    <i r="3">
      <x v="134"/>
      <x v="5"/>
    </i>
    <i r="1">
      <x v="34"/>
      <x v="26"/>
      <x v="185"/>
      <x/>
    </i>
    <i t="sum">
      <x v="417"/>
    </i>
    <i>
      <x v="418"/>
      <x v="34"/>
      <x v="26"/>
      <x v="185"/>
      <x/>
    </i>
    <i r="1">
      <x v="46"/>
      <x v="25"/>
      <x v="69"/>
      <x/>
    </i>
    <i t="sum">
      <x v="418"/>
    </i>
    <i>
      <x v="419"/>
      <x v="5"/>
      <x v="21"/>
      <x v="177"/>
      <x v="4"/>
    </i>
    <i r="1">
      <x v="7"/>
      <x v="23"/>
      <x v="88"/>
      <x v="4"/>
    </i>
    <i r="3">
      <x v="136"/>
      <x v="4"/>
    </i>
    <i r="1">
      <x v="9"/>
      <x v="32"/>
      <x v="186"/>
      <x v="4"/>
    </i>
    <i t="sum">
      <x v="419"/>
    </i>
    <i>
      <x v="420"/>
      <x v="9"/>
      <x v="32"/>
      <x v="186"/>
      <x v="4"/>
    </i>
    <i r="1">
      <x v="14"/>
      <x v="9"/>
      <x v="39"/>
      <x v="5"/>
    </i>
    <i r="1">
      <x v="16"/>
      <x v="2"/>
      <x v="124"/>
      <x v="5"/>
    </i>
    <i r="1">
      <x v="18"/>
      <x v="1"/>
      <x v="158"/>
      <x v="5"/>
    </i>
    <i r="1">
      <x v="35"/>
      <x v="5"/>
      <x v="186"/>
      <x/>
    </i>
    <i t="sum">
      <x v="420"/>
    </i>
    <i>
      <x v="421"/>
      <x v="1"/>
      <x v="44"/>
      <x v="177"/>
      <x v="4"/>
    </i>
    <i r="1">
      <x v="5"/>
      <x v="21"/>
      <x v="177"/>
      <x v="4"/>
    </i>
    <i r="1">
      <x v="6"/>
      <x v="29"/>
      <x v="177"/>
      <x v="4"/>
    </i>
    <i t="sum">
      <x v="421"/>
    </i>
    <i>
      <x v="422"/>
      <x v="5"/>
      <x v="21"/>
      <x v="177"/>
      <x v="4"/>
    </i>
    <i r="1">
      <x v="6"/>
      <x v="29"/>
      <x v="53"/>
      <x v="4"/>
    </i>
    <i r="3">
      <x v="187"/>
      <x v="4"/>
    </i>
    <i r="1">
      <x v="10"/>
      <x v="30"/>
      <x v="188"/>
      <x v="4"/>
    </i>
    <i t="sum">
      <x v="422"/>
    </i>
    <i>
      <x v="423"/>
      <x v="10"/>
      <x v="30"/>
      <x v="188"/>
      <x v="4"/>
    </i>
    <i r="1">
      <x v="14"/>
      <x v="9"/>
      <x v="39"/>
      <x v="5"/>
    </i>
    <i r="1">
      <x v="20"/>
      <x/>
      <x v="27"/>
      <x v="5"/>
    </i>
    <i r="1">
      <x v="26"/>
      <x v="4"/>
      <x v="25"/>
      <x v="5"/>
    </i>
    <i r="1">
      <x v="36"/>
      <x v="34"/>
      <x v="188"/>
      <x/>
    </i>
    <i r="1">
      <x v="48"/>
      <x v="47"/>
      <x v="180"/>
      <x v="2"/>
    </i>
    <i r="3">
      <x v="189"/>
      <x v="2"/>
    </i>
    <i t="sum">
      <x v="423"/>
    </i>
    <i>
      <x v="424"/>
      <x v="5"/>
      <x v="21"/>
      <x v="177"/>
      <x v="4"/>
    </i>
    <i r="1">
      <x v="7"/>
      <x v="23"/>
      <x v="136"/>
      <x v="4"/>
    </i>
    <i r="1">
      <x v="9"/>
      <x v="32"/>
      <x v="190"/>
      <x v="4"/>
    </i>
    <i t="sum">
      <x v="424"/>
    </i>
    <i>
      <x v="425"/>
      <x v="9"/>
      <x v="32"/>
      <x v="190"/>
      <x v="4"/>
    </i>
    <i r="1">
      <x v="14"/>
      <x v="9"/>
      <x v="39"/>
      <x v="5"/>
    </i>
    <i r="1">
      <x v="16"/>
      <x v="2"/>
      <x v="124"/>
      <x v="5"/>
    </i>
    <i r="1">
      <x v="18"/>
      <x v="1"/>
      <x v="158"/>
      <x v="5"/>
    </i>
    <i r="1">
      <x v="35"/>
      <x v="5"/>
      <x v="191"/>
      <x/>
    </i>
    <i t="sum">
      <x v="425"/>
    </i>
    <i>
      <x v="426"/>
      <x v="5"/>
      <x v="21"/>
      <x v="177"/>
      <x v="4"/>
    </i>
    <i r="1">
      <x v="6"/>
      <x v="29"/>
      <x v="187"/>
      <x v="4"/>
    </i>
    <i r="1">
      <x v="7"/>
      <x v="23"/>
      <x v="136"/>
      <x v="4"/>
    </i>
    <i r="1">
      <x v="9"/>
      <x v="32"/>
      <x v="192"/>
      <x v="4"/>
    </i>
    <i t="sum">
      <x v="426"/>
    </i>
    <i>
      <x v="427"/>
      <x v="5"/>
      <x v="21"/>
      <x v="162"/>
      <x v="4"/>
    </i>
    <i r="3">
      <x v="193"/>
      <x v="4"/>
    </i>
    <i r="1">
      <x v="7"/>
      <x v="23"/>
      <x v="136"/>
      <x v="4"/>
    </i>
    <i r="1">
      <x v="9"/>
      <x v="32"/>
      <x v="194"/>
      <x v="4"/>
    </i>
    <i t="sum">
      <x v="427"/>
    </i>
    <i>
      <x v="428"/>
      <x v="2"/>
      <x v="43"/>
      <x v="136"/>
      <x v="4"/>
    </i>
    <i r="1">
      <x v="7"/>
      <x v="23"/>
      <x v="136"/>
      <x v="4"/>
    </i>
    <i r="1">
      <x v="8"/>
      <x v="24"/>
      <x v="136"/>
      <x v="4"/>
    </i>
    <i t="sum">
      <x v="428"/>
    </i>
    <i>
      <x v="429"/>
      <x v="1"/>
      <x v="44"/>
      <x v="177"/>
      <x v="4"/>
    </i>
    <i r="1">
      <x v="5"/>
      <x v="21"/>
      <x v="177"/>
      <x v="4"/>
    </i>
    <i r="1">
      <x v="6"/>
      <x v="29"/>
      <x v="177"/>
      <x v="4"/>
    </i>
    <i t="sum">
      <x v="429"/>
    </i>
    <i>
      <x v="430"/>
      <x v="1"/>
      <x v="44"/>
      <x v="182"/>
      <x v="4"/>
    </i>
    <i r="1">
      <x v="5"/>
      <x v="21"/>
      <x v="182"/>
      <x v="4"/>
    </i>
    <i t="sum">
      <x v="430"/>
    </i>
    <i>
      <x v="431"/>
      <x v="1"/>
      <x v="44"/>
      <x v="177"/>
      <x v="4"/>
    </i>
    <i r="1">
      <x v="5"/>
      <x v="21"/>
      <x v="177"/>
      <x v="4"/>
    </i>
    <i r="1">
      <x v="6"/>
      <x v="29"/>
      <x v="177"/>
      <x v="4"/>
    </i>
    <i t="sum">
      <x v="431"/>
    </i>
    <i>
      <x v="432"/>
      <x v="1"/>
      <x v="44"/>
      <x v="200"/>
      <x v="4"/>
    </i>
    <i r="1">
      <x v="5"/>
      <x v="21"/>
      <x v="200"/>
      <x v="4"/>
    </i>
    <i r="1">
      <x v="6"/>
      <x v="29"/>
      <x v="200"/>
      <x v="4"/>
    </i>
    <i t="sum">
      <x v="432"/>
    </i>
    <i>
      <x v="433"/>
      <x v="9"/>
      <x v="32"/>
      <x v="192"/>
      <x v="4"/>
    </i>
    <i r="1">
      <x v="14"/>
      <x v="9"/>
      <x v="39"/>
      <x v="5"/>
    </i>
    <i r="1">
      <x v="16"/>
      <x v="2"/>
      <x v="124"/>
      <x v="5"/>
    </i>
    <i r="1">
      <x v="18"/>
      <x v="1"/>
      <x v="158"/>
      <x v="5"/>
    </i>
    <i r="3">
      <x v="160"/>
      <x v="5"/>
    </i>
    <i r="1">
      <x v="35"/>
      <x v="5"/>
      <x v="201"/>
      <x/>
    </i>
    <i t="sum">
      <x v="433"/>
    </i>
    <i>
      <x v="434"/>
      <x v="9"/>
      <x v="32"/>
      <x v="194"/>
      <x v="4"/>
    </i>
    <i r="1">
      <x v="14"/>
      <x v="9"/>
      <x v="39"/>
      <x v="5"/>
    </i>
    <i r="1">
      <x v="16"/>
      <x v="2"/>
      <x v="124"/>
      <x v="5"/>
    </i>
    <i r="1">
      <x v="18"/>
      <x v="1"/>
      <x v="160"/>
      <x v="5"/>
    </i>
    <i r="1">
      <x v="35"/>
      <x v="5"/>
      <x v="202"/>
      <x/>
    </i>
    <i t="sum">
      <x v="434"/>
    </i>
    <i>
      <x v="435"/>
      <x v="5"/>
      <x v="21"/>
      <x v="193"/>
      <x v="4"/>
    </i>
    <i r="1">
      <x v="6"/>
      <x v="29"/>
      <x v="187"/>
      <x v="4"/>
    </i>
    <i r="3">
      <x v="203"/>
      <x v="4"/>
    </i>
    <i r="3">
      <x v="206"/>
      <x v="4"/>
    </i>
    <i r="1">
      <x v="7"/>
      <x v="23"/>
      <x v="136"/>
      <x v="4"/>
    </i>
    <i r="1">
      <x v="9"/>
      <x v="32"/>
      <x v="204"/>
      <x v="4"/>
    </i>
    <i t="sum">
      <x v="435"/>
    </i>
    <i>
      <x v="436"/>
      <x v="9"/>
      <x v="32"/>
      <x v="204"/>
      <x v="4"/>
    </i>
    <i r="1">
      <x v="14"/>
      <x v="9"/>
      <x v="39"/>
      <x v="5"/>
    </i>
    <i r="1">
      <x v="16"/>
      <x v="2"/>
      <x v="124"/>
      <x v="5"/>
    </i>
    <i r="1">
      <x v="18"/>
      <x v="1"/>
      <x v="160"/>
      <x v="5"/>
    </i>
    <i r="1">
      <x v="35"/>
      <x v="5"/>
      <x v="205"/>
      <x/>
    </i>
    <i t="sum">
      <x v="436"/>
    </i>
    <i>
      <x v="437"/>
      <x v="5"/>
      <x v="21"/>
      <x v="177"/>
      <x v="4"/>
    </i>
    <i r="1">
      <x v="6"/>
      <x v="29"/>
      <x v="203"/>
      <x v="4"/>
    </i>
    <i r="3">
      <x v="206"/>
      <x v="4"/>
    </i>
    <i r="1">
      <x v="7"/>
      <x v="23"/>
      <x v="136"/>
      <x v="4"/>
    </i>
    <i r="1">
      <x v="9"/>
      <x v="32"/>
      <x v="207"/>
      <x v="4"/>
    </i>
    <i t="sum">
      <x v="437"/>
    </i>
    <i>
      <x v="438"/>
      <x v="5"/>
      <x v="21"/>
      <x v="177"/>
      <x v="4"/>
    </i>
    <i r="1">
      <x v="6"/>
      <x v="29"/>
      <x v="206"/>
      <x v="4"/>
    </i>
    <i r="1">
      <x v="7"/>
      <x v="23"/>
      <x v="136"/>
      <x v="4"/>
    </i>
    <i r="1">
      <x v="9"/>
      <x v="32"/>
      <x v="208"/>
      <x v="4"/>
    </i>
    <i t="sum">
      <x v="438"/>
    </i>
    <i>
      <x v="439"/>
      <x v="5"/>
      <x v="21"/>
      <x v="182"/>
      <x v="4"/>
    </i>
    <i r="3">
      <x v="193"/>
      <x v="4"/>
    </i>
    <i r="1">
      <x v="7"/>
      <x v="23"/>
      <x v="136"/>
      <x v="4"/>
    </i>
    <i r="1">
      <x v="9"/>
      <x v="32"/>
      <x v="209"/>
      <x v="4"/>
    </i>
    <i t="sum">
      <x v="439"/>
    </i>
    <i>
      <x v="440"/>
      <x v="9"/>
      <x v="32"/>
      <x v="207"/>
      <x v="4"/>
    </i>
    <i r="1">
      <x v="14"/>
      <x v="9"/>
      <x v="39"/>
      <x v="5"/>
    </i>
    <i r="1">
      <x v="16"/>
      <x v="2"/>
      <x v="124"/>
      <x v="5"/>
    </i>
    <i r="1">
      <x v="18"/>
      <x v="1"/>
      <x v="160"/>
      <x v="5"/>
    </i>
    <i r="1">
      <x v="35"/>
      <x v="5"/>
      <x v="210"/>
      <x/>
    </i>
    <i t="sum">
      <x v="440"/>
    </i>
    <i>
      <x v="441"/>
      <x v="9"/>
      <x v="32"/>
      <x v="208"/>
      <x v="4"/>
    </i>
    <i r="1">
      <x v="14"/>
      <x v="9"/>
      <x v="39"/>
      <x v="5"/>
    </i>
    <i r="1">
      <x v="16"/>
      <x v="2"/>
      <x v="124"/>
      <x v="5"/>
    </i>
    <i r="3">
      <x v="146"/>
      <x v="5"/>
    </i>
    <i r="1">
      <x v="18"/>
      <x v="1"/>
      <x v="160"/>
      <x v="5"/>
    </i>
    <i r="1">
      <x v="35"/>
      <x v="5"/>
      <x v="211"/>
      <x/>
    </i>
    <i t="sum">
      <x v="441"/>
    </i>
    <i>
      <x v="442"/>
      <x v="9"/>
      <x v="32"/>
      <x v="209"/>
      <x v="4"/>
    </i>
    <i r="1">
      <x v="14"/>
      <x v="9"/>
      <x v="39"/>
      <x v="5"/>
    </i>
    <i r="3">
      <x v="54"/>
      <x v="5"/>
    </i>
    <i r="1">
      <x v="16"/>
      <x v="2"/>
      <x v="146"/>
      <x v="5"/>
    </i>
    <i r="1">
      <x v="18"/>
      <x v="1"/>
      <x v="160"/>
      <x v="5"/>
    </i>
    <i r="3">
      <x v="174"/>
      <x v="5"/>
    </i>
    <i r="1">
      <x v="35"/>
      <x v="5"/>
      <x v="212"/>
      <x/>
    </i>
    <i t="sum">
      <x v="442"/>
    </i>
    <i>
      <x v="443"/>
      <x v="2"/>
      <x v="43"/>
      <x v="136"/>
      <x v="4"/>
    </i>
    <i r="1">
      <x v="7"/>
      <x v="23"/>
      <x v="136"/>
      <x v="4"/>
    </i>
    <i r="1">
      <x v="8"/>
      <x v="24"/>
      <x v="136"/>
      <x v="4"/>
    </i>
    <i t="sum">
      <x v="443"/>
    </i>
    <i>
      <x v="444"/>
      <x v="5"/>
      <x v="21"/>
      <x v="177"/>
      <x v="4"/>
    </i>
    <i r="1">
      <x v="6"/>
      <x v="29"/>
      <x v="206"/>
      <x v="4"/>
    </i>
    <i r="3">
      <x v="216"/>
      <x v="4"/>
    </i>
    <i r="1">
      <x v="7"/>
      <x v="23"/>
      <x v="136"/>
      <x v="4"/>
    </i>
    <i r="1">
      <x v="8"/>
      <x v="24"/>
      <x v="51"/>
      <x v="4"/>
    </i>
    <i r="3">
      <x v="118"/>
      <x v="4"/>
    </i>
    <i r="1">
      <x v="11"/>
      <x v="31"/>
      <x v="185"/>
      <x v="4"/>
    </i>
    <i t="sum">
      <x v="444"/>
    </i>
    <i>
      <x v="445"/>
      <x v="5"/>
      <x v="21"/>
      <x v="177"/>
      <x v="4"/>
    </i>
    <i r="3">
      <x v="182"/>
      <x v="4"/>
    </i>
    <i r="1">
      <x v="6"/>
      <x v="29"/>
      <x v="216"/>
      <x v="4"/>
    </i>
    <i r="3">
      <x v="217"/>
      <x v="4"/>
    </i>
    <i r="1">
      <x v="7"/>
      <x v="23"/>
      <x v="136"/>
      <x v="4"/>
    </i>
    <i r="1">
      <x v="9"/>
      <x v="32"/>
      <x v="218"/>
      <x v="4"/>
    </i>
    <i t="sum">
      <x v="445"/>
    </i>
    <i>
      <x v="446"/>
      <x v="5"/>
      <x v="21"/>
      <x v="177"/>
      <x v="4"/>
    </i>
    <i r="1">
      <x v="6"/>
      <x v="29"/>
      <x v="217"/>
      <x v="4"/>
    </i>
    <i r="3">
      <x v="219"/>
      <x v="4"/>
    </i>
    <i r="1">
      <x v="7"/>
      <x v="23"/>
      <x v="136"/>
      <x v="4"/>
    </i>
    <i r="1">
      <x v="9"/>
      <x v="32"/>
      <x v="220"/>
      <x v="4"/>
    </i>
    <i t="sum">
      <x v="446"/>
    </i>
    <i>
      <x v="447"/>
      <x v="1"/>
      <x v="44"/>
      <x v="177"/>
      <x v="4"/>
    </i>
    <i r="3">
      <x v="200"/>
      <x v="4"/>
    </i>
    <i r="1">
      <x v="5"/>
      <x v="21"/>
      <x v="200"/>
      <x v="4"/>
    </i>
    <i r="1">
      <x v="6"/>
      <x v="29"/>
      <x v="200"/>
      <x v="4"/>
    </i>
    <i t="sum">
      <x v="447"/>
    </i>
    <i>
      <x v="448"/>
      <x v="9"/>
      <x v="32"/>
      <x v="218"/>
      <x v="4"/>
    </i>
    <i r="1">
      <x v="14"/>
      <x v="9"/>
      <x v="39"/>
      <x v="5"/>
    </i>
    <i r="1">
      <x v="16"/>
      <x v="2"/>
      <x v="146"/>
      <x v="5"/>
    </i>
    <i r="1">
      <x v="18"/>
      <x v="1"/>
      <x v="174"/>
      <x v="5"/>
    </i>
    <i r="1">
      <x v="35"/>
      <x v="5"/>
      <x v="221"/>
      <x/>
    </i>
    <i t="sum">
      <x v="448"/>
    </i>
    <i>
      <x v="449"/>
      <x v="1"/>
      <x v="44"/>
      <x v="182"/>
      <x v="4"/>
    </i>
    <i r="1">
      <x v="5"/>
      <x v="21"/>
      <x v="182"/>
      <x v="4"/>
    </i>
    <i t="sum">
      <x v="449"/>
    </i>
    <i>
      <x v="450"/>
      <x v="9"/>
      <x v="32"/>
      <x v="220"/>
      <x v="4"/>
    </i>
    <i r="1">
      <x v="14"/>
      <x v="9"/>
      <x v="39"/>
      <x v="5"/>
    </i>
    <i r="1">
      <x v="16"/>
      <x v="2"/>
      <x v="146"/>
      <x v="5"/>
    </i>
    <i r="1">
      <x v="18"/>
      <x v="1"/>
      <x v="174"/>
      <x v="5"/>
    </i>
    <i r="1">
      <x v="35"/>
      <x v="5"/>
      <x v="222"/>
      <x/>
    </i>
    <i t="sum">
      <x v="450"/>
    </i>
    <i>
      <x v="451"/>
      <x v="1"/>
      <x v="44"/>
      <x v="200"/>
      <x v="4"/>
    </i>
    <i r="1">
      <x v="5"/>
      <x v="21"/>
      <x v="200"/>
      <x v="4"/>
    </i>
    <i t="sum">
      <x v="451"/>
    </i>
    <i>
      <x v="452"/>
      <x v="5"/>
      <x v="21"/>
      <x v="177"/>
      <x v="4"/>
    </i>
    <i r="3">
      <x v="200"/>
      <x v="4"/>
    </i>
    <i r="1">
      <x v="6"/>
      <x v="29"/>
      <x v="226"/>
      <x v="4"/>
    </i>
    <i r="1">
      <x v="7"/>
      <x v="23"/>
      <x v="136"/>
      <x v="4"/>
    </i>
    <i r="1">
      <x v="9"/>
      <x v="32"/>
      <x v="227"/>
      <x v="4"/>
    </i>
    <i t="sum">
      <x v="452"/>
    </i>
    <i>
      <x v="453"/>
      <x v="9"/>
      <x v="32"/>
      <x v="227"/>
      <x v="4"/>
    </i>
    <i r="1">
      <x v="14"/>
      <x v="9"/>
      <x v="39"/>
      <x v="5"/>
    </i>
    <i r="1">
      <x v="16"/>
      <x v="2"/>
      <x v="146"/>
      <x v="5"/>
    </i>
    <i r="1">
      <x v="18"/>
      <x v="1"/>
      <x v="174"/>
      <x v="5"/>
    </i>
    <i r="1">
      <x v="35"/>
      <x v="5"/>
      <x v="228"/>
      <x/>
    </i>
    <i t="sum">
      <x v="453"/>
    </i>
    <i>
      <x v="454"/>
      <x v="5"/>
      <x v="21"/>
      <x v="182"/>
      <x v="4"/>
    </i>
    <i r="1">
      <x v="7"/>
      <x v="23"/>
      <x v="136"/>
      <x v="4"/>
    </i>
    <i r="1">
      <x v="9"/>
      <x v="32"/>
      <x v="229"/>
      <x v="4"/>
    </i>
    <i t="sum">
      <x v="454"/>
    </i>
    <i>
      <x v="455"/>
      <x v="9"/>
      <x v="32"/>
      <x v="229"/>
      <x v="4"/>
    </i>
    <i r="1">
      <x v="14"/>
      <x v="9"/>
      <x v="39"/>
      <x v="5"/>
    </i>
    <i r="1">
      <x v="16"/>
      <x v="2"/>
      <x v="146"/>
      <x v="5"/>
    </i>
    <i r="1">
      <x v="18"/>
      <x v="1"/>
      <x v="174"/>
      <x v="5"/>
    </i>
    <i r="1">
      <x v="35"/>
      <x v="5"/>
      <x v="230"/>
      <x/>
    </i>
    <i t="sum">
      <x v="455"/>
    </i>
    <i>
      <x v="456"/>
      <x v="2"/>
      <x v="43"/>
      <x v="136"/>
      <x v="4"/>
    </i>
    <i r="1">
      <x v="7"/>
      <x v="23"/>
      <x v="136"/>
      <x v="4"/>
    </i>
    <i t="sum">
      <x v="456"/>
    </i>
    <i>
      <x v="457"/>
      <x v="1"/>
      <x v="44"/>
      <x v="182"/>
      <x v="4"/>
    </i>
    <i r="1">
      <x v="5"/>
      <x v="21"/>
      <x v="182"/>
      <x v="4"/>
    </i>
    <i t="sum">
      <x v="457"/>
    </i>
    <i>
      <x v="458"/>
      <x v="5"/>
      <x v="21"/>
      <x v="182"/>
      <x v="4"/>
    </i>
    <i r="1">
      <x v="6"/>
      <x v="29"/>
      <x v="226"/>
      <x v="4"/>
    </i>
    <i r="1">
      <x v="7"/>
      <x v="23"/>
      <x v="136"/>
      <x v="4"/>
    </i>
    <i r="1">
      <x v="9"/>
      <x v="32"/>
      <x v="231"/>
      <x v="4"/>
    </i>
    <i t="sum">
      <x v="458"/>
    </i>
    <i>
      <x v="459"/>
      <x v="9"/>
      <x v="32"/>
      <x v="231"/>
      <x v="4"/>
    </i>
    <i r="1">
      <x v="14"/>
      <x v="9"/>
      <x v="39"/>
      <x v="5"/>
    </i>
    <i r="1">
      <x v="16"/>
      <x v="2"/>
      <x v="146"/>
      <x v="5"/>
    </i>
    <i r="3">
      <x v="160"/>
      <x v="5"/>
    </i>
    <i r="1">
      <x v="18"/>
      <x v="1"/>
      <x v="174"/>
      <x v="5"/>
    </i>
    <i r="3">
      <x v="196"/>
      <x v="5"/>
    </i>
    <i r="1">
      <x v="35"/>
      <x v="5"/>
      <x v="232"/>
      <x/>
    </i>
    <i t="sum">
      <x v="459"/>
    </i>
    <i>
      <x v="460"/>
      <x v="5"/>
      <x v="21"/>
      <x v="200"/>
      <x v="4"/>
    </i>
    <i r="1">
      <x v="6"/>
      <x v="29"/>
      <x v="226"/>
      <x v="4"/>
    </i>
    <i r="1">
      <x v="7"/>
      <x v="23"/>
      <x v="136"/>
      <x v="4"/>
    </i>
    <i r="1">
      <x v="9"/>
      <x v="32"/>
      <x v="233"/>
      <x v="4"/>
    </i>
    <i t="sum">
      <x v="460"/>
    </i>
    <i>
      <x v="461"/>
      <x v="5"/>
      <x v="21"/>
      <x v="182"/>
      <x v="4"/>
    </i>
    <i r="3">
      <x v="200"/>
      <x v="4"/>
    </i>
    <i r="1">
      <x v="7"/>
      <x v="23"/>
      <x v="136"/>
      <x v="4"/>
    </i>
    <i r="1">
      <x v="9"/>
      <x v="32"/>
      <x v="234"/>
      <x v="4"/>
    </i>
    <i t="sum">
      <x v="461"/>
    </i>
    <i>
      <x v="462"/>
      <x v="6"/>
      <x v="29"/>
      <x v="226"/>
      <x v="4"/>
    </i>
    <i r="1">
      <x v="8"/>
      <x v="24"/>
      <x v="118"/>
      <x v="4"/>
    </i>
    <i r="1">
      <x v="11"/>
      <x v="31"/>
      <x v="235"/>
      <x v="4"/>
    </i>
    <i t="sum">
      <x v="462"/>
    </i>
    <i>
      <x v="463"/>
      <x v="9"/>
      <x v="32"/>
      <x v="233"/>
      <x v="4"/>
    </i>
    <i r="1">
      <x v="14"/>
      <x v="9"/>
      <x v="39"/>
      <x v="5"/>
    </i>
    <i r="1">
      <x v="16"/>
      <x v="2"/>
      <x v="160"/>
      <x v="5"/>
    </i>
    <i r="1">
      <x v="18"/>
      <x v="1"/>
      <x v="196"/>
      <x v="5"/>
    </i>
    <i r="1">
      <x v="35"/>
      <x v="5"/>
      <x v="236"/>
      <x/>
    </i>
    <i t="sum">
      <x v="463"/>
    </i>
    <i>
      <x v="464"/>
      <x v="9"/>
      <x v="32"/>
      <x v="234"/>
      <x v="4"/>
    </i>
    <i r="1">
      <x v="14"/>
      <x v="9"/>
      <x v="39"/>
      <x v="5"/>
    </i>
    <i r="3">
      <x v="54"/>
      <x v="5"/>
    </i>
    <i r="1">
      <x v="16"/>
      <x v="2"/>
      <x v="160"/>
      <x v="5"/>
    </i>
    <i r="1">
      <x v="18"/>
      <x v="1"/>
      <x v="196"/>
      <x v="5"/>
    </i>
    <i r="1">
      <x v="35"/>
      <x v="5"/>
      <x v="237"/>
      <x/>
    </i>
    <i t="sum">
      <x v="464"/>
    </i>
    <i>
      <x v="465"/>
      <x v="11"/>
      <x v="31"/>
      <x v="235"/>
      <x v="4"/>
    </i>
    <i r="1">
      <x v="14"/>
      <x v="9"/>
      <x v="54"/>
      <x v="5"/>
    </i>
    <i r="1">
      <x v="20"/>
      <x/>
      <x v="27"/>
      <x v="5"/>
    </i>
    <i r="3">
      <x v="196"/>
      <x v="5"/>
    </i>
    <i r="1">
      <x v="26"/>
      <x v="4"/>
      <x v="25"/>
      <x v="5"/>
    </i>
    <i r="1">
      <x v="45"/>
      <x v="28"/>
      <x v="238"/>
      <x/>
    </i>
    <i t="sum">
      <x v="465"/>
    </i>
    <i>
      <x v="466"/>
      <x v="34"/>
      <x v="26"/>
      <x v="69"/>
      <x/>
    </i>
    <i r="1">
      <x v="46"/>
      <x v="25"/>
      <x v="69"/>
      <x/>
    </i>
    <i t="sum">
      <x v="466"/>
    </i>
    <i>
      <x v="467"/>
      <x v="1"/>
      <x v="44"/>
      <x v="241"/>
      <x v="4"/>
    </i>
    <i r="1">
      <x v="5"/>
      <x v="21"/>
      <x v="241"/>
      <x v="4"/>
    </i>
    <i t="sum">
      <x v="467"/>
    </i>
    <i>
      <x v="468"/>
      <x v="2"/>
      <x v="43"/>
      <x v="136"/>
      <x v="4"/>
    </i>
    <i r="1">
      <x v="7"/>
      <x v="23"/>
      <x v="136"/>
      <x v="4"/>
    </i>
    <i t="sum">
      <x v="468"/>
    </i>
    <i>
      <x v="469"/>
      <x v="1"/>
      <x v="44"/>
      <x v="63"/>
      <x v="4"/>
    </i>
    <i r="1">
      <x v="5"/>
      <x v="21"/>
      <x v="63"/>
      <x v="4"/>
    </i>
    <i r="1">
      <x v="6"/>
      <x v="29"/>
      <x v="63"/>
      <x v="4"/>
    </i>
    <i t="sum">
      <x v="469"/>
    </i>
    <i>
      <x v="470"/>
      <x v="34"/>
      <x v="26"/>
      <x v="69"/>
      <x/>
    </i>
    <i r="1">
      <x v="46"/>
      <x v="25"/>
      <x v="69"/>
      <x/>
    </i>
    <i t="sum">
      <x v="470"/>
    </i>
    <i>
      <x v="471"/>
      <x v="34"/>
      <x v="26"/>
      <x v="185"/>
      <x/>
    </i>
    <i r="1">
      <x v="46"/>
      <x v="25"/>
      <x v="185"/>
      <x/>
    </i>
    <i t="sum">
      <x v="471"/>
    </i>
    <i>
      <x v="472"/>
      <x v="5"/>
      <x v="21"/>
      <x v="241"/>
      <x v="4"/>
    </i>
    <i r="1">
      <x v="7"/>
      <x v="23"/>
      <x v="136"/>
      <x v="4"/>
    </i>
    <i r="1">
      <x v="9"/>
      <x v="32"/>
      <x v="242"/>
      <x v="4"/>
    </i>
    <i t="sum">
      <x v="472"/>
    </i>
    <i>
      <x v="473"/>
      <x v="5"/>
      <x v="21"/>
      <x v="241"/>
      <x v="4"/>
    </i>
    <i r="1">
      <x v="7"/>
      <x v="23"/>
      <x v="136"/>
      <x v="4"/>
    </i>
    <i r="1">
      <x v="9"/>
      <x v="32"/>
      <x v="243"/>
      <x v="4"/>
    </i>
    <i t="sum">
      <x v="473"/>
    </i>
    <i>
      <x v="474"/>
      <x v="5"/>
      <x v="21"/>
      <x v="241"/>
      <x v="4"/>
    </i>
    <i r="1">
      <x v="7"/>
      <x v="23"/>
      <x v="136"/>
      <x v="4"/>
    </i>
    <i r="1">
      <x v="9"/>
      <x v="32"/>
      <x v="244"/>
      <x v="4"/>
    </i>
    <i t="sum">
      <x v="474"/>
    </i>
    <i>
      <x v="475"/>
      <x v="5"/>
      <x v="21"/>
      <x v="63"/>
      <x v="4"/>
    </i>
    <i r="3">
      <x v="241"/>
      <x v="4"/>
    </i>
    <i r="1">
      <x v="7"/>
      <x v="23"/>
      <x v="136"/>
      <x v="4"/>
    </i>
    <i r="1">
      <x v="9"/>
      <x v="32"/>
      <x v="245"/>
      <x v="4"/>
    </i>
    <i t="sum">
      <x v="475"/>
    </i>
    <i>
      <x v="476"/>
      <x v="5"/>
      <x v="21"/>
      <x v="63"/>
      <x v="4"/>
    </i>
    <i r="1">
      <x v="7"/>
      <x v="23"/>
      <x v="136"/>
      <x v="4"/>
    </i>
    <i r="1">
      <x v="9"/>
      <x v="32"/>
      <x v="246"/>
      <x v="4"/>
    </i>
    <i t="sum">
      <x v="476"/>
    </i>
    <i>
      <x v="477"/>
      <x v="5"/>
      <x v="21"/>
      <x v="63"/>
      <x v="4"/>
    </i>
    <i r="1">
      <x v="7"/>
      <x v="23"/>
      <x v="136"/>
      <x v="4"/>
    </i>
    <i r="1">
      <x v="9"/>
      <x v="32"/>
      <x v="247"/>
      <x v="4"/>
    </i>
    <i t="sum">
      <x v="477"/>
    </i>
    <i>
      <x v="478"/>
      <x v="9"/>
      <x v="32"/>
      <x v="242"/>
      <x v="4"/>
    </i>
    <i r="1">
      <x v="14"/>
      <x v="9"/>
      <x v="39"/>
      <x v="5"/>
    </i>
    <i r="1">
      <x v="16"/>
      <x v="2"/>
      <x v="160"/>
      <x v="5"/>
    </i>
    <i r="1">
      <x v="18"/>
      <x v="1"/>
      <x v="196"/>
      <x v="5"/>
    </i>
    <i r="1">
      <x v="35"/>
      <x v="5"/>
      <x v="248"/>
      <x/>
    </i>
    <i t="sum">
      <x v="478"/>
    </i>
    <i>
      <x v="479"/>
      <x v="9"/>
      <x v="32"/>
      <x v="243"/>
      <x v="4"/>
    </i>
    <i r="1">
      <x v="14"/>
      <x v="9"/>
      <x v="39"/>
      <x v="5"/>
    </i>
    <i r="3">
      <x v="54"/>
      <x v="5"/>
    </i>
    <i r="1">
      <x v="16"/>
      <x v="2"/>
      <x v="160"/>
      <x v="5"/>
    </i>
    <i r="1">
      <x v="18"/>
      <x v="1"/>
      <x v="196"/>
      <x v="5"/>
    </i>
    <i r="1">
      <x v="35"/>
      <x v="5"/>
      <x v="249"/>
      <x/>
    </i>
    <i t="sum">
      <x v="479"/>
    </i>
    <i>
      <x v="480"/>
      <x v="9"/>
      <x v="32"/>
      <x v="244"/>
      <x v="4"/>
    </i>
    <i r="1">
      <x v="14"/>
      <x v="9"/>
      <x v="54"/>
      <x v="5"/>
    </i>
    <i r="1">
      <x v="16"/>
      <x v="2"/>
      <x v="160"/>
      <x v="5"/>
    </i>
    <i r="1">
      <x v="18"/>
      <x v="1"/>
      <x v="196"/>
      <x v="5"/>
    </i>
    <i r="3">
      <x v="215"/>
      <x v="5"/>
    </i>
    <i r="1">
      <x v="35"/>
      <x v="5"/>
      <x v="250"/>
      <x/>
    </i>
    <i t="sum">
      <x v="480"/>
    </i>
    <i>
      <x v="481"/>
      <x v="9"/>
      <x v="32"/>
      <x v="245"/>
      <x v="4"/>
    </i>
    <i r="1">
      <x v="14"/>
      <x v="9"/>
      <x v="54"/>
      <x v="5"/>
    </i>
    <i r="1">
      <x v="16"/>
      <x v="2"/>
      <x v="160"/>
      <x v="5"/>
    </i>
    <i r="1">
      <x v="18"/>
      <x v="1"/>
      <x v="215"/>
      <x v="5"/>
    </i>
    <i r="1">
      <x v="35"/>
      <x v="5"/>
      <x v="251"/>
      <x/>
    </i>
    <i t="sum">
      <x v="481"/>
    </i>
    <i>
      <x v="482"/>
      <x v="9"/>
      <x v="32"/>
      <x v="246"/>
      <x v="4"/>
    </i>
    <i r="1">
      <x v="14"/>
      <x v="9"/>
      <x v="54"/>
      <x v="5"/>
    </i>
    <i r="1">
      <x v="16"/>
      <x v="2"/>
      <x v="160"/>
      <x v="5"/>
    </i>
    <i r="3">
      <x v="174"/>
      <x v="5"/>
    </i>
    <i r="1">
      <x v="18"/>
      <x v="1"/>
      <x v="215"/>
      <x v="5"/>
    </i>
    <i r="1">
      <x v="35"/>
      <x v="5"/>
      <x v="252"/>
      <x/>
    </i>
    <i t="sum">
      <x v="482"/>
    </i>
    <i>
      <x v="483"/>
      <x v="9"/>
      <x v="32"/>
      <x v="247"/>
      <x v="4"/>
    </i>
    <i r="1">
      <x v="14"/>
      <x v="9"/>
      <x v="54"/>
      <x v="5"/>
    </i>
    <i r="1">
      <x v="16"/>
      <x v="2"/>
      <x v="174"/>
      <x v="5"/>
    </i>
    <i r="1">
      <x v="18"/>
      <x v="1"/>
      <x v="215"/>
      <x v="5"/>
    </i>
    <i r="1">
      <x v="35"/>
      <x v="5"/>
      <x v="253"/>
      <x/>
    </i>
    <i t="sum">
      <x v="483"/>
    </i>
    <i>
      <x v="484"/>
      <x v="2"/>
      <x v="43"/>
      <x v="136"/>
      <x v="4"/>
    </i>
    <i r="3">
      <x v="254"/>
      <x v="4"/>
    </i>
    <i r="1">
      <x v="7"/>
      <x v="23"/>
      <x v="254"/>
      <x v="4"/>
    </i>
    <i t="sum">
      <x v="484"/>
    </i>
    <i>
      <x v="485"/>
      <x v="1"/>
      <x v="44"/>
      <x v="63"/>
      <x v="4"/>
    </i>
    <i r="1">
      <x v="5"/>
      <x v="21"/>
      <x v="63"/>
      <x v="4"/>
    </i>
    <i r="1">
      <x v="6"/>
      <x v="29"/>
      <x v="63"/>
      <x v="4"/>
    </i>
    <i t="sum">
      <x v="485"/>
    </i>
    <i>
      <x v="486"/>
      <x v="5"/>
      <x v="21"/>
      <x v="63"/>
      <x v="4"/>
    </i>
    <i r="1">
      <x v="7"/>
      <x v="23"/>
      <x v="136"/>
      <x v="4"/>
    </i>
    <i r="3">
      <x v="254"/>
      <x v="4"/>
    </i>
    <i r="1">
      <x v="9"/>
      <x v="32"/>
      <x v="255"/>
      <x v="4"/>
    </i>
    <i t="sum">
      <x v="486"/>
    </i>
    <i>
      <x v="487"/>
      <x v="9"/>
      <x v="32"/>
      <x v="255"/>
      <x v="4"/>
    </i>
    <i r="1">
      <x v="14"/>
      <x v="9"/>
      <x v="54"/>
      <x v="5"/>
    </i>
    <i r="1">
      <x v="16"/>
      <x v="2"/>
      <x v="174"/>
      <x v="5"/>
    </i>
    <i r="1">
      <x v="18"/>
      <x v="1"/>
      <x v="215"/>
      <x v="5"/>
    </i>
    <i r="1">
      <x v="35"/>
      <x v="5"/>
      <x v="256"/>
      <x/>
    </i>
    <i t="sum">
      <x v="487"/>
    </i>
    <i>
      <x v="488"/>
      <x v="5"/>
      <x v="21"/>
      <x v="63"/>
      <x v="4"/>
    </i>
    <i r="1">
      <x v="7"/>
      <x v="23"/>
      <x v="254"/>
      <x v="4"/>
    </i>
    <i r="1">
      <x v="9"/>
      <x v="32"/>
      <x v="259"/>
      <x v="4"/>
    </i>
    <i t="sum">
      <x v="488"/>
    </i>
    <i>
      <x v="489"/>
      <x v="9"/>
      <x v="32"/>
      <x v="259"/>
      <x v="4"/>
    </i>
    <i r="1">
      <x v="14"/>
      <x v="9"/>
      <x v="54"/>
      <x v="5"/>
    </i>
    <i r="1">
      <x v="16"/>
      <x v="2"/>
      <x v="174"/>
      <x v="5"/>
    </i>
    <i r="1">
      <x v="18"/>
      <x v="1"/>
      <x v="215"/>
      <x v="5"/>
    </i>
    <i r="3">
      <x v="225"/>
      <x v="5"/>
    </i>
    <i r="1">
      <x v="35"/>
      <x v="5"/>
      <x v="260"/>
      <x/>
    </i>
    <i t="sum">
      <x v="489"/>
    </i>
    <i>
      <x v="490"/>
      <x v="1"/>
      <x v="44"/>
      <x v="161"/>
      <x v="4"/>
    </i>
    <i r="1">
      <x v="5"/>
      <x v="21"/>
      <x v="161"/>
      <x v="4"/>
    </i>
    <i t="sum">
      <x v="490"/>
    </i>
    <i t="grand">
      <x/>
    </i>
  </rowItems>
  <colFields count="1">
    <field x="-2"/>
  </colFields>
  <colItems count="2">
    <i>
      <x/>
    </i>
    <i i="1">
      <x v="1"/>
    </i>
  </colItems>
  <pageFields count="1">
    <pageField fld="33" hier="-1"/>
  </pageFields>
  <dataFields count="2">
    <dataField name="Sum of Quantity in UnE" fld="26" baseField="0" baseItem="0"/>
    <dataField name="Sum of Amt.in Loc.Cur." fld="27" baseField="0" baseItem="0"/>
  </dataFields>
  <formats count="1445">
    <format dxfId="1444">
      <pivotArea type="all" dataOnly="0" outline="0" fieldPosition="0"/>
    </format>
    <format dxfId="1443">
      <pivotArea outline="0" collapsedLevelsAreSubtotals="1" fieldPosition="0"/>
    </format>
    <format dxfId="1442">
      <pivotArea field="8" type="button" dataOnly="0" labelOnly="1" outline="0" axis="axisRow" fieldPosition="0"/>
    </format>
    <format dxfId="1441">
      <pivotArea field="0" type="button" dataOnly="0" labelOnly="1" outline="0" axis="axisRow" fieldPosition="1"/>
    </format>
    <format dxfId="1440">
      <pivotArea field="1" type="button" dataOnly="0" labelOnly="1" outline="0" axis="axisRow" fieldPosition="2"/>
    </format>
    <format dxfId="1439">
      <pivotArea field="7" type="button" dataOnly="0" labelOnly="1" outline="0" axis="axisRow" fieldPosition="3"/>
    </format>
    <format dxfId="1438">
      <pivotArea field="25" type="button" dataOnly="0" labelOnly="1" outline="0" axis="axisRow" fieldPosition="4"/>
    </format>
    <format dxfId="1437">
      <pivotArea dataOnly="0" labelOnly="1" fieldPosition="0">
        <references count="1">
          <reference field="8" count="25"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</reference>
        </references>
      </pivotArea>
    </format>
    <format dxfId="1436">
      <pivotArea dataOnly="0" labelOnly="1" fieldPosition="0">
        <references count="1">
          <reference field="8" count="25" sumSubtotal="1"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</reference>
        </references>
      </pivotArea>
    </format>
    <format dxfId="1435">
      <pivotArea dataOnly="0" labelOnly="1" fieldPosition="0">
        <references count="1">
          <reference field="8" count="25">
            <x v="183"/>
            <x v="184"/>
            <x v="185"/>
            <x v="186"/>
            <x v="187"/>
            <x v="188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</reference>
        </references>
      </pivotArea>
    </format>
    <format dxfId="1434">
      <pivotArea dataOnly="0" labelOnly="1" fieldPosition="0">
        <references count="1">
          <reference field="8" count="25" sumSubtotal="1">
            <x v="183"/>
            <x v="184"/>
            <x v="185"/>
            <x v="186"/>
            <x v="187"/>
            <x v="188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</reference>
        </references>
      </pivotArea>
    </format>
    <format dxfId="1433">
      <pivotArea dataOnly="0" labelOnly="1" fieldPosition="0">
        <references count="1">
          <reference field="8" count="4">
            <x v="302"/>
            <x v="320"/>
            <x v="321"/>
            <x v="322"/>
          </reference>
        </references>
      </pivotArea>
    </format>
    <format dxfId="1432">
      <pivotArea dataOnly="0" labelOnly="1" fieldPosition="0">
        <references count="1">
          <reference field="8" count="4" sumSubtotal="1">
            <x v="302"/>
            <x v="320"/>
            <x v="321"/>
            <x v="322"/>
          </reference>
        </references>
      </pivotArea>
    </format>
    <format dxfId="1431">
      <pivotArea dataOnly="0" labelOnly="1" grandRow="1" outline="0" fieldPosition="0"/>
    </format>
    <format dxfId="1430">
      <pivotArea dataOnly="0" labelOnly="1" fieldPosition="0">
        <references count="2">
          <reference field="0" count="4">
            <x v="1"/>
            <x v="4"/>
            <x v="5"/>
            <x v="6"/>
          </reference>
          <reference field="8" count="1" selected="0">
            <x v="62"/>
          </reference>
        </references>
      </pivotArea>
    </format>
    <format dxfId="1429">
      <pivotArea dataOnly="0" labelOnly="1" fieldPosition="0">
        <references count="2">
          <reference field="0" count="3">
            <x v="2"/>
            <x v="7"/>
            <x v="8"/>
          </reference>
          <reference field="8" count="1" selected="0">
            <x v="63"/>
          </reference>
        </references>
      </pivotArea>
    </format>
    <format dxfId="1428">
      <pivotArea dataOnly="0" labelOnly="1" fieldPosition="0">
        <references count="2">
          <reference field="0" count="3">
            <x v="1"/>
            <x v="4"/>
            <x v="5"/>
          </reference>
          <reference field="8" count="1" selected="0">
            <x v="64"/>
          </reference>
        </references>
      </pivotArea>
    </format>
    <format dxfId="1427">
      <pivotArea dataOnly="0" labelOnly="1" fieldPosition="0">
        <references count="2">
          <reference field="0" count="3">
            <x v="2"/>
            <x v="7"/>
            <x v="8"/>
          </reference>
          <reference field="8" count="1" selected="0">
            <x v="65"/>
          </reference>
        </references>
      </pivotArea>
    </format>
    <format dxfId="1426">
      <pivotArea dataOnly="0" labelOnly="1" fieldPosition="0">
        <references count="2">
          <reference field="0" count="3">
            <x v="1"/>
            <x v="4"/>
            <x v="5"/>
          </reference>
          <reference field="8" count="1" selected="0">
            <x v="66"/>
          </reference>
        </references>
      </pivotArea>
    </format>
    <format dxfId="1425">
      <pivotArea dataOnly="0" labelOnly="1" fieldPosition="0">
        <references count="2">
          <reference field="0" count="3">
            <x v="1"/>
            <x v="4"/>
            <x v="5"/>
          </reference>
          <reference field="8" count="1" selected="0">
            <x v="67"/>
          </reference>
        </references>
      </pivotArea>
    </format>
    <format dxfId="1424">
      <pivotArea dataOnly="0" labelOnly="1" fieldPosition="0">
        <references count="2">
          <reference field="0" count="3">
            <x v="2"/>
            <x v="7"/>
            <x v="8"/>
          </reference>
          <reference field="8" count="1" selected="0">
            <x v="68"/>
          </reference>
        </references>
      </pivotArea>
    </format>
    <format dxfId="1423">
      <pivotArea dataOnly="0" labelOnly="1" fieldPosition="0">
        <references count="2">
          <reference field="0" count="4">
            <x v="1"/>
            <x v="4"/>
            <x v="5"/>
            <x v="6"/>
          </reference>
          <reference field="8" count="1" selected="0">
            <x v="69"/>
          </reference>
        </references>
      </pivotArea>
    </format>
    <format dxfId="1422">
      <pivotArea dataOnly="0" labelOnly="1" fieldPosition="0">
        <references count="2">
          <reference field="0" count="3">
            <x v="2"/>
            <x v="7"/>
            <x v="8"/>
          </reference>
          <reference field="8" count="1" selected="0">
            <x v="70"/>
          </reference>
        </references>
      </pivotArea>
    </format>
    <format dxfId="1421">
      <pivotArea dataOnly="0" labelOnly="1" fieldPosition="0">
        <references count="2">
          <reference field="0" count="4">
            <x v="1"/>
            <x v="4"/>
            <x v="5"/>
            <x v="6"/>
          </reference>
          <reference field="8" count="1" selected="0">
            <x v="71"/>
          </reference>
        </references>
      </pivotArea>
    </format>
    <format dxfId="1420">
      <pivotArea dataOnly="0" labelOnly="1" fieldPosition="0">
        <references count="2">
          <reference field="0" count="4">
            <x v="1"/>
            <x v="4"/>
            <x v="5"/>
            <x v="6"/>
          </reference>
          <reference field="8" count="1" selected="0">
            <x v="72"/>
          </reference>
        </references>
      </pivotArea>
    </format>
    <format dxfId="1419">
      <pivotArea dataOnly="0" labelOnly="1" fieldPosition="0">
        <references count="2">
          <reference field="0" count="3">
            <x v="2"/>
            <x v="7"/>
            <x v="8"/>
          </reference>
          <reference field="8" count="1" selected="0">
            <x v="73"/>
          </reference>
        </references>
      </pivotArea>
    </format>
    <format dxfId="1418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70"/>
          </reference>
        </references>
      </pivotArea>
    </format>
    <format dxfId="1417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71"/>
          </reference>
        </references>
      </pivotArea>
    </format>
    <format dxfId="1416">
      <pivotArea dataOnly="0" labelOnly="1" fieldPosition="0">
        <references count="2">
          <reference field="0" count="4">
            <x v="5"/>
            <x v="6"/>
            <x v="7"/>
            <x v="9"/>
          </reference>
          <reference field="8" count="1" selected="0">
            <x v="172"/>
          </reference>
        </references>
      </pivotArea>
    </format>
    <format dxfId="1415">
      <pivotArea dataOnly="0" labelOnly="1" fieldPosition="0">
        <references count="2">
          <reference field="0" count="4">
            <x v="5"/>
            <x v="6"/>
            <x v="7"/>
            <x v="9"/>
          </reference>
          <reference field="8" count="1" selected="0">
            <x v="173"/>
          </reference>
        </references>
      </pivotArea>
    </format>
    <format dxfId="1414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74"/>
          </reference>
        </references>
      </pivotArea>
    </format>
    <format dxfId="1413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75"/>
          </reference>
        </references>
      </pivotArea>
    </format>
    <format dxfId="1412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76"/>
          </reference>
        </references>
      </pivotArea>
    </format>
    <format dxfId="1411">
      <pivotArea dataOnly="0" labelOnly="1" fieldPosition="0">
        <references count="2">
          <reference field="0" count="4">
            <x v="4"/>
            <x v="5"/>
            <x v="7"/>
            <x v="12"/>
          </reference>
          <reference field="8" count="1" selected="0">
            <x v="177"/>
          </reference>
        </references>
      </pivotArea>
    </format>
    <format dxfId="1410">
      <pivotArea dataOnly="0" labelOnly="1" fieldPosition="0">
        <references count="2">
          <reference field="0" count="5">
            <x v="4"/>
            <x v="5"/>
            <x v="6"/>
            <x v="7"/>
            <x v="9"/>
          </reference>
          <reference field="8" count="1" selected="0">
            <x v="178"/>
          </reference>
        </references>
      </pivotArea>
    </format>
    <format dxfId="1409">
      <pivotArea dataOnly="0" labelOnly="1" fieldPosition="0">
        <references count="2">
          <reference field="0" count="4">
            <x v="5"/>
            <x v="6"/>
            <x v="7"/>
            <x v="9"/>
          </reference>
          <reference field="8" count="1" selected="0">
            <x v="179"/>
          </reference>
        </references>
      </pivotArea>
    </format>
    <format dxfId="1408">
      <pivotArea dataOnly="0" labelOnly="1" fieldPosition="0">
        <references count="2">
          <reference field="0" count="5">
            <x v="4"/>
            <x v="5"/>
            <x v="6"/>
            <x v="7"/>
            <x v="9"/>
          </reference>
          <reference field="8" count="1" selected="0">
            <x v="180"/>
          </reference>
        </references>
      </pivotArea>
    </format>
    <format dxfId="1407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81"/>
          </reference>
        </references>
      </pivotArea>
    </format>
    <format dxfId="1406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82"/>
          </reference>
        </references>
      </pivotArea>
    </format>
    <format dxfId="1405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83"/>
          </reference>
        </references>
      </pivotArea>
    </format>
    <format dxfId="1404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84"/>
          </reference>
        </references>
      </pivotArea>
    </format>
    <format dxfId="1403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85"/>
          </reference>
        </references>
      </pivotArea>
    </format>
    <format dxfId="1402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86"/>
          </reference>
        </references>
      </pivotArea>
    </format>
    <format dxfId="1401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87"/>
          </reference>
        </references>
      </pivotArea>
    </format>
    <format dxfId="1400">
      <pivotArea dataOnly="0" labelOnly="1" fieldPosition="0">
        <references count="2">
          <reference field="0" count="3">
            <x v="6"/>
            <x v="8"/>
            <x v="11"/>
          </reference>
          <reference field="8" count="1" selected="0">
            <x v="188"/>
          </reference>
        </references>
      </pivotArea>
    </format>
    <format dxfId="1399">
      <pivotArea dataOnly="0" labelOnly="1" fieldPosition="0">
        <references count="2">
          <reference field="0" count="4">
            <x v="10"/>
            <x v="20"/>
            <x v="30"/>
            <x v="42"/>
          </reference>
          <reference field="8" count="1" selected="0">
            <x v="283"/>
          </reference>
        </references>
      </pivotArea>
    </format>
    <format dxfId="1398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84"/>
          </reference>
        </references>
      </pivotArea>
    </format>
    <format dxfId="1397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85"/>
          </reference>
        </references>
      </pivotArea>
    </format>
    <format dxfId="1396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86"/>
          </reference>
        </references>
      </pivotArea>
    </format>
    <format dxfId="1395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87"/>
          </reference>
        </references>
      </pivotArea>
    </format>
    <format dxfId="1394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88"/>
          </reference>
        </references>
      </pivotArea>
    </format>
    <format dxfId="1393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89"/>
          </reference>
        </references>
      </pivotArea>
    </format>
    <format dxfId="1392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90"/>
          </reference>
        </references>
      </pivotArea>
    </format>
    <format dxfId="1391">
      <pivotArea dataOnly="0" labelOnly="1" fieldPosition="0">
        <references count="2">
          <reference field="0" count="5">
            <x v="12"/>
            <x v="14"/>
            <x v="15"/>
            <x v="17"/>
            <x v="34"/>
          </reference>
          <reference field="8" count="1" selected="0">
            <x v="291"/>
          </reference>
        </references>
      </pivotArea>
    </format>
    <format dxfId="1390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92"/>
          </reference>
        </references>
      </pivotArea>
    </format>
    <format dxfId="1389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93"/>
          </reference>
        </references>
      </pivotArea>
    </format>
    <format dxfId="1388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94"/>
          </reference>
        </references>
      </pivotArea>
    </format>
    <format dxfId="1387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95"/>
          </reference>
        </references>
      </pivotArea>
    </format>
    <format dxfId="1386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96"/>
          </reference>
        </references>
      </pivotArea>
    </format>
    <format dxfId="1385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97"/>
          </reference>
        </references>
      </pivotArea>
    </format>
    <format dxfId="1384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98"/>
          </reference>
        </references>
      </pivotArea>
    </format>
    <format dxfId="1383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99"/>
          </reference>
        </references>
      </pivotArea>
    </format>
    <format dxfId="1382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300"/>
          </reference>
        </references>
      </pivotArea>
    </format>
    <format dxfId="1381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301"/>
          </reference>
        </references>
      </pivotArea>
    </format>
    <format dxfId="1380">
      <pivotArea dataOnly="0" labelOnly="1" fieldPosition="0">
        <references count="2">
          <reference field="0" count="5">
            <x v="11"/>
            <x v="14"/>
            <x v="20"/>
            <x v="26"/>
            <x v="45"/>
          </reference>
          <reference field="8" count="1" selected="0">
            <x v="302"/>
          </reference>
        </references>
      </pivotArea>
    </format>
    <format dxfId="1379">
      <pivotArea dataOnly="0" labelOnly="1" fieldPosition="0">
        <references count="2">
          <reference field="0" count="2">
            <x v="34"/>
            <x v="46"/>
          </reference>
          <reference field="8" count="1" selected="0">
            <x v="320"/>
          </reference>
        </references>
      </pivotArea>
    </format>
    <format dxfId="1378">
      <pivotArea dataOnly="0" labelOnly="1" fieldPosition="0">
        <references count="2">
          <reference field="0" count="2">
            <x v="34"/>
            <x v="46"/>
          </reference>
          <reference field="8" count="1" selected="0">
            <x v="321"/>
          </reference>
        </references>
      </pivotArea>
    </format>
    <format dxfId="1377">
      <pivotArea dataOnly="0" labelOnly="1" fieldPosition="0">
        <references count="2">
          <reference field="0" count="2">
            <x v="33"/>
            <x v="42"/>
          </reference>
          <reference field="8" count="1" selected="0">
            <x v="322"/>
          </reference>
        </references>
      </pivotArea>
    </format>
    <format dxfId="1376">
      <pivotArea dataOnly="0" labelOnly="1" fieldPosition="0">
        <references count="3">
          <reference field="0" count="1" selected="0">
            <x v="1"/>
          </reference>
          <reference field="1" count="1">
            <x v="44"/>
          </reference>
          <reference field="8" count="1" selected="0">
            <x v="62"/>
          </reference>
        </references>
      </pivotArea>
    </format>
    <format dxfId="1375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62"/>
          </reference>
        </references>
      </pivotArea>
    </format>
    <format dxfId="1374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62"/>
          </reference>
        </references>
      </pivotArea>
    </format>
    <format dxfId="1373">
      <pivotArea dataOnly="0" labelOnly="1" fieldPosition="0">
        <references count="3">
          <reference field="0" count="1" selected="0">
            <x v="6"/>
          </reference>
          <reference field="1" count="1">
            <x v="29"/>
          </reference>
          <reference field="8" count="1" selected="0">
            <x v="62"/>
          </reference>
        </references>
      </pivotArea>
    </format>
    <format dxfId="1372">
      <pivotArea dataOnly="0" labelOnly="1" fieldPosition="0">
        <references count="3">
          <reference field="0" count="1" selected="0">
            <x v="2"/>
          </reference>
          <reference field="1" count="1">
            <x v="43"/>
          </reference>
          <reference field="8" count="1" selected="0">
            <x v="63"/>
          </reference>
        </references>
      </pivotArea>
    </format>
    <format dxfId="1371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63"/>
          </reference>
        </references>
      </pivotArea>
    </format>
    <format dxfId="1370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63"/>
          </reference>
        </references>
      </pivotArea>
    </format>
    <format dxfId="1369">
      <pivotArea dataOnly="0" labelOnly="1" fieldPosition="0">
        <references count="3">
          <reference field="0" count="1" selected="0">
            <x v="1"/>
          </reference>
          <reference field="1" count="1">
            <x v="44"/>
          </reference>
          <reference field="8" count="1" selected="0">
            <x v="64"/>
          </reference>
        </references>
      </pivotArea>
    </format>
    <format dxfId="1368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64"/>
          </reference>
        </references>
      </pivotArea>
    </format>
    <format dxfId="1367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64"/>
          </reference>
        </references>
      </pivotArea>
    </format>
    <format dxfId="1366">
      <pivotArea dataOnly="0" labelOnly="1" fieldPosition="0">
        <references count="3">
          <reference field="0" count="1" selected="0">
            <x v="2"/>
          </reference>
          <reference field="1" count="1">
            <x v="43"/>
          </reference>
          <reference field="8" count="1" selected="0">
            <x v="65"/>
          </reference>
        </references>
      </pivotArea>
    </format>
    <format dxfId="1365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65"/>
          </reference>
        </references>
      </pivotArea>
    </format>
    <format dxfId="1364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65"/>
          </reference>
        </references>
      </pivotArea>
    </format>
    <format dxfId="1363">
      <pivotArea dataOnly="0" labelOnly="1" fieldPosition="0">
        <references count="3">
          <reference field="0" count="1" selected="0">
            <x v="1"/>
          </reference>
          <reference field="1" count="1">
            <x v="44"/>
          </reference>
          <reference field="8" count="1" selected="0">
            <x v="66"/>
          </reference>
        </references>
      </pivotArea>
    </format>
    <format dxfId="1362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66"/>
          </reference>
        </references>
      </pivotArea>
    </format>
    <format dxfId="1361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66"/>
          </reference>
        </references>
      </pivotArea>
    </format>
    <format dxfId="1360">
      <pivotArea dataOnly="0" labelOnly="1" fieldPosition="0">
        <references count="3">
          <reference field="0" count="1" selected="0">
            <x v="1"/>
          </reference>
          <reference field="1" count="1">
            <x v="44"/>
          </reference>
          <reference field="8" count="1" selected="0">
            <x v="67"/>
          </reference>
        </references>
      </pivotArea>
    </format>
    <format dxfId="1359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67"/>
          </reference>
        </references>
      </pivotArea>
    </format>
    <format dxfId="1358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67"/>
          </reference>
        </references>
      </pivotArea>
    </format>
    <format dxfId="1357">
      <pivotArea dataOnly="0" labelOnly="1" fieldPosition="0">
        <references count="3">
          <reference field="0" count="1" selected="0">
            <x v="2"/>
          </reference>
          <reference field="1" count="1">
            <x v="43"/>
          </reference>
          <reference field="8" count="1" selected="0">
            <x v="68"/>
          </reference>
        </references>
      </pivotArea>
    </format>
    <format dxfId="1356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68"/>
          </reference>
        </references>
      </pivotArea>
    </format>
    <format dxfId="1355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68"/>
          </reference>
        </references>
      </pivotArea>
    </format>
    <format dxfId="1354">
      <pivotArea dataOnly="0" labelOnly="1" fieldPosition="0">
        <references count="3">
          <reference field="0" count="1" selected="0">
            <x v="1"/>
          </reference>
          <reference field="1" count="1">
            <x v="44"/>
          </reference>
          <reference field="8" count="1" selected="0">
            <x v="69"/>
          </reference>
        </references>
      </pivotArea>
    </format>
    <format dxfId="1353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69"/>
          </reference>
        </references>
      </pivotArea>
    </format>
    <format dxfId="1352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69"/>
          </reference>
        </references>
      </pivotArea>
    </format>
    <format dxfId="1351">
      <pivotArea dataOnly="0" labelOnly="1" fieldPosition="0">
        <references count="3">
          <reference field="0" count="1" selected="0">
            <x v="6"/>
          </reference>
          <reference field="1" count="1">
            <x v="29"/>
          </reference>
          <reference field="8" count="1" selected="0">
            <x v="69"/>
          </reference>
        </references>
      </pivotArea>
    </format>
    <format dxfId="1350">
      <pivotArea dataOnly="0" labelOnly="1" fieldPosition="0">
        <references count="3">
          <reference field="0" count="1" selected="0">
            <x v="2"/>
          </reference>
          <reference field="1" count="1">
            <x v="43"/>
          </reference>
          <reference field="8" count="1" selected="0">
            <x v="70"/>
          </reference>
        </references>
      </pivotArea>
    </format>
    <format dxfId="1349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70"/>
          </reference>
        </references>
      </pivotArea>
    </format>
    <format dxfId="1348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70"/>
          </reference>
        </references>
      </pivotArea>
    </format>
    <format dxfId="1347">
      <pivotArea dataOnly="0" labelOnly="1" fieldPosition="0">
        <references count="3">
          <reference field="0" count="1" selected="0">
            <x v="1"/>
          </reference>
          <reference field="1" count="1">
            <x v="44"/>
          </reference>
          <reference field="8" count="1" selected="0">
            <x v="71"/>
          </reference>
        </references>
      </pivotArea>
    </format>
    <format dxfId="1346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71"/>
          </reference>
        </references>
      </pivotArea>
    </format>
    <format dxfId="1345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71"/>
          </reference>
        </references>
      </pivotArea>
    </format>
    <format dxfId="1344">
      <pivotArea dataOnly="0" labelOnly="1" fieldPosition="0">
        <references count="3">
          <reference field="0" count="1" selected="0">
            <x v="6"/>
          </reference>
          <reference field="1" count="1">
            <x v="29"/>
          </reference>
          <reference field="8" count="1" selected="0">
            <x v="71"/>
          </reference>
        </references>
      </pivotArea>
    </format>
    <format dxfId="1343">
      <pivotArea dataOnly="0" labelOnly="1" fieldPosition="0">
        <references count="3">
          <reference field="0" count="1" selected="0">
            <x v="1"/>
          </reference>
          <reference field="1" count="1">
            <x v="44"/>
          </reference>
          <reference field="8" count="1" selected="0">
            <x v="72"/>
          </reference>
        </references>
      </pivotArea>
    </format>
    <format dxfId="1342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72"/>
          </reference>
        </references>
      </pivotArea>
    </format>
    <format dxfId="1341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72"/>
          </reference>
        </references>
      </pivotArea>
    </format>
    <format dxfId="1340">
      <pivotArea dataOnly="0" labelOnly="1" fieldPosition="0">
        <references count="3">
          <reference field="0" count="1" selected="0">
            <x v="6"/>
          </reference>
          <reference field="1" count="1">
            <x v="29"/>
          </reference>
          <reference field="8" count="1" selected="0">
            <x v="72"/>
          </reference>
        </references>
      </pivotArea>
    </format>
    <format dxfId="1339">
      <pivotArea dataOnly="0" labelOnly="1" fieldPosition="0">
        <references count="3">
          <reference field="0" count="1" selected="0">
            <x v="2"/>
          </reference>
          <reference field="1" count="1">
            <x v="43"/>
          </reference>
          <reference field="8" count="1" selected="0">
            <x v="73"/>
          </reference>
        </references>
      </pivotArea>
    </format>
    <format dxfId="1338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73"/>
          </reference>
        </references>
      </pivotArea>
    </format>
    <format dxfId="1337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73"/>
          </reference>
        </references>
      </pivotArea>
    </format>
    <format dxfId="1336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70"/>
          </reference>
        </references>
      </pivotArea>
    </format>
    <format dxfId="1335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70"/>
          </reference>
        </references>
      </pivotArea>
    </format>
    <format dxfId="1334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70"/>
          </reference>
        </references>
      </pivotArea>
    </format>
    <format dxfId="1333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70"/>
          </reference>
        </references>
      </pivotArea>
    </format>
    <format dxfId="1332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71"/>
          </reference>
        </references>
      </pivotArea>
    </format>
    <format dxfId="1331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71"/>
          </reference>
        </references>
      </pivotArea>
    </format>
    <format dxfId="1330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71"/>
          </reference>
        </references>
      </pivotArea>
    </format>
    <format dxfId="1329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71"/>
          </reference>
        </references>
      </pivotArea>
    </format>
    <format dxfId="1328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72"/>
          </reference>
        </references>
      </pivotArea>
    </format>
    <format dxfId="1327">
      <pivotArea dataOnly="0" labelOnly="1" fieldPosition="0">
        <references count="3">
          <reference field="0" count="1" selected="0">
            <x v="6"/>
          </reference>
          <reference field="1" count="1">
            <x v="29"/>
          </reference>
          <reference field="8" count="1" selected="0">
            <x v="172"/>
          </reference>
        </references>
      </pivotArea>
    </format>
    <format dxfId="1326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72"/>
          </reference>
        </references>
      </pivotArea>
    </format>
    <format dxfId="132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72"/>
          </reference>
        </references>
      </pivotArea>
    </format>
    <format dxfId="1324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73"/>
          </reference>
        </references>
      </pivotArea>
    </format>
    <format dxfId="1323">
      <pivotArea dataOnly="0" labelOnly="1" fieldPosition="0">
        <references count="3">
          <reference field="0" count="1" selected="0">
            <x v="6"/>
          </reference>
          <reference field="1" count="1">
            <x v="29"/>
          </reference>
          <reference field="8" count="1" selected="0">
            <x v="173"/>
          </reference>
        </references>
      </pivotArea>
    </format>
    <format dxfId="1322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73"/>
          </reference>
        </references>
      </pivotArea>
    </format>
    <format dxfId="1321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73"/>
          </reference>
        </references>
      </pivotArea>
    </format>
    <format dxfId="1320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74"/>
          </reference>
        </references>
      </pivotArea>
    </format>
    <format dxfId="1319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74"/>
          </reference>
        </references>
      </pivotArea>
    </format>
    <format dxfId="1318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74"/>
          </reference>
        </references>
      </pivotArea>
    </format>
    <format dxfId="1317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74"/>
          </reference>
        </references>
      </pivotArea>
    </format>
    <format dxfId="1316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75"/>
          </reference>
        </references>
      </pivotArea>
    </format>
    <format dxfId="1315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75"/>
          </reference>
        </references>
      </pivotArea>
    </format>
    <format dxfId="1314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75"/>
          </reference>
        </references>
      </pivotArea>
    </format>
    <format dxfId="1313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75"/>
          </reference>
        </references>
      </pivotArea>
    </format>
    <format dxfId="1312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76"/>
          </reference>
        </references>
      </pivotArea>
    </format>
    <format dxfId="1311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76"/>
          </reference>
        </references>
      </pivotArea>
    </format>
    <format dxfId="1310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76"/>
          </reference>
        </references>
      </pivotArea>
    </format>
    <format dxfId="1309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76"/>
          </reference>
        </references>
      </pivotArea>
    </format>
    <format dxfId="1308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77"/>
          </reference>
        </references>
      </pivotArea>
    </format>
    <format dxfId="1307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77"/>
          </reference>
        </references>
      </pivotArea>
    </format>
    <format dxfId="1306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77"/>
          </reference>
        </references>
      </pivotArea>
    </format>
    <format dxfId="1305">
      <pivotArea dataOnly="0" labelOnly="1" fieldPosition="0">
        <references count="3">
          <reference field="0" count="1" selected="0">
            <x v="12"/>
          </reference>
          <reference field="1" count="1">
            <x v="33"/>
          </reference>
          <reference field="8" count="1" selected="0">
            <x v="177"/>
          </reference>
        </references>
      </pivotArea>
    </format>
    <format dxfId="1304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78"/>
          </reference>
        </references>
      </pivotArea>
    </format>
    <format dxfId="1303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78"/>
          </reference>
        </references>
      </pivotArea>
    </format>
    <format dxfId="1302">
      <pivotArea dataOnly="0" labelOnly="1" fieldPosition="0">
        <references count="3">
          <reference field="0" count="1" selected="0">
            <x v="6"/>
          </reference>
          <reference field="1" count="1">
            <x v="29"/>
          </reference>
          <reference field="8" count="1" selected="0">
            <x v="178"/>
          </reference>
        </references>
      </pivotArea>
    </format>
    <format dxfId="1301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78"/>
          </reference>
        </references>
      </pivotArea>
    </format>
    <format dxfId="1300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78"/>
          </reference>
        </references>
      </pivotArea>
    </format>
    <format dxfId="1299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79"/>
          </reference>
        </references>
      </pivotArea>
    </format>
    <format dxfId="1298">
      <pivotArea dataOnly="0" labelOnly="1" fieldPosition="0">
        <references count="3">
          <reference field="0" count="1" selected="0">
            <x v="6"/>
          </reference>
          <reference field="1" count="1">
            <x v="29"/>
          </reference>
          <reference field="8" count="1" selected="0">
            <x v="179"/>
          </reference>
        </references>
      </pivotArea>
    </format>
    <format dxfId="1297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79"/>
          </reference>
        </references>
      </pivotArea>
    </format>
    <format dxfId="1296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79"/>
          </reference>
        </references>
      </pivotArea>
    </format>
    <format dxfId="1295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80"/>
          </reference>
        </references>
      </pivotArea>
    </format>
    <format dxfId="1294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80"/>
          </reference>
        </references>
      </pivotArea>
    </format>
    <format dxfId="1293">
      <pivotArea dataOnly="0" labelOnly="1" fieldPosition="0">
        <references count="3">
          <reference field="0" count="1" selected="0">
            <x v="6"/>
          </reference>
          <reference field="1" count="1">
            <x v="29"/>
          </reference>
          <reference field="8" count="1" selected="0">
            <x v="180"/>
          </reference>
        </references>
      </pivotArea>
    </format>
    <format dxfId="1292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80"/>
          </reference>
        </references>
      </pivotArea>
    </format>
    <format dxfId="1291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80"/>
          </reference>
        </references>
      </pivotArea>
    </format>
    <format dxfId="1290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81"/>
          </reference>
        </references>
      </pivotArea>
    </format>
    <format dxfId="1289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81"/>
          </reference>
        </references>
      </pivotArea>
    </format>
    <format dxfId="1288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81"/>
          </reference>
        </references>
      </pivotArea>
    </format>
    <format dxfId="1287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81"/>
          </reference>
        </references>
      </pivotArea>
    </format>
    <format dxfId="1286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82"/>
          </reference>
        </references>
      </pivotArea>
    </format>
    <format dxfId="1285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82"/>
          </reference>
        </references>
      </pivotArea>
    </format>
    <format dxfId="1284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82"/>
          </reference>
        </references>
      </pivotArea>
    </format>
    <format dxfId="1283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82"/>
          </reference>
        </references>
      </pivotArea>
    </format>
    <format dxfId="1282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83"/>
          </reference>
        </references>
      </pivotArea>
    </format>
    <format dxfId="1281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83"/>
          </reference>
        </references>
      </pivotArea>
    </format>
    <format dxfId="1280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83"/>
          </reference>
        </references>
      </pivotArea>
    </format>
    <format dxfId="1279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83"/>
          </reference>
        </references>
      </pivotArea>
    </format>
    <format dxfId="1278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84"/>
          </reference>
        </references>
      </pivotArea>
    </format>
    <format dxfId="1277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84"/>
          </reference>
        </references>
      </pivotArea>
    </format>
    <format dxfId="1276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84"/>
          </reference>
        </references>
      </pivotArea>
    </format>
    <format dxfId="127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84"/>
          </reference>
        </references>
      </pivotArea>
    </format>
    <format dxfId="1274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85"/>
          </reference>
        </references>
      </pivotArea>
    </format>
    <format dxfId="1273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85"/>
          </reference>
        </references>
      </pivotArea>
    </format>
    <format dxfId="1272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85"/>
          </reference>
        </references>
      </pivotArea>
    </format>
    <format dxfId="1271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85"/>
          </reference>
        </references>
      </pivotArea>
    </format>
    <format dxfId="1270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86"/>
          </reference>
        </references>
      </pivotArea>
    </format>
    <format dxfId="1269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86"/>
          </reference>
        </references>
      </pivotArea>
    </format>
    <format dxfId="1268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86"/>
          </reference>
        </references>
      </pivotArea>
    </format>
    <format dxfId="1267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86"/>
          </reference>
        </references>
      </pivotArea>
    </format>
    <format dxfId="1266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87"/>
          </reference>
        </references>
      </pivotArea>
    </format>
    <format dxfId="1265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87"/>
          </reference>
        </references>
      </pivotArea>
    </format>
    <format dxfId="1264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87"/>
          </reference>
        </references>
      </pivotArea>
    </format>
    <format dxfId="1263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87"/>
          </reference>
        </references>
      </pivotArea>
    </format>
    <format dxfId="1262">
      <pivotArea dataOnly="0" labelOnly="1" fieldPosition="0">
        <references count="3">
          <reference field="0" count="1" selected="0">
            <x v="6"/>
          </reference>
          <reference field="1" count="1">
            <x v="29"/>
          </reference>
          <reference field="8" count="1" selected="0">
            <x v="188"/>
          </reference>
        </references>
      </pivotArea>
    </format>
    <format dxfId="1261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88"/>
          </reference>
        </references>
      </pivotArea>
    </format>
    <format dxfId="1260">
      <pivotArea dataOnly="0" labelOnly="1" fieldPosition="0">
        <references count="3">
          <reference field="0" count="1" selected="0">
            <x v="11"/>
          </reference>
          <reference field="1" count="1">
            <x v="31"/>
          </reference>
          <reference field="8" count="1" selected="0">
            <x v="188"/>
          </reference>
        </references>
      </pivotArea>
    </format>
    <format dxfId="1259">
      <pivotArea dataOnly="0" labelOnly="1" fieldPosition="0">
        <references count="3">
          <reference field="0" count="1" selected="0">
            <x v="10"/>
          </reference>
          <reference field="1" count="1">
            <x v="30"/>
          </reference>
          <reference field="8" count="1" selected="0">
            <x v="283"/>
          </reference>
        </references>
      </pivotArea>
    </format>
    <format dxfId="1258">
      <pivotArea dataOnly="0" labelOnly="1" fieldPosition="0">
        <references count="3">
          <reference field="0" count="1" selected="0">
            <x v="20"/>
          </reference>
          <reference field="1" count="1">
            <x v="0"/>
          </reference>
          <reference field="8" count="1" selected="0">
            <x v="283"/>
          </reference>
        </references>
      </pivotArea>
    </format>
    <format dxfId="1257">
      <pivotArea dataOnly="0" labelOnly="1" fieldPosition="0">
        <references count="3">
          <reference field="0" count="1" selected="0">
            <x v="30"/>
          </reference>
          <reference field="1" count="1">
            <x v="16"/>
          </reference>
          <reference field="8" count="1" selected="0">
            <x v="283"/>
          </reference>
        </references>
      </pivotArea>
    </format>
    <format dxfId="1256">
      <pivotArea dataOnly="0" labelOnly="1" fieldPosition="0">
        <references count="3">
          <reference field="0" count="1" selected="0">
            <x v="42"/>
          </reference>
          <reference field="1" count="1">
            <x v="10"/>
          </reference>
          <reference field="8" count="1" selected="0">
            <x v="283"/>
          </reference>
        </references>
      </pivotArea>
    </format>
    <format dxfId="125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84"/>
          </reference>
        </references>
      </pivotArea>
    </format>
    <format dxfId="1254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84"/>
          </reference>
        </references>
      </pivotArea>
    </format>
    <format dxfId="1253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84"/>
          </reference>
        </references>
      </pivotArea>
    </format>
    <format dxfId="1252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84"/>
          </reference>
        </references>
      </pivotArea>
    </format>
    <format dxfId="1251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84"/>
          </reference>
        </references>
      </pivotArea>
    </format>
    <format dxfId="1250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85"/>
          </reference>
        </references>
      </pivotArea>
    </format>
    <format dxfId="1249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85"/>
          </reference>
        </references>
      </pivotArea>
    </format>
    <format dxfId="1248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85"/>
          </reference>
        </references>
      </pivotArea>
    </format>
    <format dxfId="1247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85"/>
          </reference>
        </references>
      </pivotArea>
    </format>
    <format dxfId="1246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85"/>
          </reference>
        </references>
      </pivotArea>
    </format>
    <format dxfId="124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86"/>
          </reference>
        </references>
      </pivotArea>
    </format>
    <format dxfId="1244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86"/>
          </reference>
        </references>
      </pivotArea>
    </format>
    <format dxfId="1243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86"/>
          </reference>
        </references>
      </pivotArea>
    </format>
    <format dxfId="1242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86"/>
          </reference>
        </references>
      </pivotArea>
    </format>
    <format dxfId="1241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86"/>
          </reference>
        </references>
      </pivotArea>
    </format>
    <format dxfId="1240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87"/>
          </reference>
        </references>
      </pivotArea>
    </format>
    <format dxfId="1239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87"/>
          </reference>
        </references>
      </pivotArea>
    </format>
    <format dxfId="1238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87"/>
          </reference>
        </references>
      </pivotArea>
    </format>
    <format dxfId="1237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87"/>
          </reference>
        </references>
      </pivotArea>
    </format>
    <format dxfId="1236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87"/>
          </reference>
        </references>
      </pivotArea>
    </format>
    <format dxfId="123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88"/>
          </reference>
        </references>
      </pivotArea>
    </format>
    <format dxfId="1234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88"/>
          </reference>
        </references>
      </pivotArea>
    </format>
    <format dxfId="1233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88"/>
          </reference>
        </references>
      </pivotArea>
    </format>
    <format dxfId="1232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88"/>
          </reference>
        </references>
      </pivotArea>
    </format>
    <format dxfId="1231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88"/>
          </reference>
        </references>
      </pivotArea>
    </format>
    <format dxfId="1230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89"/>
          </reference>
        </references>
      </pivotArea>
    </format>
    <format dxfId="1229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89"/>
          </reference>
        </references>
      </pivotArea>
    </format>
    <format dxfId="1228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89"/>
          </reference>
        </references>
      </pivotArea>
    </format>
    <format dxfId="1227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89"/>
          </reference>
        </references>
      </pivotArea>
    </format>
    <format dxfId="1226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89"/>
          </reference>
        </references>
      </pivotArea>
    </format>
    <format dxfId="122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90"/>
          </reference>
        </references>
      </pivotArea>
    </format>
    <format dxfId="1224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90"/>
          </reference>
        </references>
      </pivotArea>
    </format>
    <format dxfId="1223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90"/>
          </reference>
        </references>
      </pivotArea>
    </format>
    <format dxfId="1222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90"/>
          </reference>
        </references>
      </pivotArea>
    </format>
    <format dxfId="1221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90"/>
          </reference>
        </references>
      </pivotArea>
    </format>
    <format dxfId="1220">
      <pivotArea dataOnly="0" labelOnly="1" fieldPosition="0">
        <references count="3">
          <reference field="0" count="1" selected="0">
            <x v="12"/>
          </reference>
          <reference field="1" count="1">
            <x v="33"/>
          </reference>
          <reference field="8" count="1" selected="0">
            <x v="291"/>
          </reference>
        </references>
      </pivotArea>
    </format>
    <format dxfId="1219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91"/>
          </reference>
        </references>
      </pivotArea>
    </format>
    <format dxfId="1218">
      <pivotArea dataOnly="0" labelOnly="1" fieldPosition="0">
        <references count="3">
          <reference field="0" count="1" selected="0">
            <x v="15"/>
          </reference>
          <reference field="1" count="1">
            <x v="3"/>
          </reference>
          <reference field="8" count="1" selected="0">
            <x v="291"/>
          </reference>
        </references>
      </pivotArea>
    </format>
    <format dxfId="1217">
      <pivotArea dataOnly="0" labelOnly="1" fieldPosition="0">
        <references count="3">
          <reference field="0" count="1" selected="0">
            <x v="17"/>
          </reference>
          <reference field="1" count="1">
            <x v="36"/>
          </reference>
          <reference field="8" count="1" selected="0">
            <x v="291"/>
          </reference>
        </references>
      </pivotArea>
    </format>
    <format dxfId="1216">
      <pivotArea dataOnly="0" labelOnly="1" fieldPosition="0">
        <references count="3">
          <reference field="0" count="1" selected="0">
            <x v="34"/>
          </reference>
          <reference field="1" count="1">
            <x v="26"/>
          </reference>
          <reference field="8" count="1" selected="0">
            <x v="291"/>
          </reference>
        </references>
      </pivotArea>
    </format>
    <format dxfId="121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92"/>
          </reference>
        </references>
      </pivotArea>
    </format>
    <format dxfId="1214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92"/>
          </reference>
        </references>
      </pivotArea>
    </format>
    <format dxfId="1213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92"/>
          </reference>
        </references>
      </pivotArea>
    </format>
    <format dxfId="1212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92"/>
          </reference>
        </references>
      </pivotArea>
    </format>
    <format dxfId="1211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92"/>
          </reference>
        </references>
      </pivotArea>
    </format>
    <format dxfId="1210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93"/>
          </reference>
        </references>
      </pivotArea>
    </format>
    <format dxfId="1209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93"/>
          </reference>
        </references>
      </pivotArea>
    </format>
    <format dxfId="1208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93"/>
          </reference>
        </references>
      </pivotArea>
    </format>
    <format dxfId="1207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93"/>
          </reference>
        </references>
      </pivotArea>
    </format>
    <format dxfId="1206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93"/>
          </reference>
        </references>
      </pivotArea>
    </format>
    <format dxfId="120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94"/>
          </reference>
        </references>
      </pivotArea>
    </format>
    <format dxfId="1204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94"/>
          </reference>
        </references>
      </pivotArea>
    </format>
    <format dxfId="1203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94"/>
          </reference>
        </references>
      </pivotArea>
    </format>
    <format dxfId="1202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94"/>
          </reference>
        </references>
      </pivotArea>
    </format>
    <format dxfId="1201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94"/>
          </reference>
        </references>
      </pivotArea>
    </format>
    <format dxfId="1200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95"/>
          </reference>
        </references>
      </pivotArea>
    </format>
    <format dxfId="1199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95"/>
          </reference>
        </references>
      </pivotArea>
    </format>
    <format dxfId="1198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95"/>
          </reference>
        </references>
      </pivotArea>
    </format>
    <format dxfId="1197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95"/>
          </reference>
        </references>
      </pivotArea>
    </format>
    <format dxfId="1196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95"/>
          </reference>
        </references>
      </pivotArea>
    </format>
    <format dxfId="119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96"/>
          </reference>
        </references>
      </pivotArea>
    </format>
    <format dxfId="1194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96"/>
          </reference>
        </references>
      </pivotArea>
    </format>
    <format dxfId="1193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96"/>
          </reference>
        </references>
      </pivotArea>
    </format>
    <format dxfId="1192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96"/>
          </reference>
        </references>
      </pivotArea>
    </format>
    <format dxfId="1191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96"/>
          </reference>
        </references>
      </pivotArea>
    </format>
    <format dxfId="1190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97"/>
          </reference>
        </references>
      </pivotArea>
    </format>
    <format dxfId="1189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97"/>
          </reference>
        </references>
      </pivotArea>
    </format>
    <format dxfId="1188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97"/>
          </reference>
        </references>
      </pivotArea>
    </format>
    <format dxfId="1187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97"/>
          </reference>
        </references>
      </pivotArea>
    </format>
    <format dxfId="1186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97"/>
          </reference>
        </references>
      </pivotArea>
    </format>
    <format dxfId="118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98"/>
          </reference>
        </references>
      </pivotArea>
    </format>
    <format dxfId="1184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98"/>
          </reference>
        </references>
      </pivotArea>
    </format>
    <format dxfId="1183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98"/>
          </reference>
        </references>
      </pivotArea>
    </format>
    <format dxfId="1182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98"/>
          </reference>
        </references>
      </pivotArea>
    </format>
    <format dxfId="1181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98"/>
          </reference>
        </references>
      </pivotArea>
    </format>
    <format dxfId="1180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99"/>
          </reference>
        </references>
      </pivotArea>
    </format>
    <format dxfId="1179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99"/>
          </reference>
        </references>
      </pivotArea>
    </format>
    <format dxfId="1178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99"/>
          </reference>
        </references>
      </pivotArea>
    </format>
    <format dxfId="1177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99"/>
          </reference>
        </references>
      </pivotArea>
    </format>
    <format dxfId="1176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99"/>
          </reference>
        </references>
      </pivotArea>
    </format>
    <format dxfId="117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300"/>
          </reference>
        </references>
      </pivotArea>
    </format>
    <format dxfId="1174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300"/>
          </reference>
        </references>
      </pivotArea>
    </format>
    <format dxfId="1173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300"/>
          </reference>
        </references>
      </pivotArea>
    </format>
    <format dxfId="1172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300"/>
          </reference>
        </references>
      </pivotArea>
    </format>
    <format dxfId="1171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300"/>
          </reference>
        </references>
      </pivotArea>
    </format>
    <format dxfId="1170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301"/>
          </reference>
        </references>
      </pivotArea>
    </format>
    <format dxfId="1169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301"/>
          </reference>
        </references>
      </pivotArea>
    </format>
    <format dxfId="1168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301"/>
          </reference>
        </references>
      </pivotArea>
    </format>
    <format dxfId="1167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301"/>
          </reference>
        </references>
      </pivotArea>
    </format>
    <format dxfId="1166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301"/>
          </reference>
        </references>
      </pivotArea>
    </format>
    <format dxfId="1165">
      <pivotArea dataOnly="0" labelOnly="1" fieldPosition="0">
        <references count="3">
          <reference field="0" count="1" selected="0">
            <x v="11"/>
          </reference>
          <reference field="1" count="1">
            <x v="31"/>
          </reference>
          <reference field="8" count="1" selected="0">
            <x v="302"/>
          </reference>
        </references>
      </pivotArea>
    </format>
    <format dxfId="1164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302"/>
          </reference>
        </references>
      </pivotArea>
    </format>
    <format dxfId="1163">
      <pivotArea dataOnly="0" labelOnly="1" fieldPosition="0">
        <references count="3">
          <reference field="0" count="1" selected="0">
            <x v="20"/>
          </reference>
          <reference field="1" count="1">
            <x v="0"/>
          </reference>
          <reference field="8" count="1" selected="0">
            <x v="302"/>
          </reference>
        </references>
      </pivotArea>
    </format>
    <format dxfId="1162">
      <pivotArea dataOnly="0" labelOnly="1" fieldPosition="0">
        <references count="3">
          <reference field="0" count="1" selected="0">
            <x v="26"/>
          </reference>
          <reference field="1" count="1">
            <x v="4"/>
          </reference>
          <reference field="8" count="1" selected="0">
            <x v="302"/>
          </reference>
        </references>
      </pivotArea>
    </format>
    <format dxfId="1161">
      <pivotArea dataOnly="0" labelOnly="1" fieldPosition="0">
        <references count="3">
          <reference field="0" count="1" selected="0">
            <x v="45"/>
          </reference>
          <reference field="1" count="1">
            <x v="28"/>
          </reference>
          <reference field="8" count="1" selected="0">
            <x v="302"/>
          </reference>
        </references>
      </pivotArea>
    </format>
    <format dxfId="1160">
      <pivotArea dataOnly="0" labelOnly="1" fieldPosition="0">
        <references count="3">
          <reference field="0" count="1" selected="0">
            <x v="34"/>
          </reference>
          <reference field="1" count="1">
            <x v="26"/>
          </reference>
          <reference field="8" count="1" selected="0">
            <x v="320"/>
          </reference>
        </references>
      </pivotArea>
    </format>
    <format dxfId="1159">
      <pivotArea dataOnly="0" labelOnly="1" fieldPosition="0">
        <references count="3">
          <reference field="0" count="1" selected="0">
            <x v="46"/>
          </reference>
          <reference field="1" count="1">
            <x v="25"/>
          </reference>
          <reference field="8" count="1" selected="0">
            <x v="320"/>
          </reference>
        </references>
      </pivotArea>
    </format>
    <format dxfId="1158">
      <pivotArea dataOnly="0" labelOnly="1" fieldPosition="0">
        <references count="3">
          <reference field="0" count="1" selected="0">
            <x v="34"/>
          </reference>
          <reference field="1" count="1">
            <x v="26"/>
          </reference>
          <reference field="8" count="1" selected="0">
            <x v="321"/>
          </reference>
        </references>
      </pivotArea>
    </format>
    <format dxfId="1157">
      <pivotArea dataOnly="0" labelOnly="1" fieldPosition="0">
        <references count="3">
          <reference field="0" count="1" selected="0">
            <x v="46"/>
          </reference>
          <reference field="1" count="1">
            <x v="25"/>
          </reference>
          <reference field="8" count="1" selected="0">
            <x v="321"/>
          </reference>
        </references>
      </pivotArea>
    </format>
    <format dxfId="1156">
      <pivotArea dataOnly="0" labelOnly="1" fieldPosition="0">
        <references count="3">
          <reference field="0" count="1" selected="0">
            <x v="33"/>
          </reference>
          <reference field="1" count="1">
            <x v="37"/>
          </reference>
          <reference field="8" count="1" selected="0">
            <x v="322"/>
          </reference>
        </references>
      </pivotArea>
    </format>
    <format dxfId="1155">
      <pivotArea dataOnly="0" labelOnly="1" fieldPosition="0">
        <references count="3">
          <reference field="0" count="1" selected="0">
            <x v="42"/>
          </reference>
          <reference field="1" count="1">
            <x v="10"/>
          </reference>
          <reference field="8" count="1" selected="0">
            <x v="322"/>
          </reference>
        </references>
      </pivotArea>
    </format>
    <format dxfId="1154">
      <pivotArea dataOnly="0" labelOnly="1" fieldPosition="0">
        <references count="4">
          <reference field="0" count="1" selected="0">
            <x v="1"/>
          </reference>
          <reference field="1" count="1" selected="0">
            <x v="44"/>
          </reference>
          <reference field="7" count="1">
            <x v="61"/>
          </reference>
          <reference field="8" count="1" selected="0">
            <x v="62"/>
          </reference>
        </references>
      </pivotArea>
    </format>
    <format dxfId="1153">
      <pivotArea dataOnly="0" labelOnly="1" fieldPosition="0">
        <references count="4">
          <reference field="0" count="1" selected="0">
            <x v="2"/>
          </reference>
          <reference field="1" count="1" selected="0">
            <x v="43"/>
          </reference>
          <reference field="7" count="1">
            <x v="13"/>
          </reference>
          <reference field="8" count="1" selected="0">
            <x v="63"/>
          </reference>
        </references>
      </pivotArea>
    </format>
    <format dxfId="1152">
      <pivotArea dataOnly="0" labelOnly="1" fieldPosition="0">
        <references count="4">
          <reference field="0" count="1" selected="0">
            <x v="1"/>
          </reference>
          <reference field="1" count="1" selected="0">
            <x v="44"/>
          </reference>
          <reference field="7" count="1">
            <x v="64"/>
          </reference>
          <reference field="8" count="1" selected="0">
            <x v="64"/>
          </reference>
        </references>
      </pivotArea>
    </format>
    <format dxfId="1151">
      <pivotArea dataOnly="0" labelOnly="1" fieldPosition="0">
        <references count="4">
          <reference field="0" count="1" selected="0">
            <x v="2"/>
          </reference>
          <reference field="1" count="1" selected="0">
            <x v="43"/>
          </reference>
          <reference field="7" count="1">
            <x v="13"/>
          </reference>
          <reference field="8" count="1" selected="0">
            <x v="65"/>
          </reference>
        </references>
      </pivotArea>
    </format>
    <format dxfId="1150">
      <pivotArea dataOnly="0" labelOnly="1" fieldPosition="0">
        <references count="4">
          <reference field="0" count="1" selected="0">
            <x v="1"/>
          </reference>
          <reference field="1" count="1" selected="0">
            <x v="44"/>
          </reference>
          <reference field="7" count="2">
            <x v="61"/>
            <x v="64"/>
          </reference>
          <reference field="8" count="1" selected="0">
            <x v="66"/>
          </reference>
        </references>
      </pivotArea>
    </format>
    <format dxfId="1149">
      <pivotArea dataOnly="0" labelOnly="1" fieldPosition="0">
        <references count="4">
          <reference field="0" count="1" selected="0">
            <x v="1"/>
          </reference>
          <reference field="1" count="1" selected="0">
            <x v="44"/>
          </reference>
          <reference field="7" count="2">
            <x v="58"/>
            <x v="64"/>
          </reference>
          <reference field="8" count="1" selected="0">
            <x v="67"/>
          </reference>
        </references>
      </pivotArea>
    </format>
    <format dxfId="1148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58"/>
          </reference>
          <reference field="8" count="1" selected="0">
            <x v="67"/>
          </reference>
        </references>
      </pivotArea>
    </format>
    <format dxfId="1147">
      <pivotArea dataOnly="0" labelOnly="1" fieldPosition="0">
        <references count="4">
          <reference field="0" count="1" selected="0">
            <x v="2"/>
          </reference>
          <reference field="1" count="1" selected="0">
            <x v="43"/>
          </reference>
          <reference field="7" count="2">
            <x v="13"/>
            <x v="62"/>
          </reference>
          <reference field="8" count="1" selected="0">
            <x v="68"/>
          </reference>
        </references>
      </pivotArea>
    </format>
    <format dxfId="1146">
      <pivotArea dataOnly="0" labelOnly="1" fieldPosition="0">
        <references count="4">
          <reference field="0" count="1" selected="0">
            <x v="1"/>
          </reference>
          <reference field="1" count="1" selected="0">
            <x v="44"/>
          </reference>
          <reference field="7" count="1">
            <x v="58"/>
          </reference>
          <reference field="8" count="1" selected="0">
            <x v="69"/>
          </reference>
        </references>
      </pivotArea>
    </format>
    <format dxfId="1145">
      <pivotArea dataOnly="0" labelOnly="1" fieldPosition="0">
        <references count="4">
          <reference field="0" count="1" selected="0">
            <x v="2"/>
          </reference>
          <reference field="1" count="1" selected="0">
            <x v="43"/>
          </reference>
          <reference field="7" count="2">
            <x v="62"/>
            <x v="75"/>
          </reference>
          <reference field="8" count="1" selected="0">
            <x v="70"/>
          </reference>
        </references>
      </pivotArea>
    </format>
    <format dxfId="1144">
      <pivotArea dataOnly="0" labelOnly="1" fieldPosition="0">
        <references count="4">
          <reference field="0" count="1" selected="0">
            <x v="1"/>
          </reference>
          <reference field="1" count="1" selected="0">
            <x v="44"/>
          </reference>
          <reference field="7" count="1">
            <x v="58"/>
          </reference>
          <reference field="8" count="1" selected="0">
            <x v="71"/>
          </reference>
        </references>
      </pivotArea>
    </format>
    <format dxfId="1143">
      <pivotArea dataOnly="0" labelOnly="1" fieldPosition="0">
        <references count="4">
          <reference field="0" count="1" selected="0">
            <x v="1"/>
          </reference>
          <reference field="1" count="1" selected="0">
            <x v="44"/>
          </reference>
          <reference field="7" count="1">
            <x v="83"/>
          </reference>
          <reference field="8" count="1" selected="0">
            <x v="72"/>
          </reference>
        </references>
      </pivotArea>
    </format>
    <format dxfId="1142">
      <pivotArea dataOnly="0" labelOnly="1" fieldPosition="0">
        <references count="4">
          <reference field="0" count="1" selected="0">
            <x v="2"/>
          </reference>
          <reference field="1" count="1" selected="0">
            <x v="43"/>
          </reference>
          <reference field="7" count="1">
            <x v="75"/>
          </reference>
          <reference field="8" count="1" selected="0">
            <x v="73"/>
          </reference>
        </references>
      </pivotArea>
    </format>
    <format dxfId="1141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64"/>
          </reference>
          <reference field="8" count="1" selected="0">
            <x v="170"/>
          </reference>
        </references>
      </pivotArea>
    </format>
    <format dxfId="1140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13"/>
          </reference>
          <reference field="8" count="1" selected="0">
            <x v="170"/>
          </reference>
        </references>
      </pivotArea>
    </format>
    <format dxfId="1139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69"/>
          </reference>
          <reference field="8" count="1" selected="0">
            <x v="170"/>
          </reference>
        </references>
      </pivotArea>
    </format>
    <format dxfId="1138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61"/>
          </reference>
          <reference field="8" count="1" selected="0">
            <x v="171"/>
          </reference>
        </references>
      </pivotArea>
    </format>
    <format dxfId="1137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13"/>
          </reference>
          <reference field="8" count="1" selected="0">
            <x v="171"/>
          </reference>
        </references>
      </pivotArea>
    </format>
    <format dxfId="1136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93"/>
          </reference>
          <reference field="8" count="1" selected="0">
            <x v="171"/>
          </reference>
        </references>
      </pivotArea>
    </format>
    <format dxfId="1135">
      <pivotArea dataOnly="0" labelOnly="1" fieldPosition="0">
        <references count="4">
          <reference field="0" count="1" selected="0">
            <x v="5"/>
          </reference>
          <reference field="1" count="1" selected="0">
            <x v="21"/>
          </reference>
          <reference field="7" count="2">
            <x v="61"/>
            <x v="64"/>
          </reference>
          <reference field="8" count="1" selected="0">
            <x v="172"/>
          </reference>
        </references>
      </pivotArea>
    </format>
    <format dxfId="1134">
      <pivotArea dataOnly="0" labelOnly="1" fieldPosition="0">
        <references count="4">
          <reference field="0" count="1" selected="0">
            <x v="6"/>
          </reference>
          <reference field="1" count="1" selected="0">
            <x v="29"/>
          </reference>
          <reference field="7" count="1">
            <x v="48"/>
          </reference>
          <reference field="8" count="1" selected="0">
            <x v="172"/>
          </reference>
        </references>
      </pivotArea>
    </format>
    <format dxfId="1133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13"/>
          </reference>
          <reference field="8" count="1" selected="0">
            <x v="172"/>
          </reference>
        </references>
      </pivotArea>
    </format>
    <format dxfId="1132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0"/>
          </reference>
          <reference field="8" count="1" selected="0">
            <x v="172"/>
          </reference>
        </references>
      </pivotArea>
    </format>
    <format dxfId="1131">
      <pivotArea dataOnly="0" labelOnly="1" fieldPosition="0">
        <references count="4">
          <reference field="0" count="1" selected="0">
            <x v="5"/>
          </reference>
          <reference field="1" count="1" selected="0">
            <x v="21"/>
          </reference>
          <reference field="7" count="1">
            <x v="64"/>
          </reference>
          <reference field="8" count="1" selected="0">
            <x v="173"/>
          </reference>
        </references>
      </pivotArea>
    </format>
    <format dxfId="1130">
      <pivotArea dataOnly="0" labelOnly="1" fieldPosition="0">
        <references count="4">
          <reference field="0" count="1" selected="0">
            <x v="6"/>
          </reference>
          <reference field="1" count="1" selected="0">
            <x v="29"/>
          </reference>
          <reference field="7" count="2">
            <x v="48"/>
            <x v="99"/>
          </reference>
          <reference field="8" count="1" selected="0">
            <x v="173"/>
          </reference>
        </references>
      </pivotArea>
    </format>
    <format dxfId="1129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13"/>
          </reference>
          <reference field="8" count="1" selected="0">
            <x v="173"/>
          </reference>
        </references>
      </pivotArea>
    </format>
    <format dxfId="1128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2"/>
          </reference>
          <reference field="8" count="1" selected="0">
            <x v="173"/>
          </reference>
        </references>
      </pivotArea>
    </format>
    <format dxfId="1127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2">
            <x v="61"/>
            <x v="64"/>
          </reference>
          <reference field="8" count="1" selected="0">
            <x v="174"/>
          </reference>
        </references>
      </pivotArea>
    </format>
    <format dxfId="1126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13"/>
          </reference>
          <reference field="8" count="1" selected="0">
            <x v="174"/>
          </reference>
        </references>
      </pivotArea>
    </format>
    <format dxfId="1125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1"/>
          </reference>
          <reference field="8" count="1" selected="0">
            <x v="174"/>
          </reference>
        </references>
      </pivotArea>
    </format>
    <format dxfId="1124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64"/>
          </reference>
          <reference field="8" count="1" selected="0">
            <x v="175"/>
          </reference>
        </references>
      </pivotArea>
    </format>
    <format dxfId="1123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13"/>
          </reference>
          <reference field="8" count="1" selected="0">
            <x v="175"/>
          </reference>
        </references>
      </pivotArea>
    </format>
    <format dxfId="1122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3"/>
          </reference>
          <reference field="8" count="1" selected="0">
            <x v="175"/>
          </reference>
        </references>
      </pivotArea>
    </format>
    <format dxfId="1121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64"/>
          </reference>
          <reference field="8" count="1" selected="0">
            <x v="176"/>
          </reference>
        </references>
      </pivotArea>
    </format>
    <format dxfId="1120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13"/>
          </reference>
          <reference field="8" count="1" selected="0">
            <x v="176"/>
          </reference>
        </references>
      </pivotArea>
    </format>
    <format dxfId="1119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4"/>
          </reference>
          <reference field="8" count="1" selected="0">
            <x v="176"/>
          </reference>
        </references>
      </pivotArea>
    </format>
    <format dxfId="1118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64"/>
          </reference>
          <reference field="8" count="1" selected="0">
            <x v="177"/>
          </reference>
        </references>
      </pivotArea>
    </format>
    <format dxfId="1117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13"/>
          </reference>
          <reference field="8" count="1" selected="0">
            <x v="177"/>
          </reference>
        </references>
      </pivotArea>
    </format>
    <format dxfId="1116">
      <pivotArea dataOnly="0" labelOnly="1" fieldPosition="0">
        <references count="4">
          <reference field="0" count="1" selected="0">
            <x v="12"/>
          </reference>
          <reference field="1" count="1" selected="0">
            <x v="33"/>
          </reference>
          <reference field="7" count="1">
            <x v="69"/>
          </reference>
          <reference field="8" count="1" selected="0">
            <x v="177"/>
          </reference>
        </references>
      </pivotArea>
    </format>
    <format dxfId="1115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64"/>
          </reference>
          <reference field="8" count="1" selected="0">
            <x v="178"/>
          </reference>
        </references>
      </pivotArea>
    </format>
    <format dxfId="1114">
      <pivotArea dataOnly="0" labelOnly="1" fieldPosition="0">
        <references count="4">
          <reference field="0" count="1" selected="0">
            <x v="6"/>
          </reference>
          <reference field="1" count="1" selected="0">
            <x v="29"/>
          </reference>
          <reference field="7" count="1">
            <x v="50"/>
          </reference>
          <reference field="8" count="1" selected="0">
            <x v="178"/>
          </reference>
        </references>
      </pivotArea>
    </format>
    <format dxfId="1113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2">
            <x v="13"/>
            <x v="62"/>
          </reference>
          <reference field="8" count="1" selected="0">
            <x v="178"/>
          </reference>
        </references>
      </pivotArea>
    </format>
    <format dxfId="1112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6"/>
          </reference>
          <reference field="8" count="1" selected="0">
            <x v="178"/>
          </reference>
        </references>
      </pivotArea>
    </format>
    <format dxfId="1111">
      <pivotArea dataOnly="0" labelOnly="1" fieldPosition="0">
        <references count="4">
          <reference field="0" count="1" selected="0">
            <x v="5"/>
          </reference>
          <reference field="1" count="1" selected="0">
            <x v="21"/>
          </reference>
          <reference field="7" count="2">
            <x v="58"/>
            <x v="64"/>
          </reference>
          <reference field="8" count="1" selected="0">
            <x v="179"/>
          </reference>
        </references>
      </pivotArea>
    </format>
    <format dxfId="1110">
      <pivotArea dataOnly="0" labelOnly="1" fieldPosition="0">
        <references count="4">
          <reference field="0" count="1" selected="0">
            <x v="6"/>
          </reference>
          <reference field="1" count="1" selected="0">
            <x v="29"/>
          </reference>
          <reference field="7" count="3">
            <x v="50"/>
            <x v="52"/>
            <x v="99"/>
          </reference>
          <reference field="8" count="1" selected="0">
            <x v="179"/>
          </reference>
        </references>
      </pivotArea>
    </format>
    <format dxfId="1109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62"/>
          </reference>
          <reference field="8" count="1" selected="0">
            <x v="179"/>
          </reference>
        </references>
      </pivotArea>
    </format>
    <format dxfId="1108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8"/>
          </reference>
          <reference field="8" count="1" selected="0">
            <x v="179"/>
          </reference>
        </references>
      </pivotArea>
    </format>
    <format dxfId="1107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64"/>
          </reference>
          <reference field="8" count="1" selected="0">
            <x v="180"/>
          </reference>
        </references>
      </pivotArea>
    </format>
    <format dxfId="1106">
      <pivotArea dataOnly="0" labelOnly="1" fieldPosition="0">
        <references count="4">
          <reference field="0" count="1" selected="0">
            <x v="5"/>
          </reference>
          <reference field="1" count="1" selected="0">
            <x v="21"/>
          </reference>
          <reference field="7" count="1">
            <x v="58"/>
          </reference>
          <reference field="8" count="1" selected="0">
            <x v="180"/>
          </reference>
        </references>
      </pivotArea>
    </format>
    <format dxfId="1105">
      <pivotArea dataOnly="0" labelOnly="1" fieldPosition="0">
        <references count="4">
          <reference field="0" count="1" selected="0">
            <x v="6"/>
          </reference>
          <reference field="1" count="1" selected="0">
            <x v="29"/>
          </reference>
          <reference field="7" count="2">
            <x v="52"/>
            <x v="53"/>
          </reference>
          <reference field="8" count="1" selected="0">
            <x v="180"/>
          </reference>
        </references>
      </pivotArea>
    </format>
    <format dxfId="1104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62"/>
          </reference>
          <reference field="8" count="1" selected="0">
            <x v="180"/>
          </reference>
        </references>
      </pivotArea>
    </format>
    <format dxfId="1103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9"/>
          </reference>
          <reference field="8" count="1" selected="0">
            <x v="180"/>
          </reference>
        </references>
      </pivotArea>
    </format>
    <format dxfId="1102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58"/>
          </reference>
          <reference field="8" count="1" selected="0">
            <x v="181"/>
          </reference>
        </references>
      </pivotArea>
    </format>
    <format dxfId="1101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62"/>
          </reference>
          <reference field="8" count="1" selected="0">
            <x v="181"/>
          </reference>
        </references>
      </pivotArea>
    </format>
    <format dxfId="1100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0"/>
          </reference>
          <reference field="8" count="1" selected="0">
            <x v="181"/>
          </reference>
        </references>
      </pivotArea>
    </format>
    <format dxfId="1099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58"/>
          </reference>
          <reference field="8" count="1" selected="0">
            <x v="182"/>
          </reference>
        </references>
      </pivotArea>
    </format>
    <format dxfId="1098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62"/>
          </reference>
          <reference field="8" count="1" selected="0">
            <x v="182"/>
          </reference>
        </references>
      </pivotArea>
    </format>
    <format dxfId="1097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1"/>
          </reference>
          <reference field="8" count="1" selected="0">
            <x v="182"/>
          </reference>
        </references>
      </pivotArea>
    </format>
    <format dxfId="1096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58"/>
          </reference>
          <reference field="8" count="1" selected="0">
            <x v="183"/>
          </reference>
        </references>
      </pivotArea>
    </format>
    <format dxfId="1095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2">
            <x v="62"/>
            <x v="75"/>
          </reference>
          <reference field="8" count="1" selected="0">
            <x v="183"/>
          </reference>
        </references>
      </pivotArea>
    </format>
    <format dxfId="1094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2"/>
          </reference>
          <reference field="8" count="1" selected="0">
            <x v="183"/>
          </reference>
        </references>
      </pivotArea>
    </format>
    <format dxfId="1093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58"/>
          </reference>
          <reference field="8" count="1" selected="0">
            <x v="184"/>
          </reference>
        </references>
      </pivotArea>
    </format>
    <format dxfId="1092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75"/>
          </reference>
          <reference field="8" count="1" selected="0">
            <x v="184"/>
          </reference>
        </references>
      </pivotArea>
    </format>
    <format dxfId="1091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4"/>
          </reference>
          <reference field="8" count="1" selected="0">
            <x v="184"/>
          </reference>
        </references>
      </pivotArea>
    </format>
    <format dxfId="1090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58"/>
          </reference>
          <reference field="8" count="1" selected="0">
            <x v="185"/>
          </reference>
        </references>
      </pivotArea>
    </format>
    <format dxfId="1089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75"/>
          </reference>
          <reference field="8" count="1" selected="0">
            <x v="185"/>
          </reference>
        </references>
      </pivotArea>
    </format>
    <format dxfId="1088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7"/>
          </reference>
          <reference field="8" count="1" selected="0">
            <x v="185"/>
          </reference>
        </references>
      </pivotArea>
    </format>
    <format dxfId="1087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58"/>
          </reference>
          <reference field="8" count="1" selected="0">
            <x v="186"/>
          </reference>
        </references>
      </pivotArea>
    </format>
    <format dxfId="1086">
      <pivotArea dataOnly="0" labelOnly="1" fieldPosition="0">
        <references count="4">
          <reference field="0" count="1" selected="0">
            <x v="5"/>
          </reference>
          <reference field="1" count="1" selected="0">
            <x v="21"/>
          </reference>
          <reference field="7" count="1">
            <x v="83"/>
          </reference>
          <reference field="8" count="1" selected="0">
            <x v="186"/>
          </reference>
        </references>
      </pivotArea>
    </format>
    <format dxfId="1085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75"/>
          </reference>
          <reference field="8" count="1" selected="0">
            <x v="186"/>
          </reference>
        </references>
      </pivotArea>
    </format>
    <format dxfId="1084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9"/>
          </reference>
          <reference field="8" count="1" selected="0">
            <x v="186"/>
          </reference>
        </references>
      </pivotArea>
    </format>
    <format dxfId="1083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2">
            <x v="58"/>
            <x v="83"/>
          </reference>
          <reference field="8" count="1" selected="0">
            <x v="187"/>
          </reference>
        </references>
      </pivotArea>
    </format>
    <format dxfId="1082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75"/>
          </reference>
          <reference field="8" count="1" selected="0">
            <x v="187"/>
          </reference>
        </references>
      </pivotArea>
    </format>
    <format dxfId="1081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90"/>
          </reference>
          <reference field="8" count="1" selected="0">
            <x v="187"/>
          </reference>
        </references>
      </pivotArea>
    </format>
    <format dxfId="1080">
      <pivotArea dataOnly="0" labelOnly="1" fieldPosition="0">
        <references count="4">
          <reference field="0" count="1" selected="0">
            <x v="6"/>
          </reference>
          <reference field="1" count="1" selected="0">
            <x v="29"/>
          </reference>
          <reference field="7" count="1">
            <x v="53"/>
          </reference>
          <reference field="8" count="1" selected="0">
            <x v="188"/>
          </reference>
        </references>
      </pivotArea>
    </format>
    <format dxfId="1079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7" count="2">
            <x v="49"/>
            <x v="51"/>
          </reference>
          <reference field="8" count="1" selected="0">
            <x v="188"/>
          </reference>
        </references>
      </pivotArea>
    </format>
    <format dxfId="1078">
      <pivotArea dataOnly="0" labelOnly="1" fieldPosition="0">
        <references count="4">
          <reference field="0" count="1" selected="0">
            <x v="11"/>
          </reference>
          <reference field="1" count="1" selected="0">
            <x v="31"/>
          </reference>
          <reference field="7" count="1">
            <x v="92"/>
          </reference>
          <reference field="8" count="1" selected="0">
            <x v="188"/>
          </reference>
        </references>
      </pivotArea>
    </format>
    <format dxfId="1077">
      <pivotArea dataOnly="0" labelOnly="1" fieldPosition="0">
        <references count="4">
          <reference field="0" count="1" selected="0">
            <x v="10"/>
          </reference>
          <reference field="1" count="1" selected="0">
            <x v="30"/>
          </reference>
          <reference field="7" count="1">
            <x v="66"/>
          </reference>
          <reference field="8" count="1" selected="0">
            <x v="283"/>
          </reference>
        </references>
      </pivotArea>
    </format>
    <format dxfId="1076">
      <pivotArea dataOnly="0" labelOnly="1" fieldPosition="0">
        <references count="4">
          <reference field="0" count="1" selected="0">
            <x v="20"/>
          </reference>
          <reference field="1" count="1" selected="0">
            <x v="0"/>
          </reference>
          <reference field="7" count="1">
            <x v="27"/>
          </reference>
          <reference field="8" count="1" selected="0">
            <x v="283"/>
          </reference>
        </references>
      </pivotArea>
    </format>
    <format dxfId="1075">
      <pivotArea dataOnly="0" labelOnly="1" fieldPosition="0">
        <references count="4">
          <reference field="0" count="1" selected="0">
            <x v="30"/>
          </reference>
          <reference field="1" count="1" selected="0">
            <x v="16"/>
          </reference>
          <reference field="7" count="1">
            <x v="28"/>
          </reference>
          <reference field="8" count="1" selected="0">
            <x v="283"/>
          </reference>
        </references>
      </pivotArea>
    </format>
    <format dxfId="1074">
      <pivotArea dataOnly="0" labelOnly="1" fieldPosition="0">
        <references count="4">
          <reference field="0" count="1" selected="0">
            <x v="42"/>
          </reference>
          <reference field="1" count="1" selected="0">
            <x v="10"/>
          </reference>
          <reference field="7" count="1">
            <x v="66"/>
          </reference>
          <reference field="8" count="1" selected="0">
            <x v="283"/>
          </reference>
        </references>
      </pivotArea>
    </format>
    <format dxfId="1073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69"/>
          </reference>
          <reference field="8" count="1" selected="0">
            <x v="284"/>
          </reference>
        </references>
      </pivotArea>
    </format>
    <format dxfId="1072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284"/>
          </reference>
        </references>
      </pivotArea>
    </format>
    <format dxfId="1071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5"/>
          </reference>
          <reference field="8" count="1" selected="0">
            <x v="284"/>
          </reference>
        </references>
      </pivotArea>
    </format>
    <format dxfId="1070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2"/>
          </reference>
          <reference field="8" count="1" selected="0">
            <x v="284"/>
          </reference>
        </references>
      </pivotArea>
    </format>
    <format dxfId="1069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2"/>
          </reference>
          <reference field="8" count="1" selected="0">
            <x v="284"/>
          </reference>
        </references>
      </pivotArea>
    </format>
    <format dxfId="1068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93"/>
          </reference>
          <reference field="8" count="1" selected="0">
            <x v="285"/>
          </reference>
        </references>
      </pivotArea>
    </format>
    <format dxfId="1067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54"/>
          </reference>
          <reference field="8" count="1" selected="0">
            <x v="285"/>
          </reference>
        </references>
      </pivotArea>
    </format>
    <format dxfId="1066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2">
            <x v="30"/>
            <x v="31"/>
          </reference>
          <reference field="8" count="1" selected="0">
            <x v="285"/>
          </reference>
        </references>
      </pivotArea>
    </format>
    <format dxfId="1065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2"/>
          </reference>
          <reference field="8" count="1" selected="0">
            <x v="285"/>
          </reference>
        </references>
      </pivotArea>
    </format>
    <format dxfId="1064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3"/>
          </reference>
          <reference field="8" count="1" selected="0">
            <x v="285"/>
          </reference>
        </references>
      </pivotArea>
    </format>
    <format dxfId="1063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0"/>
          </reference>
          <reference field="8" count="1" selected="0">
            <x v="286"/>
          </reference>
        </references>
      </pivotArea>
    </format>
    <format dxfId="1062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54"/>
          </reference>
          <reference field="8" count="1" selected="0">
            <x v="286"/>
          </reference>
        </references>
      </pivotArea>
    </format>
    <format dxfId="1061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1"/>
          </reference>
          <reference field="8" count="1" selected="0">
            <x v="286"/>
          </reference>
        </references>
      </pivotArea>
    </format>
    <format dxfId="1060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4"/>
          </reference>
          <reference field="8" count="1" selected="0">
            <x v="286"/>
          </reference>
        </references>
      </pivotArea>
    </format>
    <format dxfId="1059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2"/>
          </reference>
          <reference field="8" count="1" selected="0">
            <x v="287"/>
          </reference>
        </references>
      </pivotArea>
    </format>
    <format dxfId="1058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54"/>
          </reference>
          <reference field="8" count="1" selected="0">
            <x v="287"/>
          </reference>
        </references>
      </pivotArea>
    </format>
    <format dxfId="1057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2">
            <x v="31"/>
            <x v="33"/>
          </reference>
          <reference field="8" count="1" selected="0">
            <x v="287"/>
          </reference>
        </references>
      </pivotArea>
    </format>
    <format dxfId="1056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2">
            <x v="31"/>
            <x v="32"/>
          </reference>
          <reference field="8" count="1" selected="0">
            <x v="287"/>
          </reference>
        </references>
      </pivotArea>
    </format>
    <format dxfId="1055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5"/>
          </reference>
          <reference field="8" count="1" selected="0">
            <x v="287"/>
          </reference>
        </references>
      </pivotArea>
    </format>
    <format dxfId="1054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1"/>
          </reference>
          <reference field="8" count="1" selected="0">
            <x v="288"/>
          </reference>
        </references>
      </pivotArea>
    </format>
    <format dxfId="1053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2">
            <x v="36"/>
            <x v="54"/>
          </reference>
          <reference field="8" count="1" selected="0">
            <x v="288"/>
          </reference>
        </references>
      </pivotArea>
    </format>
    <format dxfId="1052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3"/>
          </reference>
          <reference field="8" count="1" selected="0">
            <x v="288"/>
          </reference>
        </references>
      </pivotArea>
    </format>
    <format dxfId="1051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2"/>
          </reference>
          <reference field="8" count="1" selected="0">
            <x v="288"/>
          </reference>
        </references>
      </pivotArea>
    </format>
    <format dxfId="1050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9"/>
          </reference>
          <reference field="8" count="1" selected="0">
            <x v="288"/>
          </reference>
        </references>
      </pivotArea>
    </format>
    <format dxfId="1049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3"/>
          </reference>
          <reference field="8" count="1" selected="0">
            <x v="289"/>
          </reference>
        </references>
      </pivotArea>
    </format>
    <format dxfId="1048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289"/>
          </reference>
        </references>
      </pivotArea>
    </format>
    <format dxfId="1047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3"/>
          </reference>
          <reference field="8" count="1" selected="0">
            <x v="289"/>
          </reference>
        </references>
      </pivotArea>
    </format>
    <format dxfId="1046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2"/>
          </reference>
          <reference field="8" count="1" selected="0">
            <x v="289"/>
          </reference>
        </references>
      </pivotArea>
    </format>
    <format dxfId="1045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10"/>
          </reference>
          <reference field="8" count="1" selected="0">
            <x v="289"/>
          </reference>
        </references>
      </pivotArea>
    </format>
    <format dxfId="1044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4"/>
          </reference>
          <reference field="8" count="1" selected="0">
            <x v="290"/>
          </reference>
        </references>
      </pivotArea>
    </format>
    <format dxfId="1043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290"/>
          </reference>
        </references>
      </pivotArea>
    </format>
    <format dxfId="1042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2">
            <x v="33"/>
            <x v="35"/>
          </reference>
          <reference field="8" count="1" selected="0">
            <x v="290"/>
          </reference>
        </references>
      </pivotArea>
    </format>
    <format dxfId="1041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2"/>
          </reference>
          <reference field="8" count="1" selected="0">
            <x v="290"/>
          </reference>
        </references>
      </pivotArea>
    </format>
    <format dxfId="1040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11"/>
          </reference>
          <reference field="8" count="1" selected="0">
            <x v="290"/>
          </reference>
        </references>
      </pivotArea>
    </format>
    <format dxfId="1039">
      <pivotArea dataOnly="0" labelOnly="1" fieldPosition="0">
        <references count="4">
          <reference field="0" count="1" selected="0">
            <x v="12"/>
          </reference>
          <reference field="1" count="1" selected="0">
            <x v="33"/>
          </reference>
          <reference field="7" count="1">
            <x v="69"/>
          </reference>
          <reference field="8" count="1" selected="0">
            <x v="291"/>
          </reference>
        </references>
      </pivotArea>
    </format>
    <format dxfId="1038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291"/>
          </reference>
        </references>
      </pivotArea>
    </format>
    <format dxfId="1037">
      <pivotArea dataOnly="0" labelOnly="1" fieldPosition="0">
        <references count="4">
          <reference field="0" count="1" selected="0">
            <x v="15"/>
          </reference>
          <reference field="1" count="1" selected="0">
            <x v="3"/>
          </reference>
          <reference field="7" count="1">
            <x v="26"/>
          </reference>
          <reference field="8" count="1" selected="0">
            <x v="291"/>
          </reference>
        </references>
      </pivotArea>
    </format>
    <format dxfId="1036">
      <pivotArea dataOnly="0" labelOnly="1" fieldPosition="0">
        <references count="4">
          <reference field="0" count="1" selected="0">
            <x v="17"/>
          </reference>
          <reference field="1" count="1" selected="0">
            <x v="36"/>
          </reference>
          <reference field="7" count="1">
            <x v="29"/>
          </reference>
          <reference field="8" count="1" selected="0">
            <x v="291"/>
          </reference>
        </references>
      </pivotArea>
    </format>
    <format dxfId="1035">
      <pivotArea dataOnly="0" labelOnly="1" fieldPosition="0">
        <references count="4">
          <reference field="0" count="1" selected="0">
            <x v="34"/>
          </reference>
          <reference field="1" count="1" selected="0">
            <x v="26"/>
          </reference>
          <reference field="7" count="1">
            <x v="69"/>
          </reference>
          <reference field="8" count="1" selected="0">
            <x v="291"/>
          </reference>
        </references>
      </pivotArea>
    </format>
    <format dxfId="1034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6"/>
          </reference>
          <reference field="8" count="1" selected="0">
            <x v="292"/>
          </reference>
        </references>
      </pivotArea>
    </format>
    <format dxfId="1033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54"/>
          </reference>
          <reference field="8" count="1" selected="0">
            <x v="292"/>
          </reference>
        </references>
      </pivotArea>
    </format>
    <format dxfId="1032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5"/>
          </reference>
          <reference field="8" count="1" selected="0">
            <x v="292"/>
          </reference>
        </references>
      </pivotArea>
    </format>
    <format dxfId="1031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2"/>
          </reference>
          <reference field="8" count="1" selected="0">
            <x v="292"/>
          </reference>
        </references>
      </pivotArea>
    </format>
    <format dxfId="1030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12"/>
          </reference>
          <reference field="8" count="1" selected="0">
            <x v="292"/>
          </reference>
        </references>
      </pivotArea>
    </format>
    <format dxfId="1029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8"/>
          </reference>
          <reference field="8" count="1" selected="0">
            <x v="293"/>
          </reference>
        </references>
      </pivotArea>
    </format>
    <format dxfId="1028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54"/>
          </reference>
          <reference field="8" count="1" selected="0">
            <x v="293"/>
          </reference>
        </references>
      </pivotArea>
    </format>
    <format dxfId="1027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5"/>
          </reference>
          <reference field="8" count="1" selected="0">
            <x v="293"/>
          </reference>
        </references>
      </pivotArea>
    </format>
    <format dxfId="1026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2">
            <x v="32"/>
            <x v="34"/>
          </reference>
          <reference field="8" count="1" selected="0">
            <x v="293"/>
          </reference>
        </references>
      </pivotArea>
    </format>
    <format dxfId="1025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14"/>
          </reference>
          <reference field="8" count="1" selected="0">
            <x v="293"/>
          </reference>
        </references>
      </pivotArea>
    </format>
    <format dxfId="1024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9"/>
          </reference>
          <reference field="8" count="1" selected="0">
            <x v="294"/>
          </reference>
        </references>
      </pivotArea>
    </format>
    <format dxfId="1023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2">
            <x v="36"/>
            <x v="54"/>
          </reference>
          <reference field="8" count="1" selected="0">
            <x v="294"/>
          </reference>
        </references>
      </pivotArea>
    </format>
    <format dxfId="1022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5"/>
          </reference>
          <reference field="8" count="1" selected="0">
            <x v="294"/>
          </reference>
        </references>
      </pivotArea>
    </format>
    <format dxfId="1021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4"/>
          </reference>
          <reference field="8" count="1" selected="0">
            <x v="294"/>
          </reference>
        </references>
      </pivotArea>
    </format>
    <format dxfId="1020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15"/>
          </reference>
          <reference field="8" count="1" selected="0">
            <x v="294"/>
          </reference>
        </references>
      </pivotArea>
    </format>
    <format dxfId="1019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0"/>
          </reference>
          <reference field="8" count="1" selected="0">
            <x v="295"/>
          </reference>
        </references>
      </pivotArea>
    </format>
    <format dxfId="1018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295"/>
          </reference>
        </references>
      </pivotArea>
    </format>
    <format dxfId="1017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5"/>
          </reference>
          <reference field="8" count="1" selected="0">
            <x v="295"/>
          </reference>
        </references>
      </pivotArea>
    </format>
    <format dxfId="1016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4"/>
          </reference>
          <reference field="8" count="1" selected="0">
            <x v="295"/>
          </reference>
        </references>
      </pivotArea>
    </format>
    <format dxfId="1015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16"/>
          </reference>
          <reference field="8" count="1" selected="0">
            <x v="295"/>
          </reference>
        </references>
      </pivotArea>
    </format>
    <format dxfId="1014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1"/>
          </reference>
          <reference field="8" count="1" selected="0">
            <x v="296"/>
          </reference>
        </references>
      </pivotArea>
    </format>
    <format dxfId="1013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296"/>
          </reference>
        </references>
      </pivotArea>
    </format>
    <format dxfId="1012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5"/>
          </reference>
          <reference field="8" count="1" selected="0">
            <x v="296"/>
          </reference>
        </references>
      </pivotArea>
    </format>
    <format dxfId="1011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4"/>
          </reference>
          <reference field="8" count="1" selected="0">
            <x v="296"/>
          </reference>
        </references>
      </pivotArea>
    </format>
    <format dxfId="1010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17"/>
          </reference>
          <reference field="8" count="1" selected="0">
            <x v="296"/>
          </reference>
        </references>
      </pivotArea>
    </format>
    <format dxfId="1009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2"/>
          </reference>
          <reference field="8" count="1" selected="0">
            <x v="297"/>
          </reference>
        </references>
      </pivotArea>
    </format>
    <format dxfId="1008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297"/>
          </reference>
        </references>
      </pivotArea>
    </format>
    <format dxfId="1007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2">
            <x v="35"/>
            <x v="37"/>
          </reference>
          <reference field="8" count="1" selected="0">
            <x v="297"/>
          </reference>
        </references>
      </pivotArea>
    </format>
    <format dxfId="1006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4"/>
          </reference>
          <reference field="8" count="1" selected="0">
            <x v="297"/>
          </reference>
        </references>
      </pivotArea>
    </format>
    <format dxfId="1005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20"/>
          </reference>
          <reference field="8" count="1" selected="0">
            <x v="297"/>
          </reference>
        </references>
      </pivotArea>
    </format>
    <format dxfId="1004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4"/>
          </reference>
          <reference field="8" count="1" selected="0">
            <x v="298"/>
          </reference>
        </references>
      </pivotArea>
    </format>
    <format dxfId="1003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298"/>
          </reference>
        </references>
      </pivotArea>
    </format>
    <format dxfId="1002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7"/>
          </reference>
          <reference field="8" count="1" selected="0">
            <x v="298"/>
          </reference>
        </references>
      </pivotArea>
    </format>
    <format dxfId="1001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4"/>
          </reference>
          <reference field="8" count="1" selected="0">
            <x v="298"/>
          </reference>
        </references>
      </pivotArea>
    </format>
    <format dxfId="1000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21"/>
          </reference>
          <reference field="8" count="1" selected="0">
            <x v="298"/>
          </reference>
        </references>
      </pivotArea>
    </format>
    <format dxfId="999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7"/>
          </reference>
          <reference field="8" count="1" selected="0">
            <x v="299"/>
          </reference>
        </references>
      </pivotArea>
    </format>
    <format dxfId="998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299"/>
          </reference>
        </references>
      </pivotArea>
    </format>
    <format dxfId="997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7"/>
          </reference>
          <reference field="8" count="1" selected="0">
            <x v="299"/>
          </reference>
        </references>
      </pivotArea>
    </format>
    <format dxfId="996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2">
            <x v="34"/>
            <x v="37"/>
          </reference>
          <reference field="8" count="1" selected="0">
            <x v="299"/>
          </reference>
        </references>
      </pivotArea>
    </format>
    <format dxfId="995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22"/>
          </reference>
          <reference field="8" count="1" selected="0">
            <x v="299"/>
          </reference>
        </references>
      </pivotArea>
    </format>
    <format dxfId="994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9"/>
          </reference>
          <reference field="8" count="1" selected="0">
            <x v="300"/>
          </reference>
        </references>
      </pivotArea>
    </format>
    <format dxfId="993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300"/>
          </reference>
        </references>
      </pivotArea>
    </format>
    <format dxfId="992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7"/>
          </reference>
          <reference field="8" count="1" selected="0">
            <x v="300"/>
          </reference>
        </references>
      </pivotArea>
    </format>
    <format dxfId="991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23"/>
          </reference>
          <reference field="8" count="1" selected="0">
            <x v="300"/>
          </reference>
        </references>
      </pivotArea>
    </format>
    <format dxfId="990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90"/>
          </reference>
          <reference field="8" count="1" selected="0">
            <x v="301"/>
          </reference>
        </references>
      </pivotArea>
    </format>
    <format dxfId="989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301"/>
          </reference>
        </references>
      </pivotArea>
    </format>
    <format dxfId="988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7"/>
          </reference>
          <reference field="8" count="1" selected="0">
            <x v="301"/>
          </reference>
        </references>
      </pivotArea>
    </format>
    <format dxfId="987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47"/>
          </reference>
          <reference field="8" count="1" selected="0">
            <x v="301"/>
          </reference>
        </references>
      </pivotArea>
    </format>
    <format dxfId="986">
      <pivotArea dataOnly="0" labelOnly="1" fieldPosition="0">
        <references count="4">
          <reference field="0" count="1" selected="0">
            <x v="11"/>
          </reference>
          <reference field="1" count="1" selected="0">
            <x v="31"/>
          </reference>
          <reference field="7" count="1">
            <x v="92"/>
          </reference>
          <reference field="8" count="1" selected="0">
            <x v="302"/>
          </reference>
        </references>
      </pivotArea>
    </format>
    <format dxfId="985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302"/>
          </reference>
        </references>
      </pivotArea>
    </format>
    <format dxfId="984">
      <pivotArea dataOnly="0" labelOnly="1" fieldPosition="0">
        <references count="4">
          <reference field="0" count="1" selected="0">
            <x v="20"/>
          </reference>
          <reference field="1" count="1" selected="0">
            <x v="0"/>
          </reference>
          <reference field="7" count="1">
            <x v="27"/>
          </reference>
          <reference field="8" count="1" selected="0">
            <x v="302"/>
          </reference>
        </references>
      </pivotArea>
    </format>
    <format dxfId="983">
      <pivotArea dataOnly="0" labelOnly="1" fieldPosition="0">
        <references count="4">
          <reference field="0" count="1" selected="0">
            <x v="26"/>
          </reference>
          <reference field="1" count="1" selected="0">
            <x v="4"/>
          </reference>
          <reference field="7" count="1">
            <x v="25"/>
          </reference>
          <reference field="8" count="1" selected="0">
            <x v="302"/>
          </reference>
        </references>
      </pivotArea>
    </format>
    <format dxfId="982">
      <pivotArea dataOnly="0" labelOnly="1" fieldPosition="0">
        <references count="4">
          <reference field="0" count="1" selected="0">
            <x v="45"/>
          </reference>
          <reference field="1" count="1" selected="0">
            <x v="28"/>
          </reference>
          <reference field="7" count="1">
            <x v="91"/>
          </reference>
          <reference field="8" count="1" selected="0">
            <x v="302"/>
          </reference>
        </references>
      </pivotArea>
    </format>
    <format dxfId="981">
      <pivotArea dataOnly="0" labelOnly="1" fieldPosition="0">
        <references count="4">
          <reference field="0" count="1" selected="0">
            <x v="34"/>
          </reference>
          <reference field="1" count="1" selected="0">
            <x v="26"/>
          </reference>
          <reference field="7" count="1">
            <x v="8"/>
          </reference>
          <reference field="8" count="1" selected="0">
            <x v="320"/>
          </reference>
        </references>
      </pivotArea>
    </format>
    <format dxfId="980">
      <pivotArea dataOnly="0" labelOnly="1" fieldPosition="0">
        <references count="4">
          <reference field="0" count="1" selected="0">
            <x v="46"/>
          </reference>
          <reference field="1" count="1" selected="0">
            <x v="25"/>
          </reference>
          <reference field="7" count="1">
            <x v="68"/>
          </reference>
          <reference field="8" count="1" selected="0">
            <x v="320"/>
          </reference>
        </references>
      </pivotArea>
    </format>
    <format dxfId="979">
      <pivotArea dataOnly="0" labelOnly="1" fieldPosition="0">
        <references count="4">
          <reference field="0" count="1" selected="0">
            <x v="34"/>
          </reference>
          <reference field="1" count="1" selected="0">
            <x v="26"/>
          </reference>
          <reference field="7" count="2">
            <x v="8"/>
            <x v="69"/>
          </reference>
          <reference field="8" count="1" selected="0">
            <x v="321"/>
          </reference>
        </references>
      </pivotArea>
    </format>
    <format dxfId="978">
      <pivotArea dataOnly="0" labelOnly="1" fieldPosition="0">
        <references count="4">
          <reference field="0" count="1" selected="0">
            <x v="46"/>
          </reference>
          <reference field="1" count="1" selected="0">
            <x v="25"/>
          </reference>
          <reference field="7" count="1">
            <x v="86"/>
          </reference>
          <reference field="8" count="1" selected="0">
            <x v="321"/>
          </reference>
        </references>
      </pivotArea>
    </format>
    <format dxfId="977">
      <pivotArea dataOnly="0" labelOnly="1" fieldPosition="0">
        <references count="4">
          <reference field="0" count="1" selected="0">
            <x v="33"/>
          </reference>
          <reference field="1" count="1" selected="0">
            <x v="37"/>
          </reference>
          <reference field="7" count="1">
            <x v="40"/>
          </reference>
          <reference field="8" count="1" selected="0">
            <x v="322"/>
          </reference>
        </references>
      </pivotArea>
    </format>
    <format dxfId="976">
      <pivotArea dataOnly="0" labelOnly="1" fieldPosition="0">
        <references count="4">
          <reference field="0" count="1" selected="0">
            <x v="42"/>
          </reference>
          <reference field="1" count="1" selected="0">
            <x v="10"/>
          </reference>
          <reference field="7" count="2">
            <x v="65"/>
            <x v="66"/>
          </reference>
          <reference field="8" count="1" selected="0">
            <x v="322"/>
          </reference>
        </references>
      </pivotArea>
    </format>
    <format dxfId="975">
      <pivotArea dataOnly="0" labelOnly="1" fieldPosition="0">
        <references count="5">
          <reference field="0" count="1" selected="0">
            <x v="1"/>
          </reference>
          <reference field="1" count="1" selected="0">
            <x v="44"/>
          </reference>
          <reference field="7" count="1" selected="0">
            <x v="61"/>
          </reference>
          <reference field="8" count="1" selected="0">
            <x v="62"/>
          </reference>
          <reference field="25" count="1">
            <x v="4"/>
          </reference>
        </references>
      </pivotArea>
    </format>
    <format dxfId="974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1"/>
          </reference>
          <reference field="8" count="1" selected="0">
            <x v="62"/>
          </reference>
          <reference field="25" count="1">
            <x v="4"/>
          </reference>
        </references>
      </pivotArea>
    </format>
    <format dxfId="973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1"/>
          </reference>
          <reference field="8" count="1" selected="0">
            <x v="62"/>
          </reference>
          <reference field="25" count="1">
            <x v="4"/>
          </reference>
        </references>
      </pivotArea>
    </format>
    <format dxfId="972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61"/>
          </reference>
          <reference field="8" count="1" selected="0">
            <x v="62"/>
          </reference>
          <reference field="25" count="1">
            <x v="4"/>
          </reference>
        </references>
      </pivotArea>
    </format>
    <format dxfId="971">
      <pivotArea dataOnly="0" labelOnly="1" fieldPosition="0">
        <references count="5">
          <reference field="0" count="1" selected="0">
            <x v="2"/>
          </reference>
          <reference field="1" count="1" selected="0">
            <x v="43"/>
          </reference>
          <reference field="7" count="1" selected="0">
            <x v="13"/>
          </reference>
          <reference field="8" count="1" selected="0">
            <x v="63"/>
          </reference>
          <reference field="25" count="1">
            <x v="4"/>
          </reference>
        </references>
      </pivotArea>
    </format>
    <format dxfId="970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63"/>
          </reference>
          <reference field="25" count="1">
            <x v="4"/>
          </reference>
        </references>
      </pivotArea>
    </format>
    <format dxfId="969">
      <pivotArea dataOnly="0" labelOnly="1" fieldPosition="0">
        <references count="5">
          <reference field="0" count="1" selected="0">
            <x v="8"/>
          </reference>
          <reference field="1" count="1" selected="0">
            <x v="24"/>
          </reference>
          <reference field="7" count="1" selected="0">
            <x v="13"/>
          </reference>
          <reference field="8" count="1" selected="0">
            <x v="63"/>
          </reference>
          <reference field="25" count="1">
            <x v="4"/>
          </reference>
        </references>
      </pivotArea>
    </format>
    <format dxfId="968">
      <pivotArea dataOnly="0" labelOnly="1" fieldPosition="0">
        <references count="5">
          <reference field="0" count="1" selected="0">
            <x v="1"/>
          </reference>
          <reference field="1" count="1" selected="0">
            <x v="44"/>
          </reference>
          <reference field="7" count="1" selected="0">
            <x v="64"/>
          </reference>
          <reference field="8" count="1" selected="0">
            <x v="64"/>
          </reference>
          <reference field="25" count="1">
            <x v="4"/>
          </reference>
        </references>
      </pivotArea>
    </format>
    <format dxfId="967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4"/>
          </reference>
          <reference field="8" count="1" selected="0">
            <x v="64"/>
          </reference>
          <reference field="25" count="1">
            <x v="4"/>
          </reference>
        </references>
      </pivotArea>
    </format>
    <format dxfId="966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64"/>
          </reference>
          <reference field="25" count="1">
            <x v="4"/>
          </reference>
        </references>
      </pivotArea>
    </format>
    <format dxfId="965">
      <pivotArea dataOnly="0" labelOnly="1" fieldPosition="0">
        <references count="5">
          <reference field="0" count="1" selected="0">
            <x v="2"/>
          </reference>
          <reference field="1" count="1" selected="0">
            <x v="43"/>
          </reference>
          <reference field="7" count="1" selected="0">
            <x v="13"/>
          </reference>
          <reference field="8" count="1" selected="0">
            <x v="65"/>
          </reference>
          <reference field="25" count="1">
            <x v="4"/>
          </reference>
        </references>
      </pivotArea>
    </format>
    <format dxfId="964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65"/>
          </reference>
          <reference field="25" count="1">
            <x v="4"/>
          </reference>
        </references>
      </pivotArea>
    </format>
    <format dxfId="963">
      <pivotArea dataOnly="0" labelOnly="1" fieldPosition="0">
        <references count="5">
          <reference field="0" count="1" selected="0">
            <x v="8"/>
          </reference>
          <reference field="1" count="1" selected="0">
            <x v="24"/>
          </reference>
          <reference field="7" count="1" selected="0">
            <x v="13"/>
          </reference>
          <reference field="8" count="1" selected="0">
            <x v="65"/>
          </reference>
          <reference field="25" count="1">
            <x v="4"/>
          </reference>
        </references>
      </pivotArea>
    </format>
    <format dxfId="962">
      <pivotArea dataOnly="0" labelOnly="1" fieldPosition="0">
        <references count="5">
          <reference field="0" count="1" selected="0">
            <x v="1"/>
          </reference>
          <reference field="1" count="1" selected="0">
            <x v="44"/>
          </reference>
          <reference field="7" count="1" selected="0">
            <x v="61"/>
          </reference>
          <reference field="8" count="1" selected="0">
            <x v="66"/>
          </reference>
          <reference field="25" count="1">
            <x v="4"/>
          </reference>
        </references>
      </pivotArea>
    </format>
    <format dxfId="961">
      <pivotArea dataOnly="0" labelOnly="1" fieldPosition="0">
        <references count="5">
          <reference field="0" count="1" selected="0">
            <x v="1"/>
          </reference>
          <reference field="1" count="1" selected="0">
            <x v="44"/>
          </reference>
          <reference field="7" count="1" selected="0">
            <x v="64"/>
          </reference>
          <reference field="8" count="1" selected="0">
            <x v="66"/>
          </reference>
          <reference field="25" count="1">
            <x v="4"/>
          </reference>
        </references>
      </pivotArea>
    </format>
    <format dxfId="960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4"/>
          </reference>
          <reference field="8" count="1" selected="0">
            <x v="66"/>
          </reference>
          <reference field="25" count="1">
            <x v="4"/>
          </reference>
        </references>
      </pivotArea>
    </format>
    <format dxfId="959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66"/>
          </reference>
          <reference field="25" count="1">
            <x v="4"/>
          </reference>
        </references>
      </pivotArea>
    </format>
    <format dxfId="958">
      <pivotArea dataOnly="0" labelOnly="1" fieldPosition="0">
        <references count="5">
          <reference field="0" count="1" selected="0">
            <x v="1"/>
          </reference>
          <reference field="1" count="1" selected="0">
            <x v="44"/>
          </reference>
          <reference field="7" count="1" selected="0">
            <x v="58"/>
          </reference>
          <reference field="8" count="1" selected="0">
            <x v="67"/>
          </reference>
          <reference field="25" count="1">
            <x v="4"/>
          </reference>
        </references>
      </pivotArea>
    </format>
    <format dxfId="957">
      <pivotArea dataOnly="0" labelOnly="1" fieldPosition="0">
        <references count="5">
          <reference field="0" count="1" selected="0">
            <x v="1"/>
          </reference>
          <reference field="1" count="1" selected="0">
            <x v="44"/>
          </reference>
          <reference field="7" count="1" selected="0">
            <x v="64"/>
          </reference>
          <reference field="8" count="1" selected="0">
            <x v="67"/>
          </reference>
          <reference field="25" count="1">
            <x v="4"/>
          </reference>
        </references>
      </pivotArea>
    </format>
    <format dxfId="956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58"/>
          </reference>
          <reference field="8" count="1" selected="0">
            <x v="67"/>
          </reference>
          <reference field="25" count="1">
            <x v="4"/>
          </reference>
        </references>
      </pivotArea>
    </format>
    <format dxfId="955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67"/>
          </reference>
          <reference field="25" count="1">
            <x v="4"/>
          </reference>
        </references>
      </pivotArea>
    </format>
    <format dxfId="954">
      <pivotArea dataOnly="0" labelOnly="1" fieldPosition="0">
        <references count="5">
          <reference field="0" count="1" selected="0">
            <x v="2"/>
          </reference>
          <reference field="1" count="1" selected="0">
            <x v="43"/>
          </reference>
          <reference field="7" count="1" selected="0">
            <x v="13"/>
          </reference>
          <reference field="8" count="1" selected="0">
            <x v="68"/>
          </reference>
          <reference field="25" count="1">
            <x v="4"/>
          </reference>
        </references>
      </pivotArea>
    </format>
    <format dxfId="953">
      <pivotArea dataOnly="0" labelOnly="1" fieldPosition="0">
        <references count="5">
          <reference field="0" count="1" selected="0">
            <x v="2"/>
          </reference>
          <reference field="1" count="1" selected="0">
            <x v="43"/>
          </reference>
          <reference field="7" count="1" selected="0">
            <x v="62"/>
          </reference>
          <reference field="8" count="1" selected="0">
            <x v="68"/>
          </reference>
          <reference field="25" count="1">
            <x v="4"/>
          </reference>
        </references>
      </pivotArea>
    </format>
    <format dxfId="952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62"/>
          </reference>
          <reference field="8" count="1" selected="0">
            <x v="68"/>
          </reference>
          <reference field="25" count="1">
            <x v="4"/>
          </reference>
        </references>
      </pivotArea>
    </format>
    <format dxfId="951">
      <pivotArea dataOnly="0" labelOnly="1" fieldPosition="0">
        <references count="5">
          <reference field="0" count="1" selected="0">
            <x v="8"/>
          </reference>
          <reference field="1" count="1" selected="0">
            <x v="24"/>
          </reference>
          <reference field="7" count="1" selected="0">
            <x v="62"/>
          </reference>
          <reference field="8" count="1" selected="0">
            <x v="68"/>
          </reference>
          <reference field="25" count="1">
            <x v="4"/>
          </reference>
        </references>
      </pivotArea>
    </format>
    <format dxfId="950">
      <pivotArea dataOnly="0" labelOnly="1" fieldPosition="0">
        <references count="5">
          <reference field="0" count="1" selected="0">
            <x v="1"/>
          </reference>
          <reference field="1" count="1" selected="0">
            <x v="44"/>
          </reference>
          <reference field="7" count="1" selected="0">
            <x v="58"/>
          </reference>
          <reference field="8" count="1" selected="0">
            <x v="69"/>
          </reference>
          <reference field="25" count="1">
            <x v="4"/>
          </reference>
        </references>
      </pivotArea>
    </format>
    <format dxfId="949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58"/>
          </reference>
          <reference field="8" count="1" selected="0">
            <x v="69"/>
          </reference>
          <reference field="25" count="1">
            <x v="4"/>
          </reference>
        </references>
      </pivotArea>
    </format>
    <format dxfId="948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69"/>
          </reference>
          <reference field="25" count="1">
            <x v="4"/>
          </reference>
        </references>
      </pivotArea>
    </format>
    <format dxfId="947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58"/>
          </reference>
          <reference field="8" count="1" selected="0">
            <x v="69"/>
          </reference>
          <reference field="25" count="1">
            <x v="4"/>
          </reference>
        </references>
      </pivotArea>
    </format>
    <format dxfId="946">
      <pivotArea dataOnly="0" labelOnly="1" fieldPosition="0">
        <references count="5">
          <reference field="0" count="1" selected="0">
            <x v="2"/>
          </reference>
          <reference field="1" count="1" selected="0">
            <x v="43"/>
          </reference>
          <reference field="7" count="1" selected="0">
            <x v="62"/>
          </reference>
          <reference field="8" count="1" selected="0">
            <x v="70"/>
          </reference>
          <reference field="25" count="1">
            <x v="4"/>
          </reference>
        </references>
      </pivotArea>
    </format>
    <format dxfId="945">
      <pivotArea dataOnly="0" labelOnly="1" fieldPosition="0">
        <references count="5">
          <reference field="0" count="1" selected="0">
            <x v="2"/>
          </reference>
          <reference field="1" count="1" selected="0">
            <x v="43"/>
          </reference>
          <reference field="7" count="1" selected="0">
            <x v="75"/>
          </reference>
          <reference field="8" count="1" selected="0">
            <x v="70"/>
          </reference>
          <reference field="25" count="1">
            <x v="4"/>
          </reference>
        </references>
      </pivotArea>
    </format>
    <format dxfId="944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75"/>
          </reference>
          <reference field="8" count="1" selected="0">
            <x v="70"/>
          </reference>
          <reference field="25" count="1">
            <x v="4"/>
          </reference>
        </references>
      </pivotArea>
    </format>
    <format dxfId="943">
      <pivotArea dataOnly="0" labelOnly="1" fieldPosition="0">
        <references count="5">
          <reference field="0" count="1" selected="0">
            <x v="8"/>
          </reference>
          <reference field="1" count="1" selected="0">
            <x v="24"/>
          </reference>
          <reference field="7" count="1" selected="0">
            <x v="75"/>
          </reference>
          <reference field="8" count="1" selected="0">
            <x v="70"/>
          </reference>
          <reference field="25" count="1">
            <x v="4"/>
          </reference>
        </references>
      </pivotArea>
    </format>
    <format dxfId="942">
      <pivotArea dataOnly="0" labelOnly="1" fieldPosition="0">
        <references count="5">
          <reference field="0" count="1" selected="0">
            <x v="1"/>
          </reference>
          <reference field="1" count="1" selected="0">
            <x v="44"/>
          </reference>
          <reference field="7" count="1" selected="0">
            <x v="58"/>
          </reference>
          <reference field="8" count="1" selected="0">
            <x v="71"/>
          </reference>
          <reference field="25" count="1">
            <x v="4"/>
          </reference>
        </references>
      </pivotArea>
    </format>
    <format dxfId="941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58"/>
          </reference>
          <reference field="8" count="1" selected="0">
            <x v="71"/>
          </reference>
          <reference field="25" count="1">
            <x v="4"/>
          </reference>
        </references>
      </pivotArea>
    </format>
    <format dxfId="940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71"/>
          </reference>
          <reference field="25" count="1">
            <x v="4"/>
          </reference>
        </references>
      </pivotArea>
    </format>
    <format dxfId="939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58"/>
          </reference>
          <reference field="8" count="1" selected="0">
            <x v="71"/>
          </reference>
          <reference field="25" count="1">
            <x v="4"/>
          </reference>
        </references>
      </pivotArea>
    </format>
    <format dxfId="938">
      <pivotArea dataOnly="0" labelOnly="1" fieldPosition="0">
        <references count="5">
          <reference field="0" count="1" selected="0">
            <x v="1"/>
          </reference>
          <reference field="1" count="1" selected="0">
            <x v="44"/>
          </reference>
          <reference field="7" count="1" selected="0">
            <x v="83"/>
          </reference>
          <reference field="8" count="1" selected="0">
            <x v="72"/>
          </reference>
          <reference field="25" count="1">
            <x v="4"/>
          </reference>
        </references>
      </pivotArea>
    </format>
    <format dxfId="937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83"/>
          </reference>
          <reference field="8" count="1" selected="0">
            <x v="72"/>
          </reference>
          <reference field="25" count="1">
            <x v="4"/>
          </reference>
        </references>
      </pivotArea>
    </format>
    <format dxfId="936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83"/>
          </reference>
          <reference field="8" count="1" selected="0">
            <x v="72"/>
          </reference>
          <reference field="25" count="1">
            <x v="4"/>
          </reference>
        </references>
      </pivotArea>
    </format>
    <format dxfId="935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83"/>
          </reference>
          <reference field="8" count="1" selected="0">
            <x v="72"/>
          </reference>
          <reference field="25" count="1">
            <x v="4"/>
          </reference>
        </references>
      </pivotArea>
    </format>
    <format dxfId="934">
      <pivotArea dataOnly="0" labelOnly="1" fieldPosition="0">
        <references count="5">
          <reference field="0" count="1" selected="0">
            <x v="2"/>
          </reference>
          <reference field="1" count="1" selected="0">
            <x v="43"/>
          </reference>
          <reference field="7" count="1" selected="0">
            <x v="75"/>
          </reference>
          <reference field="8" count="1" selected="0">
            <x v="73"/>
          </reference>
          <reference field="25" count="1">
            <x v="4"/>
          </reference>
        </references>
      </pivotArea>
    </format>
    <format dxfId="933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75"/>
          </reference>
          <reference field="8" count="1" selected="0">
            <x v="73"/>
          </reference>
          <reference field="25" count="1">
            <x v="4"/>
          </reference>
        </references>
      </pivotArea>
    </format>
    <format dxfId="932">
      <pivotArea dataOnly="0" labelOnly="1" fieldPosition="0">
        <references count="5">
          <reference field="0" count="1" selected="0">
            <x v="8"/>
          </reference>
          <reference field="1" count="1" selected="0">
            <x v="24"/>
          </reference>
          <reference field="7" count="1" selected="0">
            <x v="75"/>
          </reference>
          <reference field="8" count="1" selected="0">
            <x v="73"/>
          </reference>
          <reference field="25" count="1">
            <x v="4"/>
          </reference>
        </references>
      </pivotArea>
    </format>
    <format dxfId="931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4"/>
          </reference>
          <reference field="8" count="1" selected="0">
            <x v="170"/>
          </reference>
          <reference field="25" count="1">
            <x v="4"/>
          </reference>
        </references>
      </pivotArea>
    </format>
    <format dxfId="930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170"/>
          </reference>
          <reference field="25" count="1">
            <x v="4"/>
          </reference>
        </references>
      </pivotArea>
    </format>
    <format dxfId="929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170"/>
          </reference>
          <reference field="25" count="1">
            <x v="4"/>
          </reference>
        </references>
      </pivotArea>
    </format>
    <format dxfId="928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69"/>
          </reference>
          <reference field="8" count="1" selected="0">
            <x v="170"/>
          </reference>
          <reference field="25" count="1">
            <x v="4"/>
          </reference>
        </references>
      </pivotArea>
    </format>
    <format dxfId="927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1"/>
          </reference>
          <reference field="8" count="1" selected="0">
            <x v="171"/>
          </reference>
          <reference field="25" count="1">
            <x v="4"/>
          </reference>
        </references>
      </pivotArea>
    </format>
    <format dxfId="926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1"/>
          </reference>
          <reference field="8" count="1" selected="0">
            <x v="171"/>
          </reference>
          <reference field="25" count="1">
            <x v="4"/>
          </reference>
        </references>
      </pivotArea>
    </format>
    <format dxfId="925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171"/>
          </reference>
          <reference field="25" count="1">
            <x v="4"/>
          </reference>
        </references>
      </pivotArea>
    </format>
    <format dxfId="924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93"/>
          </reference>
          <reference field="8" count="1" selected="0">
            <x v="171"/>
          </reference>
          <reference field="25" count="1">
            <x v="4"/>
          </reference>
        </references>
      </pivotArea>
    </format>
    <format dxfId="923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1"/>
          </reference>
          <reference field="8" count="1" selected="0">
            <x v="172"/>
          </reference>
          <reference field="25" count="1">
            <x v="4"/>
          </reference>
        </references>
      </pivotArea>
    </format>
    <format dxfId="922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172"/>
          </reference>
          <reference field="25" count="1">
            <x v="4"/>
          </reference>
        </references>
      </pivotArea>
    </format>
    <format dxfId="921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48"/>
          </reference>
          <reference field="8" count="1" selected="0">
            <x v="172"/>
          </reference>
          <reference field="25" count="1">
            <x v="4"/>
          </reference>
        </references>
      </pivotArea>
    </format>
    <format dxfId="920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172"/>
          </reference>
          <reference field="25" count="1">
            <x v="4"/>
          </reference>
        </references>
      </pivotArea>
    </format>
    <format dxfId="919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0"/>
          </reference>
          <reference field="8" count="1" selected="0">
            <x v="172"/>
          </reference>
          <reference field="25" count="1">
            <x v="4"/>
          </reference>
        </references>
      </pivotArea>
    </format>
    <format dxfId="918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173"/>
          </reference>
          <reference field="25" count="1">
            <x v="4"/>
          </reference>
        </references>
      </pivotArea>
    </format>
    <format dxfId="917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48"/>
          </reference>
          <reference field="8" count="1" selected="0">
            <x v="173"/>
          </reference>
          <reference field="25" count="1">
            <x v="4"/>
          </reference>
        </references>
      </pivotArea>
    </format>
    <format dxfId="916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99"/>
          </reference>
          <reference field="8" count="1" selected="0">
            <x v="173"/>
          </reference>
          <reference field="25" count="1">
            <x v="4"/>
          </reference>
        </references>
      </pivotArea>
    </format>
    <format dxfId="915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173"/>
          </reference>
          <reference field="25" count="1">
            <x v="4"/>
          </reference>
        </references>
      </pivotArea>
    </format>
    <format dxfId="914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2"/>
          </reference>
          <reference field="8" count="1" selected="0">
            <x v="173"/>
          </reference>
          <reference field="25" count="1">
            <x v="4"/>
          </reference>
        </references>
      </pivotArea>
    </format>
    <format dxfId="913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1"/>
          </reference>
          <reference field="8" count="1" selected="0">
            <x v="174"/>
          </reference>
          <reference field="25" count="1">
            <x v="4"/>
          </reference>
        </references>
      </pivotArea>
    </format>
    <format dxfId="912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4"/>
          </reference>
          <reference field="8" count="1" selected="0">
            <x v="174"/>
          </reference>
          <reference field="25" count="1">
            <x v="4"/>
          </reference>
        </references>
      </pivotArea>
    </format>
    <format dxfId="911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174"/>
          </reference>
          <reference field="25" count="1">
            <x v="4"/>
          </reference>
        </references>
      </pivotArea>
    </format>
    <format dxfId="910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174"/>
          </reference>
          <reference field="25" count="1">
            <x v="4"/>
          </reference>
        </references>
      </pivotArea>
    </format>
    <format dxfId="909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1"/>
          </reference>
          <reference field="8" count="1" selected="0">
            <x v="174"/>
          </reference>
          <reference field="25" count="1">
            <x v="4"/>
          </reference>
        </references>
      </pivotArea>
    </format>
    <format dxfId="908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4"/>
          </reference>
          <reference field="8" count="1" selected="0">
            <x v="175"/>
          </reference>
          <reference field="25" count="1">
            <x v="4"/>
          </reference>
        </references>
      </pivotArea>
    </format>
    <format dxfId="907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175"/>
          </reference>
          <reference field="25" count="1">
            <x v="4"/>
          </reference>
        </references>
      </pivotArea>
    </format>
    <format dxfId="906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175"/>
          </reference>
          <reference field="25" count="1">
            <x v="4"/>
          </reference>
        </references>
      </pivotArea>
    </format>
    <format dxfId="905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3"/>
          </reference>
          <reference field="8" count="1" selected="0">
            <x v="175"/>
          </reference>
          <reference field="25" count="1">
            <x v="4"/>
          </reference>
        </references>
      </pivotArea>
    </format>
    <format dxfId="904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4"/>
          </reference>
          <reference field="8" count="1" selected="0">
            <x v="176"/>
          </reference>
          <reference field="25" count="1">
            <x v="4"/>
          </reference>
        </references>
      </pivotArea>
    </format>
    <format dxfId="903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176"/>
          </reference>
          <reference field="25" count="1">
            <x v="4"/>
          </reference>
        </references>
      </pivotArea>
    </format>
    <format dxfId="902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176"/>
          </reference>
          <reference field="25" count="1">
            <x v="4"/>
          </reference>
        </references>
      </pivotArea>
    </format>
    <format dxfId="901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4"/>
          </reference>
          <reference field="8" count="1" selected="0">
            <x v="176"/>
          </reference>
          <reference field="25" count="1">
            <x v="4"/>
          </reference>
        </references>
      </pivotArea>
    </format>
    <format dxfId="900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4"/>
          </reference>
          <reference field="8" count="1" selected="0">
            <x v="177"/>
          </reference>
          <reference field="25" count="1">
            <x v="4"/>
          </reference>
        </references>
      </pivotArea>
    </format>
    <format dxfId="899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177"/>
          </reference>
          <reference field="25" count="1">
            <x v="4"/>
          </reference>
        </references>
      </pivotArea>
    </format>
    <format dxfId="898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177"/>
          </reference>
          <reference field="25" count="1">
            <x v="4"/>
          </reference>
        </references>
      </pivotArea>
    </format>
    <format dxfId="897">
      <pivotArea dataOnly="0" labelOnly="1" fieldPosition="0">
        <references count="5">
          <reference field="0" count="1" selected="0">
            <x v="12"/>
          </reference>
          <reference field="1" count="1" selected="0">
            <x v="33"/>
          </reference>
          <reference field="7" count="1" selected="0">
            <x v="69"/>
          </reference>
          <reference field="8" count="1" selected="0">
            <x v="177"/>
          </reference>
          <reference field="25" count="1">
            <x v="4"/>
          </reference>
        </references>
      </pivotArea>
    </format>
    <format dxfId="896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4"/>
          </reference>
          <reference field="8" count="1" selected="0">
            <x v="178"/>
          </reference>
          <reference field="25" count="1">
            <x v="4"/>
          </reference>
        </references>
      </pivotArea>
    </format>
    <format dxfId="895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178"/>
          </reference>
          <reference field="25" count="1">
            <x v="4"/>
          </reference>
        </references>
      </pivotArea>
    </format>
    <format dxfId="894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50"/>
          </reference>
          <reference field="8" count="1" selected="0">
            <x v="178"/>
          </reference>
          <reference field="25" count="1">
            <x v="4"/>
          </reference>
        </references>
      </pivotArea>
    </format>
    <format dxfId="893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178"/>
          </reference>
          <reference field="25" count="1">
            <x v="4"/>
          </reference>
        </references>
      </pivotArea>
    </format>
    <format dxfId="892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62"/>
          </reference>
          <reference field="8" count="1" selected="0">
            <x v="178"/>
          </reference>
          <reference field="25" count="1">
            <x v="4"/>
          </reference>
        </references>
      </pivotArea>
    </format>
    <format dxfId="891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6"/>
          </reference>
          <reference field="8" count="1" selected="0">
            <x v="178"/>
          </reference>
          <reference field="25" count="1">
            <x v="4"/>
          </reference>
        </references>
      </pivotArea>
    </format>
    <format dxfId="890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179"/>
          </reference>
          <reference field="25" count="1">
            <x v="4"/>
          </reference>
        </references>
      </pivotArea>
    </format>
    <format dxfId="889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179"/>
          </reference>
          <reference field="25" count="1">
            <x v="4"/>
          </reference>
        </references>
      </pivotArea>
    </format>
    <format dxfId="888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50"/>
          </reference>
          <reference field="8" count="1" selected="0">
            <x v="179"/>
          </reference>
          <reference field="25" count="1">
            <x v="4"/>
          </reference>
        </references>
      </pivotArea>
    </format>
    <format dxfId="887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52"/>
          </reference>
          <reference field="8" count="1" selected="0">
            <x v="179"/>
          </reference>
          <reference field="25" count="1">
            <x v="4"/>
          </reference>
        </references>
      </pivotArea>
    </format>
    <format dxfId="886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99"/>
          </reference>
          <reference field="8" count="1" selected="0">
            <x v="179"/>
          </reference>
          <reference field="25" count="1">
            <x v="4"/>
          </reference>
        </references>
      </pivotArea>
    </format>
    <format dxfId="885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62"/>
          </reference>
          <reference field="8" count="1" selected="0">
            <x v="179"/>
          </reference>
          <reference field="25" count="1">
            <x v="4"/>
          </reference>
        </references>
      </pivotArea>
    </format>
    <format dxfId="884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8"/>
          </reference>
          <reference field="8" count="1" selected="0">
            <x v="179"/>
          </reference>
          <reference field="25" count="1">
            <x v="4"/>
          </reference>
        </references>
      </pivotArea>
    </format>
    <format dxfId="883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4"/>
          </reference>
          <reference field="8" count="1" selected="0">
            <x v="180"/>
          </reference>
          <reference field="25" count="1">
            <x v="4"/>
          </reference>
        </references>
      </pivotArea>
    </format>
    <format dxfId="882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180"/>
          </reference>
          <reference field="25" count="1">
            <x v="4"/>
          </reference>
        </references>
      </pivotArea>
    </format>
    <format dxfId="881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52"/>
          </reference>
          <reference field="8" count="1" selected="0">
            <x v="180"/>
          </reference>
          <reference field="25" count="1">
            <x v="4"/>
          </reference>
        </references>
      </pivotArea>
    </format>
    <format dxfId="880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53"/>
          </reference>
          <reference field="8" count="1" selected="0">
            <x v="180"/>
          </reference>
          <reference field="25" count="1">
            <x v="4"/>
          </reference>
        </references>
      </pivotArea>
    </format>
    <format dxfId="879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62"/>
          </reference>
          <reference field="8" count="1" selected="0">
            <x v="180"/>
          </reference>
          <reference field="25" count="1">
            <x v="4"/>
          </reference>
        </references>
      </pivotArea>
    </format>
    <format dxfId="878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9"/>
          </reference>
          <reference field="8" count="1" selected="0">
            <x v="180"/>
          </reference>
          <reference field="25" count="1">
            <x v="4"/>
          </reference>
        </references>
      </pivotArea>
    </format>
    <format dxfId="877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58"/>
          </reference>
          <reference field="8" count="1" selected="0">
            <x v="181"/>
          </reference>
          <reference field="25" count="1">
            <x v="4"/>
          </reference>
        </references>
      </pivotArea>
    </format>
    <format dxfId="876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181"/>
          </reference>
          <reference field="25" count="1">
            <x v="4"/>
          </reference>
        </references>
      </pivotArea>
    </format>
    <format dxfId="875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62"/>
          </reference>
          <reference field="8" count="1" selected="0">
            <x v="181"/>
          </reference>
          <reference field="25" count="1">
            <x v="4"/>
          </reference>
        </references>
      </pivotArea>
    </format>
    <format dxfId="874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0"/>
          </reference>
          <reference field="8" count="1" selected="0">
            <x v="181"/>
          </reference>
          <reference field="25" count="1">
            <x v="4"/>
          </reference>
        </references>
      </pivotArea>
    </format>
    <format dxfId="873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58"/>
          </reference>
          <reference field="8" count="1" selected="0">
            <x v="182"/>
          </reference>
          <reference field="25" count="1">
            <x v="4"/>
          </reference>
        </references>
      </pivotArea>
    </format>
    <format dxfId="872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182"/>
          </reference>
          <reference field="25" count="1">
            <x v="4"/>
          </reference>
        </references>
      </pivotArea>
    </format>
    <format dxfId="871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62"/>
          </reference>
          <reference field="8" count="1" selected="0">
            <x v="182"/>
          </reference>
          <reference field="25" count="1">
            <x v="4"/>
          </reference>
        </references>
      </pivotArea>
    </format>
    <format dxfId="870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1"/>
          </reference>
          <reference field="8" count="1" selected="0">
            <x v="182"/>
          </reference>
          <reference field="25" count="1">
            <x v="4"/>
          </reference>
        </references>
      </pivotArea>
    </format>
    <format dxfId="869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58"/>
          </reference>
          <reference field="8" count="1" selected="0">
            <x v="183"/>
          </reference>
          <reference field="25" count="1">
            <x v="4"/>
          </reference>
        </references>
      </pivotArea>
    </format>
    <format dxfId="868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183"/>
          </reference>
          <reference field="25" count="1">
            <x v="4"/>
          </reference>
        </references>
      </pivotArea>
    </format>
    <format dxfId="867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62"/>
          </reference>
          <reference field="8" count="1" selected="0">
            <x v="183"/>
          </reference>
          <reference field="25" count="1">
            <x v="4"/>
          </reference>
        </references>
      </pivotArea>
    </format>
    <format dxfId="866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75"/>
          </reference>
          <reference field="8" count="1" selected="0">
            <x v="183"/>
          </reference>
          <reference field="25" count="1">
            <x v="4"/>
          </reference>
        </references>
      </pivotArea>
    </format>
    <format dxfId="865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2"/>
          </reference>
          <reference field="8" count="1" selected="0">
            <x v="183"/>
          </reference>
          <reference field="25" count="1">
            <x v="4"/>
          </reference>
        </references>
      </pivotArea>
    </format>
    <format dxfId="864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58"/>
          </reference>
          <reference field="8" count="1" selected="0">
            <x v="184"/>
          </reference>
          <reference field="25" count="1">
            <x v="4"/>
          </reference>
        </references>
      </pivotArea>
    </format>
    <format dxfId="863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184"/>
          </reference>
          <reference field="25" count="1">
            <x v="4"/>
          </reference>
        </references>
      </pivotArea>
    </format>
    <format dxfId="862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75"/>
          </reference>
          <reference field="8" count="1" selected="0">
            <x v="184"/>
          </reference>
          <reference field="25" count="1">
            <x v="4"/>
          </reference>
        </references>
      </pivotArea>
    </format>
    <format dxfId="861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4"/>
          </reference>
          <reference field="8" count="1" selected="0">
            <x v="184"/>
          </reference>
          <reference field="25" count="1">
            <x v="4"/>
          </reference>
        </references>
      </pivotArea>
    </format>
    <format dxfId="860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58"/>
          </reference>
          <reference field="8" count="1" selected="0">
            <x v="185"/>
          </reference>
          <reference field="25" count="1">
            <x v="4"/>
          </reference>
        </references>
      </pivotArea>
    </format>
    <format dxfId="859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185"/>
          </reference>
          <reference field="25" count="1">
            <x v="4"/>
          </reference>
        </references>
      </pivotArea>
    </format>
    <format dxfId="858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75"/>
          </reference>
          <reference field="8" count="1" selected="0">
            <x v="185"/>
          </reference>
          <reference field="25" count="1">
            <x v="4"/>
          </reference>
        </references>
      </pivotArea>
    </format>
    <format dxfId="857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7"/>
          </reference>
          <reference field="8" count="1" selected="0">
            <x v="185"/>
          </reference>
          <reference field="25" count="1">
            <x v="4"/>
          </reference>
        </references>
      </pivotArea>
    </format>
    <format dxfId="856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58"/>
          </reference>
          <reference field="8" count="1" selected="0">
            <x v="186"/>
          </reference>
          <reference field="25" count="1">
            <x v="4"/>
          </reference>
        </references>
      </pivotArea>
    </format>
    <format dxfId="855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186"/>
          </reference>
          <reference field="25" count="1">
            <x v="4"/>
          </reference>
        </references>
      </pivotArea>
    </format>
    <format dxfId="854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83"/>
          </reference>
          <reference field="8" count="1" selected="0">
            <x v="186"/>
          </reference>
          <reference field="25" count="1">
            <x v="4"/>
          </reference>
        </references>
      </pivotArea>
    </format>
    <format dxfId="853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75"/>
          </reference>
          <reference field="8" count="1" selected="0">
            <x v="186"/>
          </reference>
          <reference field="25" count="1">
            <x v="4"/>
          </reference>
        </references>
      </pivotArea>
    </format>
    <format dxfId="852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9"/>
          </reference>
          <reference field="8" count="1" selected="0">
            <x v="186"/>
          </reference>
          <reference field="25" count="1">
            <x v="4"/>
          </reference>
        </references>
      </pivotArea>
    </format>
    <format dxfId="851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58"/>
          </reference>
          <reference field="8" count="1" selected="0">
            <x v="187"/>
          </reference>
          <reference field="25" count="1">
            <x v="4"/>
          </reference>
        </references>
      </pivotArea>
    </format>
    <format dxfId="850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83"/>
          </reference>
          <reference field="8" count="1" selected="0">
            <x v="187"/>
          </reference>
          <reference field="25" count="1">
            <x v="4"/>
          </reference>
        </references>
      </pivotArea>
    </format>
    <format dxfId="849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83"/>
          </reference>
          <reference field="8" count="1" selected="0">
            <x v="187"/>
          </reference>
          <reference field="25" count="1">
            <x v="4"/>
          </reference>
        </references>
      </pivotArea>
    </format>
    <format dxfId="848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75"/>
          </reference>
          <reference field="8" count="1" selected="0">
            <x v="187"/>
          </reference>
          <reference field="25" count="1">
            <x v="4"/>
          </reference>
        </references>
      </pivotArea>
    </format>
    <format dxfId="847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90"/>
          </reference>
          <reference field="8" count="1" selected="0">
            <x v="187"/>
          </reference>
          <reference field="25" count="1">
            <x v="4"/>
          </reference>
        </references>
      </pivotArea>
    </format>
    <format dxfId="846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53"/>
          </reference>
          <reference field="8" count="1" selected="0">
            <x v="188"/>
          </reference>
          <reference field="25" count="1">
            <x v="4"/>
          </reference>
        </references>
      </pivotArea>
    </format>
    <format dxfId="845">
      <pivotArea dataOnly="0" labelOnly="1" fieldPosition="0">
        <references count="5">
          <reference field="0" count="1" selected="0">
            <x v="8"/>
          </reference>
          <reference field="1" count="1" selected="0">
            <x v="24"/>
          </reference>
          <reference field="7" count="1" selected="0">
            <x v="49"/>
          </reference>
          <reference field="8" count="1" selected="0">
            <x v="188"/>
          </reference>
          <reference field="25" count="1">
            <x v="4"/>
          </reference>
        </references>
      </pivotArea>
    </format>
    <format dxfId="844">
      <pivotArea dataOnly="0" labelOnly="1" fieldPosition="0">
        <references count="5">
          <reference field="0" count="1" selected="0">
            <x v="8"/>
          </reference>
          <reference field="1" count="1" selected="0">
            <x v="24"/>
          </reference>
          <reference field="7" count="1" selected="0">
            <x v="51"/>
          </reference>
          <reference field="8" count="1" selected="0">
            <x v="188"/>
          </reference>
          <reference field="25" count="1">
            <x v="4"/>
          </reference>
        </references>
      </pivotArea>
    </format>
    <format dxfId="843">
      <pivotArea dataOnly="0" labelOnly="1" fieldPosition="0">
        <references count="5">
          <reference field="0" count="1" selected="0">
            <x v="11"/>
          </reference>
          <reference field="1" count="1" selected="0">
            <x v="31"/>
          </reference>
          <reference field="7" count="1" selected="0">
            <x v="92"/>
          </reference>
          <reference field="8" count="1" selected="0">
            <x v="188"/>
          </reference>
          <reference field="25" count="1">
            <x v="4"/>
          </reference>
        </references>
      </pivotArea>
    </format>
    <format dxfId="842">
      <pivotArea dataOnly="0" labelOnly="1" fieldPosition="0">
        <references count="5">
          <reference field="0" count="1" selected="0">
            <x v="10"/>
          </reference>
          <reference field="1" count="1" selected="0">
            <x v="30"/>
          </reference>
          <reference field="7" count="1" selected="0">
            <x v="66"/>
          </reference>
          <reference field="8" count="1" selected="0">
            <x v="283"/>
          </reference>
          <reference field="25" count="1">
            <x v="4"/>
          </reference>
        </references>
      </pivotArea>
    </format>
    <format dxfId="841">
      <pivotArea dataOnly="0" labelOnly="1" fieldPosition="0">
        <references count="5">
          <reference field="0" count="1" selected="0">
            <x v="20"/>
          </reference>
          <reference field="1" count="1" selected="0">
            <x v="0"/>
          </reference>
          <reference field="7" count="1" selected="0">
            <x v="27"/>
          </reference>
          <reference field="8" count="1" selected="0">
            <x v="283"/>
          </reference>
          <reference field="25" count="1">
            <x v="5"/>
          </reference>
        </references>
      </pivotArea>
    </format>
    <format dxfId="840">
      <pivotArea dataOnly="0" labelOnly="1" fieldPosition="0">
        <references count="5">
          <reference field="0" count="1" selected="0">
            <x v="30"/>
          </reference>
          <reference field="1" count="1" selected="0">
            <x v="16"/>
          </reference>
          <reference field="7" count="1" selected="0">
            <x v="28"/>
          </reference>
          <reference field="8" count="1" selected="0">
            <x v="283"/>
          </reference>
          <reference field="25" count="1">
            <x v="5"/>
          </reference>
        </references>
      </pivotArea>
    </format>
    <format dxfId="839">
      <pivotArea dataOnly="0" labelOnly="1" fieldPosition="0">
        <references count="5">
          <reference field="0" count="1" selected="0">
            <x v="42"/>
          </reference>
          <reference field="1" count="1" selected="0">
            <x v="10"/>
          </reference>
          <reference field="7" count="1" selected="0">
            <x v="66"/>
          </reference>
          <reference field="8" count="1" selected="0">
            <x v="283"/>
          </reference>
          <reference field="25" count="1">
            <x v="0"/>
          </reference>
        </references>
      </pivotArea>
    </format>
    <format dxfId="838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69"/>
          </reference>
          <reference field="8" count="1" selected="0">
            <x v="284"/>
          </reference>
          <reference field="25" count="1">
            <x v="4"/>
          </reference>
        </references>
      </pivotArea>
    </format>
    <format dxfId="837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84"/>
          </reference>
          <reference field="25" count="1">
            <x v="5"/>
          </reference>
        </references>
      </pivotArea>
    </format>
    <format dxfId="836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5"/>
          </reference>
          <reference field="8" count="1" selected="0">
            <x v="284"/>
          </reference>
          <reference field="25" count="1">
            <x v="5"/>
          </reference>
        </references>
      </pivotArea>
    </format>
    <format dxfId="835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2"/>
          </reference>
          <reference field="8" count="1" selected="0">
            <x v="284"/>
          </reference>
          <reference field="25" count="1">
            <x v="5"/>
          </reference>
        </references>
      </pivotArea>
    </format>
    <format dxfId="834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2"/>
          </reference>
          <reference field="8" count="1" selected="0">
            <x v="284"/>
          </reference>
          <reference field="25" count="1">
            <x v="0"/>
          </reference>
        </references>
      </pivotArea>
    </format>
    <format dxfId="833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93"/>
          </reference>
          <reference field="8" count="1" selected="0">
            <x v="285"/>
          </reference>
          <reference field="25" count="1">
            <x v="4"/>
          </reference>
        </references>
      </pivotArea>
    </format>
    <format dxfId="832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54"/>
          </reference>
          <reference field="8" count="1" selected="0">
            <x v="285"/>
          </reference>
          <reference field="25" count="1">
            <x v="5"/>
          </reference>
        </references>
      </pivotArea>
    </format>
    <format dxfId="831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0"/>
          </reference>
          <reference field="8" count="1" selected="0">
            <x v="285"/>
          </reference>
          <reference field="25" count="1">
            <x v="5"/>
          </reference>
        </references>
      </pivotArea>
    </format>
    <format dxfId="830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1"/>
          </reference>
          <reference field="8" count="1" selected="0">
            <x v="285"/>
          </reference>
          <reference field="25" count="1">
            <x v="5"/>
          </reference>
        </references>
      </pivotArea>
    </format>
    <format dxfId="829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1"/>
          </reference>
          <reference field="8" count="1" selected="0">
            <x v="285"/>
          </reference>
          <reference field="25" count="1">
            <x v="5"/>
          </reference>
        </references>
      </pivotArea>
    </format>
    <format dxfId="828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2"/>
          </reference>
          <reference field="8" count="1" selected="0">
            <x v="285"/>
          </reference>
          <reference field="25" count="1">
            <x v="5"/>
          </reference>
        </references>
      </pivotArea>
    </format>
    <format dxfId="827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3"/>
          </reference>
          <reference field="8" count="1" selected="0">
            <x v="285"/>
          </reference>
          <reference field="25" count="1">
            <x v="0"/>
          </reference>
        </references>
      </pivotArea>
    </format>
    <format dxfId="826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0"/>
          </reference>
          <reference field="8" count="1" selected="0">
            <x v="286"/>
          </reference>
          <reference field="25" count="1">
            <x v="4"/>
          </reference>
        </references>
      </pivotArea>
    </format>
    <format dxfId="825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54"/>
          </reference>
          <reference field="8" count="1" selected="0">
            <x v="286"/>
          </reference>
          <reference field="25" count="1">
            <x v="5"/>
          </reference>
        </references>
      </pivotArea>
    </format>
    <format dxfId="824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1"/>
          </reference>
          <reference field="8" count="1" selected="0">
            <x v="286"/>
          </reference>
          <reference field="25" count="1">
            <x v="5"/>
          </reference>
        </references>
      </pivotArea>
    </format>
    <format dxfId="823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1"/>
          </reference>
          <reference field="8" count="1" selected="0">
            <x v="286"/>
          </reference>
          <reference field="25" count="1">
            <x v="5"/>
          </reference>
        </references>
      </pivotArea>
    </format>
    <format dxfId="822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4"/>
          </reference>
          <reference field="8" count="1" selected="0">
            <x v="286"/>
          </reference>
          <reference field="25" count="1">
            <x v="0"/>
          </reference>
        </references>
      </pivotArea>
    </format>
    <format dxfId="821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2"/>
          </reference>
          <reference field="8" count="1" selected="0">
            <x v="287"/>
          </reference>
          <reference field="25" count="1">
            <x v="4"/>
          </reference>
        </references>
      </pivotArea>
    </format>
    <format dxfId="820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54"/>
          </reference>
          <reference field="8" count="1" selected="0">
            <x v="287"/>
          </reference>
          <reference field="25" count="1">
            <x v="5"/>
          </reference>
        </references>
      </pivotArea>
    </format>
    <format dxfId="819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1"/>
          </reference>
          <reference field="8" count="1" selected="0">
            <x v="287"/>
          </reference>
          <reference field="25" count="1">
            <x v="5"/>
          </reference>
        </references>
      </pivotArea>
    </format>
    <format dxfId="818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3"/>
          </reference>
          <reference field="8" count="1" selected="0">
            <x v="287"/>
          </reference>
          <reference field="25" count="1">
            <x v="5"/>
          </reference>
        </references>
      </pivotArea>
    </format>
    <format dxfId="817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1"/>
          </reference>
          <reference field="8" count="1" selected="0">
            <x v="287"/>
          </reference>
          <reference field="25" count="1">
            <x v="5"/>
          </reference>
        </references>
      </pivotArea>
    </format>
    <format dxfId="816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2"/>
          </reference>
          <reference field="8" count="1" selected="0">
            <x v="287"/>
          </reference>
          <reference field="25" count="1">
            <x v="5"/>
          </reference>
        </references>
      </pivotArea>
    </format>
    <format dxfId="815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5"/>
          </reference>
          <reference field="8" count="1" selected="0">
            <x v="287"/>
          </reference>
          <reference field="25" count="1">
            <x v="0"/>
          </reference>
        </references>
      </pivotArea>
    </format>
    <format dxfId="814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1"/>
          </reference>
          <reference field="8" count="1" selected="0">
            <x v="288"/>
          </reference>
          <reference field="25" count="1">
            <x v="4"/>
          </reference>
        </references>
      </pivotArea>
    </format>
    <format dxfId="813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88"/>
          </reference>
          <reference field="25" count="1">
            <x v="5"/>
          </reference>
        </references>
      </pivotArea>
    </format>
    <format dxfId="812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54"/>
          </reference>
          <reference field="8" count="1" selected="0">
            <x v="288"/>
          </reference>
          <reference field="25" count="1">
            <x v="5"/>
          </reference>
        </references>
      </pivotArea>
    </format>
    <format dxfId="811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3"/>
          </reference>
          <reference field="8" count="1" selected="0">
            <x v="288"/>
          </reference>
          <reference field="25" count="1">
            <x v="5"/>
          </reference>
        </references>
      </pivotArea>
    </format>
    <format dxfId="810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2"/>
          </reference>
          <reference field="8" count="1" selected="0">
            <x v="288"/>
          </reference>
          <reference field="25" count="1">
            <x v="5"/>
          </reference>
        </references>
      </pivotArea>
    </format>
    <format dxfId="809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9"/>
          </reference>
          <reference field="8" count="1" selected="0">
            <x v="288"/>
          </reference>
          <reference field="25" count="1">
            <x v="0"/>
          </reference>
        </references>
      </pivotArea>
    </format>
    <format dxfId="808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3"/>
          </reference>
          <reference field="8" count="1" selected="0">
            <x v="289"/>
          </reference>
          <reference field="25" count="1">
            <x v="4"/>
          </reference>
        </references>
      </pivotArea>
    </format>
    <format dxfId="807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89"/>
          </reference>
          <reference field="25" count="1">
            <x v="5"/>
          </reference>
        </references>
      </pivotArea>
    </format>
    <format dxfId="806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3"/>
          </reference>
          <reference field="8" count="1" selected="0">
            <x v="289"/>
          </reference>
          <reference field="25" count="1">
            <x v="5"/>
          </reference>
        </references>
      </pivotArea>
    </format>
    <format dxfId="805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2"/>
          </reference>
          <reference field="8" count="1" selected="0">
            <x v="289"/>
          </reference>
          <reference field="25" count="1">
            <x v="5"/>
          </reference>
        </references>
      </pivotArea>
    </format>
    <format dxfId="804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10"/>
          </reference>
          <reference field="8" count="1" selected="0">
            <x v="289"/>
          </reference>
          <reference field="25" count="1">
            <x v="0"/>
          </reference>
        </references>
      </pivotArea>
    </format>
    <format dxfId="803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4"/>
          </reference>
          <reference field="8" count="1" selected="0">
            <x v="290"/>
          </reference>
          <reference field="25" count="1">
            <x v="4"/>
          </reference>
        </references>
      </pivotArea>
    </format>
    <format dxfId="802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90"/>
          </reference>
          <reference field="25" count="1">
            <x v="5"/>
          </reference>
        </references>
      </pivotArea>
    </format>
    <format dxfId="801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3"/>
          </reference>
          <reference field="8" count="1" selected="0">
            <x v="290"/>
          </reference>
          <reference field="25" count="1">
            <x v="5"/>
          </reference>
        </references>
      </pivotArea>
    </format>
    <format dxfId="800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5"/>
          </reference>
          <reference field="8" count="1" selected="0">
            <x v="290"/>
          </reference>
          <reference field="25" count="1">
            <x v="5"/>
          </reference>
        </references>
      </pivotArea>
    </format>
    <format dxfId="799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2"/>
          </reference>
          <reference field="8" count="1" selected="0">
            <x v="290"/>
          </reference>
          <reference field="25" count="1">
            <x v="5"/>
          </reference>
        </references>
      </pivotArea>
    </format>
    <format dxfId="798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11"/>
          </reference>
          <reference field="8" count="1" selected="0">
            <x v="290"/>
          </reference>
          <reference field="25" count="1">
            <x v="0"/>
          </reference>
        </references>
      </pivotArea>
    </format>
    <format dxfId="797">
      <pivotArea dataOnly="0" labelOnly="1" fieldPosition="0">
        <references count="5">
          <reference field="0" count="1" selected="0">
            <x v="12"/>
          </reference>
          <reference field="1" count="1" selected="0">
            <x v="33"/>
          </reference>
          <reference field="7" count="1" selected="0">
            <x v="69"/>
          </reference>
          <reference field="8" count="1" selected="0">
            <x v="291"/>
          </reference>
          <reference field="25" count="1">
            <x v="4"/>
          </reference>
        </references>
      </pivotArea>
    </format>
    <format dxfId="796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91"/>
          </reference>
          <reference field="25" count="1">
            <x v="5"/>
          </reference>
        </references>
      </pivotArea>
    </format>
    <format dxfId="795">
      <pivotArea dataOnly="0" labelOnly="1" fieldPosition="0">
        <references count="5">
          <reference field="0" count="1" selected="0">
            <x v="15"/>
          </reference>
          <reference field="1" count="1" selected="0">
            <x v="3"/>
          </reference>
          <reference field="7" count="1" selected="0">
            <x v="26"/>
          </reference>
          <reference field="8" count="1" selected="0">
            <x v="291"/>
          </reference>
          <reference field="25" count="1">
            <x v="5"/>
          </reference>
        </references>
      </pivotArea>
    </format>
    <format dxfId="794">
      <pivotArea dataOnly="0" labelOnly="1" fieldPosition="0">
        <references count="5">
          <reference field="0" count="1" selected="0">
            <x v="17"/>
          </reference>
          <reference field="1" count="1" selected="0">
            <x v="36"/>
          </reference>
          <reference field="7" count="1" selected="0">
            <x v="29"/>
          </reference>
          <reference field="8" count="1" selected="0">
            <x v="291"/>
          </reference>
          <reference field="25" count="1">
            <x v="5"/>
          </reference>
        </references>
      </pivotArea>
    </format>
    <format dxfId="793">
      <pivotArea dataOnly="0" labelOnly="1" fieldPosition="0">
        <references count="5">
          <reference field="0" count="1" selected="0">
            <x v="34"/>
          </reference>
          <reference field="1" count="1" selected="0">
            <x v="26"/>
          </reference>
          <reference field="7" count="1" selected="0">
            <x v="69"/>
          </reference>
          <reference field="8" count="1" selected="0">
            <x v="291"/>
          </reference>
          <reference field="25" count="1">
            <x v="0"/>
          </reference>
        </references>
      </pivotArea>
    </format>
    <format dxfId="792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6"/>
          </reference>
          <reference field="8" count="1" selected="0">
            <x v="292"/>
          </reference>
          <reference field="25" count="1">
            <x v="4"/>
          </reference>
        </references>
      </pivotArea>
    </format>
    <format dxfId="791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54"/>
          </reference>
          <reference field="8" count="1" selected="0">
            <x v="292"/>
          </reference>
          <reference field="25" count="1">
            <x v="5"/>
          </reference>
        </references>
      </pivotArea>
    </format>
    <format dxfId="790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5"/>
          </reference>
          <reference field="8" count="1" selected="0">
            <x v="292"/>
          </reference>
          <reference field="25" count="1">
            <x v="5"/>
          </reference>
        </references>
      </pivotArea>
    </format>
    <format dxfId="789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2"/>
          </reference>
          <reference field="8" count="1" selected="0">
            <x v="292"/>
          </reference>
          <reference field="25" count="1">
            <x v="5"/>
          </reference>
        </references>
      </pivotArea>
    </format>
    <format dxfId="788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12"/>
          </reference>
          <reference field="8" count="1" selected="0">
            <x v="292"/>
          </reference>
          <reference field="25" count="1">
            <x v="0"/>
          </reference>
        </references>
      </pivotArea>
    </format>
    <format dxfId="787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8"/>
          </reference>
          <reference field="8" count="1" selected="0">
            <x v="293"/>
          </reference>
          <reference field="25" count="1">
            <x v="4"/>
          </reference>
        </references>
      </pivotArea>
    </format>
    <format dxfId="786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54"/>
          </reference>
          <reference field="8" count="1" selected="0">
            <x v="293"/>
          </reference>
          <reference field="25" count="1">
            <x v="5"/>
          </reference>
        </references>
      </pivotArea>
    </format>
    <format dxfId="785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5"/>
          </reference>
          <reference field="8" count="1" selected="0">
            <x v="293"/>
          </reference>
          <reference field="25" count="1">
            <x v="5"/>
          </reference>
        </references>
      </pivotArea>
    </format>
    <format dxfId="784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2"/>
          </reference>
          <reference field="8" count="1" selected="0">
            <x v="293"/>
          </reference>
          <reference field="25" count="1">
            <x v="5"/>
          </reference>
        </references>
      </pivotArea>
    </format>
    <format dxfId="783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4"/>
          </reference>
          <reference field="8" count="1" selected="0">
            <x v="293"/>
          </reference>
          <reference field="25" count="1">
            <x v="5"/>
          </reference>
        </references>
      </pivotArea>
    </format>
    <format dxfId="782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14"/>
          </reference>
          <reference field="8" count="1" selected="0">
            <x v="293"/>
          </reference>
          <reference field="25" count="1">
            <x v="0"/>
          </reference>
        </references>
      </pivotArea>
    </format>
    <format dxfId="781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9"/>
          </reference>
          <reference field="8" count="1" selected="0">
            <x v="294"/>
          </reference>
          <reference field="25" count="1">
            <x v="4"/>
          </reference>
        </references>
      </pivotArea>
    </format>
    <format dxfId="780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94"/>
          </reference>
          <reference field="25" count="1">
            <x v="5"/>
          </reference>
        </references>
      </pivotArea>
    </format>
    <format dxfId="779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54"/>
          </reference>
          <reference field="8" count="1" selected="0">
            <x v="294"/>
          </reference>
          <reference field="25" count="1">
            <x v="5"/>
          </reference>
        </references>
      </pivotArea>
    </format>
    <format dxfId="778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5"/>
          </reference>
          <reference field="8" count="1" selected="0">
            <x v="294"/>
          </reference>
          <reference field="25" count="1">
            <x v="5"/>
          </reference>
        </references>
      </pivotArea>
    </format>
    <format dxfId="777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4"/>
          </reference>
          <reference field="8" count="1" selected="0">
            <x v="294"/>
          </reference>
          <reference field="25" count="1">
            <x v="5"/>
          </reference>
        </references>
      </pivotArea>
    </format>
    <format dxfId="776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15"/>
          </reference>
          <reference field="8" count="1" selected="0">
            <x v="294"/>
          </reference>
          <reference field="25" count="1">
            <x v="0"/>
          </reference>
        </references>
      </pivotArea>
    </format>
    <format dxfId="775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0"/>
          </reference>
          <reference field="8" count="1" selected="0">
            <x v="295"/>
          </reference>
          <reference field="25" count="1">
            <x v="4"/>
          </reference>
        </references>
      </pivotArea>
    </format>
    <format dxfId="774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95"/>
          </reference>
          <reference field="25" count="1">
            <x v="5"/>
          </reference>
        </references>
      </pivotArea>
    </format>
    <format dxfId="773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5"/>
          </reference>
          <reference field="8" count="1" selected="0">
            <x v="295"/>
          </reference>
          <reference field="25" count="1">
            <x v="5"/>
          </reference>
        </references>
      </pivotArea>
    </format>
    <format dxfId="772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4"/>
          </reference>
          <reference field="8" count="1" selected="0">
            <x v="295"/>
          </reference>
          <reference field="25" count="1">
            <x v="5"/>
          </reference>
        </references>
      </pivotArea>
    </format>
    <format dxfId="771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16"/>
          </reference>
          <reference field="8" count="1" selected="0">
            <x v="295"/>
          </reference>
          <reference field="25" count="1">
            <x v="0"/>
          </reference>
        </references>
      </pivotArea>
    </format>
    <format dxfId="770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1"/>
          </reference>
          <reference field="8" count="1" selected="0">
            <x v="296"/>
          </reference>
          <reference field="25" count="1">
            <x v="4"/>
          </reference>
        </references>
      </pivotArea>
    </format>
    <format dxfId="769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96"/>
          </reference>
          <reference field="25" count="1">
            <x v="5"/>
          </reference>
        </references>
      </pivotArea>
    </format>
    <format dxfId="768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5"/>
          </reference>
          <reference field="8" count="1" selected="0">
            <x v="296"/>
          </reference>
          <reference field="25" count="1">
            <x v="5"/>
          </reference>
        </references>
      </pivotArea>
    </format>
    <format dxfId="767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4"/>
          </reference>
          <reference field="8" count="1" selected="0">
            <x v="296"/>
          </reference>
          <reference field="25" count="1">
            <x v="5"/>
          </reference>
        </references>
      </pivotArea>
    </format>
    <format dxfId="766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17"/>
          </reference>
          <reference field="8" count="1" selected="0">
            <x v="296"/>
          </reference>
          <reference field="25" count="1">
            <x v="0"/>
          </reference>
        </references>
      </pivotArea>
    </format>
    <format dxfId="765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2"/>
          </reference>
          <reference field="8" count="1" selected="0">
            <x v="297"/>
          </reference>
          <reference field="25" count="1">
            <x v="4"/>
          </reference>
        </references>
      </pivotArea>
    </format>
    <format dxfId="764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97"/>
          </reference>
          <reference field="25" count="1">
            <x v="5"/>
          </reference>
        </references>
      </pivotArea>
    </format>
    <format dxfId="763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5"/>
          </reference>
          <reference field="8" count="1" selected="0">
            <x v="297"/>
          </reference>
          <reference field="25" count="1">
            <x v="5"/>
          </reference>
        </references>
      </pivotArea>
    </format>
    <format dxfId="762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7"/>
          </reference>
          <reference field="8" count="1" selected="0">
            <x v="297"/>
          </reference>
          <reference field="25" count="1">
            <x v="5"/>
          </reference>
        </references>
      </pivotArea>
    </format>
    <format dxfId="761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4"/>
          </reference>
          <reference field="8" count="1" selected="0">
            <x v="297"/>
          </reference>
          <reference field="25" count="1">
            <x v="5"/>
          </reference>
        </references>
      </pivotArea>
    </format>
    <format dxfId="760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20"/>
          </reference>
          <reference field="8" count="1" selected="0">
            <x v="297"/>
          </reference>
          <reference field="25" count="1">
            <x v="0"/>
          </reference>
        </references>
      </pivotArea>
    </format>
    <format dxfId="759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4"/>
          </reference>
          <reference field="8" count="1" selected="0">
            <x v="298"/>
          </reference>
          <reference field="25" count="1">
            <x v="4"/>
          </reference>
        </references>
      </pivotArea>
    </format>
    <format dxfId="758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98"/>
          </reference>
          <reference field="25" count="1">
            <x v="5"/>
          </reference>
        </references>
      </pivotArea>
    </format>
    <format dxfId="757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7"/>
          </reference>
          <reference field="8" count="1" selected="0">
            <x v="298"/>
          </reference>
          <reference field="25" count="1">
            <x v="5"/>
          </reference>
        </references>
      </pivotArea>
    </format>
    <format dxfId="756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4"/>
          </reference>
          <reference field="8" count="1" selected="0">
            <x v="298"/>
          </reference>
          <reference field="25" count="1">
            <x v="5"/>
          </reference>
        </references>
      </pivotArea>
    </format>
    <format dxfId="755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21"/>
          </reference>
          <reference field="8" count="1" selected="0">
            <x v="298"/>
          </reference>
          <reference field="25" count="1">
            <x v="0"/>
          </reference>
        </references>
      </pivotArea>
    </format>
    <format dxfId="754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7"/>
          </reference>
          <reference field="8" count="1" selected="0">
            <x v="299"/>
          </reference>
          <reference field="25" count="1">
            <x v="4"/>
          </reference>
        </references>
      </pivotArea>
    </format>
    <format dxfId="753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99"/>
          </reference>
          <reference field="25" count="1">
            <x v="5"/>
          </reference>
        </references>
      </pivotArea>
    </format>
    <format dxfId="752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7"/>
          </reference>
          <reference field="8" count="1" selected="0">
            <x v="299"/>
          </reference>
          <reference field="25" count="1">
            <x v="5"/>
          </reference>
        </references>
      </pivotArea>
    </format>
    <format dxfId="751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4"/>
          </reference>
          <reference field="8" count="1" selected="0">
            <x v="299"/>
          </reference>
          <reference field="25" count="1">
            <x v="5"/>
          </reference>
        </references>
      </pivotArea>
    </format>
    <format dxfId="750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7"/>
          </reference>
          <reference field="8" count="1" selected="0">
            <x v="299"/>
          </reference>
          <reference field="25" count="1">
            <x v="5"/>
          </reference>
        </references>
      </pivotArea>
    </format>
    <format dxfId="749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22"/>
          </reference>
          <reference field="8" count="1" selected="0">
            <x v="299"/>
          </reference>
          <reference field="25" count="1">
            <x v="0"/>
          </reference>
        </references>
      </pivotArea>
    </format>
    <format dxfId="748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9"/>
          </reference>
          <reference field="8" count="1" selected="0">
            <x v="300"/>
          </reference>
          <reference field="25" count="1">
            <x v="4"/>
          </reference>
        </references>
      </pivotArea>
    </format>
    <format dxfId="747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300"/>
          </reference>
          <reference field="25" count="1">
            <x v="5"/>
          </reference>
        </references>
      </pivotArea>
    </format>
    <format dxfId="746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7"/>
          </reference>
          <reference field="8" count="1" selected="0">
            <x v="300"/>
          </reference>
          <reference field="25" count="1">
            <x v="5"/>
          </reference>
        </references>
      </pivotArea>
    </format>
    <format dxfId="745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7"/>
          </reference>
          <reference field="8" count="1" selected="0">
            <x v="300"/>
          </reference>
          <reference field="25" count="1">
            <x v="5"/>
          </reference>
        </references>
      </pivotArea>
    </format>
    <format dxfId="744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23"/>
          </reference>
          <reference field="8" count="1" selected="0">
            <x v="300"/>
          </reference>
          <reference field="25" count="1">
            <x v="0"/>
          </reference>
        </references>
      </pivotArea>
    </format>
    <format dxfId="743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90"/>
          </reference>
          <reference field="8" count="1" selected="0">
            <x v="301"/>
          </reference>
          <reference field="25" count="1">
            <x v="4"/>
          </reference>
        </references>
      </pivotArea>
    </format>
    <format dxfId="742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301"/>
          </reference>
          <reference field="25" count="1">
            <x v="5"/>
          </reference>
        </references>
      </pivotArea>
    </format>
    <format dxfId="741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7"/>
          </reference>
          <reference field="8" count="1" selected="0">
            <x v="301"/>
          </reference>
          <reference field="25" count="1">
            <x v="5"/>
          </reference>
        </references>
      </pivotArea>
    </format>
    <format dxfId="740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7"/>
          </reference>
          <reference field="8" count="1" selected="0">
            <x v="301"/>
          </reference>
          <reference field="25" count="1">
            <x v="5"/>
          </reference>
        </references>
      </pivotArea>
    </format>
    <format dxfId="739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47"/>
          </reference>
          <reference field="8" count="1" selected="0">
            <x v="301"/>
          </reference>
          <reference field="25" count="1">
            <x v="0"/>
          </reference>
        </references>
      </pivotArea>
    </format>
    <format dxfId="738">
      <pivotArea dataOnly="0" labelOnly="1" fieldPosition="0">
        <references count="5">
          <reference field="0" count="1" selected="0">
            <x v="11"/>
          </reference>
          <reference field="1" count="1" selected="0">
            <x v="31"/>
          </reference>
          <reference field="7" count="1" selected="0">
            <x v="92"/>
          </reference>
          <reference field="8" count="1" selected="0">
            <x v="302"/>
          </reference>
          <reference field="25" count="1">
            <x v="4"/>
          </reference>
        </references>
      </pivotArea>
    </format>
    <format dxfId="737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302"/>
          </reference>
          <reference field="25" count="1">
            <x v="5"/>
          </reference>
        </references>
      </pivotArea>
    </format>
    <format dxfId="736">
      <pivotArea dataOnly="0" labelOnly="1" fieldPosition="0">
        <references count="5">
          <reference field="0" count="1" selected="0">
            <x v="20"/>
          </reference>
          <reference field="1" count="1" selected="0">
            <x v="0"/>
          </reference>
          <reference field="7" count="1" selected="0">
            <x v="27"/>
          </reference>
          <reference field="8" count="1" selected="0">
            <x v="302"/>
          </reference>
          <reference field="25" count="1">
            <x v="5"/>
          </reference>
        </references>
      </pivotArea>
    </format>
    <format dxfId="735">
      <pivotArea dataOnly="0" labelOnly="1" fieldPosition="0">
        <references count="5">
          <reference field="0" count="1" selected="0">
            <x v="26"/>
          </reference>
          <reference field="1" count="1" selected="0">
            <x v="4"/>
          </reference>
          <reference field="7" count="1" selected="0">
            <x v="25"/>
          </reference>
          <reference field="8" count="1" selected="0">
            <x v="302"/>
          </reference>
          <reference field="25" count="1">
            <x v="5"/>
          </reference>
        </references>
      </pivotArea>
    </format>
    <format dxfId="734">
      <pivotArea dataOnly="0" labelOnly="1" fieldPosition="0">
        <references count="5">
          <reference field="0" count="1" selected="0">
            <x v="45"/>
          </reference>
          <reference field="1" count="1" selected="0">
            <x v="28"/>
          </reference>
          <reference field="7" count="1" selected="0">
            <x v="91"/>
          </reference>
          <reference field="8" count="1" selected="0">
            <x v="302"/>
          </reference>
          <reference field="25" count="1">
            <x v="0"/>
          </reference>
        </references>
      </pivotArea>
    </format>
    <format dxfId="733">
      <pivotArea dataOnly="0" labelOnly="1" fieldPosition="0">
        <references count="5">
          <reference field="0" count="1" selected="0">
            <x v="34"/>
          </reference>
          <reference field="1" count="1" selected="0">
            <x v="26"/>
          </reference>
          <reference field="7" count="1" selected="0">
            <x v="8"/>
          </reference>
          <reference field="8" count="1" selected="0">
            <x v="320"/>
          </reference>
          <reference field="25" count="1">
            <x v="0"/>
          </reference>
        </references>
      </pivotArea>
    </format>
    <format dxfId="732">
      <pivotArea dataOnly="0" labelOnly="1" fieldPosition="0">
        <references count="5">
          <reference field="0" count="1" selected="0">
            <x v="46"/>
          </reference>
          <reference field="1" count="1" selected="0">
            <x v="25"/>
          </reference>
          <reference field="7" count="1" selected="0">
            <x v="68"/>
          </reference>
          <reference field="8" count="1" selected="0">
            <x v="320"/>
          </reference>
          <reference field="25" count="1">
            <x v="0"/>
          </reference>
        </references>
      </pivotArea>
    </format>
    <format dxfId="731">
      <pivotArea dataOnly="0" labelOnly="1" fieldPosition="0">
        <references count="5">
          <reference field="0" count="1" selected="0">
            <x v="34"/>
          </reference>
          <reference field="1" count="1" selected="0">
            <x v="26"/>
          </reference>
          <reference field="7" count="1" selected="0">
            <x v="8"/>
          </reference>
          <reference field="8" count="1" selected="0">
            <x v="321"/>
          </reference>
          <reference field="25" count="1">
            <x v="0"/>
          </reference>
        </references>
      </pivotArea>
    </format>
    <format dxfId="730">
      <pivotArea dataOnly="0" labelOnly="1" fieldPosition="0">
        <references count="5">
          <reference field="0" count="1" selected="0">
            <x v="34"/>
          </reference>
          <reference field="1" count="1" selected="0">
            <x v="26"/>
          </reference>
          <reference field="7" count="1" selected="0">
            <x v="69"/>
          </reference>
          <reference field="8" count="1" selected="0">
            <x v="321"/>
          </reference>
          <reference field="25" count="1">
            <x v="0"/>
          </reference>
        </references>
      </pivotArea>
    </format>
    <format dxfId="729">
      <pivotArea dataOnly="0" labelOnly="1" fieldPosition="0">
        <references count="5">
          <reference field="0" count="1" selected="0">
            <x v="46"/>
          </reference>
          <reference field="1" count="1" selected="0">
            <x v="25"/>
          </reference>
          <reference field="7" count="1" selected="0">
            <x v="86"/>
          </reference>
          <reference field="8" count="1" selected="0">
            <x v="321"/>
          </reference>
          <reference field="25" count="1">
            <x v="0"/>
          </reference>
        </references>
      </pivotArea>
    </format>
    <format dxfId="728">
      <pivotArea dataOnly="0" labelOnly="1" fieldPosition="0">
        <references count="5">
          <reference field="0" count="1" selected="0">
            <x v="33"/>
          </reference>
          <reference field="1" count="1" selected="0">
            <x v="37"/>
          </reference>
          <reference field="7" count="1" selected="0">
            <x v="40"/>
          </reference>
          <reference field="8" count="1" selected="0">
            <x v="322"/>
          </reference>
          <reference field="25" count="1">
            <x v="2"/>
          </reference>
        </references>
      </pivotArea>
    </format>
    <format dxfId="727">
      <pivotArea dataOnly="0" labelOnly="1" fieldPosition="0">
        <references count="5">
          <reference field="0" count="1" selected="0">
            <x v="42"/>
          </reference>
          <reference field="1" count="1" selected="0">
            <x v="10"/>
          </reference>
          <reference field="7" count="1" selected="0">
            <x v="65"/>
          </reference>
          <reference field="8" count="1" selected="0">
            <x v="322"/>
          </reference>
          <reference field="25" count="1">
            <x v="0"/>
          </reference>
        </references>
      </pivotArea>
    </format>
    <format dxfId="726">
      <pivotArea dataOnly="0" labelOnly="1" fieldPosition="0">
        <references count="5">
          <reference field="0" count="1" selected="0">
            <x v="42"/>
          </reference>
          <reference field="1" count="1" selected="0">
            <x v="10"/>
          </reference>
          <reference field="7" count="1" selected="0">
            <x v="66"/>
          </reference>
          <reference field="8" count="1" selected="0">
            <x v="322"/>
          </reference>
          <reference field="25" count="1">
            <x v="0"/>
          </reference>
        </references>
      </pivotArea>
    </format>
    <format dxfId="7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24">
      <pivotArea type="all" dataOnly="0" outline="0" fieldPosition="0"/>
    </format>
    <format dxfId="723">
      <pivotArea outline="0" collapsedLevelsAreSubtotals="1" fieldPosition="0"/>
    </format>
    <format dxfId="722">
      <pivotArea field="8" type="button" dataOnly="0" labelOnly="1" outline="0" axis="axisRow" fieldPosition="0"/>
    </format>
    <format dxfId="721">
      <pivotArea field="0" type="button" dataOnly="0" labelOnly="1" outline="0" axis="axisRow" fieldPosition="1"/>
    </format>
    <format dxfId="720">
      <pivotArea field="1" type="button" dataOnly="0" labelOnly="1" outline="0" axis="axisRow" fieldPosition="2"/>
    </format>
    <format dxfId="719">
      <pivotArea field="7" type="button" dataOnly="0" labelOnly="1" outline="0" axis="axisRow" fieldPosition="3"/>
    </format>
    <format dxfId="718">
      <pivotArea field="25" type="button" dataOnly="0" labelOnly="1" outline="0" axis="axisRow" fieldPosition="4"/>
    </format>
    <format dxfId="717">
      <pivotArea dataOnly="0" labelOnly="1" fieldPosition="0">
        <references count="1">
          <reference field="8" count="25"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</reference>
        </references>
      </pivotArea>
    </format>
    <format dxfId="716">
      <pivotArea dataOnly="0" labelOnly="1" fieldPosition="0">
        <references count="1">
          <reference field="8" count="25" sumSubtotal="1"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</reference>
        </references>
      </pivotArea>
    </format>
    <format dxfId="715">
      <pivotArea dataOnly="0" labelOnly="1" fieldPosition="0">
        <references count="1">
          <reference field="8" count="25">
            <x v="183"/>
            <x v="184"/>
            <x v="185"/>
            <x v="186"/>
            <x v="187"/>
            <x v="188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</reference>
        </references>
      </pivotArea>
    </format>
    <format dxfId="714">
      <pivotArea dataOnly="0" labelOnly="1" fieldPosition="0">
        <references count="1">
          <reference field="8" count="25" sumSubtotal="1">
            <x v="183"/>
            <x v="184"/>
            <x v="185"/>
            <x v="186"/>
            <x v="187"/>
            <x v="188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</reference>
        </references>
      </pivotArea>
    </format>
    <format dxfId="713">
      <pivotArea dataOnly="0" labelOnly="1" fieldPosition="0">
        <references count="1">
          <reference field="8" count="4">
            <x v="302"/>
            <x v="320"/>
            <x v="321"/>
            <x v="322"/>
          </reference>
        </references>
      </pivotArea>
    </format>
    <format dxfId="712">
      <pivotArea dataOnly="0" labelOnly="1" fieldPosition="0">
        <references count="1">
          <reference field="8" count="4" sumSubtotal="1">
            <x v="302"/>
            <x v="320"/>
            <x v="321"/>
            <x v="322"/>
          </reference>
        </references>
      </pivotArea>
    </format>
    <format dxfId="711">
      <pivotArea dataOnly="0" labelOnly="1" grandRow="1" outline="0" fieldPosition="0"/>
    </format>
    <format dxfId="710">
      <pivotArea dataOnly="0" labelOnly="1" fieldPosition="0">
        <references count="2">
          <reference field="0" count="4">
            <x v="1"/>
            <x v="4"/>
            <x v="5"/>
            <x v="6"/>
          </reference>
          <reference field="8" count="1" selected="0">
            <x v="62"/>
          </reference>
        </references>
      </pivotArea>
    </format>
    <format dxfId="709">
      <pivotArea dataOnly="0" labelOnly="1" fieldPosition="0">
        <references count="2">
          <reference field="0" count="3">
            <x v="2"/>
            <x v="7"/>
            <x v="8"/>
          </reference>
          <reference field="8" count="1" selected="0">
            <x v="63"/>
          </reference>
        </references>
      </pivotArea>
    </format>
    <format dxfId="708">
      <pivotArea dataOnly="0" labelOnly="1" fieldPosition="0">
        <references count="2">
          <reference field="0" count="3">
            <x v="1"/>
            <x v="4"/>
            <x v="5"/>
          </reference>
          <reference field="8" count="1" selected="0">
            <x v="64"/>
          </reference>
        </references>
      </pivotArea>
    </format>
    <format dxfId="707">
      <pivotArea dataOnly="0" labelOnly="1" fieldPosition="0">
        <references count="2">
          <reference field="0" count="3">
            <x v="2"/>
            <x v="7"/>
            <x v="8"/>
          </reference>
          <reference field="8" count="1" selected="0">
            <x v="65"/>
          </reference>
        </references>
      </pivotArea>
    </format>
    <format dxfId="706">
      <pivotArea dataOnly="0" labelOnly="1" fieldPosition="0">
        <references count="2">
          <reference field="0" count="3">
            <x v="1"/>
            <x v="4"/>
            <x v="5"/>
          </reference>
          <reference field="8" count="1" selected="0">
            <x v="66"/>
          </reference>
        </references>
      </pivotArea>
    </format>
    <format dxfId="705">
      <pivotArea dataOnly="0" labelOnly="1" fieldPosition="0">
        <references count="2">
          <reference field="0" count="3">
            <x v="1"/>
            <x v="4"/>
            <x v="5"/>
          </reference>
          <reference field="8" count="1" selected="0">
            <x v="67"/>
          </reference>
        </references>
      </pivotArea>
    </format>
    <format dxfId="704">
      <pivotArea dataOnly="0" labelOnly="1" fieldPosition="0">
        <references count="2">
          <reference field="0" count="3">
            <x v="2"/>
            <x v="7"/>
            <x v="8"/>
          </reference>
          <reference field="8" count="1" selected="0">
            <x v="68"/>
          </reference>
        </references>
      </pivotArea>
    </format>
    <format dxfId="703">
      <pivotArea dataOnly="0" labelOnly="1" fieldPosition="0">
        <references count="2">
          <reference field="0" count="4">
            <x v="1"/>
            <x v="4"/>
            <x v="5"/>
            <x v="6"/>
          </reference>
          <reference field="8" count="1" selected="0">
            <x v="69"/>
          </reference>
        </references>
      </pivotArea>
    </format>
    <format dxfId="702">
      <pivotArea dataOnly="0" labelOnly="1" fieldPosition="0">
        <references count="2">
          <reference field="0" count="3">
            <x v="2"/>
            <x v="7"/>
            <x v="8"/>
          </reference>
          <reference field="8" count="1" selected="0">
            <x v="70"/>
          </reference>
        </references>
      </pivotArea>
    </format>
    <format dxfId="701">
      <pivotArea dataOnly="0" labelOnly="1" fieldPosition="0">
        <references count="2">
          <reference field="0" count="4">
            <x v="1"/>
            <x v="4"/>
            <x v="5"/>
            <x v="6"/>
          </reference>
          <reference field="8" count="1" selected="0">
            <x v="71"/>
          </reference>
        </references>
      </pivotArea>
    </format>
    <format dxfId="700">
      <pivotArea dataOnly="0" labelOnly="1" fieldPosition="0">
        <references count="2">
          <reference field="0" count="4">
            <x v="1"/>
            <x v="4"/>
            <x v="5"/>
            <x v="6"/>
          </reference>
          <reference field="8" count="1" selected="0">
            <x v="72"/>
          </reference>
        </references>
      </pivotArea>
    </format>
    <format dxfId="699">
      <pivotArea dataOnly="0" labelOnly="1" fieldPosition="0">
        <references count="2">
          <reference field="0" count="3">
            <x v="2"/>
            <x v="7"/>
            <x v="8"/>
          </reference>
          <reference field="8" count="1" selected="0">
            <x v="73"/>
          </reference>
        </references>
      </pivotArea>
    </format>
    <format dxfId="698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70"/>
          </reference>
        </references>
      </pivotArea>
    </format>
    <format dxfId="697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71"/>
          </reference>
        </references>
      </pivotArea>
    </format>
    <format dxfId="696">
      <pivotArea dataOnly="0" labelOnly="1" fieldPosition="0">
        <references count="2">
          <reference field="0" count="4">
            <x v="5"/>
            <x v="6"/>
            <x v="7"/>
            <x v="9"/>
          </reference>
          <reference field="8" count="1" selected="0">
            <x v="172"/>
          </reference>
        </references>
      </pivotArea>
    </format>
    <format dxfId="695">
      <pivotArea dataOnly="0" labelOnly="1" fieldPosition="0">
        <references count="2">
          <reference field="0" count="4">
            <x v="5"/>
            <x v="6"/>
            <x v="7"/>
            <x v="9"/>
          </reference>
          <reference field="8" count="1" selected="0">
            <x v="173"/>
          </reference>
        </references>
      </pivotArea>
    </format>
    <format dxfId="694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74"/>
          </reference>
        </references>
      </pivotArea>
    </format>
    <format dxfId="693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75"/>
          </reference>
        </references>
      </pivotArea>
    </format>
    <format dxfId="692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76"/>
          </reference>
        </references>
      </pivotArea>
    </format>
    <format dxfId="691">
      <pivotArea dataOnly="0" labelOnly="1" fieldPosition="0">
        <references count="2">
          <reference field="0" count="4">
            <x v="4"/>
            <x v="5"/>
            <x v="7"/>
            <x v="12"/>
          </reference>
          <reference field="8" count="1" selected="0">
            <x v="177"/>
          </reference>
        </references>
      </pivotArea>
    </format>
    <format dxfId="690">
      <pivotArea dataOnly="0" labelOnly="1" fieldPosition="0">
        <references count="2">
          <reference field="0" count="5">
            <x v="4"/>
            <x v="5"/>
            <x v="6"/>
            <x v="7"/>
            <x v="9"/>
          </reference>
          <reference field="8" count="1" selected="0">
            <x v="178"/>
          </reference>
        </references>
      </pivotArea>
    </format>
    <format dxfId="689">
      <pivotArea dataOnly="0" labelOnly="1" fieldPosition="0">
        <references count="2">
          <reference field="0" count="4">
            <x v="5"/>
            <x v="6"/>
            <x v="7"/>
            <x v="9"/>
          </reference>
          <reference field="8" count="1" selected="0">
            <x v="179"/>
          </reference>
        </references>
      </pivotArea>
    </format>
    <format dxfId="688">
      <pivotArea dataOnly="0" labelOnly="1" fieldPosition="0">
        <references count="2">
          <reference field="0" count="5">
            <x v="4"/>
            <x v="5"/>
            <x v="6"/>
            <x v="7"/>
            <x v="9"/>
          </reference>
          <reference field="8" count="1" selected="0">
            <x v="180"/>
          </reference>
        </references>
      </pivotArea>
    </format>
    <format dxfId="687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81"/>
          </reference>
        </references>
      </pivotArea>
    </format>
    <format dxfId="686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82"/>
          </reference>
        </references>
      </pivotArea>
    </format>
    <format dxfId="685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83"/>
          </reference>
        </references>
      </pivotArea>
    </format>
    <format dxfId="684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84"/>
          </reference>
        </references>
      </pivotArea>
    </format>
    <format dxfId="683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85"/>
          </reference>
        </references>
      </pivotArea>
    </format>
    <format dxfId="682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86"/>
          </reference>
        </references>
      </pivotArea>
    </format>
    <format dxfId="681">
      <pivotArea dataOnly="0" labelOnly="1" fieldPosition="0">
        <references count="2">
          <reference field="0" count="4">
            <x v="4"/>
            <x v="5"/>
            <x v="7"/>
            <x v="9"/>
          </reference>
          <reference field="8" count="1" selected="0">
            <x v="187"/>
          </reference>
        </references>
      </pivotArea>
    </format>
    <format dxfId="680">
      <pivotArea dataOnly="0" labelOnly="1" fieldPosition="0">
        <references count="2">
          <reference field="0" count="3">
            <x v="6"/>
            <x v="8"/>
            <x v="11"/>
          </reference>
          <reference field="8" count="1" selected="0">
            <x v="188"/>
          </reference>
        </references>
      </pivotArea>
    </format>
    <format dxfId="679">
      <pivotArea dataOnly="0" labelOnly="1" fieldPosition="0">
        <references count="2">
          <reference field="0" count="4">
            <x v="10"/>
            <x v="20"/>
            <x v="30"/>
            <x v="42"/>
          </reference>
          <reference field="8" count="1" selected="0">
            <x v="283"/>
          </reference>
        </references>
      </pivotArea>
    </format>
    <format dxfId="678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84"/>
          </reference>
        </references>
      </pivotArea>
    </format>
    <format dxfId="677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85"/>
          </reference>
        </references>
      </pivotArea>
    </format>
    <format dxfId="676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86"/>
          </reference>
        </references>
      </pivotArea>
    </format>
    <format dxfId="675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87"/>
          </reference>
        </references>
      </pivotArea>
    </format>
    <format dxfId="674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88"/>
          </reference>
        </references>
      </pivotArea>
    </format>
    <format dxfId="673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89"/>
          </reference>
        </references>
      </pivotArea>
    </format>
    <format dxfId="672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90"/>
          </reference>
        </references>
      </pivotArea>
    </format>
    <format dxfId="671">
      <pivotArea dataOnly="0" labelOnly="1" fieldPosition="0">
        <references count="2">
          <reference field="0" count="5">
            <x v="12"/>
            <x v="14"/>
            <x v="15"/>
            <x v="17"/>
            <x v="34"/>
          </reference>
          <reference field="8" count="1" selected="0">
            <x v="291"/>
          </reference>
        </references>
      </pivotArea>
    </format>
    <format dxfId="670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92"/>
          </reference>
        </references>
      </pivotArea>
    </format>
    <format dxfId="669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93"/>
          </reference>
        </references>
      </pivotArea>
    </format>
    <format dxfId="668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94"/>
          </reference>
        </references>
      </pivotArea>
    </format>
    <format dxfId="667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95"/>
          </reference>
        </references>
      </pivotArea>
    </format>
    <format dxfId="666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96"/>
          </reference>
        </references>
      </pivotArea>
    </format>
    <format dxfId="665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97"/>
          </reference>
        </references>
      </pivotArea>
    </format>
    <format dxfId="664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98"/>
          </reference>
        </references>
      </pivotArea>
    </format>
    <format dxfId="663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299"/>
          </reference>
        </references>
      </pivotArea>
    </format>
    <format dxfId="662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300"/>
          </reference>
        </references>
      </pivotArea>
    </format>
    <format dxfId="661">
      <pivotArea dataOnly="0" labelOnly="1" fieldPosition="0">
        <references count="2">
          <reference field="0" count="5">
            <x v="9"/>
            <x v="14"/>
            <x v="16"/>
            <x v="18"/>
            <x v="35"/>
          </reference>
          <reference field="8" count="1" selected="0">
            <x v="301"/>
          </reference>
        </references>
      </pivotArea>
    </format>
    <format dxfId="660">
      <pivotArea dataOnly="0" labelOnly="1" fieldPosition="0">
        <references count="2">
          <reference field="0" count="5">
            <x v="11"/>
            <x v="14"/>
            <x v="20"/>
            <x v="26"/>
            <x v="45"/>
          </reference>
          <reference field="8" count="1" selected="0">
            <x v="302"/>
          </reference>
        </references>
      </pivotArea>
    </format>
    <format dxfId="659">
      <pivotArea dataOnly="0" labelOnly="1" fieldPosition="0">
        <references count="2">
          <reference field="0" count="2">
            <x v="34"/>
            <x v="46"/>
          </reference>
          <reference field="8" count="1" selected="0">
            <x v="320"/>
          </reference>
        </references>
      </pivotArea>
    </format>
    <format dxfId="658">
      <pivotArea dataOnly="0" labelOnly="1" fieldPosition="0">
        <references count="2">
          <reference field="0" count="2">
            <x v="34"/>
            <x v="46"/>
          </reference>
          <reference field="8" count="1" selected="0">
            <x v="321"/>
          </reference>
        </references>
      </pivotArea>
    </format>
    <format dxfId="657">
      <pivotArea dataOnly="0" labelOnly="1" fieldPosition="0">
        <references count="2">
          <reference field="0" count="2">
            <x v="33"/>
            <x v="42"/>
          </reference>
          <reference field="8" count="1" selected="0">
            <x v="322"/>
          </reference>
        </references>
      </pivotArea>
    </format>
    <format dxfId="656">
      <pivotArea dataOnly="0" labelOnly="1" fieldPosition="0">
        <references count="3">
          <reference field="0" count="1" selected="0">
            <x v="1"/>
          </reference>
          <reference field="1" count="1">
            <x v="44"/>
          </reference>
          <reference field="8" count="1" selected="0">
            <x v="62"/>
          </reference>
        </references>
      </pivotArea>
    </format>
    <format dxfId="655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62"/>
          </reference>
        </references>
      </pivotArea>
    </format>
    <format dxfId="654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62"/>
          </reference>
        </references>
      </pivotArea>
    </format>
    <format dxfId="653">
      <pivotArea dataOnly="0" labelOnly="1" fieldPosition="0">
        <references count="3">
          <reference field="0" count="1" selected="0">
            <x v="6"/>
          </reference>
          <reference field="1" count="1">
            <x v="29"/>
          </reference>
          <reference field="8" count="1" selected="0">
            <x v="62"/>
          </reference>
        </references>
      </pivotArea>
    </format>
    <format dxfId="652">
      <pivotArea dataOnly="0" labelOnly="1" fieldPosition="0">
        <references count="3">
          <reference field="0" count="1" selected="0">
            <x v="2"/>
          </reference>
          <reference field="1" count="1">
            <x v="43"/>
          </reference>
          <reference field="8" count="1" selected="0">
            <x v="63"/>
          </reference>
        </references>
      </pivotArea>
    </format>
    <format dxfId="651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63"/>
          </reference>
        </references>
      </pivotArea>
    </format>
    <format dxfId="650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63"/>
          </reference>
        </references>
      </pivotArea>
    </format>
    <format dxfId="649">
      <pivotArea dataOnly="0" labelOnly="1" fieldPosition="0">
        <references count="3">
          <reference field="0" count="1" selected="0">
            <x v="1"/>
          </reference>
          <reference field="1" count="1">
            <x v="44"/>
          </reference>
          <reference field="8" count="1" selected="0">
            <x v="64"/>
          </reference>
        </references>
      </pivotArea>
    </format>
    <format dxfId="648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64"/>
          </reference>
        </references>
      </pivotArea>
    </format>
    <format dxfId="647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64"/>
          </reference>
        </references>
      </pivotArea>
    </format>
    <format dxfId="646">
      <pivotArea dataOnly="0" labelOnly="1" fieldPosition="0">
        <references count="3">
          <reference field="0" count="1" selected="0">
            <x v="2"/>
          </reference>
          <reference field="1" count="1">
            <x v="43"/>
          </reference>
          <reference field="8" count="1" selected="0">
            <x v="65"/>
          </reference>
        </references>
      </pivotArea>
    </format>
    <format dxfId="645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65"/>
          </reference>
        </references>
      </pivotArea>
    </format>
    <format dxfId="644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65"/>
          </reference>
        </references>
      </pivotArea>
    </format>
    <format dxfId="643">
      <pivotArea dataOnly="0" labelOnly="1" fieldPosition="0">
        <references count="3">
          <reference field="0" count="1" selected="0">
            <x v="1"/>
          </reference>
          <reference field="1" count="1">
            <x v="44"/>
          </reference>
          <reference field="8" count="1" selected="0">
            <x v="66"/>
          </reference>
        </references>
      </pivotArea>
    </format>
    <format dxfId="642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66"/>
          </reference>
        </references>
      </pivotArea>
    </format>
    <format dxfId="641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66"/>
          </reference>
        </references>
      </pivotArea>
    </format>
    <format dxfId="640">
      <pivotArea dataOnly="0" labelOnly="1" fieldPosition="0">
        <references count="3">
          <reference field="0" count="1" selected="0">
            <x v="1"/>
          </reference>
          <reference field="1" count="1">
            <x v="44"/>
          </reference>
          <reference field="8" count="1" selected="0">
            <x v="67"/>
          </reference>
        </references>
      </pivotArea>
    </format>
    <format dxfId="639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67"/>
          </reference>
        </references>
      </pivotArea>
    </format>
    <format dxfId="638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67"/>
          </reference>
        </references>
      </pivotArea>
    </format>
    <format dxfId="637">
      <pivotArea dataOnly="0" labelOnly="1" fieldPosition="0">
        <references count="3">
          <reference field="0" count="1" selected="0">
            <x v="2"/>
          </reference>
          <reference field="1" count="1">
            <x v="43"/>
          </reference>
          <reference field="8" count="1" selected="0">
            <x v="68"/>
          </reference>
        </references>
      </pivotArea>
    </format>
    <format dxfId="636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68"/>
          </reference>
        </references>
      </pivotArea>
    </format>
    <format dxfId="635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68"/>
          </reference>
        </references>
      </pivotArea>
    </format>
    <format dxfId="634">
      <pivotArea dataOnly="0" labelOnly="1" fieldPosition="0">
        <references count="3">
          <reference field="0" count="1" selected="0">
            <x v="1"/>
          </reference>
          <reference field="1" count="1">
            <x v="44"/>
          </reference>
          <reference field="8" count="1" selected="0">
            <x v="69"/>
          </reference>
        </references>
      </pivotArea>
    </format>
    <format dxfId="633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69"/>
          </reference>
        </references>
      </pivotArea>
    </format>
    <format dxfId="632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69"/>
          </reference>
        </references>
      </pivotArea>
    </format>
    <format dxfId="631">
      <pivotArea dataOnly="0" labelOnly="1" fieldPosition="0">
        <references count="3">
          <reference field="0" count="1" selected="0">
            <x v="6"/>
          </reference>
          <reference field="1" count="1">
            <x v="29"/>
          </reference>
          <reference field="8" count="1" selected="0">
            <x v="69"/>
          </reference>
        </references>
      </pivotArea>
    </format>
    <format dxfId="630">
      <pivotArea dataOnly="0" labelOnly="1" fieldPosition="0">
        <references count="3">
          <reference field="0" count="1" selected="0">
            <x v="2"/>
          </reference>
          <reference field="1" count="1">
            <x v="43"/>
          </reference>
          <reference field="8" count="1" selected="0">
            <x v="70"/>
          </reference>
        </references>
      </pivotArea>
    </format>
    <format dxfId="629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70"/>
          </reference>
        </references>
      </pivotArea>
    </format>
    <format dxfId="628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70"/>
          </reference>
        </references>
      </pivotArea>
    </format>
    <format dxfId="627">
      <pivotArea dataOnly="0" labelOnly="1" fieldPosition="0">
        <references count="3">
          <reference field="0" count="1" selected="0">
            <x v="1"/>
          </reference>
          <reference field="1" count="1">
            <x v="44"/>
          </reference>
          <reference field="8" count="1" selected="0">
            <x v="71"/>
          </reference>
        </references>
      </pivotArea>
    </format>
    <format dxfId="626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71"/>
          </reference>
        </references>
      </pivotArea>
    </format>
    <format dxfId="625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71"/>
          </reference>
        </references>
      </pivotArea>
    </format>
    <format dxfId="624">
      <pivotArea dataOnly="0" labelOnly="1" fieldPosition="0">
        <references count="3">
          <reference field="0" count="1" selected="0">
            <x v="6"/>
          </reference>
          <reference field="1" count="1">
            <x v="29"/>
          </reference>
          <reference field="8" count="1" selected="0">
            <x v="71"/>
          </reference>
        </references>
      </pivotArea>
    </format>
    <format dxfId="623">
      <pivotArea dataOnly="0" labelOnly="1" fieldPosition="0">
        <references count="3">
          <reference field="0" count="1" selected="0">
            <x v="1"/>
          </reference>
          <reference field="1" count="1">
            <x v="44"/>
          </reference>
          <reference field="8" count="1" selected="0">
            <x v="72"/>
          </reference>
        </references>
      </pivotArea>
    </format>
    <format dxfId="622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72"/>
          </reference>
        </references>
      </pivotArea>
    </format>
    <format dxfId="621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72"/>
          </reference>
        </references>
      </pivotArea>
    </format>
    <format dxfId="620">
      <pivotArea dataOnly="0" labelOnly="1" fieldPosition="0">
        <references count="3">
          <reference field="0" count="1" selected="0">
            <x v="6"/>
          </reference>
          <reference field="1" count="1">
            <x v="29"/>
          </reference>
          <reference field="8" count="1" selected="0">
            <x v="72"/>
          </reference>
        </references>
      </pivotArea>
    </format>
    <format dxfId="619">
      <pivotArea dataOnly="0" labelOnly="1" fieldPosition="0">
        <references count="3">
          <reference field="0" count="1" selected="0">
            <x v="2"/>
          </reference>
          <reference field="1" count="1">
            <x v="43"/>
          </reference>
          <reference field="8" count="1" selected="0">
            <x v="73"/>
          </reference>
        </references>
      </pivotArea>
    </format>
    <format dxfId="618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73"/>
          </reference>
        </references>
      </pivotArea>
    </format>
    <format dxfId="617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73"/>
          </reference>
        </references>
      </pivotArea>
    </format>
    <format dxfId="616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70"/>
          </reference>
        </references>
      </pivotArea>
    </format>
    <format dxfId="615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70"/>
          </reference>
        </references>
      </pivotArea>
    </format>
    <format dxfId="614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70"/>
          </reference>
        </references>
      </pivotArea>
    </format>
    <format dxfId="613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70"/>
          </reference>
        </references>
      </pivotArea>
    </format>
    <format dxfId="612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71"/>
          </reference>
        </references>
      </pivotArea>
    </format>
    <format dxfId="611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71"/>
          </reference>
        </references>
      </pivotArea>
    </format>
    <format dxfId="610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71"/>
          </reference>
        </references>
      </pivotArea>
    </format>
    <format dxfId="609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71"/>
          </reference>
        </references>
      </pivotArea>
    </format>
    <format dxfId="608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72"/>
          </reference>
        </references>
      </pivotArea>
    </format>
    <format dxfId="607">
      <pivotArea dataOnly="0" labelOnly="1" fieldPosition="0">
        <references count="3">
          <reference field="0" count="1" selected="0">
            <x v="6"/>
          </reference>
          <reference field="1" count="1">
            <x v="29"/>
          </reference>
          <reference field="8" count="1" selected="0">
            <x v="172"/>
          </reference>
        </references>
      </pivotArea>
    </format>
    <format dxfId="606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72"/>
          </reference>
        </references>
      </pivotArea>
    </format>
    <format dxfId="60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72"/>
          </reference>
        </references>
      </pivotArea>
    </format>
    <format dxfId="604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73"/>
          </reference>
        </references>
      </pivotArea>
    </format>
    <format dxfId="603">
      <pivotArea dataOnly="0" labelOnly="1" fieldPosition="0">
        <references count="3">
          <reference field="0" count="1" selected="0">
            <x v="6"/>
          </reference>
          <reference field="1" count="1">
            <x v="29"/>
          </reference>
          <reference field="8" count="1" selected="0">
            <x v="173"/>
          </reference>
        </references>
      </pivotArea>
    </format>
    <format dxfId="602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73"/>
          </reference>
        </references>
      </pivotArea>
    </format>
    <format dxfId="601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73"/>
          </reference>
        </references>
      </pivotArea>
    </format>
    <format dxfId="600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74"/>
          </reference>
        </references>
      </pivotArea>
    </format>
    <format dxfId="599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74"/>
          </reference>
        </references>
      </pivotArea>
    </format>
    <format dxfId="598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74"/>
          </reference>
        </references>
      </pivotArea>
    </format>
    <format dxfId="597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74"/>
          </reference>
        </references>
      </pivotArea>
    </format>
    <format dxfId="596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75"/>
          </reference>
        </references>
      </pivotArea>
    </format>
    <format dxfId="595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75"/>
          </reference>
        </references>
      </pivotArea>
    </format>
    <format dxfId="594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75"/>
          </reference>
        </references>
      </pivotArea>
    </format>
    <format dxfId="593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75"/>
          </reference>
        </references>
      </pivotArea>
    </format>
    <format dxfId="592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76"/>
          </reference>
        </references>
      </pivotArea>
    </format>
    <format dxfId="591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76"/>
          </reference>
        </references>
      </pivotArea>
    </format>
    <format dxfId="590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76"/>
          </reference>
        </references>
      </pivotArea>
    </format>
    <format dxfId="589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76"/>
          </reference>
        </references>
      </pivotArea>
    </format>
    <format dxfId="588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77"/>
          </reference>
        </references>
      </pivotArea>
    </format>
    <format dxfId="587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77"/>
          </reference>
        </references>
      </pivotArea>
    </format>
    <format dxfId="586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77"/>
          </reference>
        </references>
      </pivotArea>
    </format>
    <format dxfId="585">
      <pivotArea dataOnly="0" labelOnly="1" fieldPosition="0">
        <references count="3">
          <reference field="0" count="1" selected="0">
            <x v="12"/>
          </reference>
          <reference field="1" count="1">
            <x v="33"/>
          </reference>
          <reference field="8" count="1" selected="0">
            <x v="177"/>
          </reference>
        </references>
      </pivotArea>
    </format>
    <format dxfId="584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78"/>
          </reference>
        </references>
      </pivotArea>
    </format>
    <format dxfId="583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78"/>
          </reference>
        </references>
      </pivotArea>
    </format>
    <format dxfId="582">
      <pivotArea dataOnly="0" labelOnly="1" fieldPosition="0">
        <references count="3">
          <reference field="0" count="1" selected="0">
            <x v="6"/>
          </reference>
          <reference field="1" count="1">
            <x v="29"/>
          </reference>
          <reference field="8" count="1" selected="0">
            <x v="178"/>
          </reference>
        </references>
      </pivotArea>
    </format>
    <format dxfId="581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78"/>
          </reference>
        </references>
      </pivotArea>
    </format>
    <format dxfId="580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78"/>
          </reference>
        </references>
      </pivotArea>
    </format>
    <format dxfId="579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79"/>
          </reference>
        </references>
      </pivotArea>
    </format>
    <format dxfId="578">
      <pivotArea dataOnly="0" labelOnly="1" fieldPosition="0">
        <references count="3">
          <reference field="0" count="1" selected="0">
            <x v="6"/>
          </reference>
          <reference field="1" count="1">
            <x v="29"/>
          </reference>
          <reference field="8" count="1" selected="0">
            <x v="179"/>
          </reference>
        </references>
      </pivotArea>
    </format>
    <format dxfId="577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79"/>
          </reference>
        </references>
      </pivotArea>
    </format>
    <format dxfId="576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79"/>
          </reference>
        </references>
      </pivotArea>
    </format>
    <format dxfId="575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80"/>
          </reference>
        </references>
      </pivotArea>
    </format>
    <format dxfId="574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80"/>
          </reference>
        </references>
      </pivotArea>
    </format>
    <format dxfId="573">
      <pivotArea dataOnly="0" labelOnly="1" fieldPosition="0">
        <references count="3">
          <reference field="0" count="1" selected="0">
            <x v="6"/>
          </reference>
          <reference field="1" count="1">
            <x v="29"/>
          </reference>
          <reference field="8" count="1" selected="0">
            <x v="180"/>
          </reference>
        </references>
      </pivotArea>
    </format>
    <format dxfId="572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80"/>
          </reference>
        </references>
      </pivotArea>
    </format>
    <format dxfId="571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80"/>
          </reference>
        </references>
      </pivotArea>
    </format>
    <format dxfId="570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81"/>
          </reference>
        </references>
      </pivotArea>
    </format>
    <format dxfId="569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81"/>
          </reference>
        </references>
      </pivotArea>
    </format>
    <format dxfId="568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81"/>
          </reference>
        </references>
      </pivotArea>
    </format>
    <format dxfId="567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81"/>
          </reference>
        </references>
      </pivotArea>
    </format>
    <format dxfId="566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82"/>
          </reference>
        </references>
      </pivotArea>
    </format>
    <format dxfId="565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82"/>
          </reference>
        </references>
      </pivotArea>
    </format>
    <format dxfId="564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82"/>
          </reference>
        </references>
      </pivotArea>
    </format>
    <format dxfId="563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82"/>
          </reference>
        </references>
      </pivotArea>
    </format>
    <format dxfId="562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83"/>
          </reference>
        </references>
      </pivotArea>
    </format>
    <format dxfId="561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83"/>
          </reference>
        </references>
      </pivotArea>
    </format>
    <format dxfId="560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83"/>
          </reference>
        </references>
      </pivotArea>
    </format>
    <format dxfId="559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83"/>
          </reference>
        </references>
      </pivotArea>
    </format>
    <format dxfId="558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84"/>
          </reference>
        </references>
      </pivotArea>
    </format>
    <format dxfId="557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84"/>
          </reference>
        </references>
      </pivotArea>
    </format>
    <format dxfId="556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84"/>
          </reference>
        </references>
      </pivotArea>
    </format>
    <format dxfId="55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84"/>
          </reference>
        </references>
      </pivotArea>
    </format>
    <format dxfId="554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85"/>
          </reference>
        </references>
      </pivotArea>
    </format>
    <format dxfId="553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85"/>
          </reference>
        </references>
      </pivotArea>
    </format>
    <format dxfId="552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85"/>
          </reference>
        </references>
      </pivotArea>
    </format>
    <format dxfId="551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85"/>
          </reference>
        </references>
      </pivotArea>
    </format>
    <format dxfId="550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86"/>
          </reference>
        </references>
      </pivotArea>
    </format>
    <format dxfId="549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86"/>
          </reference>
        </references>
      </pivotArea>
    </format>
    <format dxfId="548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86"/>
          </reference>
        </references>
      </pivotArea>
    </format>
    <format dxfId="547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86"/>
          </reference>
        </references>
      </pivotArea>
    </format>
    <format dxfId="546">
      <pivotArea dataOnly="0" labelOnly="1" fieldPosition="0">
        <references count="3">
          <reference field="0" count="1" selected="0">
            <x v="4"/>
          </reference>
          <reference field="1" count="1">
            <x v="22"/>
          </reference>
          <reference field="8" count="1" selected="0">
            <x v="187"/>
          </reference>
        </references>
      </pivotArea>
    </format>
    <format dxfId="545">
      <pivotArea dataOnly="0" labelOnly="1" fieldPosition="0">
        <references count="3">
          <reference field="0" count="1" selected="0">
            <x v="5"/>
          </reference>
          <reference field="1" count="1">
            <x v="21"/>
          </reference>
          <reference field="8" count="1" selected="0">
            <x v="187"/>
          </reference>
        </references>
      </pivotArea>
    </format>
    <format dxfId="544">
      <pivotArea dataOnly="0" labelOnly="1" fieldPosition="0">
        <references count="3">
          <reference field="0" count="1" selected="0">
            <x v="7"/>
          </reference>
          <reference field="1" count="1">
            <x v="23"/>
          </reference>
          <reference field="8" count="1" selected="0">
            <x v="187"/>
          </reference>
        </references>
      </pivotArea>
    </format>
    <format dxfId="543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187"/>
          </reference>
        </references>
      </pivotArea>
    </format>
    <format dxfId="542">
      <pivotArea dataOnly="0" labelOnly="1" fieldPosition="0">
        <references count="3">
          <reference field="0" count="1" selected="0">
            <x v="6"/>
          </reference>
          <reference field="1" count="1">
            <x v="29"/>
          </reference>
          <reference field="8" count="1" selected="0">
            <x v="188"/>
          </reference>
        </references>
      </pivotArea>
    </format>
    <format dxfId="541">
      <pivotArea dataOnly="0" labelOnly="1" fieldPosition="0">
        <references count="3">
          <reference field="0" count="1" selected="0">
            <x v="8"/>
          </reference>
          <reference field="1" count="1">
            <x v="24"/>
          </reference>
          <reference field="8" count="1" selected="0">
            <x v="188"/>
          </reference>
        </references>
      </pivotArea>
    </format>
    <format dxfId="540">
      <pivotArea dataOnly="0" labelOnly="1" fieldPosition="0">
        <references count="3">
          <reference field="0" count="1" selected="0">
            <x v="11"/>
          </reference>
          <reference field="1" count="1">
            <x v="31"/>
          </reference>
          <reference field="8" count="1" selected="0">
            <x v="188"/>
          </reference>
        </references>
      </pivotArea>
    </format>
    <format dxfId="539">
      <pivotArea dataOnly="0" labelOnly="1" fieldPosition="0">
        <references count="3">
          <reference field="0" count="1" selected="0">
            <x v="10"/>
          </reference>
          <reference field="1" count="1">
            <x v="30"/>
          </reference>
          <reference field="8" count="1" selected="0">
            <x v="283"/>
          </reference>
        </references>
      </pivotArea>
    </format>
    <format dxfId="538">
      <pivotArea dataOnly="0" labelOnly="1" fieldPosition="0">
        <references count="3">
          <reference field="0" count="1" selected="0">
            <x v="20"/>
          </reference>
          <reference field="1" count="1">
            <x v="0"/>
          </reference>
          <reference field="8" count="1" selected="0">
            <x v="283"/>
          </reference>
        </references>
      </pivotArea>
    </format>
    <format dxfId="537">
      <pivotArea dataOnly="0" labelOnly="1" fieldPosition="0">
        <references count="3">
          <reference field="0" count="1" selected="0">
            <x v="30"/>
          </reference>
          <reference field="1" count="1">
            <x v="16"/>
          </reference>
          <reference field="8" count="1" selected="0">
            <x v="283"/>
          </reference>
        </references>
      </pivotArea>
    </format>
    <format dxfId="536">
      <pivotArea dataOnly="0" labelOnly="1" fieldPosition="0">
        <references count="3">
          <reference field="0" count="1" selected="0">
            <x v="42"/>
          </reference>
          <reference field="1" count="1">
            <x v="10"/>
          </reference>
          <reference field="8" count="1" selected="0">
            <x v="283"/>
          </reference>
        </references>
      </pivotArea>
    </format>
    <format dxfId="53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84"/>
          </reference>
        </references>
      </pivotArea>
    </format>
    <format dxfId="534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84"/>
          </reference>
        </references>
      </pivotArea>
    </format>
    <format dxfId="533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84"/>
          </reference>
        </references>
      </pivotArea>
    </format>
    <format dxfId="532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84"/>
          </reference>
        </references>
      </pivotArea>
    </format>
    <format dxfId="531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84"/>
          </reference>
        </references>
      </pivotArea>
    </format>
    <format dxfId="530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85"/>
          </reference>
        </references>
      </pivotArea>
    </format>
    <format dxfId="529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85"/>
          </reference>
        </references>
      </pivotArea>
    </format>
    <format dxfId="528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85"/>
          </reference>
        </references>
      </pivotArea>
    </format>
    <format dxfId="527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85"/>
          </reference>
        </references>
      </pivotArea>
    </format>
    <format dxfId="526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85"/>
          </reference>
        </references>
      </pivotArea>
    </format>
    <format dxfId="52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86"/>
          </reference>
        </references>
      </pivotArea>
    </format>
    <format dxfId="524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86"/>
          </reference>
        </references>
      </pivotArea>
    </format>
    <format dxfId="523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86"/>
          </reference>
        </references>
      </pivotArea>
    </format>
    <format dxfId="522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86"/>
          </reference>
        </references>
      </pivotArea>
    </format>
    <format dxfId="521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86"/>
          </reference>
        </references>
      </pivotArea>
    </format>
    <format dxfId="520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87"/>
          </reference>
        </references>
      </pivotArea>
    </format>
    <format dxfId="519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87"/>
          </reference>
        </references>
      </pivotArea>
    </format>
    <format dxfId="518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87"/>
          </reference>
        </references>
      </pivotArea>
    </format>
    <format dxfId="517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87"/>
          </reference>
        </references>
      </pivotArea>
    </format>
    <format dxfId="516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87"/>
          </reference>
        </references>
      </pivotArea>
    </format>
    <format dxfId="51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88"/>
          </reference>
        </references>
      </pivotArea>
    </format>
    <format dxfId="514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88"/>
          </reference>
        </references>
      </pivotArea>
    </format>
    <format dxfId="513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88"/>
          </reference>
        </references>
      </pivotArea>
    </format>
    <format dxfId="512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88"/>
          </reference>
        </references>
      </pivotArea>
    </format>
    <format dxfId="511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88"/>
          </reference>
        </references>
      </pivotArea>
    </format>
    <format dxfId="510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89"/>
          </reference>
        </references>
      </pivotArea>
    </format>
    <format dxfId="509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89"/>
          </reference>
        </references>
      </pivotArea>
    </format>
    <format dxfId="508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89"/>
          </reference>
        </references>
      </pivotArea>
    </format>
    <format dxfId="507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89"/>
          </reference>
        </references>
      </pivotArea>
    </format>
    <format dxfId="506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89"/>
          </reference>
        </references>
      </pivotArea>
    </format>
    <format dxfId="50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90"/>
          </reference>
        </references>
      </pivotArea>
    </format>
    <format dxfId="504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90"/>
          </reference>
        </references>
      </pivotArea>
    </format>
    <format dxfId="503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90"/>
          </reference>
        </references>
      </pivotArea>
    </format>
    <format dxfId="502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90"/>
          </reference>
        </references>
      </pivotArea>
    </format>
    <format dxfId="501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90"/>
          </reference>
        </references>
      </pivotArea>
    </format>
    <format dxfId="500">
      <pivotArea dataOnly="0" labelOnly="1" fieldPosition="0">
        <references count="3">
          <reference field="0" count="1" selected="0">
            <x v="12"/>
          </reference>
          <reference field="1" count="1">
            <x v="33"/>
          </reference>
          <reference field="8" count="1" selected="0">
            <x v="291"/>
          </reference>
        </references>
      </pivotArea>
    </format>
    <format dxfId="499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91"/>
          </reference>
        </references>
      </pivotArea>
    </format>
    <format dxfId="498">
      <pivotArea dataOnly="0" labelOnly="1" fieldPosition="0">
        <references count="3">
          <reference field="0" count="1" selected="0">
            <x v="15"/>
          </reference>
          <reference field="1" count="1">
            <x v="3"/>
          </reference>
          <reference field="8" count="1" selected="0">
            <x v="291"/>
          </reference>
        </references>
      </pivotArea>
    </format>
    <format dxfId="497">
      <pivotArea dataOnly="0" labelOnly="1" fieldPosition="0">
        <references count="3">
          <reference field="0" count="1" selected="0">
            <x v="17"/>
          </reference>
          <reference field="1" count="1">
            <x v="36"/>
          </reference>
          <reference field="8" count="1" selected="0">
            <x v="291"/>
          </reference>
        </references>
      </pivotArea>
    </format>
    <format dxfId="496">
      <pivotArea dataOnly="0" labelOnly="1" fieldPosition="0">
        <references count="3">
          <reference field="0" count="1" selected="0">
            <x v="34"/>
          </reference>
          <reference field="1" count="1">
            <x v="26"/>
          </reference>
          <reference field="8" count="1" selected="0">
            <x v="291"/>
          </reference>
        </references>
      </pivotArea>
    </format>
    <format dxfId="49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92"/>
          </reference>
        </references>
      </pivotArea>
    </format>
    <format dxfId="494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92"/>
          </reference>
        </references>
      </pivotArea>
    </format>
    <format dxfId="493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92"/>
          </reference>
        </references>
      </pivotArea>
    </format>
    <format dxfId="492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92"/>
          </reference>
        </references>
      </pivotArea>
    </format>
    <format dxfId="491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92"/>
          </reference>
        </references>
      </pivotArea>
    </format>
    <format dxfId="490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93"/>
          </reference>
        </references>
      </pivotArea>
    </format>
    <format dxfId="489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93"/>
          </reference>
        </references>
      </pivotArea>
    </format>
    <format dxfId="488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93"/>
          </reference>
        </references>
      </pivotArea>
    </format>
    <format dxfId="487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93"/>
          </reference>
        </references>
      </pivotArea>
    </format>
    <format dxfId="486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93"/>
          </reference>
        </references>
      </pivotArea>
    </format>
    <format dxfId="48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94"/>
          </reference>
        </references>
      </pivotArea>
    </format>
    <format dxfId="484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94"/>
          </reference>
        </references>
      </pivotArea>
    </format>
    <format dxfId="483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94"/>
          </reference>
        </references>
      </pivotArea>
    </format>
    <format dxfId="482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94"/>
          </reference>
        </references>
      </pivotArea>
    </format>
    <format dxfId="481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94"/>
          </reference>
        </references>
      </pivotArea>
    </format>
    <format dxfId="480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95"/>
          </reference>
        </references>
      </pivotArea>
    </format>
    <format dxfId="479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95"/>
          </reference>
        </references>
      </pivotArea>
    </format>
    <format dxfId="478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95"/>
          </reference>
        </references>
      </pivotArea>
    </format>
    <format dxfId="477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95"/>
          </reference>
        </references>
      </pivotArea>
    </format>
    <format dxfId="476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95"/>
          </reference>
        </references>
      </pivotArea>
    </format>
    <format dxfId="47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96"/>
          </reference>
        </references>
      </pivotArea>
    </format>
    <format dxfId="474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96"/>
          </reference>
        </references>
      </pivotArea>
    </format>
    <format dxfId="473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96"/>
          </reference>
        </references>
      </pivotArea>
    </format>
    <format dxfId="472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96"/>
          </reference>
        </references>
      </pivotArea>
    </format>
    <format dxfId="471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96"/>
          </reference>
        </references>
      </pivotArea>
    </format>
    <format dxfId="470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97"/>
          </reference>
        </references>
      </pivotArea>
    </format>
    <format dxfId="469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97"/>
          </reference>
        </references>
      </pivotArea>
    </format>
    <format dxfId="468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97"/>
          </reference>
        </references>
      </pivotArea>
    </format>
    <format dxfId="467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97"/>
          </reference>
        </references>
      </pivotArea>
    </format>
    <format dxfId="466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97"/>
          </reference>
        </references>
      </pivotArea>
    </format>
    <format dxfId="46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98"/>
          </reference>
        </references>
      </pivotArea>
    </format>
    <format dxfId="464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98"/>
          </reference>
        </references>
      </pivotArea>
    </format>
    <format dxfId="463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98"/>
          </reference>
        </references>
      </pivotArea>
    </format>
    <format dxfId="462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98"/>
          </reference>
        </references>
      </pivotArea>
    </format>
    <format dxfId="461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98"/>
          </reference>
        </references>
      </pivotArea>
    </format>
    <format dxfId="460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299"/>
          </reference>
        </references>
      </pivotArea>
    </format>
    <format dxfId="459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299"/>
          </reference>
        </references>
      </pivotArea>
    </format>
    <format dxfId="458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299"/>
          </reference>
        </references>
      </pivotArea>
    </format>
    <format dxfId="457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299"/>
          </reference>
        </references>
      </pivotArea>
    </format>
    <format dxfId="456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299"/>
          </reference>
        </references>
      </pivotArea>
    </format>
    <format dxfId="455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300"/>
          </reference>
        </references>
      </pivotArea>
    </format>
    <format dxfId="454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300"/>
          </reference>
        </references>
      </pivotArea>
    </format>
    <format dxfId="453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300"/>
          </reference>
        </references>
      </pivotArea>
    </format>
    <format dxfId="452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300"/>
          </reference>
        </references>
      </pivotArea>
    </format>
    <format dxfId="451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300"/>
          </reference>
        </references>
      </pivotArea>
    </format>
    <format dxfId="450">
      <pivotArea dataOnly="0" labelOnly="1" fieldPosition="0">
        <references count="3">
          <reference field="0" count="1" selected="0">
            <x v="9"/>
          </reference>
          <reference field="1" count="1">
            <x v="32"/>
          </reference>
          <reference field="8" count="1" selected="0">
            <x v="301"/>
          </reference>
        </references>
      </pivotArea>
    </format>
    <format dxfId="449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301"/>
          </reference>
        </references>
      </pivotArea>
    </format>
    <format dxfId="448">
      <pivotArea dataOnly="0" labelOnly="1" fieldPosition="0">
        <references count="3">
          <reference field="0" count="1" selected="0">
            <x v="16"/>
          </reference>
          <reference field="1" count="1">
            <x v="2"/>
          </reference>
          <reference field="8" count="1" selected="0">
            <x v="301"/>
          </reference>
        </references>
      </pivotArea>
    </format>
    <format dxfId="447">
      <pivotArea dataOnly="0" labelOnly="1" fieldPosition="0">
        <references count="3">
          <reference field="0" count="1" selected="0">
            <x v="18"/>
          </reference>
          <reference field="1" count="1">
            <x v="1"/>
          </reference>
          <reference field="8" count="1" selected="0">
            <x v="301"/>
          </reference>
        </references>
      </pivotArea>
    </format>
    <format dxfId="446">
      <pivotArea dataOnly="0" labelOnly="1" fieldPosition="0">
        <references count="3">
          <reference field="0" count="1" selected="0">
            <x v="35"/>
          </reference>
          <reference field="1" count="1">
            <x v="5"/>
          </reference>
          <reference field="8" count="1" selected="0">
            <x v="301"/>
          </reference>
        </references>
      </pivotArea>
    </format>
    <format dxfId="445">
      <pivotArea dataOnly="0" labelOnly="1" fieldPosition="0">
        <references count="3">
          <reference field="0" count="1" selected="0">
            <x v="11"/>
          </reference>
          <reference field="1" count="1">
            <x v="31"/>
          </reference>
          <reference field="8" count="1" selected="0">
            <x v="302"/>
          </reference>
        </references>
      </pivotArea>
    </format>
    <format dxfId="444">
      <pivotArea dataOnly="0" labelOnly="1" fieldPosition="0">
        <references count="3">
          <reference field="0" count="1" selected="0">
            <x v="14"/>
          </reference>
          <reference field="1" count="1">
            <x v="9"/>
          </reference>
          <reference field="8" count="1" selected="0">
            <x v="302"/>
          </reference>
        </references>
      </pivotArea>
    </format>
    <format dxfId="443">
      <pivotArea dataOnly="0" labelOnly="1" fieldPosition="0">
        <references count="3">
          <reference field="0" count="1" selected="0">
            <x v="20"/>
          </reference>
          <reference field="1" count="1">
            <x v="0"/>
          </reference>
          <reference field="8" count="1" selected="0">
            <x v="302"/>
          </reference>
        </references>
      </pivotArea>
    </format>
    <format dxfId="442">
      <pivotArea dataOnly="0" labelOnly="1" fieldPosition="0">
        <references count="3">
          <reference field="0" count="1" selected="0">
            <x v="26"/>
          </reference>
          <reference field="1" count="1">
            <x v="4"/>
          </reference>
          <reference field="8" count="1" selected="0">
            <x v="302"/>
          </reference>
        </references>
      </pivotArea>
    </format>
    <format dxfId="441">
      <pivotArea dataOnly="0" labelOnly="1" fieldPosition="0">
        <references count="3">
          <reference field="0" count="1" selected="0">
            <x v="45"/>
          </reference>
          <reference field="1" count="1">
            <x v="28"/>
          </reference>
          <reference field="8" count="1" selected="0">
            <x v="302"/>
          </reference>
        </references>
      </pivotArea>
    </format>
    <format dxfId="440">
      <pivotArea dataOnly="0" labelOnly="1" fieldPosition="0">
        <references count="3">
          <reference field="0" count="1" selected="0">
            <x v="34"/>
          </reference>
          <reference field="1" count="1">
            <x v="26"/>
          </reference>
          <reference field="8" count="1" selected="0">
            <x v="320"/>
          </reference>
        </references>
      </pivotArea>
    </format>
    <format dxfId="439">
      <pivotArea dataOnly="0" labelOnly="1" fieldPosition="0">
        <references count="3">
          <reference field="0" count="1" selected="0">
            <x v="46"/>
          </reference>
          <reference field="1" count="1">
            <x v="25"/>
          </reference>
          <reference field="8" count="1" selected="0">
            <x v="320"/>
          </reference>
        </references>
      </pivotArea>
    </format>
    <format dxfId="438">
      <pivotArea dataOnly="0" labelOnly="1" fieldPosition="0">
        <references count="3">
          <reference field="0" count="1" selected="0">
            <x v="34"/>
          </reference>
          <reference field="1" count="1">
            <x v="26"/>
          </reference>
          <reference field="8" count="1" selected="0">
            <x v="321"/>
          </reference>
        </references>
      </pivotArea>
    </format>
    <format dxfId="437">
      <pivotArea dataOnly="0" labelOnly="1" fieldPosition="0">
        <references count="3">
          <reference field="0" count="1" selected="0">
            <x v="46"/>
          </reference>
          <reference field="1" count="1">
            <x v="25"/>
          </reference>
          <reference field="8" count="1" selected="0">
            <x v="321"/>
          </reference>
        </references>
      </pivotArea>
    </format>
    <format dxfId="436">
      <pivotArea dataOnly="0" labelOnly="1" fieldPosition="0">
        <references count="3">
          <reference field="0" count="1" selected="0">
            <x v="33"/>
          </reference>
          <reference field="1" count="1">
            <x v="37"/>
          </reference>
          <reference field="8" count="1" selected="0">
            <x v="322"/>
          </reference>
        </references>
      </pivotArea>
    </format>
    <format dxfId="435">
      <pivotArea dataOnly="0" labelOnly="1" fieldPosition="0">
        <references count="3">
          <reference field="0" count="1" selected="0">
            <x v="42"/>
          </reference>
          <reference field="1" count="1">
            <x v="10"/>
          </reference>
          <reference field="8" count="1" selected="0">
            <x v="322"/>
          </reference>
        </references>
      </pivotArea>
    </format>
    <format dxfId="434">
      <pivotArea dataOnly="0" labelOnly="1" fieldPosition="0">
        <references count="4">
          <reference field="0" count="1" selected="0">
            <x v="1"/>
          </reference>
          <reference field="1" count="1" selected="0">
            <x v="44"/>
          </reference>
          <reference field="7" count="1">
            <x v="61"/>
          </reference>
          <reference field="8" count="1" selected="0">
            <x v="62"/>
          </reference>
        </references>
      </pivotArea>
    </format>
    <format dxfId="433">
      <pivotArea dataOnly="0" labelOnly="1" fieldPosition="0">
        <references count="4">
          <reference field="0" count="1" selected="0">
            <x v="2"/>
          </reference>
          <reference field="1" count="1" selected="0">
            <x v="43"/>
          </reference>
          <reference field="7" count="1">
            <x v="13"/>
          </reference>
          <reference field="8" count="1" selected="0">
            <x v="63"/>
          </reference>
        </references>
      </pivotArea>
    </format>
    <format dxfId="432">
      <pivotArea dataOnly="0" labelOnly="1" fieldPosition="0">
        <references count="4">
          <reference field="0" count="1" selected="0">
            <x v="1"/>
          </reference>
          <reference field="1" count="1" selected="0">
            <x v="44"/>
          </reference>
          <reference field="7" count="1">
            <x v="64"/>
          </reference>
          <reference field="8" count="1" selected="0">
            <x v="64"/>
          </reference>
        </references>
      </pivotArea>
    </format>
    <format dxfId="431">
      <pivotArea dataOnly="0" labelOnly="1" fieldPosition="0">
        <references count="4">
          <reference field="0" count="1" selected="0">
            <x v="2"/>
          </reference>
          <reference field="1" count="1" selected="0">
            <x v="43"/>
          </reference>
          <reference field="7" count="1">
            <x v="13"/>
          </reference>
          <reference field="8" count="1" selected="0">
            <x v="65"/>
          </reference>
        </references>
      </pivotArea>
    </format>
    <format dxfId="430">
      <pivotArea dataOnly="0" labelOnly="1" fieldPosition="0">
        <references count="4">
          <reference field="0" count="1" selected="0">
            <x v="1"/>
          </reference>
          <reference field="1" count="1" selected="0">
            <x v="44"/>
          </reference>
          <reference field="7" count="2">
            <x v="61"/>
            <x v="64"/>
          </reference>
          <reference field="8" count="1" selected="0">
            <x v="66"/>
          </reference>
        </references>
      </pivotArea>
    </format>
    <format dxfId="429">
      <pivotArea dataOnly="0" labelOnly="1" fieldPosition="0">
        <references count="4">
          <reference field="0" count="1" selected="0">
            <x v="1"/>
          </reference>
          <reference field="1" count="1" selected="0">
            <x v="44"/>
          </reference>
          <reference field="7" count="2">
            <x v="58"/>
            <x v="64"/>
          </reference>
          <reference field="8" count="1" selected="0">
            <x v="67"/>
          </reference>
        </references>
      </pivotArea>
    </format>
    <format dxfId="428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58"/>
          </reference>
          <reference field="8" count="1" selected="0">
            <x v="67"/>
          </reference>
        </references>
      </pivotArea>
    </format>
    <format dxfId="427">
      <pivotArea dataOnly="0" labelOnly="1" fieldPosition="0">
        <references count="4">
          <reference field="0" count="1" selected="0">
            <x v="2"/>
          </reference>
          <reference field="1" count="1" selected="0">
            <x v="43"/>
          </reference>
          <reference field="7" count="2">
            <x v="13"/>
            <x v="62"/>
          </reference>
          <reference field="8" count="1" selected="0">
            <x v="68"/>
          </reference>
        </references>
      </pivotArea>
    </format>
    <format dxfId="426">
      <pivotArea dataOnly="0" labelOnly="1" fieldPosition="0">
        <references count="4">
          <reference field="0" count="1" selected="0">
            <x v="1"/>
          </reference>
          <reference field="1" count="1" selected="0">
            <x v="44"/>
          </reference>
          <reference field="7" count="1">
            <x v="58"/>
          </reference>
          <reference field="8" count="1" selected="0">
            <x v="69"/>
          </reference>
        </references>
      </pivotArea>
    </format>
    <format dxfId="425">
      <pivotArea dataOnly="0" labelOnly="1" fieldPosition="0">
        <references count="4">
          <reference field="0" count="1" selected="0">
            <x v="2"/>
          </reference>
          <reference field="1" count="1" selected="0">
            <x v="43"/>
          </reference>
          <reference field="7" count="2">
            <x v="62"/>
            <x v="75"/>
          </reference>
          <reference field="8" count="1" selected="0">
            <x v="70"/>
          </reference>
        </references>
      </pivotArea>
    </format>
    <format dxfId="424">
      <pivotArea dataOnly="0" labelOnly="1" fieldPosition="0">
        <references count="4">
          <reference field="0" count="1" selected="0">
            <x v="1"/>
          </reference>
          <reference field="1" count="1" selected="0">
            <x v="44"/>
          </reference>
          <reference field="7" count="1">
            <x v="58"/>
          </reference>
          <reference field="8" count="1" selected="0">
            <x v="71"/>
          </reference>
        </references>
      </pivotArea>
    </format>
    <format dxfId="423">
      <pivotArea dataOnly="0" labelOnly="1" fieldPosition="0">
        <references count="4">
          <reference field="0" count="1" selected="0">
            <x v="1"/>
          </reference>
          <reference field="1" count="1" selected="0">
            <x v="44"/>
          </reference>
          <reference field="7" count="1">
            <x v="83"/>
          </reference>
          <reference field="8" count="1" selected="0">
            <x v="72"/>
          </reference>
        </references>
      </pivotArea>
    </format>
    <format dxfId="422">
      <pivotArea dataOnly="0" labelOnly="1" fieldPosition="0">
        <references count="4">
          <reference field="0" count="1" selected="0">
            <x v="2"/>
          </reference>
          <reference field="1" count="1" selected="0">
            <x v="43"/>
          </reference>
          <reference field="7" count="1">
            <x v="75"/>
          </reference>
          <reference field="8" count="1" selected="0">
            <x v="73"/>
          </reference>
        </references>
      </pivotArea>
    </format>
    <format dxfId="421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64"/>
          </reference>
          <reference field="8" count="1" selected="0">
            <x v="170"/>
          </reference>
        </references>
      </pivotArea>
    </format>
    <format dxfId="420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13"/>
          </reference>
          <reference field="8" count="1" selected="0">
            <x v="170"/>
          </reference>
        </references>
      </pivotArea>
    </format>
    <format dxfId="419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69"/>
          </reference>
          <reference field="8" count="1" selected="0">
            <x v="170"/>
          </reference>
        </references>
      </pivotArea>
    </format>
    <format dxfId="418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61"/>
          </reference>
          <reference field="8" count="1" selected="0">
            <x v="171"/>
          </reference>
        </references>
      </pivotArea>
    </format>
    <format dxfId="417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13"/>
          </reference>
          <reference field="8" count="1" selected="0">
            <x v="171"/>
          </reference>
        </references>
      </pivotArea>
    </format>
    <format dxfId="416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93"/>
          </reference>
          <reference field="8" count="1" selected="0">
            <x v="171"/>
          </reference>
        </references>
      </pivotArea>
    </format>
    <format dxfId="415">
      <pivotArea dataOnly="0" labelOnly="1" fieldPosition="0">
        <references count="4">
          <reference field="0" count="1" selected="0">
            <x v="5"/>
          </reference>
          <reference field="1" count="1" selected="0">
            <x v="21"/>
          </reference>
          <reference field="7" count="2">
            <x v="61"/>
            <x v="64"/>
          </reference>
          <reference field="8" count="1" selected="0">
            <x v="172"/>
          </reference>
        </references>
      </pivotArea>
    </format>
    <format dxfId="414">
      <pivotArea dataOnly="0" labelOnly="1" fieldPosition="0">
        <references count="4">
          <reference field="0" count="1" selected="0">
            <x v="6"/>
          </reference>
          <reference field="1" count="1" selected="0">
            <x v="29"/>
          </reference>
          <reference field="7" count="1">
            <x v="48"/>
          </reference>
          <reference field="8" count="1" selected="0">
            <x v="172"/>
          </reference>
        </references>
      </pivotArea>
    </format>
    <format dxfId="413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13"/>
          </reference>
          <reference field="8" count="1" selected="0">
            <x v="172"/>
          </reference>
        </references>
      </pivotArea>
    </format>
    <format dxfId="412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0"/>
          </reference>
          <reference field="8" count="1" selected="0">
            <x v="172"/>
          </reference>
        </references>
      </pivotArea>
    </format>
    <format dxfId="411">
      <pivotArea dataOnly="0" labelOnly="1" fieldPosition="0">
        <references count="4">
          <reference field="0" count="1" selected="0">
            <x v="5"/>
          </reference>
          <reference field="1" count="1" selected="0">
            <x v="21"/>
          </reference>
          <reference field="7" count="1">
            <x v="64"/>
          </reference>
          <reference field="8" count="1" selected="0">
            <x v="173"/>
          </reference>
        </references>
      </pivotArea>
    </format>
    <format dxfId="410">
      <pivotArea dataOnly="0" labelOnly="1" fieldPosition="0">
        <references count="4">
          <reference field="0" count="1" selected="0">
            <x v="6"/>
          </reference>
          <reference field="1" count="1" selected="0">
            <x v="29"/>
          </reference>
          <reference field="7" count="2">
            <x v="48"/>
            <x v="99"/>
          </reference>
          <reference field="8" count="1" selected="0">
            <x v="173"/>
          </reference>
        </references>
      </pivotArea>
    </format>
    <format dxfId="409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13"/>
          </reference>
          <reference field="8" count="1" selected="0">
            <x v="173"/>
          </reference>
        </references>
      </pivotArea>
    </format>
    <format dxfId="408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2"/>
          </reference>
          <reference field="8" count="1" selected="0">
            <x v="173"/>
          </reference>
        </references>
      </pivotArea>
    </format>
    <format dxfId="407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2">
            <x v="61"/>
            <x v="64"/>
          </reference>
          <reference field="8" count="1" selected="0">
            <x v="174"/>
          </reference>
        </references>
      </pivotArea>
    </format>
    <format dxfId="406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13"/>
          </reference>
          <reference field="8" count="1" selected="0">
            <x v="174"/>
          </reference>
        </references>
      </pivotArea>
    </format>
    <format dxfId="405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1"/>
          </reference>
          <reference field="8" count="1" selected="0">
            <x v="174"/>
          </reference>
        </references>
      </pivotArea>
    </format>
    <format dxfId="404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64"/>
          </reference>
          <reference field="8" count="1" selected="0">
            <x v="175"/>
          </reference>
        </references>
      </pivotArea>
    </format>
    <format dxfId="403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13"/>
          </reference>
          <reference field="8" count="1" selected="0">
            <x v="175"/>
          </reference>
        </references>
      </pivotArea>
    </format>
    <format dxfId="402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3"/>
          </reference>
          <reference field="8" count="1" selected="0">
            <x v="175"/>
          </reference>
        </references>
      </pivotArea>
    </format>
    <format dxfId="401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64"/>
          </reference>
          <reference field="8" count="1" selected="0">
            <x v="176"/>
          </reference>
        </references>
      </pivotArea>
    </format>
    <format dxfId="400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13"/>
          </reference>
          <reference field="8" count="1" selected="0">
            <x v="176"/>
          </reference>
        </references>
      </pivotArea>
    </format>
    <format dxfId="399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4"/>
          </reference>
          <reference field="8" count="1" selected="0">
            <x v="176"/>
          </reference>
        </references>
      </pivotArea>
    </format>
    <format dxfId="398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64"/>
          </reference>
          <reference field="8" count="1" selected="0">
            <x v="177"/>
          </reference>
        </references>
      </pivotArea>
    </format>
    <format dxfId="397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13"/>
          </reference>
          <reference field="8" count="1" selected="0">
            <x v="177"/>
          </reference>
        </references>
      </pivotArea>
    </format>
    <format dxfId="396">
      <pivotArea dataOnly="0" labelOnly="1" fieldPosition="0">
        <references count="4">
          <reference field="0" count="1" selected="0">
            <x v="12"/>
          </reference>
          <reference field="1" count="1" selected="0">
            <x v="33"/>
          </reference>
          <reference field="7" count="1">
            <x v="69"/>
          </reference>
          <reference field="8" count="1" selected="0">
            <x v="177"/>
          </reference>
        </references>
      </pivotArea>
    </format>
    <format dxfId="395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64"/>
          </reference>
          <reference field="8" count="1" selected="0">
            <x v="178"/>
          </reference>
        </references>
      </pivotArea>
    </format>
    <format dxfId="394">
      <pivotArea dataOnly="0" labelOnly="1" fieldPosition="0">
        <references count="4">
          <reference field="0" count="1" selected="0">
            <x v="6"/>
          </reference>
          <reference field="1" count="1" selected="0">
            <x v="29"/>
          </reference>
          <reference field="7" count="1">
            <x v="50"/>
          </reference>
          <reference field="8" count="1" selected="0">
            <x v="178"/>
          </reference>
        </references>
      </pivotArea>
    </format>
    <format dxfId="393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2">
            <x v="13"/>
            <x v="62"/>
          </reference>
          <reference field="8" count="1" selected="0">
            <x v="178"/>
          </reference>
        </references>
      </pivotArea>
    </format>
    <format dxfId="392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6"/>
          </reference>
          <reference field="8" count="1" selected="0">
            <x v="178"/>
          </reference>
        </references>
      </pivotArea>
    </format>
    <format dxfId="391">
      <pivotArea dataOnly="0" labelOnly="1" fieldPosition="0">
        <references count="4">
          <reference field="0" count="1" selected="0">
            <x v="5"/>
          </reference>
          <reference field="1" count="1" selected="0">
            <x v="21"/>
          </reference>
          <reference field="7" count="2">
            <x v="58"/>
            <x v="64"/>
          </reference>
          <reference field="8" count="1" selected="0">
            <x v="179"/>
          </reference>
        </references>
      </pivotArea>
    </format>
    <format dxfId="390">
      <pivotArea dataOnly="0" labelOnly="1" fieldPosition="0">
        <references count="4">
          <reference field="0" count="1" selected="0">
            <x v="6"/>
          </reference>
          <reference field="1" count="1" selected="0">
            <x v="29"/>
          </reference>
          <reference field="7" count="3">
            <x v="50"/>
            <x v="52"/>
            <x v="99"/>
          </reference>
          <reference field="8" count="1" selected="0">
            <x v="179"/>
          </reference>
        </references>
      </pivotArea>
    </format>
    <format dxfId="389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62"/>
          </reference>
          <reference field="8" count="1" selected="0">
            <x v="179"/>
          </reference>
        </references>
      </pivotArea>
    </format>
    <format dxfId="388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8"/>
          </reference>
          <reference field="8" count="1" selected="0">
            <x v="179"/>
          </reference>
        </references>
      </pivotArea>
    </format>
    <format dxfId="387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64"/>
          </reference>
          <reference field="8" count="1" selected="0">
            <x v="180"/>
          </reference>
        </references>
      </pivotArea>
    </format>
    <format dxfId="386">
      <pivotArea dataOnly="0" labelOnly="1" fieldPosition="0">
        <references count="4">
          <reference field="0" count="1" selected="0">
            <x v="5"/>
          </reference>
          <reference field="1" count="1" selected="0">
            <x v="21"/>
          </reference>
          <reference field="7" count="1">
            <x v="58"/>
          </reference>
          <reference field="8" count="1" selected="0">
            <x v="180"/>
          </reference>
        </references>
      </pivotArea>
    </format>
    <format dxfId="385">
      <pivotArea dataOnly="0" labelOnly="1" fieldPosition="0">
        <references count="4">
          <reference field="0" count="1" selected="0">
            <x v="6"/>
          </reference>
          <reference field="1" count="1" selected="0">
            <x v="29"/>
          </reference>
          <reference field="7" count="2">
            <x v="52"/>
            <x v="53"/>
          </reference>
          <reference field="8" count="1" selected="0">
            <x v="180"/>
          </reference>
        </references>
      </pivotArea>
    </format>
    <format dxfId="384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62"/>
          </reference>
          <reference field="8" count="1" selected="0">
            <x v="180"/>
          </reference>
        </references>
      </pivotArea>
    </format>
    <format dxfId="383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9"/>
          </reference>
          <reference field="8" count="1" selected="0">
            <x v="180"/>
          </reference>
        </references>
      </pivotArea>
    </format>
    <format dxfId="382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58"/>
          </reference>
          <reference field="8" count="1" selected="0">
            <x v="181"/>
          </reference>
        </references>
      </pivotArea>
    </format>
    <format dxfId="381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62"/>
          </reference>
          <reference field="8" count="1" selected="0">
            <x v="181"/>
          </reference>
        </references>
      </pivotArea>
    </format>
    <format dxfId="380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0"/>
          </reference>
          <reference field="8" count="1" selected="0">
            <x v="181"/>
          </reference>
        </references>
      </pivotArea>
    </format>
    <format dxfId="379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58"/>
          </reference>
          <reference field="8" count="1" selected="0">
            <x v="182"/>
          </reference>
        </references>
      </pivotArea>
    </format>
    <format dxfId="378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62"/>
          </reference>
          <reference field="8" count="1" selected="0">
            <x v="182"/>
          </reference>
        </references>
      </pivotArea>
    </format>
    <format dxfId="377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1"/>
          </reference>
          <reference field="8" count="1" selected="0">
            <x v="182"/>
          </reference>
        </references>
      </pivotArea>
    </format>
    <format dxfId="376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58"/>
          </reference>
          <reference field="8" count="1" selected="0">
            <x v="183"/>
          </reference>
        </references>
      </pivotArea>
    </format>
    <format dxfId="375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2">
            <x v="62"/>
            <x v="75"/>
          </reference>
          <reference field="8" count="1" selected="0">
            <x v="183"/>
          </reference>
        </references>
      </pivotArea>
    </format>
    <format dxfId="374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2"/>
          </reference>
          <reference field="8" count="1" selected="0">
            <x v="183"/>
          </reference>
        </references>
      </pivotArea>
    </format>
    <format dxfId="373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58"/>
          </reference>
          <reference field="8" count="1" selected="0">
            <x v="184"/>
          </reference>
        </references>
      </pivotArea>
    </format>
    <format dxfId="372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75"/>
          </reference>
          <reference field="8" count="1" selected="0">
            <x v="184"/>
          </reference>
        </references>
      </pivotArea>
    </format>
    <format dxfId="371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4"/>
          </reference>
          <reference field="8" count="1" selected="0">
            <x v="184"/>
          </reference>
        </references>
      </pivotArea>
    </format>
    <format dxfId="370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58"/>
          </reference>
          <reference field="8" count="1" selected="0">
            <x v="185"/>
          </reference>
        </references>
      </pivotArea>
    </format>
    <format dxfId="369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75"/>
          </reference>
          <reference field="8" count="1" selected="0">
            <x v="185"/>
          </reference>
        </references>
      </pivotArea>
    </format>
    <format dxfId="368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7"/>
          </reference>
          <reference field="8" count="1" selected="0">
            <x v="185"/>
          </reference>
        </references>
      </pivotArea>
    </format>
    <format dxfId="367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1">
            <x v="58"/>
          </reference>
          <reference field="8" count="1" selected="0">
            <x v="186"/>
          </reference>
        </references>
      </pivotArea>
    </format>
    <format dxfId="366">
      <pivotArea dataOnly="0" labelOnly="1" fieldPosition="0">
        <references count="4">
          <reference field="0" count="1" selected="0">
            <x v="5"/>
          </reference>
          <reference field="1" count="1" selected="0">
            <x v="21"/>
          </reference>
          <reference field="7" count="1">
            <x v="83"/>
          </reference>
          <reference field="8" count="1" selected="0">
            <x v="186"/>
          </reference>
        </references>
      </pivotArea>
    </format>
    <format dxfId="365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75"/>
          </reference>
          <reference field="8" count="1" selected="0">
            <x v="186"/>
          </reference>
        </references>
      </pivotArea>
    </format>
    <format dxfId="364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9"/>
          </reference>
          <reference field="8" count="1" selected="0">
            <x v="186"/>
          </reference>
        </references>
      </pivotArea>
    </format>
    <format dxfId="363">
      <pivotArea dataOnly="0" labelOnly="1" fieldPosition="0">
        <references count="4">
          <reference field="0" count="1" selected="0">
            <x v="4"/>
          </reference>
          <reference field="1" count="1" selected="0">
            <x v="22"/>
          </reference>
          <reference field="7" count="2">
            <x v="58"/>
            <x v="83"/>
          </reference>
          <reference field="8" count="1" selected="0">
            <x v="187"/>
          </reference>
        </references>
      </pivotArea>
    </format>
    <format dxfId="362">
      <pivotArea dataOnly="0" labelOnly="1" fieldPosition="0">
        <references count="4">
          <reference field="0" count="1" selected="0">
            <x v="7"/>
          </reference>
          <reference field="1" count="1" selected="0">
            <x v="23"/>
          </reference>
          <reference field="7" count="1">
            <x v="75"/>
          </reference>
          <reference field="8" count="1" selected="0">
            <x v="187"/>
          </reference>
        </references>
      </pivotArea>
    </format>
    <format dxfId="361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90"/>
          </reference>
          <reference field="8" count="1" selected="0">
            <x v="187"/>
          </reference>
        </references>
      </pivotArea>
    </format>
    <format dxfId="360">
      <pivotArea dataOnly="0" labelOnly="1" fieldPosition="0">
        <references count="4">
          <reference field="0" count="1" selected="0">
            <x v="6"/>
          </reference>
          <reference field="1" count="1" selected="0">
            <x v="29"/>
          </reference>
          <reference field="7" count="1">
            <x v="53"/>
          </reference>
          <reference field="8" count="1" selected="0">
            <x v="188"/>
          </reference>
        </references>
      </pivotArea>
    </format>
    <format dxfId="359">
      <pivotArea dataOnly="0" labelOnly="1" fieldPosition="0">
        <references count="4">
          <reference field="0" count="1" selected="0">
            <x v="8"/>
          </reference>
          <reference field="1" count="1" selected="0">
            <x v="24"/>
          </reference>
          <reference field="7" count="2">
            <x v="49"/>
            <x v="51"/>
          </reference>
          <reference field="8" count="1" selected="0">
            <x v="188"/>
          </reference>
        </references>
      </pivotArea>
    </format>
    <format dxfId="358">
      <pivotArea dataOnly="0" labelOnly="1" fieldPosition="0">
        <references count="4">
          <reference field="0" count="1" selected="0">
            <x v="11"/>
          </reference>
          <reference field="1" count="1" selected="0">
            <x v="31"/>
          </reference>
          <reference field="7" count="1">
            <x v="92"/>
          </reference>
          <reference field="8" count="1" selected="0">
            <x v="188"/>
          </reference>
        </references>
      </pivotArea>
    </format>
    <format dxfId="357">
      <pivotArea dataOnly="0" labelOnly="1" fieldPosition="0">
        <references count="4">
          <reference field="0" count="1" selected="0">
            <x v="10"/>
          </reference>
          <reference field="1" count="1" selected="0">
            <x v="30"/>
          </reference>
          <reference field="7" count="1">
            <x v="66"/>
          </reference>
          <reference field="8" count="1" selected="0">
            <x v="283"/>
          </reference>
        </references>
      </pivotArea>
    </format>
    <format dxfId="356">
      <pivotArea dataOnly="0" labelOnly="1" fieldPosition="0">
        <references count="4">
          <reference field="0" count="1" selected="0">
            <x v="20"/>
          </reference>
          <reference field="1" count="1" selected="0">
            <x v="0"/>
          </reference>
          <reference field="7" count="1">
            <x v="27"/>
          </reference>
          <reference field="8" count="1" selected="0">
            <x v="283"/>
          </reference>
        </references>
      </pivotArea>
    </format>
    <format dxfId="355">
      <pivotArea dataOnly="0" labelOnly="1" fieldPosition="0">
        <references count="4">
          <reference field="0" count="1" selected="0">
            <x v="30"/>
          </reference>
          <reference field="1" count="1" selected="0">
            <x v="16"/>
          </reference>
          <reference field="7" count="1">
            <x v="28"/>
          </reference>
          <reference field="8" count="1" selected="0">
            <x v="283"/>
          </reference>
        </references>
      </pivotArea>
    </format>
    <format dxfId="354">
      <pivotArea dataOnly="0" labelOnly="1" fieldPosition="0">
        <references count="4">
          <reference field="0" count="1" selected="0">
            <x v="42"/>
          </reference>
          <reference field="1" count="1" selected="0">
            <x v="10"/>
          </reference>
          <reference field="7" count="1">
            <x v="66"/>
          </reference>
          <reference field="8" count="1" selected="0">
            <x v="283"/>
          </reference>
        </references>
      </pivotArea>
    </format>
    <format dxfId="353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69"/>
          </reference>
          <reference field="8" count="1" selected="0">
            <x v="284"/>
          </reference>
        </references>
      </pivotArea>
    </format>
    <format dxfId="352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284"/>
          </reference>
        </references>
      </pivotArea>
    </format>
    <format dxfId="351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5"/>
          </reference>
          <reference field="8" count="1" selected="0">
            <x v="284"/>
          </reference>
        </references>
      </pivotArea>
    </format>
    <format dxfId="350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2"/>
          </reference>
          <reference field="8" count="1" selected="0">
            <x v="284"/>
          </reference>
        </references>
      </pivotArea>
    </format>
    <format dxfId="349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2"/>
          </reference>
          <reference field="8" count="1" selected="0">
            <x v="284"/>
          </reference>
        </references>
      </pivotArea>
    </format>
    <format dxfId="348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93"/>
          </reference>
          <reference field="8" count="1" selected="0">
            <x v="285"/>
          </reference>
        </references>
      </pivotArea>
    </format>
    <format dxfId="347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54"/>
          </reference>
          <reference field="8" count="1" selected="0">
            <x v="285"/>
          </reference>
        </references>
      </pivotArea>
    </format>
    <format dxfId="346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2">
            <x v="30"/>
            <x v="31"/>
          </reference>
          <reference field="8" count="1" selected="0">
            <x v="285"/>
          </reference>
        </references>
      </pivotArea>
    </format>
    <format dxfId="345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2"/>
          </reference>
          <reference field="8" count="1" selected="0">
            <x v="285"/>
          </reference>
        </references>
      </pivotArea>
    </format>
    <format dxfId="344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3"/>
          </reference>
          <reference field="8" count="1" selected="0">
            <x v="285"/>
          </reference>
        </references>
      </pivotArea>
    </format>
    <format dxfId="343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0"/>
          </reference>
          <reference field="8" count="1" selected="0">
            <x v="286"/>
          </reference>
        </references>
      </pivotArea>
    </format>
    <format dxfId="342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54"/>
          </reference>
          <reference field="8" count="1" selected="0">
            <x v="286"/>
          </reference>
        </references>
      </pivotArea>
    </format>
    <format dxfId="341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1"/>
          </reference>
          <reference field="8" count="1" selected="0">
            <x v="286"/>
          </reference>
        </references>
      </pivotArea>
    </format>
    <format dxfId="340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4"/>
          </reference>
          <reference field="8" count="1" selected="0">
            <x v="286"/>
          </reference>
        </references>
      </pivotArea>
    </format>
    <format dxfId="339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2"/>
          </reference>
          <reference field="8" count="1" selected="0">
            <x v="287"/>
          </reference>
        </references>
      </pivotArea>
    </format>
    <format dxfId="338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54"/>
          </reference>
          <reference field="8" count="1" selected="0">
            <x v="287"/>
          </reference>
        </references>
      </pivotArea>
    </format>
    <format dxfId="337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2">
            <x v="31"/>
            <x v="33"/>
          </reference>
          <reference field="8" count="1" selected="0">
            <x v="287"/>
          </reference>
        </references>
      </pivotArea>
    </format>
    <format dxfId="336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2">
            <x v="31"/>
            <x v="32"/>
          </reference>
          <reference field="8" count="1" selected="0">
            <x v="287"/>
          </reference>
        </references>
      </pivotArea>
    </format>
    <format dxfId="335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5"/>
          </reference>
          <reference field="8" count="1" selected="0">
            <x v="287"/>
          </reference>
        </references>
      </pivotArea>
    </format>
    <format dxfId="334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1"/>
          </reference>
          <reference field="8" count="1" selected="0">
            <x v="288"/>
          </reference>
        </references>
      </pivotArea>
    </format>
    <format dxfId="333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2">
            <x v="36"/>
            <x v="54"/>
          </reference>
          <reference field="8" count="1" selected="0">
            <x v="288"/>
          </reference>
        </references>
      </pivotArea>
    </format>
    <format dxfId="332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3"/>
          </reference>
          <reference field="8" count="1" selected="0">
            <x v="288"/>
          </reference>
        </references>
      </pivotArea>
    </format>
    <format dxfId="331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2"/>
          </reference>
          <reference field="8" count="1" selected="0">
            <x v="288"/>
          </reference>
        </references>
      </pivotArea>
    </format>
    <format dxfId="330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9"/>
          </reference>
          <reference field="8" count="1" selected="0">
            <x v="288"/>
          </reference>
        </references>
      </pivotArea>
    </format>
    <format dxfId="329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3"/>
          </reference>
          <reference field="8" count="1" selected="0">
            <x v="289"/>
          </reference>
        </references>
      </pivotArea>
    </format>
    <format dxfId="328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289"/>
          </reference>
        </references>
      </pivotArea>
    </format>
    <format dxfId="327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3"/>
          </reference>
          <reference field="8" count="1" selected="0">
            <x v="289"/>
          </reference>
        </references>
      </pivotArea>
    </format>
    <format dxfId="326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2"/>
          </reference>
          <reference field="8" count="1" selected="0">
            <x v="289"/>
          </reference>
        </references>
      </pivotArea>
    </format>
    <format dxfId="325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10"/>
          </reference>
          <reference field="8" count="1" selected="0">
            <x v="289"/>
          </reference>
        </references>
      </pivotArea>
    </format>
    <format dxfId="324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4"/>
          </reference>
          <reference field="8" count="1" selected="0">
            <x v="290"/>
          </reference>
        </references>
      </pivotArea>
    </format>
    <format dxfId="323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290"/>
          </reference>
        </references>
      </pivotArea>
    </format>
    <format dxfId="322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2">
            <x v="33"/>
            <x v="35"/>
          </reference>
          <reference field="8" count="1" selected="0">
            <x v="290"/>
          </reference>
        </references>
      </pivotArea>
    </format>
    <format dxfId="321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2"/>
          </reference>
          <reference field="8" count="1" selected="0">
            <x v="290"/>
          </reference>
        </references>
      </pivotArea>
    </format>
    <format dxfId="320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11"/>
          </reference>
          <reference field="8" count="1" selected="0">
            <x v="290"/>
          </reference>
        </references>
      </pivotArea>
    </format>
    <format dxfId="319">
      <pivotArea dataOnly="0" labelOnly="1" fieldPosition="0">
        <references count="4">
          <reference field="0" count="1" selected="0">
            <x v="12"/>
          </reference>
          <reference field="1" count="1" selected="0">
            <x v="33"/>
          </reference>
          <reference field="7" count="1">
            <x v="69"/>
          </reference>
          <reference field="8" count="1" selected="0">
            <x v="291"/>
          </reference>
        </references>
      </pivotArea>
    </format>
    <format dxfId="318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291"/>
          </reference>
        </references>
      </pivotArea>
    </format>
    <format dxfId="317">
      <pivotArea dataOnly="0" labelOnly="1" fieldPosition="0">
        <references count="4">
          <reference field="0" count="1" selected="0">
            <x v="15"/>
          </reference>
          <reference field="1" count="1" selected="0">
            <x v="3"/>
          </reference>
          <reference field="7" count="1">
            <x v="26"/>
          </reference>
          <reference field="8" count="1" selected="0">
            <x v="291"/>
          </reference>
        </references>
      </pivotArea>
    </format>
    <format dxfId="316">
      <pivotArea dataOnly="0" labelOnly="1" fieldPosition="0">
        <references count="4">
          <reference field="0" count="1" selected="0">
            <x v="17"/>
          </reference>
          <reference field="1" count="1" selected="0">
            <x v="36"/>
          </reference>
          <reference field="7" count="1">
            <x v="29"/>
          </reference>
          <reference field="8" count="1" selected="0">
            <x v="291"/>
          </reference>
        </references>
      </pivotArea>
    </format>
    <format dxfId="315">
      <pivotArea dataOnly="0" labelOnly="1" fieldPosition="0">
        <references count="4">
          <reference field="0" count="1" selected="0">
            <x v="34"/>
          </reference>
          <reference field="1" count="1" selected="0">
            <x v="26"/>
          </reference>
          <reference field="7" count="1">
            <x v="69"/>
          </reference>
          <reference field="8" count="1" selected="0">
            <x v="291"/>
          </reference>
        </references>
      </pivotArea>
    </format>
    <format dxfId="314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6"/>
          </reference>
          <reference field="8" count="1" selected="0">
            <x v="292"/>
          </reference>
        </references>
      </pivotArea>
    </format>
    <format dxfId="313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54"/>
          </reference>
          <reference field="8" count="1" selected="0">
            <x v="292"/>
          </reference>
        </references>
      </pivotArea>
    </format>
    <format dxfId="312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5"/>
          </reference>
          <reference field="8" count="1" selected="0">
            <x v="292"/>
          </reference>
        </references>
      </pivotArea>
    </format>
    <format dxfId="311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2"/>
          </reference>
          <reference field="8" count="1" selected="0">
            <x v="292"/>
          </reference>
        </references>
      </pivotArea>
    </format>
    <format dxfId="310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12"/>
          </reference>
          <reference field="8" count="1" selected="0">
            <x v="292"/>
          </reference>
        </references>
      </pivotArea>
    </format>
    <format dxfId="309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8"/>
          </reference>
          <reference field="8" count="1" selected="0">
            <x v="293"/>
          </reference>
        </references>
      </pivotArea>
    </format>
    <format dxfId="308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54"/>
          </reference>
          <reference field="8" count="1" selected="0">
            <x v="293"/>
          </reference>
        </references>
      </pivotArea>
    </format>
    <format dxfId="307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5"/>
          </reference>
          <reference field="8" count="1" selected="0">
            <x v="293"/>
          </reference>
        </references>
      </pivotArea>
    </format>
    <format dxfId="306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2">
            <x v="32"/>
            <x v="34"/>
          </reference>
          <reference field="8" count="1" selected="0">
            <x v="293"/>
          </reference>
        </references>
      </pivotArea>
    </format>
    <format dxfId="305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14"/>
          </reference>
          <reference field="8" count="1" selected="0">
            <x v="293"/>
          </reference>
        </references>
      </pivotArea>
    </format>
    <format dxfId="304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9"/>
          </reference>
          <reference field="8" count="1" selected="0">
            <x v="294"/>
          </reference>
        </references>
      </pivotArea>
    </format>
    <format dxfId="303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2">
            <x v="36"/>
            <x v="54"/>
          </reference>
          <reference field="8" count="1" selected="0">
            <x v="294"/>
          </reference>
        </references>
      </pivotArea>
    </format>
    <format dxfId="302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5"/>
          </reference>
          <reference field="8" count="1" selected="0">
            <x v="294"/>
          </reference>
        </references>
      </pivotArea>
    </format>
    <format dxfId="301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4"/>
          </reference>
          <reference field="8" count="1" selected="0">
            <x v="294"/>
          </reference>
        </references>
      </pivotArea>
    </format>
    <format dxfId="300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15"/>
          </reference>
          <reference field="8" count="1" selected="0">
            <x v="294"/>
          </reference>
        </references>
      </pivotArea>
    </format>
    <format dxfId="299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0"/>
          </reference>
          <reference field="8" count="1" selected="0">
            <x v="295"/>
          </reference>
        </references>
      </pivotArea>
    </format>
    <format dxfId="298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295"/>
          </reference>
        </references>
      </pivotArea>
    </format>
    <format dxfId="297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5"/>
          </reference>
          <reference field="8" count="1" selected="0">
            <x v="295"/>
          </reference>
        </references>
      </pivotArea>
    </format>
    <format dxfId="296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4"/>
          </reference>
          <reference field="8" count="1" selected="0">
            <x v="295"/>
          </reference>
        </references>
      </pivotArea>
    </format>
    <format dxfId="295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16"/>
          </reference>
          <reference field="8" count="1" selected="0">
            <x v="295"/>
          </reference>
        </references>
      </pivotArea>
    </format>
    <format dxfId="294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1"/>
          </reference>
          <reference field="8" count="1" selected="0">
            <x v="296"/>
          </reference>
        </references>
      </pivotArea>
    </format>
    <format dxfId="293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296"/>
          </reference>
        </references>
      </pivotArea>
    </format>
    <format dxfId="292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5"/>
          </reference>
          <reference field="8" count="1" selected="0">
            <x v="296"/>
          </reference>
        </references>
      </pivotArea>
    </format>
    <format dxfId="291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4"/>
          </reference>
          <reference field="8" count="1" selected="0">
            <x v="296"/>
          </reference>
        </references>
      </pivotArea>
    </format>
    <format dxfId="290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17"/>
          </reference>
          <reference field="8" count="1" selected="0">
            <x v="296"/>
          </reference>
        </references>
      </pivotArea>
    </format>
    <format dxfId="289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2"/>
          </reference>
          <reference field="8" count="1" selected="0">
            <x v="297"/>
          </reference>
        </references>
      </pivotArea>
    </format>
    <format dxfId="288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297"/>
          </reference>
        </references>
      </pivotArea>
    </format>
    <format dxfId="287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2">
            <x v="35"/>
            <x v="37"/>
          </reference>
          <reference field="8" count="1" selected="0">
            <x v="297"/>
          </reference>
        </references>
      </pivotArea>
    </format>
    <format dxfId="286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4"/>
          </reference>
          <reference field="8" count="1" selected="0">
            <x v="297"/>
          </reference>
        </references>
      </pivotArea>
    </format>
    <format dxfId="285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20"/>
          </reference>
          <reference field="8" count="1" selected="0">
            <x v="297"/>
          </reference>
        </references>
      </pivotArea>
    </format>
    <format dxfId="284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4"/>
          </reference>
          <reference field="8" count="1" selected="0">
            <x v="298"/>
          </reference>
        </references>
      </pivotArea>
    </format>
    <format dxfId="283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298"/>
          </reference>
        </references>
      </pivotArea>
    </format>
    <format dxfId="282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7"/>
          </reference>
          <reference field="8" count="1" selected="0">
            <x v="298"/>
          </reference>
        </references>
      </pivotArea>
    </format>
    <format dxfId="281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1">
            <x v="34"/>
          </reference>
          <reference field="8" count="1" selected="0">
            <x v="298"/>
          </reference>
        </references>
      </pivotArea>
    </format>
    <format dxfId="280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21"/>
          </reference>
          <reference field="8" count="1" selected="0">
            <x v="298"/>
          </reference>
        </references>
      </pivotArea>
    </format>
    <format dxfId="279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7"/>
          </reference>
          <reference field="8" count="1" selected="0">
            <x v="299"/>
          </reference>
        </references>
      </pivotArea>
    </format>
    <format dxfId="278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299"/>
          </reference>
        </references>
      </pivotArea>
    </format>
    <format dxfId="277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7"/>
          </reference>
          <reference field="8" count="1" selected="0">
            <x v="299"/>
          </reference>
        </references>
      </pivotArea>
    </format>
    <format dxfId="276">
      <pivotArea dataOnly="0" labelOnly="1" fieldPosition="0">
        <references count="4">
          <reference field="0" count="1" selected="0">
            <x v="18"/>
          </reference>
          <reference field="1" count="1" selected="0">
            <x v="1"/>
          </reference>
          <reference field="7" count="2">
            <x v="34"/>
            <x v="37"/>
          </reference>
          <reference field="8" count="1" selected="0">
            <x v="299"/>
          </reference>
        </references>
      </pivotArea>
    </format>
    <format dxfId="275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22"/>
          </reference>
          <reference field="8" count="1" selected="0">
            <x v="299"/>
          </reference>
        </references>
      </pivotArea>
    </format>
    <format dxfId="274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89"/>
          </reference>
          <reference field="8" count="1" selected="0">
            <x v="300"/>
          </reference>
        </references>
      </pivotArea>
    </format>
    <format dxfId="273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300"/>
          </reference>
        </references>
      </pivotArea>
    </format>
    <format dxfId="272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7"/>
          </reference>
          <reference field="8" count="1" selected="0">
            <x v="300"/>
          </reference>
        </references>
      </pivotArea>
    </format>
    <format dxfId="271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23"/>
          </reference>
          <reference field="8" count="1" selected="0">
            <x v="300"/>
          </reference>
        </references>
      </pivotArea>
    </format>
    <format dxfId="270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90"/>
          </reference>
          <reference field="8" count="1" selected="0">
            <x v="301"/>
          </reference>
        </references>
      </pivotArea>
    </format>
    <format dxfId="269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301"/>
          </reference>
        </references>
      </pivotArea>
    </format>
    <format dxfId="268">
      <pivotArea dataOnly="0" labelOnly="1" fieldPosition="0">
        <references count="4">
          <reference field="0" count="1" selected="0">
            <x v="16"/>
          </reference>
          <reference field="1" count="1" selected="0">
            <x v="2"/>
          </reference>
          <reference field="7" count="1">
            <x v="37"/>
          </reference>
          <reference field="8" count="1" selected="0">
            <x v="301"/>
          </reference>
        </references>
      </pivotArea>
    </format>
    <format dxfId="267">
      <pivotArea dataOnly="0" labelOnly="1" fieldPosition="0">
        <references count="4">
          <reference field="0" count="1" selected="0">
            <x v="35"/>
          </reference>
          <reference field="1" count="1" selected="0">
            <x v="5"/>
          </reference>
          <reference field="7" count="1">
            <x v="47"/>
          </reference>
          <reference field="8" count="1" selected="0">
            <x v="301"/>
          </reference>
        </references>
      </pivotArea>
    </format>
    <format dxfId="266">
      <pivotArea dataOnly="0" labelOnly="1" fieldPosition="0">
        <references count="4">
          <reference field="0" count="1" selected="0">
            <x v="11"/>
          </reference>
          <reference field="1" count="1" selected="0">
            <x v="31"/>
          </reference>
          <reference field="7" count="1">
            <x v="92"/>
          </reference>
          <reference field="8" count="1" selected="0">
            <x v="302"/>
          </reference>
        </references>
      </pivotArea>
    </format>
    <format dxfId="265">
      <pivotArea dataOnly="0" labelOnly="1" fieldPosition="0">
        <references count="4">
          <reference field="0" count="1" selected="0">
            <x v="14"/>
          </reference>
          <reference field="1" count="1" selected="0">
            <x v="9"/>
          </reference>
          <reference field="7" count="1">
            <x v="36"/>
          </reference>
          <reference field="8" count="1" selected="0">
            <x v="302"/>
          </reference>
        </references>
      </pivotArea>
    </format>
    <format dxfId="264">
      <pivotArea dataOnly="0" labelOnly="1" fieldPosition="0">
        <references count="4">
          <reference field="0" count="1" selected="0">
            <x v="20"/>
          </reference>
          <reference field="1" count="1" selected="0">
            <x v="0"/>
          </reference>
          <reference field="7" count="1">
            <x v="27"/>
          </reference>
          <reference field="8" count="1" selected="0">
            <x v="302"/>
          </reference>
        </references>
      </pivotArea>
    </format>
    <format dxfId="263">
      <pivotArea dataOnly="0" labelOnly="1" fieldPosition="0">
        <references count="4">
          <reference field="0" count="1" selected="0">
            <x v="26"/>
          </reference>
          <reference field="1" count="1" selected="0">
            <x v="4"/>
          </reference>
          <reference field="7" count="1">
            <x v="25"/>
          </reference>
          <reference field="8" count="1" selected="0">
            <x v="302"/>
          </reference>
        </references>
      </pivotArea>
    </format>
    <format dxfId="262">
      <pivotArea dataOnly="0" labelOnly="1" fieldPosition="0">
        <references count="4">
          <reference field="0" count="1" selected="0">
            <x v="45"/>
          </reference>
          <reference field="1" count="1" selected="0">
            <x v="28"/>
          </reference>
          <reference field="7" count="1">
            <x v="91"/>
          </reference>
          <reference field="8" count="1" selected="0">
            <x v="302"/>
          </reference>
        </references>
      </pivotArea>
    </format>
    <format dxfId="261">
      <pivotArea dataOnly="0" labelOnly="1" fieldPosition="0">
        <references count="4">
          <reference field="0" count="1" selected="0">
            <x v="34"/>
          </reference>
          <reference field="1" count="1" selected="0">
            <x v="26"/>
          </reference>
          <reference field="7" count="1">
            <x v="8"/>
          </reference>
          <reference field="8" count="1" selected="0">
            <x v="320"/>
          </reference>
        </references>
      </pivotArea>
    </format>
    <format dxfId="260">
      <pivotArea dataOnly="0" labelOnly="1" fieldPosition="0">
        <references count="4">
          <reference field="0" count="1" selected="0">
            <x v="46"/>
          </reference>
          <reference field="1" count="1" selected="0">
            <x v="25"/>
          </reference>
          <reference field="7" count="1">
            <x v="68"/>
          </reference>
          <reference field="8" count="1" selected="0">
            <x v="320"/>
          </reference>
        </references>
      </pivotArea>
    </format>
    <format dxfId="259">
      <pivotArea dataOnly="0" labelOnly="1" fieldPosition="0">
        <references count="4">
          <reference field="0" count="1" selected="0">
            <x v="34"/>
          </reference>
          <reference field="1" count="1" selected="0">
            <x v="26"/>
          </reference>
          <reference field="7" count="2">
            <x v="8"/>
            <x v="69"/>
          </reference>
          <reference field="8" count="1" selected="0">
            <x v="321"/>
          </reference>
        </references>
      </pivotArea>
    </format>
    <format dxfId="258">
      <pivotArea dataOnly="0" labelOnly="1" fieldPosition="0">
        <references count="4">
          <reference field="0" count="1" selected="0">
            <x v="46"/>
          </reference>
          <reference field="1" count="1" selected="0">
            <x v="25"/>
          </reference>
          <reference field="7" count="1">
            <x v="86"/>
          </reference>
          <reference field="8" count="1" selected="0">
            <x v="321"/>
          </reference>
        </references>
      </pivotArea>
    </format>
    <format dxfId="257">
      <pivotArea dataOnly="0" labelOnly="1" fieldPosition="0">
        <references count="4">
          <reference field="0" count="1" selected="0">
            <x v="33"/>
          </reference>
          <reference field="1" count="1" selected="0">
            <x v="37"/>
          </reference>
          <reference field="7" count="1">
            <x v="40"/>
          </reference>
          <reference field="8" count="1" selected="0">
            <x v="322"/>
          </reference>
        </references>
      </pivotArea>
    </format>
    <format dxfId="256">
      <pivotArea dataOnly="0" labelOnly="1" fieldPosition="0">
        <references count="4">
          <reference field="0" count="1" selected="0">
            <x v="42"/>
          </reference>
          <reference field="1" count="1" selected="0">
            <x v="10"/>
          </reference>
          <reference field="7" count="2">
            <x v="65"/>
            <x v="66"/>
          </reference>
          <reference field="8" count="1" selected="0">
            <x v="322"/>
          </reference>
        </references>
      </pivotArea>
    </format>
    <format dxfId="255">
      <pivotArea dataOnly="0" labelOnly="1" fieldPosition="0">
        <references count="5">
          <reference field="0" count="1" selected="0">
            <x v="1"/>
          </reference>
          <reference field="1" count="1" selected="0">
            <x v="44"/>
          </reference>
          <reference field="7" count="1" selected="0">
            <x v="61"/>
          </reference>
          <reference field="8" count="1" selected="0">
            <x v="62"/>
          </reference>
          <reference field="25" count="1">
            <x v="4"/>
          </reference>
        </references>
      </pivotArea>
    </format>
    <format dxfId="254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1"/>
          </reference>
          <reference field="8" count="1" selected="0">
            <x v="62"/>
          </reference>
          <reference field="25" count="1">
            <x v="4"/>
          </reference>
        </references>
      </pivotArea>
    </format>
    <format dxfId="253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1"/>
          </reference>
          <reference field="8" count="1" selected="0">
            <x v="62"/>
          </reference>
          <reference field="25" count="1">
            <x v="4"/>
          </reference>
        </references>
      </pivotArea>
    </format>
    <format dxfId="252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61"/>
          </reference>
          <reference field="8" count="1" selected="0">
            <x v="62"/>
          </reference>
          <reference field="25" count="1">
            <x v="4"/>
          </reference>
        </references>
      </pivotArea>
    </format>
    <format dxfId="251">
      <pivotArea dataOnly="0" labelOnly="1" fieldPosition="0">
        <references count="5">
          <reference field="0" count="1" selected="0">
            <x v="2"/>
          </reference>
          <reference field="1" count="1" selected="0">
            <x v="43"/>
          </reference>
          <reference field="7" count="1" selected="0">
            <x v="13"/>
          </reference>
          <reference field="8" count="1" selected="0">
            <x v="63"/>
          </reference>
          <reference field="25" count="1">
            <x v="4"/>
          </reference>
        </references>
      </pivotArea>
    </format>
    <format dxfId="250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63"/>
          </reference>
          <reference field="25" count="1">
            <x v="4"/>
          </reference>
        </references>
      </pivotArea>
    </format>
    <format dxfId="249">
      <pivotArea dataOnly="0" labelOnly="1" fieldPosition="0">
        <references count="5">
          <reference field="0" count="1" selected="0">
            <x v="8"/>
          </reference>
          <reference field="1" count="1" selected="0">
            <x v="24"/>
          </reference>
          <reference field="7" count="1" selected="0">
            <x v="13"/>
          </reference>
          <reference field="8" count="1" selected="0">
            <x v="63"/>
          </reference>
          <reference field="25" count="1">
            <x v="4"/>
          </reference>
        </references>
      </pivotArea>
    </format>
    <format dxfId="248">
      <pivotArea dataOnly="0" labelOnly="1" fieldPosition="0">
        <references count="5">
          <reference field="0" count="1" selected="0">
            <x v="1"/>
          </reference>
          <reference field="1" count="1" selected="0">
            <x v="44"/>
          </reference>
          <reference field="7" count="1" selected="0">
            <x v="64"/>
          </reference>
          <reference field="8" count="1" selected="0">
            <x v="64"/>
          </reference>
          <reference field="25" count="1">
            <x v="4"/>
          </reference>
        </references>
      </pivotArea>
    </format>
    <format dxfId="247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4"/>
          </reference>
          <reference field="8" count="1" selected="0">
            <x v="64"/>
          </reference>
          <reference field="25" count="1">
            <x v="4"/>
          </reference>
        </references>
      </pivotArea>
    </format>
    <format dxfId="246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64"/>
          </reference>
          <reference field="25" count="1">
            <x v="4"/>
          </reference>
        </references>
      </pivotArea>
    </format>
    <format dxfId="245">
      <pivotArea dataOnly="0" labelOnly="1" fieldPosition="0">
        <references count="5">
          <reference field="0" count="1" selected="0">
            <x v="2"/>
          </reference>
          <reference field="1" count="1" selected="0">
            <x v="43"/>
          </reference>
          <reference field="7" count="1" selected="0">
            <x v="13"/>
          </reference>
          <reference field="8" count="1" selected="0">
            <x v="65"/>
          </reference>
          <reference field="25" count="1">
            <x v="4"/>
          </reference>
        </references>
      </pivotArea>
    </format>
    <format dxfId="244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65"/>
          </reference>
          <reference field="25" count="1">
            <x v="4"/>
          </reference>
        </references>
      </pivotArea>
    </format>
    <format dxfId="243">
      <pivotArea dataOnly="0" labelOnly="1" fieldPosition="0">
        <references count="5">
          <reference field="0" count="1" selected="0">
            <x v="8"/>
          </reference>
          <reference field="1" count="1" selected="0">
            <x v="24"/>
          </reference>
          <reference field="7" count="1" selected="0">
            <x v="13"/>
          </reference>
          <reference field="8" count="1" selected="0">
            <x v="65"/>
          </reference>
          <reference field="25" count="1">
            <x v="4"/>
          </reference>
        </references>
      </pivotArea>
    </format>
    <format dxfId="242">
      <pivotArea dataOnly="0" labelOnly="1" fieldPosition="0">
        <references count="5">
          <reference field="0" count="1" selected="0">
            <x v="1"/>
          </reference>
          <reference field="1" count="1" selected="0">
            <x v="44"/>
          </reference>
          <reference field="7" count="1" selected="0">
            <x v="61"/>
          </reference>
          <reference field="8" count="1" selected="0">
            <x v="66"/>
          </reference>
          <reference field="25" count="1">
            <x v="4"/>
          </reference>
        </references>
      </pivotArea>
    </format>
    <format dxfId="241">
      <pivotArea dataOnly="0" labelOnly="1" fieldPosition="0">
        <references count="5">
          <reference field="0" count="1" selected="0">
            <x v="1"/>
          </reference>
          <reference field="1" count="1" selected="0">
            <x v="44"/>
          </reference>
          <reference field="7" count="1" selected="0">
            <x v="64"/>
          </reference>
          <reference field="8" count="1" selected="0">
            <x v="66"/>
          </reference>
          <reference field="25" count="1">
            <x v="4"/>
          </reference>
        </references>
      </pivotArea>
    </format>
    <format dxfId="240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4"/>
          </reference>
          <reference field="8" count="1" selected="0">
            <x v="66"/>
          </reference>
          <reference field="25" count="1">
            <x v="4"/>
          </reference>
        </references>
      </pivotArea>
    </format>
    <format dxfId="239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66"/>
          </reference>
          <reference field="25" count="1">
            <x v="4"/>
          </reference>
        </references>
      </pivotArea>
    </format>
    <format dxfId="238">
      <pivotArea dataOnly="0" labelOnly="1" fieldPosition="0">
        <references count="5">
          <reference field="0" count="1" selected="0">
            <x v="1"/>
          </reference>
          <reference field="1" count="1" selected="0">
            <x v="44"/>
          </reference>
          <reference field="7" count="1" selected="0">
            <x v="58"/>
          </reference>
          <reference field="8" count="1" selected="0">
            <x v="67"/>
          </reference>
          <reference field="25" count="1">
            <x v="4"/>
          </reference>
        </references>
      </pivotArea>
    </format>
    <format dxfId="237">
      <pivotArea dataOnly="0" labelOnly="1" fieldPosition="0">
        <references count="5">
          <reference field="0" count="1" selected="0">
            <x v="1"/>
          </reference>
          <reference field="1" count="1" selected="0">
            <x v="44"/>
          </reference>
          <reference field="7" count="1" selected="0">
            <x v="64"/>
          </reference>
          <reference field="8" count="1" selected="0">
            <x v="67"/>
          </reference>
          <reference field="25" count="1">
            <x v="4"/>
          </reference>
        </references>
      </pivotArea>
    </format>
    <format dxfId="236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58"/>
          </reference>
          <reference field="8" count="1" selected="0">
            <x v="67"/>
          </reference>
          <reference field="25" count="1">
            <x v="4"/>
          </reference>
        </references>
      </pivotArea>
    </format>
    <format dxfId="235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67"/>
          </reference>
          <reference field="25" count="1">
            <x v="4"/>
          </reference>
        </references>
      </pivotArea>
    </format>
    <format dxfId="234">
      <pivotArea dataOnly="0" labelOnly="1" fieldPosition="0">
        <references count="5">
          <reference field="0" count="1" selected="0">
            <x v="2"/>
          </reference>
          <reference field="1" count="1" selected="0">
            <x v="43"/>
          </reference>
          <reference field="7" count="1" selected="0">
            <x v="13"/>
          </reference>
          <reference field="8" count="1" selected="0">
            <x v="68"/>
          </reference>
          <reference field="25" count="1">
            <x v="4"/>
          </reference>
        </references>
      </pivotArea>
    </format>
    <format dxfId="233">
      <pivotArea dataOnly="0" labelOnly="1" fieldPosition="0">
        <references count="5">
          <reference field="0" count="1" selected="0">
            <x v="2"/>
          </reference>
          <reference field="1" count="1" selected="0">
            <x v="43"/>
          </reference>
          <reference field="7" count="1" selected="0">
            <x v="62"/>
          </reference>
          <reference field="8" count="1" selected="0">
            <x v="68"/>
          </reference>
          <reference field="25" count="1">
            <x v="4"/>
          </reference>
        </references>
      </pivotArea>
    </format>
    <format dxfId="232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62"/>
          </reference>
          <reference field="8" count="1" selected="0">
            <x v="68"/>
          </reference>
          <reference field="25" count="1">
            <x v="4"/>
          </reference>
        </references>
      </pivotArea>
    </format>
    <format dxfId="231">
      <pivotArea dataOnly="0" labelOnly="1" fieldPosition="0">
        <references count="5">
          <reference field="0" count="1" selected="0">
            <x v="8"/>
          </reference>
          <reference field="1" count="1" selected="0">
            <x v="24"/>
          </reference>
          <reference field="7" count="1" selected="0">
            <x v="62"/>
          </reference>
          <reference field="8" count="1" selected="0">
            <x v="68"/>
          </reference>
          <reference field="25" count="1">
            <x v="4"/>
          </reference>
        </references>
      </pivotArea>
    </format>
    <format dxfId="230">
      <pivotArea dataOnly="0" labelOnly="1" fieldPosition="0">
        <references count="5">
          <reference field="0" count="1" selected="0">
            <x v="1"/>
          </reference>
          <reference field="1" count="1" selected="0">
            <x v="44"/>
          </reference>
          <reference field="7" count="1" selected="0">
            <x v="58"/>
          </reference>
          <reference field="8" count="1" selected="0">
            <x v="69"/>
          </reference>
          <reference field="25" count="1">
            <x v="4"/>
          </reference>
        </references>
      </pivotArea>
    </format>
    <format dxfId="229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58"/>
          </reference>
          <reference field="8" count="1" selected="0">
            <x v="69"/>
          </reference>
          <reference field="25" count="1">
            <x v="4"/>
          </reference>
        </references>
      </pivotArea>
    </format>
    <format dxfId="228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69"/>
          </reference>
          <reference field="25" count="1">
            <x v="4"/>
          </reference>
        </references>
      </pivotArea>
    </format>
    <format dxfId="227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58"/>
          </reference>
          <reference field="8" count="1" selected="0">
            <x v="69"/>
          </reference>
          <reference field="25" count="1">
            <x v="4"/>
          </reference>
        </references>
      </pivotArea>
    </format>
    <format dxfId="226">
      <pivotArea dataOnly="0" labelOnly="1" fieldPosition="0">
        <references count="5">
          <reference field="0" count="1" selected="0">
            <x v="2"/>
          </reference>
          <reference field="1" count="1" selected="0">
            <x v="43"/>
          </reference>
          <reference field="7" count="1" selected="0">
            <x v="62"/>
          </reference>
          <reference field="8" count="1" selected="0">
            <x v="70"/>
          </reference>
          <reference field="25" count="1">
            <x v="4"/>
          </reference>
        </references>
      </pivotArea>
    </format>
    <format dxfId="225">
      <pivotArea dataOnly="0" labelOnly="1" fieldPosition="0">
        <references count="5">
          <reference field="0" count="1" selected="0">
            <x v="2"/>
          </reference>
          <reference field="1" count="1" selected="0">
            <x v="43"/>
          </reference>
          <reference field="7" count="1" selected="0">
            <x v="75"/>
          </reference>
          <reference field="8" count="1" selected="0">
            <x v="70"/>
          </reference>
          <reference field="25" count="1">
            <x v="4"/>
          </reference>
        </references>
      </pivotArea>
    </format>
    <format dxfId="224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75"/>
          </reference>
          <reference field="8" count="1" selected="0">
            <x v="70"/>
          </reference>
          <reference field="25" count="1">
            <x v="4"/>
          </reference>
        </references>
      </pivotArea>
    </format>
    <format dxfId="223">
      <pivotArea dataOnly="0" labelOnly="1" fieldPosition="0">
        <references count="5">
          <reference field="0" count="1" selected="0">
            <x v="8"/>
          </reference>
          <reference field="1" count="1" selected="0">
            <x v="24"/>
          </reference>
          <reference field="7" count="1" selected="0">
            <x v="75"/>
          </reference>
          <reference field="8" count="1" selected="0">
            <x v="70"/>
          </reference>
          <reference field="25" count="1">
            <x v="4"/>
          </reference>
        </references>
      </pivotArea>
    </format>
    <format dxfId="222">
      <pivotArea dataOnly="0" labelOnly="1" fieldPosition="0">
        <references count="5">
          <reference field="0" count="1" selected="0">
            <x v="1"/>
          </reference>
          <reference field="1" count="1" selected="0">
            <x v="44"/>
          </reference>
          <reference field="7" count="1" selected="0">
            <x v="58"/>
          </reference>
          <reference field="8" count="1" selected="0">
            <x v="71"/>
          </reference>
          <reference field="25" count="1">
            <x v="4"/>
          </reference>
        </references>
      </pivotArea>
    </format>
    <format dxfId="221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58"/>
          </reference>
          <reference field="8" count="1" selected="0">
            <x v="71"/>
          </reference>
          <reference field="25" count="1">
            <x v="4"/>
          </reference>
        </references>
      </pivotArea>
    </format>
    <format dxfId="220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71"/>
          </reference>
          <reference field="25" count="1">
            <x v="4"/>
          </reference>
        </references>
      </pivotArea>
    </format>
    <format dxfId="219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58"/>
          </reference>
          <reference field="8" count="1" selected="0">
            <x v="71"/>
          </reference>
          <reference field="25" count="1">
            <x v="4"/>
          </reference>
        </references>
      </pivotArea>
    </format>
    <format dxfId="218">
      <pivotArea dataOnly="0" labelOnly="1" fieldPosition="0">
        <references count="5">
          <reference field="0" count="1" selected="0">
            <x v="1"/>
          </reference>
          <reference field="1" count="1" selected="0">
            <x v="44"/>
          </reference>
          <reference field="7" count="1" selected="0">
            <x v="83"/>
          </reference>
          <reference field="8" count="1" selected="0">
            <x v="72"/>
          </reference>
          <reference field="25" count="1">
            <x v="4"/>
          </reference>
        </references>
      </pivotArea>
    </format>
    <format dxfId="217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83"/>
          </reference>
          <reference field="8" count="1" selected="0">
            <x v="72"/>
          </reference>
          <reference field="25" count="1">
            <x v="4"/>
          </reference>
        </references>
      </pivotArea>
    </format>
    <format dxfId="216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83"/>
          </reference>
          <reference field="8" count="1" selected="0">
            <x v="72"/>
          </reference>
          <reference field="25" count="1">
            <x v="4"/>
          </reference>
        </references>
      </pivotArea>
    </format>
    <format dxfId="215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83"/>
          </reference>
          <reference field="8" count="1" selected="0">
            <x v="72"/>
          </reference>
          <reference field="25" count="1">
            <x v="4"/>
          </reference>
        </references>
      </pivotArea>
    </format>
    <format dxfId="214">
      <pivotArea dataOnly="0" labelOnly="1" fieldPosition="0">
        <references count="5">
          <reference field="0" count="1" selected="0">
            <x v="2"/>
          </reference>
          <reference field="1" count="1" selected="0">
            <x v="43"/>
          </reference>
          <reference field="7" count="1" selected="0">
            <x v="75"/>
          </reference>
          <reference field="8" count="1" selected="0">
            <x v="73"/>
          </reference>
          <reference field="25" count="1">
            <x v="4"/>
          </reference>
        </references>
      </pivotArea>
    </format>
    <format dxfId="213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75"/>
          </reference>
          <reference field="8" count="1" selected="0">
            <x v="73"/>
          </reference>
          <reference field="25" count="1">
            <x v="4"/>
          </reference>
        </references>
      </pivotArea>
    </format>
    <format dxfId="212">
      <pivotArea dataOnly="0" labelOnly="1" fieldPosition="0">
        <references count="5">
          <reference field="0" count="1" selected="0">
            <x v="8"/>
          </reference>
          <reference field="1" count="1" selected="0">
            <x v="24"/>
          </reference>
          <reference field="7" count="1" selected="0">
            <x v="75"/>
          </reference>
          <reference field="8" count="1" selected="0">
            <x v="73"/>
          </reference>
          <reference field="25" count="1">
            <x v="4"/>
          </reference>
        </references>
      </pivotArea>
    </format>
    <format dxfId="211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4"/>
          </reference>
          <reference field="8" count="1" selected="0">
            <x v="170"/>
          </reference>
          <reference field="25" count="1">
            <x v="4"/>
          </reference>
        </references>
      </pivotArea>
    </format>
    <format dxfId="210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170"/>
          </reference>
          <reference field="25" count="1">
            <x v="4"/>
          </reference>
        </references>
      </pivotArea>
    </format>
    <format dxfId="209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170"/>
          </reference>
          <reference field="25" count="1">
            <x v="4"/>
          </reference>
        </references>
      </pivotArea>
    </format>
    <format dxfId="208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69"/>
          </reference>
          <reference field="8" count="1" selected="0">
            <x v="170"/>
          </reference>
          <reference field="25" count="1">
            <x v="4"/>
          </reference>
        </references>
      </pivotArea>
    </format>
    <format dxfId="207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1"/>
          </reference>
          <reference field="8" count="1" selected="0">
            <x v="171"/>
          </reference>
          <reference field="25" count="1">
            <x v="4"/>
          </reference>
        </references>
      </pivotArea>
    </format>
    <format dxfId="206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1"/>
          </reference>
          <reference field="8" count="1" selected="0">
            <x v="171"/>
          </reference>
          <reference field="25" count="1">
            <x v="4"/>
          </reference>
        </references>
      </pivotArea>
    </format>
    <format dxfId="205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171"/>
          </reference>
          <reference field="25" count="1">
            <x v="4"/>
          </reference>
        </references>
      </pivotArea>
    </format>
    <format dxfId="204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93"/>
          </reference>
          <reference field="8" count="1" selected="0">
            <x v="171"/>
          </reference>
          <reference field="25" count="1">
            <x v="4"/>
          </reference>
        </references>
      </pivotArea>
    </format>
    <format dxfId="203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1"/>
          </reference>
          <reference field="8" count="1" selected="0">
            <x v="172"/>
          </reference>
          <reference field="25" count="1">
            <x v="4"/>
          </reference>
        </references>
      </pivotArea>
    </format>
    <format dxfId="202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172"/>
          </reference>
          <reference field="25" count="1">
            <x v="4"/>
          </reference>
        </references>
      </pivotArea>
    </format>
    <format dxfId="201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48"/>
          </reference>
          <reference field="8" count="1" selected="0">
            <x v="172"/>
          </reference>
          <reference field="25" count="1">
            <x v="4"/>
          </reference>
        </references>
      </pivotArea>
    </format>
    <format dxfId="200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172"/>
          </reference>
          <reference field="25" count="1">
            <x v="4"/>
          </reference>
        </references>
      </pivotArea>
    </format>
    <format dxfId="199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0"/>
          </reference>
          <reference field="8" count="1" selected="0">
            <x v="172"/>
          </reference>
          <reference field="25" count="1">
            <x v="4"/>
          </reference>
        </references>
      </pivotArea>
    </format>
    <format dxfId="198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173"/>
          </reference>
          <reference field="25" count="1">
            <x v="4"/>
          </reference>
        </references>
      </pivotArea>
    </format>
    <format dxfId="197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48"/>
          </reference>
          <reference field="8" count="1" selected="0">
            <x v="173"/>
          </reference>
          <reference field="25" count="1">
            <x v="4"/>
          </reference>
        </references>
      </pivotArea>
    </format>
    <format dxfId="196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99"/>
          </reference>
          <reference field="8" count="1" selected="0">
            <x v="173"/>
          </reference>
          <reference field="25" count="1">
            <x v="4"/>
          </reference>
        </references>
      </pivotArea>
    </format>
    <format dxfId="195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173"/>
          </reference>
          <reference field="25" count="1">
            <x v="4"/>
          </reference>
        </references>
      </pivotArea>
    </format>
    <format dxfId="194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2"/>
          </reference>
          <reference field="8" count="1" selected="0">
            <x v="173"/>
          </reference>
          <reference field="25" count="1">
            <x v="4"/>
          </reference>
        </references>
      </pivotArea>
    </format>
    <format dxfId="193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1"/>
          </reference>
          <reference field="8" count="1" selected="0">
            <x v="174"/>
          </reference>
          <reference field="25" count="1">
            <x v="4"/>
          </reference>
        </references>
      </pivotArea>
    </format>
    <format dxfId="192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4"/>
          </reference>
          <reference field="8" count="1" selected="0">
            <x v="174"/>
          </reference>
          <reference field="25" count="1">
            <x v="4"/>
          </reference>
        </references>
      </pivotArea>
    </format>
    <format dxfId="191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174"/>
          </reference>
          <reference field="25" count="1">
            <x v="4"/>
          </reference>
        </references>
      </pivotArea>
    </format>
    <format dxfId="190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174"/>
          </reference>
          <reference field="25" count="1">
            <x v="4"/>
          </reference>
        </references>
      </pivotArea>
    </format>
    <format dxfId="189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1"/>
          </reference>
          <reference field="8" count="1" selected="0">
            <x v="174"/>
          </reference>
          <reference field="25" count="1">
            <x v="4"/>
          </reference>
        </references>
      </pivotArea>
    </format>
    <format dxfId="188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4"/>
          </reference>
          <reference field="8" count="1" selected="0">
            <x v="175"/>
          </reference>
          <reference field="25" count="1">
            <x v="4"/>
          </reference>
        </references>
      </pivotArea>
    </format>
    <format dxfId="187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175"/>
          </reference>
          <reference field="25" count="1">
            <x v="4"/>
          </reference>
        </references>
      </pivotArea>
    </format>
    <format dxfId="186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175"/>
          </reference>
          <reference field="25" count="1">
            <x v="4"/>
          </reference>
        </references>
      </pivotArea>
    </format>
    <format dxfId="185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3"/>
          </reference>
          <reference field="8" count="1" selected="0">
            <x v="175"/>
          </reference>
          <reference field="25" count="1">
            <x v="4"/>
          </reference>
        </references>
      </pivotArea>
    </format>
    <format dxfId="184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4"/>
          </reference>
          <reference field="8" count="1" selected="0">
            <x v="176"/>
          </reference>
          <reference field="25" count="1">
            <x v="4"/>
          </reference>
        </references>
      </pivotArea>
    </format>
    <format dxfId="183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176"/>
          </reference>
          <reference field="25" count="1">
            <x v="4"/>
          </reference>
        </references>
      </pivotArea>
    </format>
    <format dxfId="182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176"/>
          </reference>
          <reference field="25" count="1">
            <x v="4"/>
          </reference>
        </references>
      </pivotArea>
    </format>
    <format dxfId="181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4"/>
          </reference>
          <reference field="8" count="1" selected="0">
            <x v="176"/>
          </reference>
          <reference field="25" count="1">
            <x v="4"/>
          </reference>
        </references>
      </pivotArea>
    </format>
    <format dxfId="180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4"/>
          </reference>
          <reference field="8" count="1" selected="0">
            <x v="177"/>
          </reference>
          <reference field="25" count="1">
            <x v="4"/>
          </reference>
        </references>
      </pivotArea>
    </format>
    <format dxfId="179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177"/>
          </reference>
          <reference field="25" count="1">
            <x v="4"/>
          </reference>
        </references>
      </pivotArea>
    </format>
    <format dxfId="178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177"/>
          </reference>
          <reference field="25" count="1">
            <x v="4"/>
          </reference>
        </references>
      </pivotArea>
    </format>
    <format dxfId="177">
      <pivotArea dataOnly="0" labelOnly="1" fieldPosition="0">
        <references count="5">
          <reference field="0" count="1" selected="0">
            <x v="12"/>
          </reference>
          <reference field="1" count="1" selected="0">
            <x v="33"/>
          </reference>
          <reference field="7" count="1" selected="0">
            <x v="69"/>
          </reference>
          <reference field="8" count="1" selected="0">
            <x v="177"/>
          </reference>
          <reference field="25" count="1">
            <x v="4"/>
          </reference>
        </references>
      </pivotArea>
    </format>
    <format dxfId="176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4"/>
          </reference>
          <reference field="8" count="1" selected="0">
            <x v="178"/>
          </reference>
          <reference field="25" count="1">
            <x v="4"/>
          </reference>
        </references>
      </pivotArea>
    </format>
    <format dxfId="175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178"/>
          </reference>
          <reference field="25" count="1">
            <x v="4"/>
          </reference>
        </references>
      </pivotArea>
    </format>
    <format dxfId="174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50"/>
          </reference>
          <reference field="8" count="1" selected="0">
            <x v="178"/>
          </reference>
          <reference field="25" count="1">
            <x v="4"/>
          </reference>
        </references>
      </pivotArea>
    </format>
    <format dxfId="173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13"/>
          </reference>
          <reference field="8" count="1" selected="0">
            <x v="178"/>
          </reference>
          <reference field="25" count="1">
            <x v="4"/>
          </reference>
        </references>
      </pivotArea>
    </format>
    <format dxfId="172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62"/>
          </reference>
          <reference field="8" count="1" selected="0">
            <x v="178"/>
          </reference>
          <reference field="25" count="1">
            <x v="4"/>
          </reference>
        </references>
      </pivotArea>
    </format>
    <format dxfId="171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6"/>
          </reference>
          <reference field="8" count="1" selected="0">
            <x v="178"/>
          </reference>
          <reference field="25" count="1">
            <x v="4"/>
          </reference>
        </references>
      </pivotArea>
    </format>
    <format dxfId="170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179"/>
          </reference>
          <reference field="25" count="1">
            <x v="4"/>
          </reference>
        </references>
      </pivotArea>
    </format>
    <format dxfId="169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64"/>
          </reference>
          <reference field="8" count="1" selected="0">
            <x v="179"/>
          </reference>
          <reference field="25" count="1">
            <x v="4"/>
          </reference>
        </references>
      </pivotArea>
    </format>
    <format dxfId="168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50"/>
          </reference>
          <reference field="8" count="1" selected="0">
            <x v="179"/>
          </reference>
          <reference field="25" count="1">
            <x v="4"/>
          </reference>
        </references>
      </pivotArea>
    </format>
    <format dxfId="167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52"/>
          </reference>
          <reference field="8" count="1" selected="0">
            <x v="179"/>
          </reference>
          <reference field="25" count="1">
            <x v="4"/>
          </reference>
        </references>
      </pivotArea>
    </format>
    <format dxfId="166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99"/>
          </reference>
          <reference field="8" count="1" selected="0">
            <x v="179"/>
          </reference>
          <reference field="25" count="1">
            <x v="4"/>
          </reference>
        </references>
      </pivotArea>
    </format>
    <format dxfId="165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62"/>
          </reference>
          <reference field="8" count="1" selected="0">
            <x v="179"/>
          </reference>
          <reference field="25" count="1">
            <x v="4"/>
          </reference>
        </references>
      </pivotArea>
    </format>
    <format dxfId="164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8"/>
          </reference>
          <reference field="8" count="1" selected="0">
            <x v="179"/>
          </reference>
          <reference field="25" count="1">
            <x v="4"/>
          </reference>
        </references>
      </pivotArea>
    </format>
    <format dxfId="163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64"/>
          </reference>
          <reference field="8" count="1" selected="0">
            <x v="180"/>
          </reference>
          <reference field="25" count="1">
            <x v="4"/>
          </reference>
        </references>
      </pivotArea>
    </format>
    <format dxfId="162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180"/>
          </reference>
          <reference field="25" count="1">
            <x v="4"/>
          </reference>
        </references>
      </pivotArea>
    </format>
    <format dxfId="161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52"/>
          </reference>
          <reference field="8" count="1" selected="0">
            <x v="180"/>
          </reference>
          <reference field="25" count="1">
            <x v="4"/>
          </reference>
        </references>
      </pivotArea>
    </format>
    <format dxfId="160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53"/>
          </reference>
          <reference field="8" count="1" selected="0">
            <x v="180"/>
          </reference>
          <reference field="25" count="1">
            <x v="4"/>
          </reference>
        </references>
      </pivotArea>
    </format>
    <format dxfId="159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62"/>
          </reference>
          <reference field="8" count="1" selected="0">
            <x v="180"/>
          </reference>
          <reference field="25" count="1">
            <x v="4"/>
          </reference>
        </references>
      </pivotArea>
    </format>
    <format dxfId="158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9"/>
          </reference>
          <reference field="8" count="1" selected="0">
            <x v="180"/>
          </reference>
          <reference field="25" count="1">
            <x v="4"/>
          </reference>
        </references>
      </pivotArea>
    </format>
    <format dxfId="157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58"/>
          </reference>
          <reference field="8" count="1" selected="0">
            <x v="181"/>
          </reference>
          <reference field="25" count="1">
            <x v="4"/>
          </reference>
        </references>
      </pivotArea>
    </format>
    <format dxfId="156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181"/>
          </reference>
          <reference field="25" count="1">
            <x v="4"/>
          </reference>
        </references>
      </pivotArea>
    </format>
    <format dxfId="155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62"/>
          </reference>
          <reference field="8" count="1" selected="0">
            <x v="181"/>
          </reference>
          <reference field="25" count="1">
            <x v="4"/>
          </reference>
        </references>
      </pivotArea>
    </format>
    <format dxfId="154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0"/>
          </reference>
          <reference field="8" count="1" selected="0">
            <x v="181"/>
          </reference>
          <reference field="25" count="1">
            <x v="4"/>
          </reference>
        </references>
      </pivotArea>
    </format>
    <format dxfId="153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58"/>
          </reference>
          <reference field="8" count="1" selected="0">
            <x v="182"/>
          </reference>
          <reference field="25" count="1">
            <x v="4"/>
          </reference>
        </references>
      </pivotArea>
    </format>
    <format dxfId="152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182"/>
          </reference>
          <reference field="25" count="1">
            <x v="4"/>
          </reference>
        </references>
      </pivotArea>
    </format>
    <format dxfId="151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62"/>
          </reference>
          <reference field="8" count="1" selected="0">
            <x v="182"/>
          </reference>
          <reference field="25" count="1">
            <x v="4"/>
          </reference>
        </references>
      </pivotArea>
    </format>
    <format dxfId="150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1"/>
          </reference>
          <reference field="8" count="1" selected="0">
            <x v="182"/>
          </reference>
          <reference field="25" count="1">
            <x v="4"/>
          </reference>
        </references>
      </pivotArea>
    </format>
    <format dxfId="149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58"/>
          </reference>
          <reference field="8" count="1" selected="0">
            <x v="183"/>
          </reference>
          <reference field="25" count="1">
            <x v="4"/>
          </reference>
        </references>
      </pivotArea>
    </format>
    <format dxfId="148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183"/>
          </reference>
          <reference field="25" count="1">
            <x v="4"/>
          </reference>
        </references>
      </pivotArea>
    </format>
    <format dxfId="147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62"/>
          </reference>
          <reference field="8" count="1" selected="0">
            <x v="183"/>
          </reference>
          <reference field="25" count="1">
            <x v="4"/>
          </reference>
        </references>
      </pivotArea>
    </format>
    <format dxfId="146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75"/>
          </reference>
          <reference field="8" count="1" selected="0">
            <x v="183"/>
          </reference>
          <reference field="25" count="1">
            <x v="4"/>
          </reference>
        </references>
      </pivotArea>
    </format>
    <format dxfId="145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2"/>
          </reference>
          <reference field="8" count="1" selected="0">
            <x v="183"/>
          </reference>
          <reference field="25" count="1">
            <x v="4"/>
          </reference>
        </references>
      </pivotArea>
    </format>
    <format dxfId="144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58"/>
          </reference>
          <reference field="8" count="1" selected="0">
            <x v="184"/>
          </reference>
          <reference field="25" count="1">
            <x v="4"/>
          </reference>
        </references>
      </pivotArea>
    </format>
    <format dxfId="143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184"/>
          </reference>
          <reference field="25" count="1">
            <x v="4"/>
          </reference>
        </references>
      </pivotArea>
    </format>
    <format dxfId="142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75"/>
          </reference>
          <reference field="8" count="1" selected="0">
            <x v="184"/>
          </reference>
          <reference field="25" count="1">
            <x v="4"/>
          </reference>
        </references>
      </pivotArea>
    </format>
    <format dxfId="141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4"/>
          </reference>
          <reference field="8" count="1" selected="0">
            <x v="184"/>
          </reference>
          <reference field="25" count="1">
            <x v="4"/>
          </reference>
        </references>
      </pivotArea>
    </format>
    <format dxfId="140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58"/>
          </reference>
          <reference field="8" count="1" selected="0">
            <x v="185"/>
          </reference>
          <reference field="25" count="1">
            <x v="4"/>
          </reference>
        </references>
      </pivotArea>
    </format>
    <format dxfId="139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185"/>
          </reference>
          <reference field="25" count="1">
            <x v="4"/>
          </reference>
        </references>
      </pivotArea>
    </format>
    <format dxfId="138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75"/>
          </reference>
          <reference field="8" count="1" selected="0">
            <x v="185"/>
          </reference>
          <reference field="25" count="1">
            <x v="4"/>
          </reference>
        </references>
      </pivotArea>
    </format>
    <format dxfId="137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7"/>
          </reference>
          <reference field="8" count="1" selected="0">
            <x v="185"/>
          </reference>
          <reference field="25" count="1">
            <x v="4"/>
          </reference>
        </references>
      </pivotArea>
    </format>
    <format dxfId="136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58"/>
          </reference>
          <reference field="8" count="1" selected="0">
            <x v="186"/>
          </reference>
          <reference field="25" count="1">
            <x v="4"/>
          </reference>
        </references>
      </pivotArea>
    </format>
    <format dxfId="135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58"/>
          </reference>
          <reference field="8" count="1" selected="0">
            <x v="186"/>
          </reference>
          <reference field="25" count="1">
            <x v="4"/>
          </reference>
        </references>
      </pivotArea>
    </format>
    <format dxfId="134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83"/>
          </reference>
          <reference field="8" count="1" selected="0">
            <x v="186"/>
          </reference>
          <reference field="25" count="1">
            <x v="4"/>
          </reference>
        </references>
      </pivotArea>
    </format>
    <format dxfId="133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75"/>
          </reference>
          <reference field="8" count="1" selected="0">
            <x v="186"/>
          </reference>
          <reference field="25" count="1">
            <x v="4"/>
          </reference>
        </references>
      </pivotArea>
    </format>
    <format dxfId="132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9"/>
          </reference>
          <reference field="8" count="1" selected="0">
            <x v="186"/>
          </reference>
          <reference field="25" count="1">
            <x v="4"/>
          </reference>
        </references>
      </pivotArea>
    </format>
    <format dxfId="131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58"/>
          </reference>
          <reference field="8" count="1" selected="0">
            <x v="187"/>
          </reference>
          <reference field="25" count="1">
            <x v="4"/>
          </reference>
        </references>
      </pivotArea>
    </format>
    <format dxfId="130">
      <pivotArea dataOnly="0" labelOnly="1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7" count="1" selected="0">
            <x v="83"/>
          </reference>
          <reference field="8" count="1" selected="0">
            <x v="187"/>
          </reference>
          <reference field="25" count="1">
            <x v="4"/>
          </reference>
        </references>
      </pivotArea>
    </format>
    <format dxfId="129">
      <pivotArea dataOnly="0" labelOnly="1" fieldPosition="0">
        <references count="5">
          <reference field="0" count="1" selected="0">
            <x v="5"/>
          </reference>
          <reference field="1" count="1" selected="0">
            <x v="21"/>
          </reference>
          <reference field="7" count="1" selected="0">
            <x v="83"/>
          </reference>
          <reference field="8" count="1" selected="0">
            <x v="187"/>
          </reference>
          <reference field="25" count="1">
            <x v="4"/>
          </reference>
        </references>
      </pivotArea>
    </format>
    <format dxfId="128">
      <pivotArea dataOnly="0" labelOnly="1" fieldPosition="0">
        <references count="5">
          <reference field="0" count="1" selected="0">
            <x v="7"/>
          </reference>
          <reference field="1" count="1" selected="0">
            <x v="23"/>
          </reference>
          <reference field="7" count="1" selected="0">
            <x v="75"/>
          </reference>
          <reference field="8" count="1" selected="0">
            <x v="187"/>
          </reference>
          <reference field="25" count="1">
            <x v="4"/>
          </reference>
        </references>
      </pivotArea>
    </format>
    <format dxfId="127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90"/>
          </reference>
          <reference field="8" count="1" selected="0">
            <x v="187"/>
          </reference>
          <reference field="25" count="1">
            <x v="4"/>
          </reference>
        </references>
      </pivotArea>
    </format>
    <format dxfId="126">
      <pivotArea dataOnly="0" labelOnly="1" fieldPosition="0">
        <references count="5">
          <reference field="0" count="1" selected="0">
            <x v="6"/>
          </reference>
          <reference field="1" count="1" selected="0">
            <x v="29"/>
          </reference>
          <reference field="7" count="1" selected="0">
            <x v="53"/>
          </reference>
          <reference field="8" count="1" selected="0">
            <x v="188"/>
          </reference>
          <reference field="25" count="1">
            <x v="4"/>
          </reference>
        </references>
      </pivotArea>
    </format>
    <format dxfId="125">
      <pivotArea dataOnly="0" labelOnly="1" fieldPosition="0">
        <references count="5">
          <reference field="0" count="1" selected="0">
            <x v="8"/>
          </reference>
          <reference field="1" count="1" selected="0">
            <x v="24"/>
          </reference>
          <reference field="7" count="1" selected="0">
            <x v="49"/>
          </reference>
          <reference field="8" count="1" selected="0">
            <x v="188"/>
          </reference>
          <reference field="25" count="1">
            <x v="4"/>
          </reference>
        </references>
      </pivotArea>
    </format>
    <format dxfId="124">
      <pivotArea dataOnly="0" labelOnly="1" fieldPosition="0">
        <references count="5">
          <reference field="0" count="1" selected="0">
            <x v="8"/>
          </reference>
          <reference field="1" count="1" selected="0">
            <x v="24"/>
          </reference>
          <reference field="7" count="1" selected="0">
            <x v="51"/>
          </reference>
          <reference field="8" count="1" selected="0">
            <x v="188"/>
          </reference>
          <reference field="25" count="1">
            <x v="4"/>
          </reference>
        </references>
      </pivotArea>
    </format>
    <format dxfId="123">
      <pivotArea dataOnly="0" labelOnly="1" fieldPosition="0">
        <references count="5">
          <reference field="0" count="1" selected="0">
            <x v="11"/>
          </reference>
          <reference field="1" count="1" selected="0">
            <x v="31"/>
          </reference>
          <reference field="7" count="1" selected="0">
            <x v="92"/>
          </reference>
          <reference field="8" count="1" selected="0">
            <x v="188"/>
          </reference>
          <reference field="25" count="1">
            <x v="4"/>
          </reference>
        </references>
      </pivotArea>
    </format>
    <format dxfId="122">
      <pivotArea dataOnly="0" labelOnly="1" fieldPosition="0">
        <references count="5">
          <reference field="0" count="1" selected="0">
            <x v="10"/>
          </reference>
          <reference field="1" count="1" selected="0">
            <x v="30"/>
          </reference>
          <reference field="7" count="1" selected="0">
            <x v="66"/>
          </reference>
          <reference field="8" count="1" selected="0">
            <x v="283"/>
          </reference>
          <reference field="25" count="1">
            <x v="4"/>
          </reference>
        </references>
      </pivotArea>
    </format>
    <format dxfId="121">
      <pivotArea dataOnly="0" labelOnly="1" fieldPosition="0">
        <references count="5">
          <reference field="0" count="1" selected="0">
            <x v="20"/>
          </reference>
          <reference field="1" count="1" selected="0">
            <x v="0"/>
          </reference>
          <reference field="7" count="1" selected="0">
            <x v="27"/>
          </reference>
          <reference field="8" count="1" selected="0">
            <x v="283"/>
          </reference>
          <reference field="25" count="1">
            <x v="5"/>
          </reference>
        </references>
      </pivotArea>
    </format>
    <format dxfId="120">
      <pivotArea dataOnly="0" labelOnly="1" fieldPosition="0">
        <references count="5">
          <reference field="0" count="1" selected="0">
            <x v="30"/>
          </reference>
          <reference field="1" count="1" selected="0">
            <x v="16"/>
          </reference>
          <reference field="7" count="1" selected="0">
            <x v="28"/>
          </reference>
          <reference field="8" count="1" selected="0">
            <x v="283"/>
          </reference>
          <reference field="25" count="1">
            <x v="5"/>
          </reference>
        </references>
      </pivotArea>
    </format>
    <format dxfId="119">
      <pivotArea dataOnly="0" labelOnly="1" fieldPosition="0">
        <references count="5">
          <reference field="0" count="1" selected="0">
            <x v="42"/>
          </reference>
          <reference field="1" count="1" selected="0">
            <x v="10"/>
          </reference>
          <reference field="7" count="1" selected="0">
            <x v="66"/>
          </reference>
          <reference field="8" count="1" selected="0">
            <x v="283"/>
          </reference>
          <reference field="25" count="1">
            <x v="0"/>
          </reference>
        </references>
      </pivotArea>
    </format>
    <format dxfId="118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69"/>
          </reference>
          <reference field="8" count="1" selected="0">
            <x v="284"/>
          </reference>
          <reference field="25" count="1">
            <x v="4"/>
          </reference>
        </references>
      </pivotArea>
    </format>
    <format dxfId="117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84"/>
          </reference>
          <reference field="25" count="1">
            <x v="5"/>
          </reference>
        </references>
      </pivotArea>
    </format>
    <format dxfId="116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5"/>
          </reference>
          <reference field="8" count="1" selected="0">
            <x v="284"/>
          </reference>
          <reference field="25" count="1">
            <x v="5"/>
          </reference>
        </references>
      </pivotArea>
    </format>
    <format dxfId="115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2"/>
          </reference>
          <reference field="8" count="1" selected="0">
            <x v="284"/>
          </reference>
          <reference field="25" count="1">
            <x v="5"/>
          </reference>
        </references>
      </pivotArea>
    </format>
    <format dxfId="114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2"/>
          </reference>
          <reference field="8" count="1" selected="0">
            <x v="284"/>
          </reference>
          <reference field="25" count="1">
            <x v="0"/>
          </reference>
        </references>
      </pivotArea>
    </format>
    <format dxfId="113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93"/>
          </reference>
          <reference field="8" count="1" selected="0">
            <x v="285"/>
          </reference>
          <reference field="25" count="1">
            <x v="4"/>
          </reference>
        </references>
      </pivotArea>
    </format>
    <format dxfId="112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54"/>
          </reference>
          <reference field="8" count="1" selected="0">
            <x v="285"/>
          </reference>
          <reference field="25" count="1">
            <x v="5"/>
          </reference>
        </references>
      </pivotArea>
    </format>
    <format dxfId="111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0"/>
          </reference>
          <reference field="8" count="1" selected="0">
            <x v="285"/>
          </reference>
          <reference field="25" count="1">
            <x v="5"/>
          </reference>
        </references>
      </pivotArea>
    </format>
    <format dxfId="110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1"/>
          </reference>
          <reference field="8" count="1" selected="0">
            <x v="285"/>
          </reference>
          <reference field="25" count="1">
            <x v="5"/>
          </reference>
        </references>
      </pivotArea>
    </format>
    <format dxfId="109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1"/>
          </reference>
          <reference field="8" count="1" selected="0">
            <x v="285"/>
          </reference>
          <reference field="25" count="1">
            <x v="5"/>
          </reference>
        </references>
      </pivotArea>
    </format>
    <format dxfId="108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2"/>
          </reference>
          <reference field="8" count="1" selected="0">
            <x v="285"/>
          </reference>
          <reference field="25" count="1">
            <x v="5"/>
          </reference>
        </references>
      </pivotArea>
    </format>
    <format dxfId="107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3"/>
          </reference>
          <reference field="8" count="1" selected="0">
            <x v="285"/>
          </reference>
          <reference field="25" count="1">
            <x v="0"/>
          </reference>
        </references>
      </pivotArea>
    </format>
    <format dxfId="106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0"/>
          </reference>
          <reference field="8" count="1" selected="0">
            <x v="286"/>
          </reference>
          <reference field="25" count="1">
            <x v="4"/>
          </reference>
        </references>
      </pivotArea>
    </format>
    <format dxfId="105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54"/>
          </reference>
          <reference field="8" count="1" selected="0">
            <x v="286"/>
          </reference>
          <reference field="25" count="1">
            <x v="5"/>
          </reference>
        </references>
      </pivotArea>
    </format>
    <format dxfId="104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1"/>
          </reference>
          <reference field="8" count="1" selected="0">
            <x v="286"/>
          </reference>
          <reference field="25" count="1">
            <x v="5"/>
          </reference>
        </references>
      </pivotArea>
    </format>
    <format dxfId="103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1"/>
          </reference>
          <reference field="8" count="1" selected="0">
            <x v="286"/>
          </reference>
          <reference field="25" count="1">
            <x v="5"/>
          </reference>
        </references>
      </pivotArea>
    </format>
    <format dxfId="102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4"/>
          </reference>
          <reference field="8" count="1" selected="0">
            <x v="286"/>
          </reference>
          <reference field="25" count="1">
            <x v="0"/>
          </reference>
        </references>
      </pivotArea>
    </format>
    <format dxfId="101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2"/>
          </reference>
          <reference field="8" count="1" selected="0">
            <x v="287"/>
          </reference>
          <reference field="25" count="1">
            <x v="4"/>
          </reference>
        </references>
      </pivotArea>
    </format>
    <format dxfId="100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54"/>
          </reference>
          <reference field="8" count="1" selected="0">
            <x v="287"/>
          </reference>
          <reference field="25" count="1">
            <x v="5"/>
          </reference>
        </references>
      </pivotArea>
    </format>
    <format dxfId="99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1"/>
          </reference>
          <reference field="8" count="1" selected="0">
            <x v="287"/>
          </reference>
          <reference field="25" count="1">
            <x v="5"/>
          </reference>
        </references>
      </pivotArea>
    </format>
    <format dxfId="98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3"/>
          </reference>
          <reference field="8" count="1" selected="0">
            <x v="287"/>
          </reference>
          <reference field="25" count="1">
            <x v="5"/>
          </reference>
        </references>
      </pivotArea>
    </format>
    <format dxfId="97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1"/>
          </reference>
          <reference field="8" count="1" selected="0">
            <x v="287"/>
          </reference>
          <reference field="25" count="1">
            <x v="5"/>
          </reference>
        </references>
      </pivotArea>
    </format>
    <format dxfId="96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2"/>
          </reference>
          <reference field="8" count="1" selected="0">
            <x v="287"/>
          </reference>
          <reference field="25" count="1">
            <x v="5"/>
          </reference>
        </references>
      </pivotArea>
    </format>
    <format dxfId="95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5"/>
          </reference>
          <reference field="8" count="1" selected="0">
            <x v="287"/>
          </reference>
          <reference field="25" count="1">
            <x v="0"/>
          </reference>
        </references>
      </pivotArea>
    </format>
    <format dxfId="94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1"/>
          </reference>
          <reference field="8" count="1" selected="0">
            <x v="288"/>
          </reference>
          <reference field="25" count="1">
            <x v="4"/>
          </reference>
        </references>
      </pivotArea>
    </format>
    <format dxfId="93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88"/>
          </reference>
          <reference field="25" count="1">
            <x v="5"/>
          </reference>
        </references>
      </pivotArea>
    </format>
    <format dxfId="92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54"/>
          </reference>
          <reference field="8" count="1" selected="0">
            <x v="288"/>
          </reference>
          <reference field="25" count="1">
            <x v="5"/>
          </reference>
        </references>
      </pivotArea>
    </format>
    <format dxfId="91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3"/>
          </reference>
          <reference field="8" count="1" selected="0">
            <x v="288"/>
          </reference>
          <reference field="25" count="1">
            <x v="5"/>
          </reference>
        </references>
      </pivotArea>
    </format>
    <format dxfId="90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2"/>
          </reference>
          <reference field="8" count="1" selected="0">
            <x v="288"/>
          </reference>
          <reference field="25" count="1">
            <x v="5"/>
          </reference>
        </references>
      </pivotArea>
    </format>
    <format dxfId="89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9"/>
          </reference>
          <reference field="8" count="1" selected="0">
            <x v="288"/>
          </reference>
          <reference field="25" count="1">
            <x v="0"/>
          </reference>
        </references>
      </pivotArea>
    </format>
    <format dxfId="88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3"/>
          </reference>
          <reference field="8" count="1" selected="0">
            <x v="289"/>
          </reference>
          <reference field="25" count="1">
            <x v="4"/>
          </reference>
        </references>
      </pivotArea>
    </format>
    <format dxfId="87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89"/>
          </reference>
          <reference field="25" count="1">
            <x v="5"/>
          </reference>
        </references>
      </pivotArea>
    </format>
    <format dxfId="86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3"/>
          </reference>
          <reference field="8" count="1" selected="0">
            <x v="289"/>
          </reference>
          <reference field="25" count="1">
            <x v="5"/>
          </reference>
        </references>
      </pivotArea>
    </format>
    <format dxfId="85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2"/>
          </reference>
          <reference field="8" count="1" selected="0">
            <x v="289"/>
          </reference>
          <reference field="25" count="1">
            <x v="5"/>
          </reference>
        </references>
      </pivotArea>
    </format>
    <format dxfId="84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10"/>
          </reference>
          <reference field="8" count="1" selected="0">
            <x v="289"/>
          </reference>
          <reference field="25" count="1">
            <x v="0"/>
          </reference>
        </references>
      </pivotArea>
    </format>
    <format dxfId="83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4"/>
          </reference>
          <reference field="8" count="1" selected="0">
            <x v="290"/>
          </reference>
          <reference field="25" count="1">
            <x v="4"/>
          </reference>
        </references>
      </pivotArea>
    </format>
    <format dxfId="82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90"/>
          </reference>
          <reference field="25" count="1">
            <x v="5"/>
          </reference>
        </references>
      </pivotArea>
    </format>
    <format dxfId="81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3"/>
          </reference>
          <reference field="8" count="1" selected="0">
            <x v="290"/>
          </reference>
          <reference field="25" count="1">
            <x v="5"/>
          </reference>
        </references>
      </pivotArea>
    </format>
    <format dxfId="80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5"/>
          </reference>
          <reference field="8" count="1" selected="0">
            <x v="290"/>
          </reference>
          <reference field="25" count="1">
            <x v="5"/>
          </reference>
        </references>
      </pivotArea>
    </format>
    <format dxfId="79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2"/>
          </reference>
          <reference field="8" count="1" selected="0">
            <x v="290"/>
          </reference>
          <reference field="25" count="1">
            <x v="5"/>
          </reference>
        </references>
      </pivotArea>
    </format>
    <format dxfId="78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11"/>
          </reference>
          <reference field="8" count="1" selected="0">
            <x v="290"/>
          </reference>
          <reference field="25" count="1">
            <x v="0"/>
          </reference>
        </references>
      </pivotArea>
    </format>
    <format dxfId="77">
      <pivotArea dataOnly="0" labelOnly="1" fieldPosition="0">
        <references count="5">
          <reference field="0" count="1" selected="0">
            <x v="12"/>
          </reference>
          <reference field="1" count="1" selected="0">
            <x v="33"/>
          </reference>
          <reference field="7" count="1" selected="0">
            <x v="69"/>
          </reference>
          <reference field="8" count="1" selected="0">
            <x v="291"/>
          </reference>
          <reference field="25" count="1">
            <x v="4"/>
          </reference>
        </references>
      </pivotArea>
    </format>
    <format dxfId="76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91"/>
          </reference>
          <reference field="25" count="1">
            <x v="5"/>
          </reference>
        </references>
      </pivotArea>
    </format>
    <format dxfId="75">
      <pivotArea dataOnly="0" labelOnly="1" fieldPosition="0">
        <references count="5">
          <reference field="0" count="1" selected="0">
            <x v="15"/>
          </reference>
          <reference field="1" count="1" selected="0">
            <x v="3"/>
          </reference>
          <reference field="7" count="1" selected="0">
            <x v="26"/>
          </reference>
          <reference field="8" count="1" selected="0">
            <x v="291"/>
          </reference>
          <reference field="25" count="1">
            <x v="5"/>
          </reference>
        </references>
      </pivotArea>
    </format>
    <format dxfId="74">
      <pivotArea dataOnly="0" labelOnly="1" fieldPosition="0">
        <references count="5">
          <reference field="0" count="1" selected="0">
            <x v="17"/>
          </reference>
          <reference field="1" count="1" selected="0">
            <x v="36"/>
          </reference>
          <reference field="7" count="1" selected="0">
            <x v="29"/>
          </reference>
          <reference field="8" count="1" selected="0">
            <x v="291"/>
          </reference>
          <reference field="25" count="1">
            <x v="5"/>
          </reference>
        </references>
      </pivotArea>
    </format>
    <format dxfId="73">
      <pivotArea dataOnly="0" labelOnly="1" fieldPosition="0">
        <references count="5">
          <reference field="0" count="1" selected="0">
            <x v="34"/>
          </reference>
          <reference field="1" count="1" selected="0">
            <x v="26"/>
          </reference>
          <reference field="7" count="1" selected="0">
            <x v="69"/>
          </reference>
          <reference field="8" count="1" selected="0">
            <x v="291"/>
          </reference>
          <reference field="25" count="1">
            <x v="0"/>
          </reference>
        </references>
      </pivotArea>
    </format>
    <format dxfId="72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6"/>
          </reference>
          <reference field="8" count="1" selected="0">
            <x v="292"/>
          </reference>
          <reference field="25" count="1">
            <x v="4"/>
          </reference>
        </references>
      </pivotArea>
    </format>
    <format dxfId="71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54"/>
          </reference>
          <reference field="8" count="1" selected="0">
            <x v="292"/>
          </reference>
          <reference field="25" count="1">
            <x v="5"/>
          </reference>
        </references>
      </pivotArea>
    </format>
    <format dxfId="70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5"/>
          </reference>
          <reference field="8" count="1" selected="0">
            <x v="292"/>
          </reference>
          <reference field="25" count="1">
            <x v="5"/>
          </reference>
        </references>
      </pivotArea>
    </format>
    <format dxfId="69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2"/>
          </reference>
          <reference field="8" count="1" selected="0">
            <x v="292"/>
          </reference>
          <reference field="25" count="1">
            <x v="5"/>
          </reference>
        </references>
      </pivotArea>
    </format>
    <format dxfId="68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12"/>
          </reference>
          <reference field="8" count="1" selected="0">
            <x v="292"/>
          </reference>
          <reference field="25" count="1">
            <x v="0"/>
          </reference>
        </references>
      </pivotArea>
    </format>
    <format dxfId="67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8"/>
          </reference>
          <reference field="8" count="1" selected="0">
            <x v="293"/>
          </reference>
          <reference field="25" count="1">
            <x v="4"/>
          </reference>
        </references>
      </pivotArea>
    </format>
    <format dxfId="66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54"/>
          </reference>
          <reference field="8" count="1" selected="0">
            <x v="293"/>
          </reference>
          <reference field="25" count="1">
            <x v="5"/>
          </reference>
        </references>
      </pivotArea>
    </format>
    <format dxfId="65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5"/>
          </reference>
          <reference field="8" count="1" selected="0">
            <x v="293"/>
          </reference>
          <reference field="25" count="1">
            <x v="5"/>
          </reference>
        </references>
      </pivotArea>
    </format>
    <format dxfId="64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2"/>
          </reference>
          <reference field="8" count="1" selected="0">
            <x v="293"/>
          </reference>
          <reference field="25" count="1">
            <x v="5"/>
          </reference>
        </references>
      </pivotArea>
    </format>
    <format dxfId="63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4"/>
          </reference>
          <reference field="8" count="1" selected="0">
            <x v="293"/>
          </reference>
          <reference field="25" count="1">
            <x v="5"/>
          </reference>
        </references>
      </pivotArea>
    </format>
    <format dxfId="62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14"/>
          </reference>
          <reference field="8" count="1" selected="0">
            <x v="293"/>
          </reference>
          <reference field="25" count="1">
            <x v="0"/>
          </reference>
        </references>
      </pivotArea>
    </format>
    <format dxfId="61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79"/>
          </reference>
          <reference field="8" count="1" selected="0">
            <x v="294"/>
          </reference>
          <reference field="25" count="1">
            <x v="4"/>
          </reference>
        </references>
      </pivotArea>
    </format>
    <format dxfId="60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94"/>
          </reference>
          <reference field="25" count="1">
            <x v="5"/>
          </reference>
        </references>
      </pivotArea>
    </format>
    <format dxfId="59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54"/>
          </reference>
          <reference field="8" count="1" selected="0">
            <x v="294"/>
          </reference>
          <reference field="25" count="1">
            <x v="5"/>
          </reference>
        </references>
      </pivotArea>
    </format>
    <format dxfId="58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5"/>
          </reference>
          <reference field="8" count="1" selected="0">
            <x v="294"/>
          </reference>
          <reference field="25" count="1">
            <x v="5"/>
          </reference>
        </references>
      </pivotArea>
    </format>
    <format dxfId="57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4"/>
          </reference>
          <reference field="8" count="1" selected="0">
            <x v="294"/>
          </reference>
          <reference field="25" count="1">
            <x v="5"/>
          </reference>
        </references>
      </pivotArea>
    </format>
    <format dxfId="56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15"/>
          </reference>
          <reference field="8" count="1" selected="0">
            <x v="294"/>
          </reference>
          <reference field="25" count="1">
            <x v="0"/>
          </reference>
        </references>
      </pivotArea>
    </format>
    <format dxfId="55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0"/>
          </reference>
          <reference field="8" count="1" selected="0">
            <x v="295"/>
          </reference>
          <reference field="25" count="1">
            <x v="4"/>
          </reference>
        </references>
      </pivotArea>
    </format>
    <format dxfId="54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95"/>
          </reference>
          <reference field="25" count="1">
            <x v="5"/>
          </reference>
        </references>
      </pivotArea>
    </format>
    <format dxfId="53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5"/>
          </reference>
          <reference field="8" count="1" selected="0">
            <x v="295"/>
          </reference>
          <reference field="25" count="1">
            <x v="5"/>
          </reference>
        </references>
      </pivotArea>
    </format>
    <format dxfId="52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4"/>
          </reference>
          <reference field="8" count="1" selected="0">
            <x v="295"/>
          </reference>
          <reference field="25" count="1">
            <x v="5"/>
          </reference>
        </references>
      </pivotArea>
    </format>
    <format dxfId="51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16"/>
          </reference>
          <reference field="8" count="1" selected="0">
            <x v="295"/>
          </reference>
          <reference field="25" count="1">
            <x v="0"/>
          </reference>
        </references>
      </pivotArea>
    </format>
    <format dxfId="50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1"/>
          </reference>
          <reference field="8" count="1" selected="0">
            <x v="296"/>
          </reference>
          <reference field="25" count="1">
            <x v="4"/>
          </reference>
        </references>
      </pivotArea>
    </format>
    <format dxfId="49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96"/>
          </reference>
          <reference field="25" count="1">
            <x v="5"/>
          </reference>
        </references>
      </pivotArea>
    </format>
    <format dxfId="48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5"/>
          </reference>
          <reference field="8" count="1" selected="0">
            <x v="296"/>
          </reference>
          <reference field="25" count="1">
            <x v="5"/>
          </reference>
        </references>
      </pivotArea>
    </format>
    <format dxfId="47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4"/>
          </reference>
          <reference field="8" count="1" selected="0">
            <x v="296"/>
          </reference>
          <reference field="25" count="1">
            <x v="5"/>
          </reference>
        </references>
      </pivotArea>
    </format>
    <format dxfId="46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17"/>
          </reference>
          <reference field="8" count="1" selected="0">
            <x v="296"/>
          </reference>
          <reference field="25" count="1">
            <x v="0"/>
          </reference>
        </references>
      </pivotArea>
    </format>
    <format dxfId="45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2"/>
          </reference>
          <reference field="8" count="1" selected="0">
            <x v="297"/>
          </reference>
          <reference field="25" count="1">
            <x v="4"/>
          </reference>
        </references>
      </pivotArea>
    </format>
    <format dxfId="44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97"/>
          </reference>
          <reference field="25" count="1">
            <x v="5"/>
          </reference>
        </references>
      </pivotArea>
    </format>
    <format dxfId="43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5"/>
          </reference>
          <reference field="8" count="1" selected="0">
            <x v="297"/>
          </reference>
          <reference field="25" count="1">
            <x v="5"/>
          </reference>
        </references>
      </pivotArea>
    </format>
    <format dxfId="42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7"/>
          </reference>
          <reference field="8" count="1" selected="0">
            <x v="297"/>
          </reference>
          <reference field="25" count="1">
            <x v="5"/>
          </reference>
        </references>
      </pivotArea>
    </format>
    <format dxfId="41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4"/>
          </reference>
          <reference field="8" count="1" selected="0">
            <x v="297"/>
          </reference>
          <reference field="25" count="1">
            <x v="5"/>
          </reference>
        </references>
      </pivotArea>
    </format>
    <format dxfId="40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20"/>
          </reference>
          <reference field="8" count="1" selected="0">
            <x v="297"/>
          </reference>
          <reference field="25" count="1">
            <x v="0"/>
          </reference>
        </references>
      </pivotArea>
    </format>
    <format dxfId="39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4"/>
          </reference>
          <reference field="8" count="1" selected="0">
            <x v="298"/>
          </reference>
          <reference field="25" count="1">
            <x v="4"/>
          </reference>
        </references>
      </pivotArea>
    </format>
    <format dxfId="38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98"/>
          </reference>
          <reference field="25" count="1">
            <x v="5"/>
          </reference>
        </references>
      </pivotArea>
    </format>
    <format dxfId="37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7"/>
          </reference>
          <reference field="8" count="1" selected="0">
            <x v="298"/>
          </reference>
          <reference field="25" count="1">
            <x v="5"/>
          </reference>
        </references>
      </pivotArea>
    </format>
    <format dxfId="36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4"/>
          </reference>
          <reference field="8" count="1" selected="0">
            <x v="298"/>
          </reference>
          <reference field="25" count="1">
            <x v="5"/>
          </reference>
        </references>
      </pivotArea>
    </format>
    <format dxfId="35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21"/>
          </reference>
          <reference field="8" count="1" selected="0">
            <x v="298"/>
          </reference>
          <reference field="25" count="1">
            <x v="0"/>
          </reference>
        </references>
      </pivotArea>
    </format>
    <format dxfId="34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7"/>
          </reference>
          <reference field="8" count="1" selected="0">
            <x v="299"/>
          </reference>
          <reference field="25" count="1">
            <x v="4"/>
          </reference>
        </references>
      </pivotArea>
    </format>
    <format dxfId="33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299"/>
          </reference>
          <reference field="25" count="1">
            <x v="5"/>
          </reference>
        </references>
      </pivotArea>
    </format>
    <format dxfId="32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7"/>
          </reference>
          <reference field="8" count="1" selected="0">
            <x v="299"/>
          </reference>
          <reference field="25" count="1">
            <x v="5"/>
          </reference>
        </references>
      </pivotArea>
    </format>
    <format dxfId="31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4"/>
          </reference>
          <reference field="8" count="1" selected="0">
            <x v="299"/>
          </reference>
          <reference field="25" count="1">
            <x v="5"/>
          </reference>
        </references>
      </pivotArea>
    </format>
    <format dxfId="30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7"/>
          </reference>
          <reference field="8" count="1" selected="0">
            <x v="299"/>
          </reference>
          <reference field="25" count="1">
            <x v="5"/>
          </reference>
        </references>
      </pivotArea>
    </format>
    <format dxfId="29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22"/>
          </reference>
          <reference field="8" count="1" selected="0">
            <x v="299"/>
          </reference>
          <reference field="25" count="1">
            <x v="0"/>
          </reference>
        </references>
      </pivotArea>
    </format>
    <format dxfId="28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89"/>
          </reference>
          <reference field="8" count="1" selected="0">
            <x v="300"/>
          </reference>
          <reference field="25" count="1">
            <x v="4"/>
          </reference>
        </references>
      </pivotArea>
    </format>
    <format dxfId="27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300"/>
          </reference>
          <reference field="25" count="1">
            <x v="5"/>
          </reference>
        </references>
      </pivotArea>
    </format>
    <format dxfId="26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7"/>
          </reference>
          <reference field="8" count="1" selected="0">
            <x v="300"/>
          </reference>
          <reference field="25" count="1">
            <x v="5"/>
          </reference>
        </references>
      </pivotArea>
    </format>
    <format dxfId="25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7"/>
          </reference>
          <reference field="8" count="1" selected="0">
            <x v="300"/>
          </reference>
          <reference field="25" count="1">
            <x v="5"/>
          </reference>
        </references>
      </pivotArea>
    </format>
    <format dxfId="24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23"/>
          </reference>
          <reference field="8" count="1" selected="0">
            <x v="300"/>
          </reference>
          <reference field="25" count="1">
            <x v="0"/>
          </reference>
        </references>
      </pivotArea>
    </format>
    <format dxfId="23">
      <pivotArea dataOnly="0" labelOnly="1" fieldPosition="0">
        <references count="5">
          <reference field="0" count="1" selected="0">
            <x v="9"/>
          </reference>
          <reference field="1" count="1" selected="0">
            <x v="32"/>
          </reference>
          <reference field="7" count="1" selected="0">
            <x v="90"/>
          </reference>
          <reference field="8" count="1" selected="0">
            <x v="301"/>
          </reference>
          <reference field="25" count="1">
            <x v="4"/>
          </reference>
        </references>
      </pivotArea>
    </format>
    <format dxfId="22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301"/>
          </reference>
          <reference field="25" count="1">
            <x v="5"/>
          </reference>
        </references>
      </pivotArea>
    </format>
    <format dxfId="21">
      <pivotArea dataOnly="0" labelOnly="1" fieldPosition="0">
        <references count="5">
          <reference field="0" count="1" selected="0">
            <x v="16"/>
          </reference>
          <reference field="1" count="1" selected="0">
            <x v="2"/>
          </reference>
          <reference field="7" count="1" selected="0">
            <x v="37"/>
          </reference>
          <reference field="8" count="1" selected="0">
            <x v="301"/>
          </reference>
          <reference field="25" count="1">
            <x v="5"/>
          </reference>
        </references>
      </pivotArea>
    </format>
    <format dxfId="20">
      <pivotArea dataOnly="0" labelOnly="1" fieldPosition="0">
        <references count="5">
          <reference field="0" count="1" selected="0">
            <x v="18"/>
          </reference>
          <reference field="1" count="1" selected="0">
            <x v="1"/>
          </reference>
          <reference field="7" count="1" selected="0">
            <x v="37"/>
          </reference>
          <reference field="8" count="1" selected="0">
            <x v="301"/>
          </reference>
          <reference field="25" count="1">
            <x v="5"/>
          </reference>
        </references>
      </pivotArea>
    </format>
    <format dxfId="19">
      <pivotArea dataOnly="0" labelOnly="1" fieldPosition="0">
        <references count="5">
          <reference field="0" count="1" selected="0">
            <x v="35"/>
          </reference>
          <reference field="1" count="1" selected="0">
            <x v="5"/>
          </reference>
          <reference field="7" count="1" selected="0">
            <x v="47"/>
          </reference>
          <reference field="8" count="1" selected="0">
            <x v="301"/>
          </reference>
          <reference field="25" count="1">
            <x v="0"/>
          </reference>
        </references>
      </pivotArea>
    </format>
    <format dxfId="18">
      <pivotArea dataOnly="0" labelOnly="1" fieldPosition="0">
        <references count="5">
          <reference field="0" count="1" selected="0">
            <x v="11"/>
          </reference>
          <reference field="1" count="1" selected="0">
            <x v="31"/>
          </reference>
          <reference field="7" count="1" selected="0">
            <x v="92"/>
          </reference>
          <reference field="8" count="1" selected="0">
            <x v="302"/>
          </reference>
          <reference field="25" count="1">
            <x v="4"/>
          </reference>
        </references>
      </pivotArea>
    </format>
    <format dxfId="17">
      <pivotArea dataOnly="0" labelOnly="1" fieldPosition="0">
        <references count="5">
          <reference field="0" count="1" selected="0">
            <x v="14"/>
          </reference>
          <reference field="1" count="1" selected="0">
            <x v="9"/>
          </reference>
          <reference field="7" count="1" selected="0">
            <x v="36"/>
          </reference>
          <reference field="8" count="1" selected="0">
            <x v="302"/>
          </reference>
          <reference field="25" count="1">
            <x v="5"/>
          </reference>
        </references>
      </pivotArea>
    </format>
    <format dxfId="16">
      <pivotArea dataOnly="0" labelOnly="1" fieldPosition="0">
        <references count="5">
          <reference field="0" count="1" selected="0">
            <x v="20"/>
          </reference>
          <reference field="1" count="1" selected="0">
            <x v="0"/>
          </reference>
          <reference field="7" count="1" selected="0">
            <x v="27"/>
          </reference>
          <reference field="8" count="1" selected="0">
            <x v="302"/>
          </reference>
          <reference field="25" count="1">
            <x v="5"/>
          </reference>
        </references>
      </pivotArea>
    </format>
    <format dxfId="15">
      <pivotArea dataOnly="0" labelOnly="1" fieldPosition="0">
        <references count="5">
          <reference field="0" count="1" selected="0">
            <x v="26"/>
          </reference>
          <reference field="1" count="1" selected="0">
            <x v="4"/>
          </reference>
          <reference field="7" count="1" selected="0">
            <x v="25"/>
          </reference>
          <reference field="8" count="1" selected="0">
            <x v="302"/>
          </reference>
          <reference field="25" count="1">
            <x v="5"/>
          </reference>
        </references>
      </pivotArea>
    </format>
    <format dxfId="14">
      <pivotArea dataOnly="0" labelOnly="1" fieldPosition="0">
        <references count="5">
          <reference field="0" count="1" selected="0">
            <x v="45"/>
          </reference>
          <reference field="1" count="1" selected="0">
            <x v="28"/>
          </reference>
          <reference field="7" count="1" selected="0">
            <x v="91"/>
          </reference>
          <reference field="8" count="1" selected="0">
            <x v="302"/>
          </reference>
          <reference field="25" count="1">
            <x v="0"/>
          </reference>
        </references>
      </pivotArea>
    </format>
    <format dxfId="13">
      <pivotArea dataOnly="0" labelOnly="1" fieldPosition="0">
        <references count="5">
          <reference field="0" count="1" selected="0">
            <x v="34"/>
          </reference>
          <reference field="1" count="1" selected="0">
            <x v="26"/>
          </reference>
          <reference field="7" count="1" selected="0">
            <x v="8"/>
          </reference>
          <reference field="8" count="1" selected="0">
            <x v="320"/>
          </reference>
          <reference field="25" count="1">
            <x v="0"/>
          </reference>
        </references>
      </pivotArea>
    </format>
    <format dxfId="12">
      <pivotArea dataOnly="0" labelOnly="1" fieldPosition="0">
        <references count="5">
          <reference field="0" count="1" selected="0">
            <x v="46"/>
          </reference>
          <reference field="1" count="1" selected="0">
            <x v="25"/>
          </reference>
          <reference field="7" count="1" selected="0">
            <x v="68"/>
          </reference>
          <reference field="8" count="1" selected="0">
            <x v="320"/>
          </reference>
          <reference field="25" count="1">
            <x v="0"/>
          </reference>
        </references>
      </pivotArea>
    </format>
    <format dxfId="11">
      <pivotArea dataOnly="0" labelOnly="1" fieldPosition="0">
        <references count="5">
          <reference field="0" count="1" selected="0">
            <x v="34"/>
          </reference>
          <reference field="1" count="1" selected="0">
            <x v="26"/>
          </reference>
          <reference field="7" count="1" selected="0">
            <x v="8"/>
          </reference>
          <reference field="8" count="1" selected="0">
            <x v="321"/>
          </reference>
          <reference field="25" count="1">
            <x v="0"/>
          </reference>
        </references>
      </pivotArea>
    </format>
    <format dxfId="10">
      <pivotArea dataOnly="0" labelOnly="1" fieldPosition="0">
        <references count="5">
          <reference field="0" count="1" selected="0">
            <x v="34"/>
          </reference>
          <reference field="1" count="1" selected="0">
            <x v="26"/>
          </reference>
          <reference field="7" count="1" selected="0">
            <x v="69"/>
          </reference>
          <reference field="8" count="1" selected="0">
            <x v="321"/>
          </reference>
          <reference field="25" count="1">
            <x v="0"/>
          </reference>
        </references>
      </pivotArea>
    </format>
    <format dxfId="9">
      <pivotArea dataOnly="0" labelOnly="1" fieldPosition="0">
        <references count="5">
          <reference field="0" count="1" selected="0">
            <x v="46"/>
          </reference>
          <reference field="1" count="1" selected="0">
            <x v="25"/>
          </reference>
          <reference field="7" count="1" selected="0">
            <x v="86"/>
          </reference>
          <reference field="8" count="1" selected="0">
            <x v="321"/>
          </reference>
          <reference field="25" count="1">
            <x v="0"/>
          </reference>
        </references>
      </pivotArea>
    </format>
    <format dxfId="8">
      <pivotArea dataOnly="0" labelOnly="1" fieldPosition="0">
        <references count="5">
          <reference field="0" count="1" selected="0">
            <x v="33"/>
          </reference>
          <reference field="1" count="1" selected="0">
            <x v="37"/>
          </reference>
          <reference field="7" count="1" selected="0">
            <x v="40"/>
          </reference>
          <reference field="8" count="1" selected="0">
            <x v="322"/>
          </reference>
          <reference field="25" count="1">
            <x v="2"/>
          </reference>
        </references>
      </pivotArea>
    </format>
    <format dxfId="7">
      <pivotArea dataOnly="0" labelOnly="1" fieldPosition="0">
        <references count="5">
          <reference field="0" count="1" selected="0">
            <x v="42"/>
          </reference>
          <reference field="1" count="1" selected="0">
            <x v="10"/>
          </reference>
          <reference field="7" count="1" selected="0">
            <x v="65"/>
          </reference>
          <reference field="8" count="1" selected="0">
            <x v="322"/>
          </reference>
          <reference field="25" count="1">
            <x v="0"/>
          </reference>
        </references>
      </pivotArea>
    </format>
    <format dxfId="6">
      <pivotArea dataOnly="0" labelOnly="1" fieldPosition="0">
        <references count="5">
          <reference field="0" count="1" selected="0">
            <x v="42"/>
          </reference>
          <reference field="1" count="1" selected="0">
            <x v="10"/>
          </reference>
          <reference field="7" count="1" selected="0">
            <x v="66"/>
          </reference>
          <reference field="8" count="1" selected="0">
            <x v="322"/>
          </reference>
          <reference field="25" count="1">
            <x v="0"/>
          </reference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dataOnly="0" outline="0" fieldPosition="0">
        <references count="1">
          <reference field="8" count="0" sumSubtotal="1"/>
        </references>
      </pivotArea>
    </format>
    <format dxfId="3">
      <pivotArea dataOnly="0" labelOnly="1" fieldPosition="0">
        <references count="4">
          <reference field="0" count="1" selected="0">
            <x v="9"/>
          </reference>
          <reference field="1" count="1" selected="0">
            <x v="32"/>
          </reference>
          <reference field="7" count="1">
            <x v="72"/>
          </reference>
          <reference field="8" count="1" selected="0">
            <x v="173"/>
          </reference>
        </references>
      </pivotArea>
    </format>
    <format dxfId="2">
      <pivotArea dataOnly="0" labelOnly="1" fieldPosition="0">
        <references count="4">
          <reference field="0" count="1" selected="0">
            <x v="12"/>
          </reference>
          <reference field="1" count="1" selected="0">
            <x v="33"/>
          </reference>
          <reference field="7" count="1">
            <x v="69"/>
          </reference>
          <reference field="8" count="1" selected="0">
            <x v="177"/>
          </reference>
        </references>
      </pivotArea>
    </format>
    <format dxfId="1">
      <pivotArea field="7" type="button" dataOnly="0" labelOnly="1" outline="0" axis="axisRow" fieldPosition="3"/>
    </format>
    <format dxfId="0">
      <pivotArea field="25" type="button" dataOnly="0" labelOnly="1" outline="0" axis="axisRow" fieldPosition="4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E5B8D-585F-4CDF-A9E1-6F81F696B94C}">
  <sheetPr codeName="Sheet1">
    <tabColor theme="7" tint="0.39997558519241921"/>
  </sheetPr>
  <dimension ref="A1:F4"/>
  <sheetViews>
    <sheetView zoomScale="90" zoomScaleNormal="90" workbookViewId="0">
      <selection activeCell="C18" sqref="C18"/>
    </sheetView>
  </sheetViews>
  <sheetFormatPr defaultRowHeight="14" x14ac:dyDescent="0.3"/>
  <cols>
    <col min="1" max="1" width="10.9140625" customWidth="1"/>
    <col min="2" max="2" width="38.1640625" bestFit="1" customWidth="1"/>
    <col min="3" max="4" width="19.5" bestFit="1" customWidth="1"/>
    <col min="5" max="5" width="8.6640625" style="7"/>
    <col min="6" max="6" width="20.6640625" bestFit="1" customWidth="1"/>
  </cols>
  <sheetData>
    <row r="1" spans="1:6" x14ac:dyDescent="0.3">
      <c r="A1" s="38" t="s">
        <v>25</v>
      </c>
      <c r="B1" s="38" t="s">
        <v>26</v>
      </c>
      <c r="C1" s="70" t="s">
        <v>192</v>
      </c>
      <c r="D1" s="70" t="s">
        <v>192</v>
      </c>
      <c r="E1" s="37" t="s">
        <v>61</v>
      </c>
      <c r="F1" s="38" t="s">
        <v>228</v>
      </c>
    </row>
    <row r="2" spans="1:6" x14ac:dyDescent="0.3">
      <c r="A2" t="s">
        <v>126</v>
      </c>
      <c r="B2" t="s">
        <v>127</v>
      </c>
      <c r="C2" t="s">
        <v>225</v>
      </c>
      <c r="D2" t="s">
        <v>226</v>
      </c>
      <c r="E2" s="7">
        <f>22/10</f>
        <v>2.2000000000000002</v>
      </c>
      <c r="F2" t="s">
        <v>227</v>
      </c>
    </row>
    <row r="3" spans="1:6" x14ac:dyDescent="0.3">
      <c r="A3" t="s">
        <v>121</v>
      </c>
      <c r="B3" t="s">
        <v>122</v>
      </c>
      <c r="C3" t="s">
        <v>229</v>
      </c>
      <c r="E3" s="7">
        <f>5/3</f>
        <v>1.6666666666666667</v>
      </c>
    </row>
    <row r="4" spans="1:6" x14ac:dyDescent="0.3">
      <c r="A4" t="s">
        <v>104</v>
      </c>
      <c r="B4" t="s">
        <v>105</v>
      </c>
      <c r="C4" t="s">
        <v>229</v>
      </c>
      <c r="E4" s="7">
        <f>5/3</f>
        <v>1.6666666666666667</v>
      </c>
    </row>
  </sheetData>
  <phoneticPr fontId="3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BB50-8F75-40FD-8EF5-9BCD72BB0173}">
  <sheetPr codeName="Sheet3"/>
  <dimension ref="A2:K19"/>
  <sheetViews>
    <sheetView showGridLines="0" workbookViewId="0">
      <selection activeCell="B7" sqref="B7"/>
    </sheetView>
  </sheetViews>
  <sheetFormatPr defaultColWidth="8.83203125" defaultRowHeight="12.5" x14ac:dyDescent="0.25"/>
  <cols>
    <col min="1" max="1" width="9.33203125" style="22" customWidth="1"/>
    <col min="2" max="2" width="33.08203125" style="22" customWidth="1"/>
    <col min="3" max="3" width="8.5" style="22" bestFit="1" customWidth="1"/>
    <col min="4" max="7" width="10.08203125" style="22" bestFit="1" customWidth="1"/>
    <col min="8" max="8" width="3.33203125" style="22" customWidth="1"/>
    <col min="9" max="9" width="12.58203125" style="22" customWidth="1"/>
    <col min="10" max="10" width="9.33203125" style="22" bestFit="1" customWidth="1"/>
    <col min="11" max="16384" width="8.83203125" style="22"/>
  </cols>
  <sheetData>
    <row r="2" spans="1:11" ht="22.75" customHeight="1" x14ac:dyDescent="0.25">
      <c r="A2" s="21" t="s">
        <v>0</v>
      </c>
      <c r="B2" s="21" t="s">
        <v>1</v>
      </c>
      <c r="C2" s="21" t="s">
        <v>2</v>
      </c>
      <c r="D2" s="21" t="s">
        <v>3</v>
      </c>
      <c r="E2" s="21" t="s">
        <v>4</v>
      </c>
      <c r="F2" s="21" t="s">
        <v>5</v>
      </c>
      <c r="G2" s="21" t="s">
        <v>6</v>
      </c>
      <c r="I2" s="21" t="s">
        <v>7</v>
      </c>
      <c r="J2" s="21" t="s">
        <v>8</v>
      </c>
    </row>
    <row r="3" spans="1:11" x14ac:dyDescent="0.25">
      <c r="A3" s="23" t="s">
        <v>9</v>
      </c>
      <c r="B3" s="24" t="s">
        <v>10</v>
      </c>
      <c r="D3" s="25" t="e">
        <f>#REF!</f>
        <v>#REF!</v>
      </c>
      <c r="E3" s="26"/>
      <c r="G3" s="25" t="e">
        <f>C3+D3+E3+F3</f>
        <v>#REF!</v>
      </c>
    </row>
    <row r="4" spans="1:11" x14ac:dyDescent="0.25">
      <c r="A4" s="23" t="s">
        <v>11</v>
      </c>
      <c r="B4" s="24" t="s">
        <v>12</v>
      </c>
      <c r="C4" s="27">
        <f>2001750/1000</f>
        <v>2001.75</v>
      </c>
      <c r="D4" s="25" t="e">
        <f>#REF!</f>
        <v>#REF!</v>
      </c>
      <c r="E4" s="26" t="e">
        <f>VLOOKUP(A4,#REF!,3,0)</f>
        <v>#REF!</v>
      </c>
      <c r="G4" s="25" t="e">
        <f t="shared" ref="G4:G11" si="0">C4+D4+E4+F4</f>
        <v>#REF!</v>
      </c>
      <c r="I4" s="29">
        <v>4615220</v>
      </c>
      <c r="J4" s="22">
        <f>I4/1000</f>
        <v>4615.22</v>
      </c>
      <c r="K4" s="25" t="e">
        <f>J4-G4</f>
        <v>#REF!</v>
      </c>
    </row>
    <row r="5" spans="1:11" x14ac:dyDescent="0.25">
      <c r="A5" s="23" t="s">
        <v>13</v>
      </c>
      <c r="B5" s="24" t="s">
        <v>14</v>
      </c>
      <c r="C5" s="27">
        <f>8854116/1000</f>
        <v>8854.116</v>
      </c>
      <c r="D5" s="25" t="e">
        <f>#REF!</f>
        <v>#REF!</v>
      </c>
      <c r="E5" s="26" t="e">
        <f>VLOOKUP(A5,#REF!,3,0)</f>
        <v>#REF!</v>
      </c>
      <c r="G5" s="25" t="e">
        <f>C5+D5+E5+F5</f>
        <v>#REF!</v>
      </c>
      <c r="I5" s="29">
        <v>2119076</v>
      </c>
      <c r="J5" s="22">
        <f t="shared" ref="J5:J6" si="1">I5/1000</f>
        <v>2119.076</v>
      </c>
      <c r="K5" s="25" t="e">
        <f t="shared" ref="K5:K6" si="2">J5-G5</f>
        <v>#REF!</v>
      </c>
    </row>
    <row r="6" spans="1:11" x14ac:dyDescent="0.25">
      <c r="A6" s="23" t="s">
        <v>15</v>
      </c>
      <c r="B6" s="24" t="s">
        <v>16</v>
      </c>
      <c r="C6" s="22">
        <f>163520/1000</f>
        <v>163.52000000000001</v>
      </c>
      <c r="D6" s="25" t="e">
        <f>#REF!</f>
        <v>#REF!</v>
      </c>
      <c r="E6" s="26">
        <v>0</v>
      </c>
      <c r="G6" s="25" t="e">
        <f t="shared" si="0"/>
        <v>#REF!</v>
      </c>
      <c r="H6" s="25"/>
      <c r="I6" s="29">
        <v>6254120</v>
      </c>
      <c r="J6" s="22">
        <f t="shared" si="1"/>
        <v>6254.12</v>
      </c>
      <c r="K6" s="25" t="e">
        <f t="shared" si="2"/>
        <v>#REF!</v>
      </c>
    </row>
    <row r="7" spans="1:11" x14ac:dyDescent="0.25">
      <c r="G7" s="25">
        <f t="shared" si="0"/>
        <v>0</v>
      </c>
    </row>
    <row r="8" spans="1:11" x14ac:dyDescent="0.25">
      <c r="A8" s="23" t="s">
        <v>17</v>
      </c>
      <c r="B8" s="24" t="s">
        <v>18</v>
      </c>
      <c r="D8" s="25" t="e">
        <f>#REF!</f>
        <v>#REF!</v>
      </c>
      <c r="E8" s="26">
        <v>0</v>
      </c>
      <c r="G8" s="25" t="e">
        <f t="shared" si="0"/>
        <v>#REF!</v>
      </c>
    </row>
    <row r="9" spans="1:11" x14ac:dyDescent="0.25">
      <c r="A9" s="23" t="s">
        <v>19</v>
      </c>
      <c r="B9" s="24" t="s">
        <v>20</v>
      </c>
      <c r="C9" s="26">
        <f>5283220/1000</f>
        <v>5283.22</v>
      </c>
      <c r="D9" s="25" t="e">
        <f>#REF!</f>
        <v>#REF!</v>
      </c>
      <c r="E9" s="26" t="e">
        <f>VLOOKUP(A9,#REF!,3,0)</f>
        <v>#REF!</v>
      </c>
      <c r="G9" s="25" t="e">
        <f t="shared" si="0"/>
        <v>#REF!</v>
      </c>
      <c r="I9" s="29">
        <v>8713060</v>
      </c>
      <c r="J9" s="22">
        <f t="shared" ref="J9" si="3">I9/1000</f>
        <v>8713.06</v>
      </c>
      <c r="K9" s="25" t="e">
        <f t="shared" ref="K9:K10" si="4">J9-G9</f>
        <v>#REF!</v>
      </c>
    </row>
    <row r="10" spans="1:11" x14ac:dyDescent="0.25">
      <c r="A10" s="23" t="s">
        <v>21</v>
      </c>
      <c r="B10" s="24" t="s">
        <v>22</v>
      </c>
      <c r="C10" s="22">
        <f>57530/1000</f>
        <v>57.53</v>
      </c>
      <c r="D10" s="25" t="e">
        <f>#REF!</f>
        <v>#REF!</v>
      </c>
      <c r="E10" s="26">
        <v>0</v>
      </c>
      <c r="G10" s="25" t="e">
        <f t="shared" si="0"/>
        <v>#REF!</v>
      </c>
      <c r="H10" s="25"/>
      <c r="I10" s="29">
        <v>294630</v>
      </c>
      <c r="J10" s="22">
        <f>I10/1000</f>
        <v>294.63</v>
      </c>
      <c r="K10" s="25" t="e">
        <f t="shared" si="4"/>
        <v>#REF!</v>
      </c>
    </row>
    <row r="11" spans="1:11" x14ac:dyDescent="0.25">
      <c r="G11" s="25">
        <f t="shared" si="0"/>
        <v>0</v>
      </c>
    </row>
    <row r="12" spans="1:11" x14ac:dyDescent="0.25">
      <c r="A12" s="23" t="s">
        <v>23</v>
      </c>
      <c r="B12" s="24" t="s">
        <v>24</v>
      </c>
      <c r="E12" s="26" t="e">
        <f>VLOOKUP(A12,#REF!,3,0)</f>
        <v>#REF!</v>
      </c>
      <c r="F12" s="25" t="e">
        <f>#REF!</f>
        <v>#REF!</v>
      </c>
      <c r="G12" s="25" t="e">
        <f>C12+D12+E12+F12</f>
        <v>#REF!</v>
      </c>
      <c r="I12" s="25">
        <f>SUM(I4:I11)</f>
        <v>21996106</v>
      </c>
      <c r="J12" s="25">
        <f>I12/1000</f>
        <v>21996.106</v>
      </c>
    </row>
    <row r="13" spans="1:11" x14ac:dyDescent="0.25">
      <c r="I13" s="26"/>
    </row>
    <row r="15" spans="1:11" x14ac:dyDescent="0.25">
      <c r="A15" s="23"/>
    </row>
    <row r="16" spans="1:11" x14ac:dyDescent="0.25">
      <c r="A16" s="23"/>
    </row>
    <row r="17" spans="1:1" x14ac:dyDescent="0.25">
      <c r="A17" s="23"/>
    </row>
    <row r="18" spans="1:1" x14ac:dyDescent="0.25">
      <c r="A18" s="23"/>
    </row>
    <row r="19" spans="1:1" x14ac:dyDescent="0.25">
      <c r="A19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65115-F3BD-4A97-8892-0B5DFE830F64}">
  <sheetPr codeName="Sheet4"/>
  <dimension ref="A1:F22"/>
  <sheetViews>
    <sheetView zoomScale="90" zoomScaleNormal="90" workbookViewId="0">
      <selection activeCell="C2" sqref="C2"/>
    </sheetView>
  </sheetViews>
  <sheetFormatPr defaultRowHeight="14" x14ac:dyDescent="0.3"/>
  <cols>
    <col min="1" max="1" width="13.58203125" bestFit="1" customWidth="1"/>
    <col min="2" max="2" width="35.1640625" bestFit="1" customWidth="1"/>
    <col min="3" max="3" width="22.5" style="7" bestFit="1" customWidth="1"/>
    <col min="4" max="4" width="22.33203125" style="7" bestFit="1" customWidth="1"/>
    <col min="5" max="39" width="16.58203125" bestFit="1" customWidth="1"/>
    <col min="40" max="40" width="11.6640625" bestFit="1" customWidth="1"/>
  </cols>
  <sheetData>
    <row r="1" spans="1:6" x14ac:dyDescent="0.3">
      <c r="A1" s="5" t="s">
        <v>28</v>
      </c>
      <c r="B1" t="s">
        <v>212</v>
      </c>
    </row>
    <row r="2" spans="1:6" x14ac:dyDescent="0.3">
      <c r="A2" s="5" t="s">
        <v>0</v>
      </c>
      <c r="B2" t="s">
        <v>210</v>
      </c>
    </row>
    <row r="4" spans="1:6" x14ac:dyDescent="0.3">
      <c r="A4" s="5" t="s">
        <v>135</v>
      </c>
      <c r="B4" s="5" t="s">
        <v>26</v>
      </c>
      <c r="C4" s="7" t="s">
        <v>211</v>
      </c>
      <c r="D4" s="7" t="s">
        <v>213</v>
      </c>
      <c r="F4" s="128" t="s">
        <v>61</v>
      </c>
    </row>
    <row r="5" spans="1:6" x14ac:dyDescent="0.3">
      <c r="A5" t="s">
        <v>9</v>
      </c>
      <c r="B5" t="s">
        <v>10</v>
      </c>
      <c r="C5" s="7">
        <v>-137290.81</v>
      </c>
      <c r="D5" s="7">
        <v>-35039994.870000005</v>
      </c>
      <c r="E5" s="124">
        <f>D5</f>
        <v>-35039994.870000005</v>
      </c>
      <c r="F5" s="7">
        <f>D5/C5</f>
        <v>255.22462042433872</v>
      </c>
    </row>
    <row r="6" spans="1:6" x14ac:dyDescent="0.3">
      <c r="A6" t="s">
        <v>17</v>
      </c>
      <c r="B6" t="s">
        <v>18</v>
      </c>
      <c r="C6" s="7">
        <v>-38128.159999999996</v>
      </c>
      <c r="D6" s="7">
        <v>-7454234.2199999988</v>
      </c>
      <c r="E6" s="127">
        <f>D6</f>
        <v>-7454234.2199999988</v>
      </c>
      <c r="F6" s="7">
        <f>D6/C6</f>
        <v>195.50469311920637</v>
      </c>
    </row>
    <row r="7" spans="1:6" x14ac:dyDescent="0.3">
      <c r="A7" t="s">
        <v>145</v>
      </c>
      <c r="C7" s="7">
        <v>-175418.97</v>
      </c>
      <c r="D7" s="7">
        <v>-42494229.090000004</v>
      </c>
    </row>
    <row r="9" spans="1:6" x14ac:dyDescent="0.3">
      <c r="A9" s="5" t="s">
        <v>28</v>
      </c>
      <c r="B9" t="s">
        <v>212</v>
      </c>
    </row>
    <row r="10" spans="1:6" x14ac:dyDescent="0.3">
      <c r="A10" s="5" t="s">
        <v>0</v>
      </c>
      <c r="B10" t="s">
        <v>209</v>
      </c>
    </row>
    <row r="12" spans="1:6" x14ac:dyDescent="0.3">
      <c r="A12" s="5" t="s">
        <v>135</v>
      </c>
      <c r="B12" s="5" t="s">
        <v>26</v>
      </c>
      <c r="C12" s="125" t="s">
        <v>211</v>
      </c>
      <c r="D12" s="7" t="s">
        <v>213</v>
      </c>
    </row>
    <row r="13" spans="1:6" x14ac:dyDescent="0.3">
      <c r="A13" s="6" t="s">
        <v>11</v>
      </c>
      <c r="B13" s="6" t="s">
        <v>12</v>
      </c>
      <c r="C13" s="7">
        <v>-10300.779999999999</v>
      </c>
      <c r="D13" s="7">
        <v>-2748454.12</v>
      </c>
      <c r="F13" s="7">
        <f t="shared" ref="F13:F16" si="0">D13/C13</f>
        <v>266.82000003883206</v>
      </c>
    </row>
    <row r="14" spans="1:6" x14ac:dyDescent="0.3">
      <c r="A14" s="6" t="s">
        <v>13</v>
      </c>
      <c r="B14" s="6" t="s">
        <v>14</v>
      </c>
      <c r="C14" s="7">
        <v>-117559.88000000002</v>
      </c>
      <c r="D14" s="7">
        <v>-31367327.18</v>
      </c>
      <c r="F14" s="7">
        <f t="shared" si="0"/>
        <v>266.81999998638986</v>
      </c>
    </row>
    <row r="15" spans="1:6" x14ac:dyDescent="0.3">
      <c r="A15" s="6" t="s">
        <v>15</v>
      </c>
      <c r="B15" s="6" t="s">
        <v>16</v>
      </c>
      <c r="C15" s="7">
        <v>-5283.6</v>
      </c>
      <c r="D15" s="7">
        <v>-1409770.14</v>
      </c>
      <c r="E15" s="124">
        <f>D13+D14+D15</f>
        <v>-35525551.439999998</v>
      </c>
      <c r="F15" s="7">
        <f t="shared" si="0"/>
        <v>266.81999772882119</v>
      </c>
    </row>
    <row r="16" spans="1:6" x14ac:dyDescent="0.3">
      <c r="A16" s="6" t="s">
        <v>19</v>
      </c>
      <c r="B16" s="6" t="s">
        <v>20</v>
      </c>
      <c r="C16" s="7">
        <v>-33550.239999999998</v>
      </c>
      <c r="D16" s="7">
        <v>-6872095.6600000001</v>
      </c>
      <c r="E16" s="127">
        <f>D16</f>
        <v>-6872095.6600000001</v>
      </c>
      <c r="F16" s="7">
        <f t="shared" si="0"/>
        <v>204.83000002384486</v>
      </c>
    </row>
    <row r="17" spans="1:5" x14ac:dyDescent="0.3">
      <c r="A17" s="6" t="s">
        <v>145</v>
      </c>
      <c r="C17" s="7">
        <v>-166694.5</v>
      </c>
      <c r="D17" s="7">
        <v>-42397647.099999994</v>
      </c>
    </row>
    <row r="19" spans="1:5" s="121" customFormat="1" x14ac:dyDescent="0.3">
      <c r="A19" s="126" t="s">
        <v>156</v>
      </c>
      <c r="B19" s="121" t="s">
        <v>214</v>
      </c>
      <c r="C19" s="84">
        <f>C5-C13-C14-C15</f>
        <v>-4146.5499999999793</v>
      </c>
      <c r="D19" s="84">
        <f>D5-D13-D14-D15</f>
        <v>485556.56999999587</v>
      </c>
      <c r="E19" s="122">
        <f>E5-E15</f>
        <v>485556.56999999285</v>
      </c>
    </row>
    <row r="20" spans="1:5" s="121" customFormat="1" x14ac:dyDescent="0.3">
      <c r="B20" s="121" t="s">
        <v>215</v>
      </c>
      <c r="C20" s="84">
        <f>C6-C16</f>
        <v>-4577.9199999999983</v>
      </c>
      <c r="D20" s="84">
        <f>D6-D16</f>
        <v>-582138.55999999866</v>
      </c>
      <c r="E20" s="122">
        <f>E6-E16</f>
        <v>-582138.55999999866</v>
      </c>
    </row>
    <row r="22" spans="1:5" x14ac:dyDescent="0.3">
      <c r="C22" s="36">
        <f>SUM(C19:C21)</f>
        <v>-8724.4699999999775</v>
      </c>
      <c r="D22" s="36">
        <f>SUM(D19:D21)</f>
        <v>-96581.990000002785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7663-F94D-43DF-8A84-A7F237352359}">
  <sheetPr codeName="Sheet16">
    <tabColor rgb="FF92D050"/>
  </sheetPr>
  <dimension ref="A1:F86"/>
  <sheetViews>
    <sheetView showGridLines="0" topLeftCell="A28" zoomScale="80" zoomScaleNormal="80" workbookViewId="0">
      <selection activeCell="A86" sqref="A86"/>
    </sheetView>
  </sheetViews>
  <sheetFormatPr defaultRowHeight="14" x14ac:dyDescent="0.3"/>
  <cols>
    <col min="1" max="1" width="15.83203125" bestFit="1" customWidth="1"/>
    <col min="2" max="2" width="10.33203125" customWidth="1"/>
    <col min="3" max="3" width="35.08203125" bestFit="1" customWidth="1"/>
    <col min="4" max="4" width="11.1640625" style="15" customWidth="1"/>
  </cols>
  <sheetData>
    <row r="1" spans="1:6" s="16" customFormat="1" x14ac:dyDescent="0.3">
      <c r="A1" s="146" t="s">
        <v>193</v>
      </c>
      <c r="B1" s="146" t="s">
        <v>25</v>
      </c>
      <c r="C1" s="146" t="s">
        <v>26</v>
      </c>
      <c r="D1" s="147" t="s">
        <v>217</v>
      </c>
    </row>
    <row r="2" spans="1:6" x14ac:dyDescent="0.3">
      <c r="A2" s="320" t="s">
        <v>451</v>
      </c>
      <c r="B2" s="121" t="s">
        <v>136</v>
      </c>
      <c r="C2" s="121" t="s">
        <v>195</v>
      </c>
      <c r="D2" s="15" t="s">
        <v>3</v>
      </c>
    </row>
    <row r="3" spans="1:6" x14ac:dyDescent="0.3">
      <c r="A3" s="320" t="s">
        <v>462</v>
      </c>
      <c r="B3" s="121" t="s">
        <v>136</v>
      </c>
      <c r="C3" s="121" t="s">
        <v>195</v>
      </c>
      <c r="D3" s="15" t="s">
        <v>3</v>
      </c>
    </row>
    <row r="4" spans="1:6" x14ac:dyDescent="0.3">
      <c r="A4" s="320" t="s">
        <v>477</v>
      </c>
      <c r="B4" s="121" t="s">
        <v>136</v>
      </c>
      <c r="C4" s="121" t="s">
        <v>195</v>
      </c>
      <c r="D4" s="15" t="s">
        <v>3</v>
      </c>
      <c r="F4" t="s">
        <v>194</v>
      </c>
    </row>
    <row r="5" spans="1:6" x14ac:dyDescent="0.3">
      <c r="A5" s="320" t="s">
        <v>589</v>
      </c>
      <c r="B5" s="121" t="s">
        <v>136</v>
      </c>
      <c r="C5" s="121" t="s">
        <v>195</v>
      </c>
      <c r="D5" s="15" t="s">
        <v>3</v>
      </c>
    </row>
    <row r="6" spans="1:6" x14ac:dyDescent="0.3">
      <c r="A6" s="320" t="s">
        <v>629</v>
      </c>
      <c r="B6" s="121" t="s">
        <v>136</v>
      </c>
      <c r="C6" s="121" t="s">
        <v>195</v>
      </c>
      <c r="D6" s="15" t="s">
        <v>3</v>
      </c>
    </row>
    <row r="7" spans="1:6" x14ac:dyDescent="0.3">
      <c r="A7" s="320" t="s">
        <v>777</v>
      </c>
      <c r="B7" s="121" t="s">
        <v>136</v>
      </c>
      <c r="C7" s="121" t="s">
        <v>195</v>
      </c>
      <c r="D7" s="15" t="s">
        <v>3</v>
      </c>
    </row>
    <row r="8" spans="1:6" x14ac:dyDescent="0.3">
      <c r="A8" s="320" t="s">
        <v>814</v>
      </c>
      <c r="B8" s="121" t="s">
        <v>136</v>
      </c>
      <c r="C8" s="121" t="s">
        <v>195</v>
      </c>
      <c r="D8" s="15" t="s">
        <v>3</v>
      </c>
    </row>
    <row r="9" spans="1:6" x14ac:dyDescent="0.3">
      <c r="A9" s="320" t="s">
        <v>947</v>
      </c>
      <c r="B9" s="121" t="s">
        <v>136</v>
      </c>
      <c r="C9" s="121" t="s">
        <v>195</v>
      </c>
      <c r="D9" s="15" t="s">
        <v>3</v>
      </c>
    </row>
    <row r="10" spans="1:6" x14ac:dyDescent="0.3">
      <c r="A10" s="320" t="s">
        <v>951</v>
      </c>
      <c r="B10" s="121" t="s">
        <v>136</v>
      </c>
      <c r="C10" s="121" t="s">
        <v>195</v>
      </c>
      <c r="D10" s="15" t="s">
        <v>3</v>
      </c>
    </row>
    <row r="11" spans="1:6" x14ac:dyDescent="0.3">
      <c r="A11" s="121" t="s">
        <v>955</v>
      </c>
      <c r="B11" s="121" t="s">
        <v>136</v>
      </c>
      <c r="C11" s="121" t="s">
        <v>195</v>
      </c>
      <c r="D11" s="15" t="s">
        <v>3</v>
      </c>
    </row>
    <row r="12" spans="1:6" x14ac:dyDescent="0.3">
      <c r="A12" s="121" t="s">
        <v>1055</v>
      </c>
      <c r="B12" s="121" t="s">
        <v>136</v>
      </c>
      <c r="C12" s="121" t="s">
        <v>195</v>
      </c>
      <c r="D12" s="15" t="s">
        <v>3</v>
      </c>
    </row>
    <row r="13" spans="1:6" x14ac:dyDescent="0.3">
      <c r="A13" s="121" t="s">
        <v>1255</v>
      </c>
      <c r="B13" s="121" t="s">
        <v>136</v>
      </c>
      <c r="C13" s="121" t="s">
        <v>195</v>
      </c>
      <c r="D13" s="15" t="s">
        <v>3</v>
      </c>
    </row>
    <row r="14" spans="1:6" x14ac:dyDescent="0.3">
      <c r="A14" s="121" t="s">
        <v>1264</v>
      </c>
      <c r="B14" s="121" t="s">
        <v>136</v>
      </c>
      <c r="C14" s="121" t="s">
        <v>195</v>
      </c>
      <c r="D14" s="15" t="s">
        <v>3</v>
      </c>
    </row>
    <row r="15" spans="1:6" x14ac:dyDescent="0.3">
      <c r="A15" s="121" t="s">
        <v>1273</v>
      </c>
      <c r="B15" s="121" t="s">
        <v>136</v>
      </c>
      <c r="C15" s="121" t="s">
        <v>195</v>
      </c>
      <c r="D15" s="15" t="s">
        <v>3</v>
      </c>
    </row>
    <row r="16" spans="1:6" x14ac:dyDescent="0.3">
      <c r="A16" s="121" t="s">
        <v>1426</v>
      </c>
      <c r="B16" s="121" t="s">
        <v>136</v>
      </c>
      <c r="C16" s="121" t="s">
        <v>195</v>
      </c>
      <c r="D16" s="15" t="s">
        <v>3</v>
      </c>
    </row>
    <row r="17" spans="1:4" x14ac:dyDescent="0.3">
      <c r="A17" s="121" t="s">
        <v>1459</v>
      </c>
      <c r="B17" s="121" t="s">
        <v>136</v>
      </c>
      <c r="C17" s="121" t="s">
        <v>195</v>
      </c>
      <c r="D17" s="15" t="s">
        <v>3</v>
      </c>
    </row>
    <row r="18" spans="1:4" x14ac:dyDescent="0.3">
      <c r="A18" s="121" t="s">
        <v>1732</v>
      </c>
      <c r="B18" s="121" t="s">
        <v>136</v>
      </c>
      <c r="C18" s="121" t="s">
        <v>195</v>
      </c>
      <c r="D18" s="15" t="s">
        <v>3</v>
      </c>
    </row>
    <row r="19" spans="1:4" x14ac:dyDescent="0.3">
      <c r="A19" s="121" t="s">
        <v>1736</v>
      </c>
      <c r="B19" s="121" t="s">
        <v>136</v>
      </c>
      <c r="C19" s="121" t="s">
        <v>195</v>
      </c>
      <c r="D19" s="15" t="s">
        <v>3</v>
      </c>
    </row>
    <row r="20" spans="1:4" x14ac:dyDescent="0.3">
      <c r="A20" s="121" t="s">
        <v>1760</v>
      </c>
      <c r="B20" s="121" t="s">
        <v>136</v>
      </c>
      <c r="C20" s="121" t="s">
        <v>195</v>
      </c>
      <c r="D20" s="15" t="s">
        <v>3</v>
      </c>
    </row>
    <row r="21" spans="1:4" x14ac:dyDescent="0.3">
      <c r="A21" s="121" t="s">
        <v>1951</v>
      </c>
      <c r="B21" s="121" t="s">
        <v>136</v>
      </c>
      <c r="C21" s="121" t="s">
        <v>195</v>
      </c>
      <c r="D21" s="15" t="s">
        <v>3</v>
      </c>
    </row>
    <row r="22" spans="1:4" x14ac:dyDescent="0.3">
      <c r="A22" s="121" t="s">
        <v>1955</v>
      </c>
      <c r="B22" s="121" t="s">
        <v>136</v>
      </c>
      <c r="C22" s="121" t="s">
        <v>195</v>
      </c>
      <c r="D22" s="15" t="s">
        <v>3</v>
      </c>
    </row>
    <row r="23" spans="1:4" x14ac:dyDescent="0.3">
      <c r="A23" s="121" t="s">
        <v>2065</v>
      </c>
      <c r="B23" s="121" t="s">
        <v>136</v>
      </c>
      <c r="C23" s="121" t="s">
        <v>195</v>
      </c>
      <c r="D23" s="15" t="s">
        <v>3</v>
      </c>
    </row>
    <row r="24" spans="1:4" x14ac:dyDescent="0.3">
      <c r="A24" s="121"/>
      <c r="B24" s="121"/>
      <c r="C24" s="121"/>
    </row>
    <row r="25" spans="1:4" x14ac:dyDescent="0.3">
      <c r="A25" t="s">
        <v>1206</v>
      </c>
      <c r="B25" t="s">
        <v>75</v>
      </c>
      <c r="C25" t="s">
        <v>76</v>
      </c>
      <c r="D25" s="15" t="s">
        <v>299</v>
      </c>
    </row>
    <row r="26" spans="1:4" x14ac:dyDescent="0.3">
      <c r="A26" t="s">
        <v>599</v>
      </c>
      <c r="B26" t="s">
        <v>62</v>
      </c>
      <c r="C26" t="s">
        <v>63</v>
      </c>
      <c r="D26" s="15" t="s">
        <v>299</v>
      </c>
    </row>
    <row r="27" spans="1:4" x14ac:dyDescent="0.3">
      <c r="A27" t="s">
        <v>614</v>
      </c>
      <c r="B27" t="s">
        <v>81</v>
      </c>
      <c r="C27" t="s">
        <v>82</v>
      </c>
      <c r="D27" s="15" t="s">
        <v>299</v>
      </c>
    </row>
    <row r="28" spans="1:4" x14ac:dyDescent="0.3">
      <c r="A28" t="s">
        <v>633</v>
      </c>
      <c r="B28" t="s">
        <v>644</v>
      </c>
      <c r="C28" t="s">
        <v>645</v>
      </c>
      <c r="D28" s="15" t="s">
        <v>299</v>
      </c>
    </row>
    <row r="29" spans="1:4" x14ac:dyDescent="0.3">
      <c r="A29" t="s">
        <v>647</v>
      </c>
      <c r="B29" t="s">
        <v>81</v>
      </c>
      <c r="C29" t="s">
        <v>82</v>
      </c>
      <c r="D29" s="15" t="s">
        <v>299</v>
      </c>
    </row>
    <row r="30" spans="1:4" x14ac:dyDescent="0.3">
      <c r="A30" t="s">
        <v>657</v>
      </c>
      <c r="B30" t="s">
        <v>81</v>
      </c>
      <c r="C30" t="s">
        <v>82</v>
      </c>
      <c r="D30" s="15" t="s">
        <v>299</v>
      </c>
    </row>
    <row r="31" spans="1:4" x14ac:dyDescent="0.3">
      <c r="A31" t="s">
        <v>663</v>
      </c>
      <c r="B31" t="s">
        <v>81</v>
      </c>
      <c r="C31" t="s">
        <v>82</v>
      </c>
      <c r="D31" s="15" t="s">
        <v>299</v>
      </c>
    </row>
    <row r="32" spans="1:4" x14ac:dyDescent="0.3">
      <c r="A32" t="s">
        <v>996</v>
      </c>
      <c r="B32" t="s">
        <v>81</v>
      </c>
      <c r="C32" t="s">
        <v>82</v>
      </c>
      <c r="D32" s="15" t="s">
        <v>299</v>
      </c>
    </row>
    <row r="33" spans="1:4" x14ac:dyDescent="0.3">
      <c r="A33" t="s">
        <v>1007</v>
      </c>
      <c r="B33" t="s">
        <v>81</v>
      </c>
      <c r="C33" t="s">
        <v>82</v>
      </c>
      <c r="D33" s="15" t="s">
        <v>299</v>
      </c>
    </row>
    <row r="34" spans="1:4" x14ac:dyDescent="0.3">
      <c r="A34" t="s">
        <v>1013</v>
      </c>
      <c r="B34" t="s">
        <v>81</v>
      </c>
      <c r="C34" t="s">
        <v>82</v>
      </c>
      <c r="D34" s="15" t="s">
        <v>299</v>
      </c>
    </row>
    <row r="35" spans="1:4" x14ac:dyDescent="0.3">
      <c r="A35" t="s">
        <v>1018</v>
      </c>
      <c r="B35" t="s">
        <v>81</v>
      </c>
      <c r="C35" t="s">
        <v>82</v>
      </c>
      <c r="D35" s="15" t="s">
        <v>299</v>
      </c>
    </row>
    <row r="36" spans="1:4" x14ac:dyDescent="0.3">
      <c r="A36" t="s">
        <v>1243</v>
      </c>
      <c r="B36" t="s">
        <v>81</v>
      </c>
      <c r="C36" t="s">
        <v>82</v>
      </c>
      <c r="D36" s="15" t="s">
        <v>299</v>
      </c>
    </row>
    <row r="37" spans="1:4" x14ac:dyDescent="0.3">
      <c r="A37" t="s">
        <v>1249</v>
      </c>
      <c r="B37" t="s">
        <v>81</v>
      </c>
      <c r="C37" t="s">
        <v>82</v>
      </c>
      <c r="D37" s="15" t="s">
        <v>299</v>
      </c>
    </row>
    <row r="38" spans="1:4" x14ac:dyDescent="0.3">
      <c r="A38" t="s">
        <v>1387</v>
      </c>
      <c r="B38" t="s">
        <v>81</v>
      </c>
      <c r="C38" t="s">
        <v>82</v>
      </c>
      <c r="D38" s="15" t="s">
        <v>299</v>
      </c>
    </row>
    <row r="39" spans="1:4" x14ac:dyDescent="0.3">
      <c r="A39" t="s">
        <v>1398</v>
      </c>
      <c r="B39" t="s">
        <v>81</v>
      </c>
      <c r="C39" t="s">
        <v>82</v>
      </c>
      <c r="D39" s="15" t="s">
        <v>299</v>
      </c>
    </row>
    <row r="40" spans="1:4" x14ac:dyDescent="0.3">
      <c r="A40" t="s">
        <v>1463</v>
      </c>
      <c r="B40" t="s">
        <v>81</v>
      </c>
      <c r="C40" t="s">
        <v>82</v>
      </c>
      <c r="D40" s="15" t="s">
        <v>299</v>
      </c>
    </row>
    <row r="41" spans="1:4" x14ac:dyDescent="0.3">
      <c r="A41" t="s">
        <v>1481</v>
      </c>
      <c r="B41" t="s">
        <v>81</v>
      </c>
      <c r="C41" t="s">
        <v>82</v>
      </c>
      <c r="D41" s="15" t="s">
        <v>299</v>
      </c>
    </row>
    <row r="42" spans="1:4" x14ac:dyDescent="0.3">
      <c r="A42" t="s">
        <v>1486</v>
      </c>
      <c r="B42" t="s">
        <v>81</v>
      </c>
      <c r="C42" t="s">
        <v>82</v>
      </c>
      <c r="D42" s="15" t="s">
        <v>299</v>
      </c>
    </row>
    <row r="43" spans="1:4" x14ac:dyDescent="0.3">
      <c r="A43" t="s">
        <v>1491</v>
      </c>
      <c r="B43" t="s">
        <v>239</v>
      </c>
      <c r="C43" t="s">
        <v>240</v>
      </c>
      <c r="D43" s="15" t="s">
        <v>299</v>
      </c>
    </row>
    <row r="44" spans="1:4" x14ac:dyDescent="0.3">
      <c r="A44" t="s">
        <v>1794</v>
      </c>
      <c r="B44" t="s">
        <v>81</v>
      </c>
      <c r="C44" t="s">
        <v>82</v>
      </c>
      <c r="D44" s="15" t="s">
        <v>299</v>
      </c>
    </row>
    <row r="45" spans="1:4" x14ac:dyDescent="0.3">
      <c r="A45" t="s">
        <v>1799</v>
      </c>
      <c r="B45" t="s">
        <v>81</v>
      </c>
      <c r="C45" t="s">
        <v>82</v>
      </c>
      <c r="D45" s="15" t="s">
        <v>299</v>
      </c>
    </row>
    <row r="46" spans="1:4" x14ac:dyDescent="0.3">
      <c r="A46" t="s">
        <v>1804</v>
      </c>
      <c r="B46" t="s">
        <v>81</v>
      </c>
      <c r="C46" t="s">
        <v>82</v>
      </c>
      <c r="D46" s="15" t="s">
        <v>299</v>
      </c>
    </row>
    <row r="47" spans="1:4" x14ac:dyDescent="0.3">
      <c r="A47" t="s">
        <v>1809</v>
      </c>
      <c r="B47" t="s">
        <v>81</v>
      </c>
      <c r="C47" t="s">
        <v>82</v>
      </c>
      <c r="D47" s="15" t="s">
        <v>299</v>
      </c>
    </row>
    <row r="48" spans="1:4" x14ac:dyDescent="0.3">
      <c r="A48" t="s">
        <v>1814</v>
      </c>
      <c r="B48" t="s">
        <v>81</v>
      </c>
      <c r="C48" t="s">
        <v>82</v>
      </c>
      <c r="D48" s="15" t="s">
        <v>299</v>
      </c>
    </row>
    <row r="49" spans="1:4" x14ac:dyDescent="0.3">
      <c r="A49" t="s">
        <v>1824</v>
      </c>
      <c r="B49" t="s">
        <v>81</v>
      </c>
      <c r="C49" t="s">
        <v>82</v>
      </c>
      <c r="D49" s="15" t="s">
        <v>299</v>
      </c>
    </row>
    <row r="50" spans="1:4" x14ac:dyDescent="0.3">
      <c r="A50" t="s">
        <v>1974</v>
      </c>
      <c r="B50" t="s">
        <v>81</v>
      </c>
      <c r="C50" t="s">
        <v>82</v>
      </c>
      <c r="D50" s="15" t="s">
        <v>299</v>
      </c>
    </row>
    <row r="51" spans="1:4" x14ac:dyDescent="0.3">
      <c r="A51" t="s">
        <v>2024</v>
      </c>
      <c r="B51" t="s">
        <v>81</v>
      </c>
      <c r="C51" t="s">
        <v>82</v>
      </c>
      <c r="D51" s="15" t="s">
        <v>299</v>
      </c>
    </row>
    <row r="53" spans="1:4" x14ac:dyDescent="0.3">
      <c r="A53" t="s">
        <v>384</v>
      </c>
      <c r="B53" t="s">
        <v>75</v>
      </c>
      <c r="C53" t="s">
        <v>76</v>
      </c>
      <c r="D53" s="15" t="s">
        <v>300</v>
      </c>
    </row>
    <row r="54" spans="1:4" x14ac:dyDescent="0.3">
      <c r="A54" t="s">
        <v>604</v>
      </c>
      <c r="B54" t="s">
        <v>62</v>
      </c>
      <c r="C54" t="s">
        <v>63</v>
      </c>
      <c r="D54" s="15" t="s">
        <v>300</v>
      </c>
    </row>
    <row r="55" spans="1:4" x14ac:dyDescent="0.3">
      <c r="A55" t="s">
        <v>625</v>
      </c>
      <c r="B55" t="s">
        <v>81</v>
      </c>
      <c r="C55" t="s">
        <v>82</v>
      </c>
      <c r="D55" s="15" t="s">
        <v>300</v>
      </c>
    </row>
    <row r="56" spans="1:4" x14ac:dyDescent="0.3">
      <c r="A56" t="s">
        <v>640</v>
      </c>
      <c r="B56" t="s">
        <v>644</v>
      </c>
      <c r="C56" t="s">
        <v>645</v>
      </c>
      <c r="D56" s="15" t="s">
        <v>300</v>
      </c>
    </row>
    <row r="57" spans="1:4" x14ac:dyDescent="0.3">
      <c r="A57" t="s">
        <v>652</v>
      </c>
      <c r="B57" t="s">
        <v>81</v>
      </c>
      <c r="C57" t="s">
        <v>82</v>
      </c>
      <c r="D57" s="15" t="s">
        <v>300</v>
      </c>
    </row>
    <row r="58" spans="1:4" x14ac:dyDescent="0.3">
      <c r="A58" t="s">
        <v>986</v>
      </c>
      <c r="B58" t="s">
        <v>81</v>
      </c>
      <c r="C58" t="s">
        <v>82</v>
      </c>
      <c r="D58" s="15" t="s">
        <v>300</v>
      </c>
    </row>
    <row r="59" spans="1:4" x14ac:dyDescent="0.3">
      <c r="A59" t="s">
        <v>991</v>
      </c>
      <c r="B59" t="s">
        <v>81</v>
      </c>
      <c r="C59" t="s">
        <v>82</v>
      </c>
      <c r="D59" s="15" t="s">
        <v>300</v>
      </c>
    </row>
    <row r="60" spans="1:4" x14ac:dyDescent="0.3">
      <c r="A60" t="s">
        <v>1002</v>
      </c>
      <c r="B60" t="s">
        <v>81</v>
      </c>
      <c r="C60" t="s">
        <v>82</v>
      </c>
      <c r="D60" s="15" t="s">
        <v>300</v>
      </c>
    </row>
    <row r="61" spans="1:4" x14ac:dyDescent="0.3">
      <c r="A61" t="s">
        <v>1023</v>
      </c>
      <c r="B61" t="s">
        <v>81</v>
      </c>
      <c r="C61" t="s">
        <v>82</v>
      </c>
      <c r="D61" s="15" t="s">
        <v>300</v>
      </c>
    </row>
    <row r="62" spans="1:4" x14ac:dyDescent="0.3">
      <c r="A62" t="s">
        <v>1028</v>
      </c>
      <c r="B62" t="s">
        <v>81</v>
      </c>
      <c r="C62" t="s">
        <v>82</v>
      </c>
      <c r="D62" s="15" t="s">
        <v>300</v>
      </c>
    </row>
    <row r="63" spans="1:4" x14ac:dyDescent="0.3">
      <c r="A63" t="s">
        <v>1033</v>
      </c>
      <c r="B63" t="s">
        <v>81</v>
      </c>
      <c r="C63" t="s">
        <v>82</v>
      </c>
      <c r="D63" s="15" t="s">
        <v>300</v>
      </c>
    </row>
    <row r="64" spans="1:4" x14ac:dyDescent="0.3">
      <c r="A64" t="s">
        <v>1259</v>
      </c>
      <c r="B64" t="s">
        <v>81</v>
      </c>
      <c r="C64" t="s">
        <v>82</v>
      </c>
      <c r="D64" s="15" t="s">
        <v>300</v>
      </c>
    </row>
    <row r="65" spans="1:4" x14ac:dyDescent="0.3">
      <c r="A65" t="s">
        <v>1268</v>
      </c>
      <c r="B65" t="s">
        <v>81</v>
      </c>
      <c r="C65" t="s">
        <v>82</v>
      </c>
      <c r="D65" s="15" t="s">
        <v>300</v>
      </c>
    </row>
    <row r="66" spans="1:4" x14ac:dyDescent="0.3">
      <c r="A66" t="s">
        <v>1393</v>
      </c>
      <c r="B66" t="s">
        <v>81</v>
      </c>
      <c r="C66" t="s">
        <v>82</v>
      </c>
      <c r="D66" s="15" t="s">
        <v>300</v>
      </c>
    </row>
    <row r="67" spans="1:4" x14ac:dyDescent="0.3">
      <c r="A67" t="s">
        <v>1403</v>
      </c>
      <c r="B67" t="s">
        <v>81</v>
      </c>
      <c r="C67" t="s">
        <v>82</v>
      </c>
      <c r="D67" s="15" t="s">
        <v>300</v>
      </c>
    </row>
    <row r="68" spans="1:4" x14ac:dyDescent="0.3">
      <c r="A68" t="s">
        <v>1476</v>
      </c>
      <c r="B68" t="s">
        <v>81</v>
      </c>
      <c r="C68" t="s">
        <v>82</v>
      </c>
      <c r="D68" s="15" t="s">
        <v>300</v>
      </c>
    </row>
    <row r="69" spans="1:4" x14ac:dyDescent="0.3">
      <c r="A69" t="s">
        <v>1495</v>
      </c>
      <c r="B69" t="s">
        <v>81</v>
      </c>
      <c r="C69" t="s">
        <v>82</v>
      </c>
      <c r="D69" s="15" t="s">
        <v>300</v>
      </c>
    </row>
    <row r="70" spans="1:4" x14ac:dyDescent="0.3">
      <c r="A70" t="s">
        <v>1500</v>
      </c>
      <c r="B70" t="s">
        <v>81</v>
      </c>
      <c r="C70" t="s">
        <v>82</v>
      </c>
      <c r="D70" s="15" t="s">
        <v>300</v>
      </c>
    </row>
    <row r="71" spans="1:4" x14ac:dyDescent="0.3">
      <c r="A71" t="s">
        <v>1505</v>
      </c>
      <c r="B71" t="s">
        <v>239</v>
      </c>
      <c r="C71" t="s">
        <v>240</v>
      </c>
      <c r="D71" s="15" t="s">
        <v>300</v>
      </c>
    </row>
    <row r="72" spans="1:4" x14ac:dyDescent="0.3">
      <c r="A72" t="s">
        <v>1829</v>
      </c>
      <c r="B72" t="s">
        <v>81</v>
      </c>
      <c r="C72" t="s">
        <v>82</v>
      </c>
      <c r="D72" s="15" t="s">
        <v>300</v>
      </c>
    </row>
    <row r="73" spans="1:4" x14ac:dyDescent="0.3">
      <c r="A73" t="s">
        <v>1834</v>
      </c>
      <c r="B73" t="s">
        <v>81</v>
      </c>
      <c r="C73" t="s">
        <v>82</v>
      </c>
      <c r="D73" s="15" t="s">
        <v>300</v>
      </c>
    </row>
    <row r="74" spans="1:4" x14ac:dyDescent="0.3">
      <c r="A74" t="s">
        <v>1842</v>
      </c>
      <c r="B74" t="s">
        <v>81</v>
      </c>
      <c r="C74" t="s">
        <v>82</v>
      </c>
      <c r="D74" s="15" t="s">
        <v>300</v>
      </c>
    </row>
    <row r="75" spans="1:4" x14ac:dyDescent="0.3">
      <c r="A75" t="s">
        <v>1847</v>
      </c>
      <c r="B75" t="s">
        <v>81</v>
      </c>
      <c r="C75" t="s">
        <v>82</v>
      </c>
      <c r="D75" s="15" t="s">
        <v>300</v>
      </c>
    </row>
    <row r="76" spans="1:4" x14ac:dyDescent="0.3">
      <c r="A76" t="s">
        <v>1852</v>
      </c>
      <c r="B76" t="s">
        <v>81</v>
      </c>
      <c r="C76" t="s">
        <v>82</v>
      </c>
      <c r="D76" s="15" t="s">
        <v>300</v>
      </c>
    </row>
    <row r="77" spans="1:4" x14ac:dyDescent="0.3">
      <c r="A77" t="s">
        <v>1857</v>
      </c>
      <c r="B77" t="s">
        <v>81</v>
      </c>
      <c r="C77" t="s">
        <v>82</v>
      </c>
      <c r="D77" s="15" t="s">
        <v>300</v>
      </c>
    </row>
    <row r="78" spans="1:4" x14ac:dyDescent="0.3">
      <c r="A78" t="s">
        <v>1981</v>
      </c>
      <c r="B78" t="s">
        <v>81</v>
      </c>
      <c r="C78" t="s">
        <v>82</v>
      </c>
      <c r="D78" s="15" t="s">
        <v>300</v>
      </c>
    </row>
    <row r="79" spans="1:4" x14ac:dyDescent="0.3">
      <c r="A79" t="s">
        <v>2031</v>
      </c>
      <c r="B79" t="s">
        <v>81</v>
      </c>
      <c r="C79" t="s">
        <v>82</v>
      </c>
      <c r="D79" s="15" t="s">
        <v>300</v>
      </c>
    </row>
    <row r="81" spans="1:4" x14ac:dyDescent="0.3">
      <c r="A81" t="s">
        <v>377</v>
      </c>
      <c r="B81" t="s">
        <v>113</v>
      </c>
      <c r="C81" t="s">
        <v>114</v>
      </c>
      <c r="D81" s="15" t="s">
        <v>169</v>
      </c>
    </row>
    <row r="82" spans="1:4" x14ac:dyDescent="0.3">
      <c r="A82" t="s">
        <v>513</v>
      </c>
      <c r="B82" t="s">
        <v>113</v>
      </c>
      <c r="C82" t="s">
        <v>114</v>
      </c>
      <c r="D82" s="15" t="s">
        <v>169</v>
      </c>
    </row>
    <row r="83" spans="1:4" x14ac:dyDescent="0.3">
      <c r="A83" t="s">
        <v>608</v>
      </c>
      <c r="B83" t="s">
        <v>113</v>
      </c>
      <c r="C83" t="s">
        <v>114</v>
      </c>
      <c r="D83" s="15" t="s">
        <v>169</v>
      </c>
    </row>
    <row r="84" spans="1:4" x14ac:dyDescent="0.3">
      <c r="A84" t="s">
        <v>1512</v>
      </c>
      <c r="B84" t="s">
        <v>113</v>
      </c>
      <c r="C84" t="s">
        <v>114</v>
      </c>
      <c r="D84" s="15" t="s">
        <v>169</v>
      </c>
    </row>
    <row r="85" spans="1:4" x14ac:dyDescent="0.3">
      <c r="A85" t="s">
        <v>1764</v>
      </c>
      <c r="B85" t="s">
        <v>113</v>
      </c>
      <c r="C85" t="s">
        <v>114</v>
      </c>
      <c r="D85" s="15" t="s">
        <v>169</v>
      </c>
    </row>
    <row r="86" spans="1:4" x14ac:dyDescent="0.3">
      <c r="A86" t="s">
        <v>1767</v>
      </c>
      <c r="B86" t="s">
        <v>113</v>
      </c>
      <c r="C86" t="s">
        <v>114</v>
      </c>
      <c r="D86" s="15" t="s">
        <v>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D952-71C3-4B0A-A367-056FBA6D09A5}">
  <sheetPr codeName="Sheet17">
    <tabColor rgb="FF00B0F0"/>
  </sheetPr>
  <dimension ref="A1:L32"/>
  <sheetViews>
    <sheetView zoomScale="70" zoomScaleNormal="70" workbookViewId="0">
      <pane ySplit="1" topLeftCell="A2" activePane="bottomLeft" state="frozen"/>
      <selection pane="bottomLeft" activeCell="F34" sqref="F34"/>
    </sheetView>
  </sheetViews>
  <sheetFormatPr defaultRowHeight="14" x14ac:dyDescent="0.3"/>
  <cols>
    <col min="1" max="1" width="15.83203125" bestFit="1" customWidth="1"/>
    <col min="2" max="2" width="9.1640625" customWidth="1"/>
    <col min="3" max="3" width="14.1640625" customWidth="1"/>
    <col min="4" max="4" width="17" bestFit="1" customWidth="1"/>
    <col min="5" max="5" width="10.58203125" customWidth="1"/>
    <col min="6" max="6" width="33.1640625" bestFit="1" customWidth="1"/>
    <col min="7" max="7" width="14.5" bestFit="1" customWidth="1"/>
    <col min="8" max="8" width="9.1640625" bestFit="1" customWidth="1"/>
    <col min="9" max="9" width="34.5" bestFit="1" customWidth="1"/>
    <col min="10" max="10" width="13.5" bestFit="1" customWidth="1"/>
    <col min="11" max="11" width="9.1640625" bestFit="1" customWidth="1"/>
    <col min="12" max="12" width="35.08203125" bestFit="1" customWidth="1"/>
  </cols>
  <sheetData>
    <row r="1" spans="1:12" s="16" customFormat="1" ht="28.5" customHeight="1" x14ac:dyDescent="0.3">
      <c r="A1" s="316" t="s">
        <v>172</v>
      </c>
      <c r="B1" s="316" t="s">
        <v>25</v>
      </c>
      <c r="C1" s="316" t="s">
        <v>26</v>
      </c>
      <c r="D1" s="317"/>
      <c r="E1" s="317" t="s">
        <v>25</v>
      </c>
      <c r="F1" s="317" t="s">
        <v>26</v>
      </c>
      <c r="G1" s="318" t="s">
        <v>173</v>
      </c>
      <c r="H1" s="318" t="s">
        <v>25</v>
      </c>
      <c r="I1" s="318" t="s">
        <v>26</v>
      </c>
      <c r="J1" s="319" t="s">
        <v>174</v>
      </c>
      <c r="K1" s="319" t="s">
        <v>25</v>
      </c>
      <c r="L1" s="319" t="s">
        <v>26</v>
      </c>
    </row>
    <row r="2" spans="1:12" x14ac:dyDescent="0.3">
      <c r="A2" s="320" t="str">
        <f>'301'!A4</f>
        <v>301000000204</v>
      </c>
      <c r="B2" s="121" t="s">
        <v>136</v>
      </c>
      <c r="C2" s="121" t="s">
        <v>195</v>
      </c>
      <c r="D2" s="397" t="str">
        <f>'302'!A49</f>
        <v>302000000309</v>
      </c>
      <c r="E2" s="397" t="str">
        <f>H2</f>
        <v>59000004</v>
      </c>
      <c r="F2" s="397" t="str">
        <f>I2</f>
        <v>Super  Blend  500 G.</v>
      </c>
      <c r="G2" s="397" t="str">
        <f>'303 '!A4</f>
        <v>303000000309</v>
      </c>
      <c r="H2" s="397" t="str">
        <f>'303 '!B7</f>
        <v>59000004</v>
      </c>
      <c r="I2" s="397" t="str">
        <f>'303 '!C7</f>
        <v>Super  Blend  500 G.</v>
      </c>
      <c r="J2" s="121" t="str">
        <f>'305'!A4</f>
        <v>305000000043</v>
      </c>
      <c r="K2" s="121" t="str">
        <f>'305'!B5</f>
        <v>59100000</v>
      </c>
      <c r="L2" s="121" t="str">
        <f>'305'!C5</f>
        <v>เมล็ดกาแฟ CPR Calibrate MF. 500 G.</v>
      </c>
    </row>
    <row r="3" spans="1:12" x14ac:dyDescent="0.3">
      <c r="A3" s="320" t="str">
        <f>'301'!A8</f>
        <v>301000000205</v>
      </c>
      <c r="B3" s="121" t="s">
        <v>136</v>
      </c>
      <c r="C3" s="121" t="s">
        <v>195</v>
      </c>
      <c r="D3" s="397" t="str">
        <f>'302'!A4</f>
        <v>302000000311</v>
      </c>
      <c r="E3" s="397" t="str">
        <f t="shared" ref="E3:E15" si="0">H3</f>
        <v>59000001</v>
      </c>
      <c r="F3" s="397" t="str">
        <f t="shared" ref="F3:F15" si="1">I3</f>
        <v>เมล็ดกาแฟ CPR Coffee Bean  MF. 500 G.</v>
      </c>
      <c r="G3" s="398" t="str">
        <f>'303 '!A10</f>
        <v>303000000310</v>
      </c>
      <c r="H3" s="397" t="str">
        <f>'303 '!B14</f>
        <v>59000001</v>
      </c>
      <c r="I3" s="397" t="str">
        <f>'303 '!C14</f>
        <v>เมล็ดกาแฟ CPR Coffee Bean  MF. 500 G.</v>
      </c>
      <c r="J3" s="121" t="str">
        <f>'305'!A7</f>
        <v>305000000044</v>
      </c>
      <c r="K3" s="121" t="str">
        <f>'305'!B8</f>
        <v>59100000</v>
      </c>
      <c r="L3" s="121" t="str">
        <f>'305'!C8</f>
        <v>เมล็ดกาแฟ CPR Calibrate MF. 500 G.</v>
      </c>
    </row>
    <row r="4" spans="1:12" x14ac:dyDescent="0.3">
      <c r="A4" s="320" t="str">
        <f>'301'!A12</f>
        <v>301000000206</v>
      </c>
      <c r="B4" s="121" t="s">
        <v>136</v>
      </c>
      <c r="C4" s="121" t="s">
        <v>195</v>
      </c>
      <c r="D4" s="121" t="str">
        <f>'302'!A9</f>
        <v>302000000310</v>
      </c>
      <c r="E4" s="121" t="str">
        <f t="shared" si="0"/>
        <v>59000002</v>
      </c>
      <c r="F4" s="121" t="str">
        <f t="shared" si="1"/>
        <v>GOLD BLEND ALL CAFE'  ขนาด 500 G.</v>
      </c>
      <c r="G4" s="320" t="str">
        <f>'303 '!A16</f>
        <v>303000000311</v>
      </c>
      <c r="H4" s="121" t="str">
        <f>'303 '!B20</f>
        <v>59000002</v>
      </c>
      <c r="I4" s="121" t="str">
        <f>'303 '!C20</f>
        <v>GOLD BLEND ALL CAFE'  ขนาด 500 G.</v>
      </c>
      <c r="J4" s="121" t="str">
        <f>'305'!A10</f>
        <v>305000000045</v>
      </c>
      <c r="K4" s="121" t="str">
        <f>'305'!B11</f>
        <v>59100000</v>
      </c>
      <c r="L4" s="121" t="str">
        <f>'305'!C11</f>
        <v>เมล็ดกาแฟ CPR Calibrate MF. 500 G.</v>
      </c>
    </row>
    <row r="5" spans="1:12" x14ac:dyDescent="0.3">
      <c r="A5" s="320" t="str">
        <f>'301'!A16</f>
        <v>301000000207</v>
      </c>
      <c r="B5" s="121" t="s">
        <v>136</v>
      </c>
      <c r="C5" s="121" t="s">
        <v>195</v>
      </c>
      <c r="D5" s="397" t="str">
        <f>'302'!A13</f>
        <v>302000000312</v>
      </c>
      <c r="E5" s="397" t="str">
        <f t="shared" si="0"/>
        <v>59000003</v>
      </c>
      <c r="F5" s="397" t="str">
        <f t="shared" si="1"/>
        <v>เมล็ดกาแฟคั่ว Classic 1 bag ขนาด 500 G.</v>
      </c>
      <c r="G5" s="398" t="str">
        <f>'303 '!A22</f>
        <v>303000000312</v>
      </c>
      <c r="H5" s="397" t="str">
        <f>'303 '!B25</f>
        <v>59000003</v>
      </c>
      <c r="I5" s="397" t="str">
        <f>'303 '!C25</f>
        <v>เมล็ดกาแฟคั่ว Classic 1 bag ขนาด 500 G.</v>
      </c>
      <c r="J5" s="121" t="str">
        <f>'305'!A13</f>
        <v>305000000046</v>
      </c>
      <c r="K5" s="121" t="str">
        <f>'305'!B14</f>
        <v>59100000</v>
      </c>
      <c r="L5" s="121" t="str">
        <f>'305'!C14</f>
        <v>เมล็ดกาแฟ CPR Calibrate MF. 500 G.</v>
      </c>
    </row>
    <row r="6" spans="1:12" x14ac:dyDescent="0.3">
      <c r="A6" s="320" t="str">
        <f>'301'!A19</f>
        <v>301000000208</v>
      </c>
      <c r="B6" s="121" t="s">
        <v>136</v>
      </c>
      <c r="C6" s="121" t="s">
        <v>195</v>
      </c>
      <c r="D6" s="320" t="str">
        <f>'302'!A17</f>
        <v>302000000313</v>
      </c>
      <c r="E6" s="121" t="str">
        <f t="shared" si="0"/>
        <v>59000002</v>
      </c>
      <c r="F6" s="121" t="str">
        <f t="shared" si="1"/>
        <v>GOLD BLEND ALL CAFE'  ขนาด 500 G.</v>
      </c>
      <c r="G6" s="121" t="str">
        <f>'303 '!A29</f>
        <v>303000000313</v>
      </c>
      <c r="H6" s="121" t="str">
        <f>'303 '!B33</f>
        <v>59000002</v>
      </c>
      <c r="I6" s="121" t="str">
        <f>'303 '!C33</f>
        <v>GOLD BLEND ALL CAFE'  ขนาด 500 G.</v>
      </c>
      <c r="J6" s="121" t="str">
        <f>'305'!A16</f>
        <v>305000000047</v>
      </c>
      <c r="K6" s="121" t="str">
        <f>'305'!B17</f>
        <v>59100000</v>
      </c>
      <c r="L6" s="121" t="str">
        <f>'305'!C17</f>
        <v>เมล็ดกาแฟ CPR Calibrate MF. 500 G.</v>
      </c>
    </row>
    <row r="7" spans="1:12" x14ac:dyDescent="0.3">
      <c r="A7" s="320" t="str">
        <f>'301'!A23</f>
        <v>301000000212</v>
      </c>
      <c r="B7" s="121" t="s">
        <v>136</v>
      </c>
      <c r="C7" s="121" t="s">
        <v>195</v>
      </c>
      <c r="D7" s="320" t="str">
        <f>'302'!A21</f>
        <v>302000000314</v>
      </c>
      <c r="E7" s="121" t="str">
        <f t="shared" si="0"/>
        <v>59000002</v>
      </c>
      <c r="F7" s="121" t="str">
        <f t="shared" si="1"/>
        <v>GOLD BLEND ALL CAFE'  ขนาด 500 G.</v>
      </c>
      <c r="G7" s="121" t="str">
        <f>'303 '!A35</f>
        <v>303000000314</v>
      </c>
      <c r="H7" s="121" t="str">
        <f>'303 '!B39</f>
        <v>59000002</v>
      </c>
      <c r="I7" s="121" t="str">
        <f>'303 '!C39</f>
        <v>GOLD BLEND ALL CAFE'  ขนาด 500 G.</v>
      </c>
      <c r="J7" s="121" t="str">
        <f>'305'!A19</f>
        <v>305000000048</v>
      </c>
      <c r="K7" s="121" t="str">
        <f>'305'!B20</f>
        <v>59100000</v>
      </c>
      <c r="L7" s="121" t="str">
        <f>'305'!C20</f>
        <v>เมล็ดกาแฟ CPR Calibrate MF. 500 G.</v>
      </c>
    </row>
    <row r="8" spans="1:12" x14ac:dyDescent="0.3">
      <c r="A8" s="320" t="str">
        <f>'301'!A27</f>
        <v>301000000213</v>
      </c>
      <c r="B8" s="121" t="s">
        <v>136</v>
      </c>
      <c r="C8" s="121" t="s">
        <v>195</v>
      </c>
      <c r="D8" s="320" t="str">
        <f>'302'!A26</f>
        <v>302000000315</v>
      </c>
      <c r="E8" s="121" t="str">
        <f t="shared" si="0"/>
        <v>59000002</v>
      </c>
      <c r="F8" s="121" t="str">
        <f t="shared" si="1"/>
        <v>GOLD BLEND ALL CAFE'  ขนาด 500 G.</v>
      </c>
      <c r="G8" s="121" t="str">
        <f>'303 '!A41</f>
        <v>303000000315</v>
      </c>
      <c r="H8" s="121" t="str">
        <f>'303 '!B45</f>
        <v>59000002</v>
      </c>
      <c r="I8" s="121" t="str">
        <f>'303 '!C45</f>
        <v>GOLD BLEND ALL CAFE'  ขนาด 500 G.</v>
      </c>
      <c r="J8" s="121"/>
      <c r="K8" s="121"/>
      <c r="L8" s="121"/>
    </row>
    <row r="9" spans="1:12" x14ac:dyDescent="0.3">
      <c r="A9" s="320" t="str">
        <f>'301'!A31</f>
        <v>301000000214</v>
      </c>
      <c r="B9" s="121" t="s">
        <v>136</v>
      </c>
      <c r="C9" s="121" t="s">
        <v>195</v>
      </c>
      <c r="D9" s="320" t="str">
        <f>'302'!A30</f>
        <v>302000000316</v>
      </c>
      <c r="E9" s="121" t="str">
        <f t="shared" si="0"/>
        <v>59000002</v>
      </c>
      <c r="F9" s="121" t="str">
        <f t="shared" si="1"/>
        <v>GOLD BLEND ALL CAFE'  ขนาด 500 G.</v>
      </c>
      <c r="G9" s="121" t="str">
        <f>'303 '!A47</f>
        <v>303000000316</v>
      </c>
      <c r="H9" s="121" t="str">
        <f>'303 '!B51</f>
        <v>59000002</v>
      </c>
      <c r="I9" s="121" t="str">
        <f>'303 '!C51</f>
        <v>GOLD BLEND ALL CAFE'  ขนาด 500 G.</v>
      </c>
      <c r="J9" s="121"/>
      <c r="K9" s="121"/>
      <c r="L9" s="121"/>
    </row>
    <row r="10" spans="1:12" x14ac:dyDescent="0.3">
      <c r="A10" s="320" t="str">
        <f>'301'!A34</f>
        <v>301000000215</v>
      </c>
      <c r="B10" s="121" t="s">
        <v>136</v>
      </c>
      <c r="C10" s="121" t="s">
        <v>195</v>
      </c>
      <c r="D10" s="320" t="str">
        <f>'302'!A35</f>
        <v>302000000317</v>
      </c>
      <c r="E10" s="121" t="str">
        <f t="shared" si="0"/>
        <v>59000002</v>
      </c>
      <c r="F10" s="121" t="str">
        <f t="shared" si="1"/>
        <v>GOLD BLEND ALL CAFE'  ขนาด 500 G.</v>
      </c>
      <c r="G10" s="121" t="str">
        <f>'303 '!A53</f>
        <v>303000000317</v>
      </c>
      <c r="H10" s="121" t="str">
        <f>'303 '!B57</f>
        <v>59000002</v>
      </c>
      <c r="I10" s="121" t="str">
        <f>'303 '!C57</f>
        <v>GOLD BLEND ALL CAFE'  ขนาด 500 G.</v>
      </c>
      <c r="J10" s="121"/>
      <c r="K10" s="121"/>
      <c r="L10" s="121"/>
    </row>
    <row r="11" spans="1:12" x14ac:dyDescent="0.3">
      <c r="A11" s="121" t="str">
        <f>'301'!A38</f>
        <v>301000000216</v>
      </c>
      <c r="B11" s="121" t="s">
        <v>136</v>
      </c>
      <c r="C11" s="121" t="s">
        <v>195</v>
      </c>
      <c r="D11" s="121" t="str">
        <f>'302'!A40</f>
        <v>302000000318</v>
      </c>
      <c r="E11" s="121" t="str">
        <f t="shared" si="0"/>
        <v>59000002</v>
      </c>
      <c r="F11" s="121" t="str">
        <f t="shared" si="1"/>
        <v>GOLD BLEND ALL CAFE'  ขนาด 500 G.</v>
      </c>
      <c r="G11" s="121" t="str">
        <f>'303 '!A59</f>
        <v>303000000318</v>
      </c>
      <c r="H11" s="121" t="str">
        <f>'303 '!B63</f>
        <v>59000002</v>
      </c>
      <c r="I11" s="121" t="str">
        <f>'303 '!C63</f>
        <v>GOLD BLEND ALL CAFE'  ขนาด 500 G.</v>
      </c>
      <c r="J11" s="121"/>
      <c r="K11" s="121"/>
      <c r="L11" s="121"/>
    </row>
    <row r="12" spans="1:12" x14ac:dyDescent="0.3">
      <c r="A12" s="121" t="str">
        <f>'301'!A42</f>
        <v>301000000217</v>
      </c>
      <c r="B12" s="121" t="s">
        <v>136</v>
      </c>
      <c r="C12" s="121" t="s">
        <v>195</v>
      </c>
      <c r="D12" s="121" t="str">
        <f>'302'!A45</f>
        <v>302000000319</v>
      </c>
      <c r="E12" s="121" t="str">
        <f t="shared" si="0"/>
        <v>59000002</v>
      </c>
      <c r="F12" s="121" t="str">
        <f t="shared" si="1"/>
        <v>GOLD BLEND ALL CAFE'  ขนาด 500 G.</v>
      </c>
      <c r="G12" s="121" t="str">
        <f>'303 '!A65</f>
        <v>303000000319</v>
      </c>
      <c r="H12" s="121" t="str">
        <f>'303 '!B69</f>
        <v>59000002</v>
      </c>
      <c r="I12" s="121" t="str">
        <f>'303 '!C69</f>
        <v>GOLD BLEND ALL CAFE'  ขนาด 500 G.</v>
      </c>
      <c r="J12" s="121"/>
      <c r="K12" s="121"/>
      <c r="L12" s="121"/>
    </row>
    <row r="13" spans="1:12" x14ac:dyDescent="0.3">
      <c r="A13" s="121" t="str">
        <f>'301'!A46</f>
        <v>301000000218</v>
      </c>
      <c r="B13" s="121" t="s">
        <v>136</v>
      </c>
      <c r="C13" s="121" t="s">
        <v>195</v>
      </c>
      <c r="D13" s="121" t="str">
        <f>'302'!A55</f>
        <v>302000000320</v>
      </c>
      <c r="E13" s="121" t="str">
        <f t="shared" si="0"/>
        <v>59000002</v>
      </c>
      <c r="F13" s="121" t="str">
        <f t="shared" si="1"/>
        <v>GOLD BLEND ALL CAFE'  ขนาด 500 G.</v>
      </c>
      <c r="G13" s="121" t="str">
        <f>'303 '!A71</f>
        <v>303000000320</v>
      </c>
      <c r="H13" s="121" t="str">
        <f>'303 '!B75</f>
        <v>59000002</v>
      </c>
      <c r="I13" s="121" t="str">
        <f>'303 '!C75</f>
        <v>GOLD BLEND ALL CAFE'  ขนาด 500 G.</v>
      </c>
      <c r="J13" s="121"/>
      <c r="K13" s="121"/>
      <c r="L13" s="121"/>
    </row>
    <row r="14" spans="1:12" x14ac:dyDescent="0.3">
      <c r="A14" s="121" t="str">
        <f>'301'!A50</f>
        <v>301000000219</v>
      </c>
      <c r="B14" s="121" t="s">
        <v>136</v>
      </c>
      <c r="C14" s="121" t="s">
        <v>195</v>
      </c>
      <c r="D14" s="121" t="str">
        <f>'302'!A60</f>
        <v>302000000321</v>
      </c>
      <c r="E14" s="121" t="str">
        <f t="shared" si="0"/>
        <v>59000002</v>
      </c>
      <c r="F14" s="121" t="str">
        <f t="shared" si="1"/>
        <v>GOLD BLEND ALL CAFE'  ขนาด 500 G.</v>
      </c>
      <c r="G14" s="121" t="str">
        <f>'303 '!A77</f>
        <v>303000000321</v>
      </c>
      <c r="H14" s="121" t="str">
        <f>'303 '!B81</f>
        <v>59000002</v>
      </c>
      <c r="I14" s="121" t="str">
        <f>'303 '!C81</f>
        <v>GOLD BLEND ALL CAFE'  ขนาด 500 G.</v>
      </c>
      <c r="J14" s="121"/>
      <c r="K14" s="121"/>
      <c r="L14" s="121"/>
    </row>
    <row r="15" spans="1:12" x14ac:dyDescent="0.3">
      <c r="A15" s="121" t="str">
        <f>'301'!A53</f>
        <v>301000000220</v>
      </c>
      <c r="B15" s="121" t="s">
        <v>136</v>
      </c>
      <c r="C15" s="121" t="s">
        <v>195</v>
      </c>
      <c r="D15" s="121" t="str">
        <f>'302'!A65</f>
        <v>302000000322</v>
      </c>
      <c r="E15" s="121" t="str">
        <f t="shared" si="0"/>
        <v>59000002</v>
      </c>
      <c r="F15" s="121" t="str">
        <f t="shared" si="1"/>
        <v>GOLD BLEND ALL CAFE'  ขนาด 500 G.</v>
      </c>
      <c r="G15" s="121" t="str">
        <f>'303 '!A83</f>
        <v>303000000322</v>
      </c>
      <c r="H15" s="121" t="str">
        <f>'303 '!B87</f>
        <v>59000002</v>
      </c>
      <c r="I15" s="121" t="str">
        <f>'303 '!C87</f>
        <v>GOLD BLEND ALL CAFE'  ขนาด 500 G.</v>
      </c>
      <c r="J15" s="121"/>
      <c r="K15" s="121"/>
      <c r="L15" s="121"/>
    </row>
    <row r="16" spans="1:12" x14ac:dyDescent="0.3">
      <c r="A16" s="121" t="str">
        <f>'301'!A56</f>
        <v>301000000221</v>
      </c>
      <c r="B16" s="121" t="s">
        <v>136</v>
      </c>
      <c r="C16" s="121" t="s">
        <v>195</v>
      </c>
      <c r="D16" s="121" t="str">
        <f>'302'!A70</f>
        <v>302000000323</v>
      </c>
      <c r="E16" s="121" t="str">
        <f t="shared" ref="E16:E17" si="2">H16</f>
        <v>59000002</v>
      </c>
      <c r="F16" s="121" t="str">
        <f t="shared" ref="F16:F17" si="3">I16</f>
        <v>GOLD BLEND ALL CAFE'  ขนาด 500 G.</v>
      </c>
      <c r="G16" s="121" t="str">
        <f>'303 '!A89</f>
        <v>303000000323</v>
      </c>
      <c r="H16" s="121" t="str">
        <f>'303 '!B93</f>
        <v>59000002</v>
      </c>
      <c r="I16" s="121" t="str">
        <f>'303 '!C93</f>
        <v>GOLD BLEND ALL CAFE'  ขนาด 500 G.</v>
      </c>
      <c r="J16" s="121"/>
      <c r="K16" s="121"/>
      <c r="L16" s="121"/>
    </row>
    <row r="17" spans="1:12" x14ac:dyDescent="0.3">
      <c r="A17" s="121" t="str">
        <f>'301'!A59</f>
        <v>301000000222</v>
      </c>
      <c r="B17" s="121" t="s">
        <v>136</v>
      </c>
      <c r="C17" s="121" t="s">
        <v>195</v>
      </c>
      <c r="D17" s="121" t="str">
        <f>'302'!A74</f>
        <v>302000000324</v>
      </c>
      <c r="E17" s="121" t="str">
        <f t="shared" si="2"/>
        <v>59000002</v>
      </c>
      <c r="F17" s="121" t="str">
        <f t="shared" si="3"/>
        <v>GOLD BLEND ALL CAFE'  ขนาด 500 G.</v>
      </c>
      <c r="G17" s="121" t="str">
        <f>'303 '!A95</f>
        <v>303000000324</v>
      </c>
      <c r="H17" s="121" t="str">
        <f>'303 '!B99</f>
        <v>59000002</v>
      </c>
      <c r="I17" s="121" t="str">
        <f>'303 '!C99</f>
        <v>GOLD BLEND ALL CAFE'  ขนาด 500 G.</v>
      </c>
      <c r="J17" s="121"/>
      <c r="K17" s="121"/>
      <c r="L17" s="121"/>
    </row>
    <row r="18" spans="1:12" x14ac:dyDescent="0.3">
      <c r="A18" s="121" t="str">
        <f>'301'!A62</f>
        <v>301000000223</v>
      </c>
      <c r="B18" s="121" t="s">
        <v>136</v>
      </c>
      <c r="C18" s="121" t="s">
        <v>195</v>
      </c>
      <c r="D18" s="121" t="str">
        <f>'302'!A79</f>
        <v>302000000325</v>
      </c>
      <c r="E18" s="121" t="str">
        <f t="shared" ref="E18:E23" si="4">H18</f>
        <v>59000002</v>
      </c>
      <c r="F18" s="121" t="str">
        <f t="shared" ref="F18:F23" si="5">I18</f>
        <v>GOLD BLEND ALL CAFE'  ขนาด 500 G.</v>
      </c>
      <c r="G18" s="121" t="str">
        <f>'303 '!A101</f>
        <v>303000000325</v>
      </c>
      <c r="H18" s="121" t="str">
        <f>'303 '!B105</f>
        <v>59000002</v>
      </c>
      <c r="I18" s="121" t="str">
        <f>'303 '!C105</f>
        <v>GOLD BLEND ALL CAFE'  ขนาด 500 G.</v>
      </c>
      <c r="J18" s="121"/>
      <c r="K18" s="121"/>
      <c r="L18" s="121"/>
    </row>
    <row r="19" spans="1:12" x14ac:dyDescent="0.3">
      <c r="A19" s="121" t="str">
        <f>'301'!A65</f>
        <v>301000000224</v>
      </c>
      <c r="B19" s="121" t="s">
        <v>136</v>
      </c>
      <c r="C19" s="121" t="s">
        <v>195</v>
      </c>
      <c r="D19" s="121" t="str">
        <f>'302'!A84</f>
        <v>302000000326</v>
      </c>
      <c r="E19" s="121" t="str">
        <f t="shared" si="4"/>
        <v>59000002</v>
      </c>
      <c r="F19" s="121" t="str">
        <f t="shared" si="5"/>
        <v>GOLD BLEND ALL CAFE'  ขนาด 500 G.</v>
      </c>
      <c r="G19" s="121" t="str">
        <f>'303 '!A107</f>
        <v>303000000326</v>
      </c>
      <c r="H19" s="121" t="str">
        <f>'303 '!B111</f>
        <v>59000002</v>
      </c>
      <c r="I19" s="121" t="str">
        <f>'303 '!C111</f>
        <v>GOLD BLEND ALL CAFE'  ขนาด 500 G.</v>
      </c>
      <c r="J19" s="121"/>
      <c r="K19" s="121"/>
      <c r="L19" s="121"/>
    </row>
    <row r="20" spans="1:12" x14ac:dyDescent="0.3">
      <c r="A20" s="121" t="str">
        <f>'301'!A68</f>
        <v>301000000225</v>
      </c>
      <c r="B20" s="121" t="s">
        <v>136</v>
      </c>
      <c r="C20" s="121" t="s">
        <v>195</v>
      </c>
      <c r="D20" s="397" t="str">
        <f>'302'!A88</f>
        <v>302000000327</v>
      </c>
      <c r="E20" s="397" t="str">
        <f t="shared" si="4"/>
        <v>59000014</v>
      </c>
      <c r="F20" s="397" t="str">
        <f t="shared" si="5"/>
        <v>เมล็ดกาแฟ True Tower ขนาด 500 G.</v>
      </c>
      <c r="G20" s="397" t="str">
        <f>'303 '!A113</f>
        <v>303000000327</v>
      </c>
      <c r="H20" s="397" t="str">
        <f>'303 '!B117</f>
        <v>59000014</v>
      </c>
      <c r="I20" s="397" t="str">
        <f>'303 '!C117</f>
        <v>เมล็ดกาแฟ True Tower ขนาด 500 G.</v>
      </c>
      <c r="J20" s="121"/>
      <c r="K20" s="121"/>
      <c r="L20" s="121"/>
    </row>
    <row r="21" spans="1:12" x14ac:dyDescent="0.3">
      <c r="A21" s="121" t="str">
        <f>'301'!A72</f>
        <v>301000000226</v>
      </c>
      <c r="B21" s="121" t="s">
        <v>136</v>
      </c>
      <c r="C21" s="121" t="s">
        <v>195</v>
      </c>
      <c r="D21" s="121" t="str">
        <f>'302'!A92</f>
        <v>302000000328</v>
      </c>
      <c r="E21" s="121" t="str">
        <f t="shared" si="4"/>
        <v>59000002</v>
      </c>
      <c r="F21" s="121" t="str">
        <f t="shared" si="5"/>
        <v>GOLD BLEND ALL CAFE'  ขนาด 500 G.</v>
      </c>
      <c r="G21" s="121" t="str">
        <f>'303 '!A119</f>
        <v>303000000328</v>
      </c>
      <c r="H21" s="121" t="str">
        <f>'303 '!B123</f>
        <v>59000002</v>
      </c>
      <c r="I21" s="121" t="str">
        <f>'303 '!C123</f>
        <v>GOLD BLEND ALL CAFE'  ขนาด 500 G.</v>
      </c>
      <c r="J21" s="121"/>
      <c r="K21" s="121"/>
      <c r="L21" s="121"/>
    </row>
    <row r="22" spans="1:12" x14ac:dyDescent="0.3">
      <c r="A22" s="121" t="str">
        <f>'301'!A75</f>
        <v>301000000227</v>
      </c>
      <c r="B22" s="121" t="s">
        <v>136</v>
      </c>
      <c r="C22" s="121" t="s">
        <v>195</v>
      </c>
      <c r="D22" s="121" t="str">
        <f>'302'!A96</f>
        <v>302000000329</v>
      </c>
      <c r="E22" s="121" t="str">
        <f t="shared" si="4"/>
        <v>59000002</v>
      </c>
      <c r="F22" s="121" t="str">
        <f t="shared" si="5"/>
        <v>GOLD BLEND ALL CAFE'  ขนาด 500 G.</v>
      </c>
      <c r="G22" s="121" t="str">
        <f>'303 '!A125</f>
        <v>303000000329</v>
      </c>
      <c r="H22" s="121" t="str">
        <f>'303 '!B135</f>
        <v>59000002</v>
      </c>
      <c r="I22" s="121" t="str">
        <f>'303 '!C129</f>
        <v>GOLD BLEND ALL CAFE'  ขนาด 500 G.</v>
      </c>
      <c r="J22" s="121"/>
      <c r="K22" s="121"/>
      <c r="L22" s="121"/>
    </row>
    <row r="23" spans="1:12" x14ac:dyDescent="0.3">
      <c r="A23" s="121" t="str">
        <f>'301'!A79</f>
        <v>301000000228</v>
      </c>
      <c r="B23" s="121" t="s">
        <v>136</v>
      </c>
      <c r="C23" s="121" t="s">
        <v>195</v>
      </c>
      <c r="D23" s="121" t="str">
        <f>'302'!A100</f>
        <v>302000000330</v>
      </c>
      <c r="E23" s="121" t="str">
        <f t="shared" si="4"/>
        <v>59000002</v>
      </c>
      <c r="F23" s="121" t="str">
        <f t="shared" si="5"/>
        <v>GOLD BLEND ALL CAFE'  ขนาด 500 G.</v>
      </c>
      <c r="G23" s="121" t="str">
        <f>'303 '!A131</f>
        <v>303000000330</v>
      </c>
      <c r="H23" s="121" t="str">
        <f>'303 '!B135</f>
        <v>59000002</v>
      </c>
      <c r="I23" s="121" t="str">
        <f>'303 '!C135</f>
        <v>GOLD BLEND ALL CAFE'  ขนาด 500 G.</v>
      </c>
      <c r="J23" s="121"/>
      <c r="K23" s="121"/>
      <c r="L23" s="121"/>
    </row>
    <row r="24" spans="1:12" x14ac:dyDescent="0.3">
      <c r="A24" s="121"/>
      <c r="B24" s="121"/>
      <c r="C24" s="121"/>
      <c r="D24" s="121" t="str">
        <f>'302'!A104</f>
        <v>302000000331</v>
      </c>
      <c r="E24" s="121" t="str">
        <f t="shared" ref="E24:E26" si="6">H24</f>
        <v>59000002</v>
      </c>
      <c r="F24" s="121" t="str">
        <f t="shared" ref="F24:F26" si="7">I24</f>
        <v>GOLD BLEND ALL CAFE'  ขนาด 500 G.</v>
      </c>
      <c r="G24" s="121" t="str">
        <f>'303 '!A137</f>
        <v>303000000331</v>
      </c>
      <c r="H24" s="121" t="str">
        <f>'303 '!B141</f>
        <v>59000002</v>
      </c>
      <c r="I24" s="121" t="str">
        <f>'303 '!C141</f>
        <v>GOLD BLEND ALL CAFE'  ขนาด 500 G.</v>
      </c>
      <c r="J24" s="121"/>
      <c r="K24" s="121"/>
      <c r="L24" s="121"/>
    </row>
    <row r="25" spans="1:12" x14ac:dyDescent="0.3">
      <c r="A25" s="121"/>
      <c r="B25" s="121"/>
      <c r="C25" s="121"/>
      <c r="D25" s="121" t="str">
        <f>'302'!A108</f>
        <v>302000000332</v>
      </c>
      <c r="E25" s="121" t="str">
        <f t="shared" si="6"/>
        <v>59000002</v>
      </c>
      <c r="F25" s="121" t="str">
        <f t="shared" si="7"/>
        <v>GOLD BLEND ALL CAFE'  ขนาด 500 G.</v>
      </c>
      <c r="G25" s="121" t="str">
        <f>'303 '!A143</f>
        <v>303000000332</v>
      </c>
      <c r="H25" s="121" t="str">
        <f>'303 '!B147</f>
        <v>59000002</v>
      </c>
      <c r="I25" s="121" t="str">
        <f>'303 '!C147</f>
        <v>GOLD BLEND ALL CAFE'  ขนาด 500 G.</v>
      </c>
      <c r="J25" s="121"/>
      <c r="K25" s="121"/>
      <c r="L25" s="121"/>
    </row>
    <row r="26" spans="1:12" x14ac:dyDescent="0.3">
      <c r="D26" s="75" t="str">
        <f>'302'!A112</f>
        <v>302000000333</v>
      </c>
      <c r="E26" s="121" t="str">
        <f t="shared" si="6"/>
        <v>59000002</v>
      </c>
      <c r="F26" s="121" t="str">
        <f t="shared" si="7"/>
        <v>GOLD BLEND ALL CAFE'  ขนาด 500 G.</v>
      </c>
      <c r="G26" s="75" t="str">
        <f>'303 '!A149</f>
        <v>303000000333</v>
      </c>
      <c r="H26" s="75" t="str">
        <f>'303 '!B153</f>
        <v>59000002</v>
      </c>
      <c r="I26" s="75" t="str">
        <f>'303 '!C153</f>
        <v>GOLD BLEND ALL CAFE'  ขนาด 500 G.</v>
      </c>
    </row>
    <row r="27" spans="1:12" x14ac:dyDescent="0.3">
      <c r="D27" t="str">
        <f>'302'!A116</f>
        <v>302000000334</v>
      </c>
      <c r="E27" s="121" t="str">
        <f t="shared" ref="E27:E28" si="8">H27</f>
        <v>59000002</v>
      </c>
      <c r="F27" s="121" t="str">
        <f t="shared" ref="F27:F28" si="9">I27</f>
        <v>GOLD BLEND ALL CAFE'  ขนาด 500 G.</v>
      </c>
      <c r="G27" t="str">
        <f>'303 '!A155</f>
        <v>303000000334</v>
      </c>
      <c r="H27" t="str">
        <f>'303 '!B159</f>
        <v>59000002</v>
      </c>
      <c r="I27" t="str">
        <f>'303 '!C159</f>
        <v>GOLD BLEND ALL CAFE'  ขนาด 500 G.</v>
      </c>
    </row>
    <row r="28" spans="1:12" x14ac:dyDescent="0.3">
      <c r="D28" t="str">
        <f>'302'!A120</f>
        <v>302000000335</v>
      </c>
      <c r="E28" s="121" t="str">
        <f t="shared" si="8"/>
        <v>59000002</v>
      </c>
      <c r="F28" s="121" t="str">
        <f t="shared" si="9"/>
        <v>GOLD BLEND ALL CAFE'  ขนาด 500 G.</v>
      </c>
      <c r="G28" t="str">
        <f>'303 '!A161</f>
        <v>303000000335</v>
      </c>
      <c r="H28" t="str">
        <f>'303 '!B165</f>
        <v>59000002</v>
      </c>
      <c r="I28" t="str">
        <f>'303 '!C165</f>
        <v>GOLD BLEND ALL CAFE'  ขนาด 500 G.</v>
      </c>
    </row>
    <row r="29" spans="1:12" x14ac:dyDescent="0.3">
      <c r="E29" s="75"/>
      <c r="F29" s="75"/>
    </row>
    <row r="30" spans="1:12" x14ac:dyDescent="0.3">
      <c r="E30" s="75"/>
      <c r="F30" s="75"/>
    </row>
    <row r="31" spans="1:12" x14ac:dyDescent="0.3">
      <c r="E31" s="75"/>
      <c r="F31" s="75"/>
    </row>
    <row r="32" spans="1:12" x14ac:dyDescent="0.3">
      <c r="E32" s="75"/>
      <c r="F32" s="7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30DD-FFDE-4F87-8639-AE4A67B61430}">
  <sheetPr codeName="Sheet13">
    <tabColor rgb="FFFFFF99"/>
  </sheetPr>
  <dimension ref="A1:AO938"/>
  <sheetViews>
    <sheetView zoomScale="70" zoomScaleNormal="70" workbookViewId="0">
      <pane ySplit="1" topLeftCell="A922" activePane="bottomLeft" state="frozen"/>
      <selection pane="bottomLeft" activeCell="F945" sqref="F945"/>
    </sheetView>
  </sheetViews>
  <sheetFormatPr defaultRowHeight="14" x14ac:dyDescent="0.3"/>
  <cols>
    <col min="1" max="1" width="10.9140625" style="15" customWidth="1"/>
    <col min="2" max="2" width="38.25" bestFit="1" customWidth="1"/>
    <col min="3" max="3" width="5.58203125" customWidth="1"/>
    <col min="4" max="4" width="4.6640625" style="15" customWidth="1"/>
    <col min="5" max="5" width="25.58203125" bestFit="1" customWidth="1"/>
    <col min="6" max="6" width="11.6640625" customWidth="1"/>
    <col min="7" max="7" width="5.1640625" customWidth="1"/>
    <col min="8" max="8" width="12" bestFit="1" customWidth="1"/>
    <col min="9" max="9" width="12.83203125" bestFit="1" customWidth="1"/>
    <col min="10" max="10" width="8.25" customWidth="1"/>
    <col min="11" max="11" width="16.75" bestFit="1" customWidth="1"/>
    <col min="12" max="12" width="5" customWidth="1"/>
    <col min="13" max="13" width="16.6640625" bestFit="1" customWidth="1"/>
    <col min="14" max="14" width="4.4140625" customWidth="1"/>
    <col min="15" max="15" width="4.33203125" customWidth="1"/>
    <col min="16" max="16" width="10.25" customWidth="1"/>
    <col min="17" max="17" width="17.83203125" customWidth="1"/>
    <col min="18" max="18" width="27.1640625" customWidth="1"/>
    <col min="19" max="19" width="7.25" customWidth="1"/>
    <col min="20" max="20" width="9" customWidth="1"/>
    <col min="21" max="21" width="9.75" bestFit="1" customWidth="1"/>
    <col min="22" max="22" width="13.33203125" bestFit="1" customWidth="1"/>
    <col min="23" max="23" width="3.4140625" customWidth="1"/>
    <col min="24" max="25" width="16.6640625" bestFit="1" customWidth="1"/>
    <col min="26" max="26" width="4.08203125" customWidth="1"/>
    <col min="27" max="27" width="22.5" style="7" bestFit="1" customWidth="1"/>
    <col min="28" max="28" width="22.08203125" style="7" bestFit="1" customWidth="1"/>
    <col min="29" max="29" width="15.58203125" style="15" bestFit="1" customWidth="1"/>
    <col min="30" max="30" width="12.1640625" style="15" customWidth="1"/>
    <col min="31" max="31" width="6.75" customWidth="1"/>
    <col min="32" max="32" width="11.75" style="15" customWidth="1"/>
    <col min="33" max="33" width="16.1640625" style="7" bestFit="1" customWidth="1"/>
    <col min="34" max="34" width="12.33203125" style="15" bestFit="1" customWidth="1"/>
    <col min="35" max="35" width="11.4140625" bestFit="1" customWidth="1"/>
    <col min="36" max="36" width="16.4140625" customWidth="1"/>
    <col min="37" max="37" width="14.75" bestFit="1" customWidth="1"/>
    <col min="38" max="38" width="12.5" style="7" bestFit="1" customWidth="1"/>
    <col min="39" max="39" width="19" style="7" bestFit="1" customWidth="1"/>
    <col min="40" max="40" width="14" bestFit="1" customWidth="1"/>
  </cols>
  <sheetData>
    <row r="1" spans="1:40" s="304" customFormat="1" ht="42" customHeight="1" x14ac:dyDescent="0.3">
      <c r="A1" s="298" t="s">
        <v>25</v>
      </c>
      <c r="B1" s="298" t="s">
        <v>26</v>
      </c>
      <c r="C1" s="298" t="s">
        <v>27</v>
      </c>
      <c r="D1" s="298" t="s">
        <v>28</v>
      </c>
      <c r="E1" s="298" t="s">
        <v>29</v>
      </c>
      <c r="F1" s="298" t="s">
        <v>30</v>
      </c>
      <c r="G1" s="298" t="s">
        <v>31</v>
      </c>
      <c r="H1" s="299" t="s">
        <v>32</v>
      </c>
      <c r="I1" s="299" t="s">
        <v>33</v>
      </c>
      <c r="J1" s="298" t="s">
        <v>34</v>
      </c>
      <c r="K1" s="298" t="s">
        <v>35</v>
      </c>
      <c r="L1" s="298" t="s">
        <v>36</v>
      </c>
      <c r="M1" s="298" t="s">
        <v>37</v>
      </c>
      <c r="N1" s="298" t="s">
        <v>38</v>
      </c>
      <c r="O1" s="298" t="s">
        <v>39</v>
      </c>
      <c r="P1" s="298" t="s">
        <v>40</v>
      </c>
      <c r="Q1" s="298" t="s">
        <v>41</v>
      </c>
      <c r="R1" s="298" t="s">
        <v>42</v>
      </c>
      <c r="S1" s="298" t="s">
        <v>43</v>
      </c>
      <c r="T1" s="298" t="s">
        <v>44</v>
      </c>
      <c r="U1" s="298" t="s">
        <v>45</v>
      </c>
      <c r="V1" s="298" t="s">
        <v>46</v>
      </c>
      <c r="W1" s="298" t="s">
        <v>47</v>
      </c>
      <c r="X1" s="298" t="s">
        <v>48</v>
      </c>
      <c r="Y1" s="300" t="s">
        <v>49</v>
      </c>
      <c r="Z1" s="300" t="s">
        <v>50</v>
      </c>
      <c r="AA1" s="301" t="s">
        <v>51</v>
      </c>
      <c r="AB1" s="301" t="s">
        <v>52</v>
      </c>
      <c r="AC1" s="300" t="s">
        <v>53</v>
      </c>
      <c r="AD1" s="300" t="s">
        <v>54</v>
      </c>
      <c r="AE1" s="300" t="s">
        <v>55</v>
      </c>
      <c r="AF1" s="300" t="s">
        <v>56</v>
      </c>
      <c r="AG1" s="301" t="s">
        <v>57</v>
      </c>
      <c r="AH1" s="351" t="s">
        <v>58</v>
      </c>
      <c r="AI1" s="302" t="s">
        <v>0</v>
      </c>
      <c r="AJ1" s="302" t="s">
        <v>59</v>
      </c>
      <c r="AK1" s="302" t="s">
        <v>60</v>
      </c>
      <c r="AL1" s="85" t="s">
        <v>61</v>
      </c>
      <c r="AM1" s="303" t="s">
        <v>219</v>
      </c>
      <c r="AN1" s="303" t="s">
        <v>216</v>
      </c>
    </row>
    <row r="2" spans="1:40" x14ac:dyDescent="0.3">
      <c r="A2" s="1" t="s">
        <v>126</v>
      </c>
      <c r="B2" s="1" t="s">
        <v>127</v>
      </c>
      <c r="C2" s="1" t="s">
        <v>64</v>
      </c>
      <c r="D2" s="1" t="s">
        <v>125</v>
      </c>
      <c r="E2" s="1" t="s">
        <v>289</v>
      </c>
      <c r="F2" s="1" t="s">
        <v>329</v>
      </c>
      <c r="G2" s="1" t="s">
        <v>101</v>
      </c>
      <c r="H2" s="1" t="s">
        <v>230</v>
      </c>
      <c r="I2" s="1" t="s">
        <v>68</v>
      </c>
      <c r="J2" s="1" t="s">
        <v>330</v>
      </c>
      <c r="K2" s="1" t="s">
        <v>294</v>
      </c>
      <c r="L2" s="1" t="s">
        <v>70</v>
      </c>
      <c r="M2" s="1" t="s">
        <v>68</v>
      </c>
      <c r="N2" s="1" t="s">
        <v>71</v>
      </c>
      <c r="O2" s="1" t="s">
        <v>68</v>
      </c>
      <c r="P2" s="1" t="s">
        <v>72</v>
      </c>
      <c r="Q2" s="1" t="s">
        <v>68</v>
      </c>
      <c r="R2" s="1" t="s">
        <v>68</v>
      </c>
      <c r="S2" s="1" t="s">
        <v>68</v>
      </c>
      <c r="T2" s="1" t="s">
        <v>68</v>
      </c>
      <c r="U2" s="1" t="s">
        <v>68</v>
      </c>
      <c r="V2" s="1" t="s">
        <v>68</v>
      </c>
      <c r="W2" s="1" t="s">
        <v>68</v>
      </c>
      <c r="X2" s="1" t="s">
        <v>68</v>
      </c>
      <c r="Y2" s="73"/>
      <c r="Z2" s="2" t="s">
        <v>102</v>
      </c>
      <c r="AA2" s="3">
        <v>-94</v>
      </c>
      <c r="AB2" s="4">
        <v>0</v>
      </c>
      <c r="AC2" s="73">
        <v>46204</v>
      </c>
      <c r="AD2" s="73">
        <v>46204</v>
      </c>
      <c r="AE2" s="73"/>
      <c r="AF2" s="73">
        <v>46204</v>
      </c>
      <c r="AG2" s="3">
        <v>-94</v>
      </c>
      <c r="AH2" s="353" t="str">
        <f>LEFT(I2,3)</f>
        <v/>
      </c>
      <c r="AI2" s="3" t="str">
        <f>LEFT(A2,2)</f>
        <v>58</v>
      </c>
      <c r="AJ2" s="64" t="e">
        <f>VLOOKUP(T2,'GL Name'!A:B,2,0)</f>
        <v>#N/A</v>
      </c>
      <c r="AL2" s="13">
        <f>AB2/AA2</f>
        <v>0</v>
      </c>
      <c r="AM2" s="13" t="e">
        <f>VLOOKUP(I2,'Order 301-305 (เรียง)'!A:B,2,0)</f>
        <v>#N/A</v>
      </c>
      <c r="AN2" t="e">
        <f>VLOOKUP(I2,'Order 301-305 (เรียง)'!A:C,3,0)</f>
        <v>#N/A</v>
      </c>
    </row>
    <row r="3" spans="1:40" x14ac:dyDescent="0.3">
      <c r="A3" s="1" t="s">
        <v>126</v>
      </c>
      <c r="B3" s="1" t="s">
        <v>127</v>
      </c>
      <c r="C3" s="1" t="s">
        <v>64</v>
      </c>
      <c r="D3" s="1" t="s">
        <v>125</v>
      </c>
      <c r="E3" s="1" t="s">
        <v>289</v>
      </c>
      <c r="F3" s="1" t="s">
        <v>329</v>
      </c>
      <c r="G3" s="1" t="s">
        <v>103</v>
      </c>
      <c r="H3" s="1" t="s">
        <v>230</v>
      </c>
      <c r="I3" s="1" t="s">
        <v>68</v>
      </c>
      <c r="J3" s="1" t="s">
        <v>330</v>
      </c>
      <c r="K3" s="1" t="s">
        <v>294</v>
      </c>
      <c r="L3" s="1" t="s">
        <v>86</v>
      </c>
      <c r="M3" s="1" t="s">
        <v>68</v>
      </c>
      <c r="N3" s="1" t="s">
        <v>71</v>
      </c>
      <c r="O3" s="1" t="s">
        <v>68</v>
      </c>
      <c r="P3" s="1" t="s">
        <v>72</v>
      </c>
      <c r="Q3" s="1" t="s">
        <v>68</v>
      </c>
      <c r="R3" s="1" t="s">
        <v>68</v>
      </c>
      <c r="S3" s="1" t="s">
        <v>68</v>
      </c>
      <c r="T3" s="1" t="s">
        <v>68</v>
      </c>
      <c r="U3" s="1" t="s">
        <v>68</v>
      </c>
      <c r="V3" s="1" t="s">
        <v>68</v>
      </c>
      <c r="W3" s="1" t="s">
        <v>68</v>
      </c>
      <c r="X3" s="1" t="s">
        <v>68</v>
      </c>
      <c r="Y3" s="73"/>
      <c r="Z3" s="2" t="s">
        <v>102</v>
      </c>
      <c r="AA3" s="3">
        <v>94</v>
      </c>
      <c r="AB3" s="4">
        <v>0</v>
      </c>
      <c r="AC3" s="73">
        <v>46204</v>
      </c>
      <c r="AD3" s="73">
        <v>46204</v>
      </c>
      <c r="AE3" s="73"/>
      <c r="AF3" s="73">
        <v>46204</v>
      </c>
      <c r="AG3" s="3">
        <v>94</v>
      </c>
      <c r="AH3" s="353" t="str">
        <f t="shared" ref="AH3:AH65" si="0">LEFT(I3,3)</f>
        <v/>
      </c>
      <c r="AI3" s="3" t="str">
        <f t="shared" ref="AI3:AI65" si="1">LEFT(A3,2)</f>
        <v>58</v>
      </c>
      <c r="AJ3" s="64" t="e">
        <f>VLOOKUP(T3,'GL Name'!A:B,2,0)</f>
        <v>#N/A</v>
      </c>
      <c r="AL3" s="13">
        <f t="shared" ref="AL3:AL65" si="2">AB3/AA3</f>
        <v>0</v>
      </c>
      <c r="AM3" s="13" t="e">
        <f>VLOOKUP(I3,'Order 301-305 (เรียง)'!A:B,2,0)</f>
        <v>#N/A</v>
      </c>
      <c r="AN3" t="e">
        <f>VLOOKUP(I3,'Order 301-305 (เรียง)'!A:C,3,0)</f>
        <v>#N/A</v>
      </c>
    </row>
    <row r="4" spans="1:40" x14ac:dyDescent="0.3">
      <c r="A4" s="1" t="s">
        <v>196</v>
      </c>
      <c r="B4" s="1" t="s">
        <v>197</v>
      </c>
      <c r="C4" s="1" t="s">
        <v>64</v>
      </c>
      <c r="D4" s="1" t="s">
        <v>125</v>
      </c>
      <c r="E4" s="1" t="s">
        <v>289</v>
      </c>
      <c r="F4" s="1" t="s">
        <v>331</v>
      </c>
      <c r="G4" s="1" t="s">
        <v>101</v>
      </c>
      <c r="H4" s="1" t="s">
        <v>316</v>
      </c>
      <c r="I4" s="1" t="s">
        <v>68</v>
      </c>
      <c r="J4" s="1" t="s">
        <v>332</v>
      </c>
      <c r="K4" s="1" t="s">
        <v>294</v>
      </c>
      <c r="L4" s="1" t="s">
        <v>70</v>
      </c>
      <c r="M4" s="1" t="s">
        <v>68</v>
      </c>
      <c r="N4" s="1" t="s">
        <v>71</v>
      </c>
      <c r="O4" s="1" t="s">
        <v>68</v>
      </c>
      <c r="P4" s="1" t="s">
        <v>72</v>
      </c>
      <c r="Q4" s="1" t="s">
        <v>68</v>
      </c>
      <c r="R4" s="1" t="s">
        <v>68</v>
      </c>
      <c r="S4" s="1" t="s">
        <v>68</v>
      </c>
      <c r="T4" s="1" t="s">
        <v>68</v>
      </c>
      <c r="U4" s="1" t="s">
        <v>68</v>
      </c>
      <c r="V4" s="1" t="s">
        <v>68</v>
      </c>
      <c r="W4" s="1" t="s">
        <v>68</v>
      </c>
      <c r="X4" s="1" t="s">
        <v>68</v>
      </c>
      <c r="Y4" s="73"/>
      <c r="Z4" s="2" t="s">
        <v>102</v>
      </c>
      <c r="AA4" s="3">
        <v>-6000</v>
      </c>
      <c r="AB4" s="4">
        <v>0</v>
      </c>
      <c r="AC4" s="73">
        <v>46204</v>
      </c>
      <c r="AD4" s="73">
        <v>46204</v>
      </c>
      <c r="AE4" s="73"/>
      <c r="AF4" s="73">
        <v>46204</v>
      </c>
      <c r="AG4" s="3">
        <v>-6000</v>
      </c>
      <c r="AH4" s="353" t="str">
        <f t="shared" si="0"/>
        <v/>
      </c>
      <c r="AI4" s="3" t="str">
        <f t="shared" si="1"/>
        <v>58</v>
      </c>
      <c r="AJ4" s="64" t="e">
        <f>VLOOKUP(T4,'GL Name'!A:B,2,0)</f>
        <v>#N/A</v>
      </c>
      <c r="AL4" s="13">
        <f t="shared" si="2"/>
        <v>0</v>
      </c>
      <c r="AM4" s="13" t="e">
        <f>VLOOKUP(I4,'Order 301-305 (เรียง)'!A:B,2,0)</f>
        <v>#N/A</v>
      </c>
      <c r="AN4" t="e">
        <f>VLOOKUP(I4,'Order 301-305 (เรียง)'!A:C,3,0)</f>
        <v>#N/A</v>
      </c>
    </row>
    <row r="5" spans="1:40" x14ac:dyDescent="0.3">
      <c r="A5" s="1" t="s">
        <v>196</v>
      </c>
      <c r="B5" s="1" t="s">
        <v>197</v>
      </c>
      <c r="C5" s="1" t="s">
        <v>64</v>
      </c>
      <c r="D5" s="1" t="s">
        <v>125</v>
      </c>
      <c r="E5" s="1" t="s">
        <v>289</v>
      </c>
      <c r="F5" s="1" t="s">
        <v>331</v>
      </c>
      <c r="G5" s="1" t="s">
        <v>103</v>
      </c>
      <c r="H5" s="1" t="s">
        <v>316</v>
      </c>
      <c r="I5" s="1" t="s">
        <v>68</v>
      </c>
      <c r="J5" s="1" t="s">
        <v>332</v>
      </c>
      <c r="K5" s="1" t="s">
        <v>294</v>
      </c>
      <c r="L5" s="1" t="s">
        <v>86</v>
      </c>
      <c r="M5" s="1" t="s">
        <v>68</v>
      </c>
      <c r="N5" s="1" t="s">
        <v>71</v>
      </c>
      <c r="O5" s="1" t="s">
        <v>68</v>
      </c>
      <c r="P5" s="1" t="s">
        <v>72</v>
      </c>
      <c r="Q5" s="1" t="s">
        <v>68</v>
      </c>
      <c r="R5" s="1" t="s">
        <v>68</v>
      </c>
      <c r="S5" s="1" t="s">
        <v>68</v>
      </c>
      <c r="T5" s="1" t="s">
        <v>68</v>
      </c>
      <c r="U5" s="1" t="s">
        <v>68</v>
      </c>
      <c r="V5" s="1" t="s">
        <v>68</v>
      </c>
      <c r="W5" s="1" t="s">
        <v>68</v>
      </c>
      <c r="X5" s="1" t="s">
        <v>68</v>
      </c>
      <c r="Y5" s="73"/>
      <c r="Z5" s="2" t="s">
        <v>102</v>
      </c>
      <c r="AA5" s="3">
        <v>6000</v>
      </c>
      <c r="AB5" s="4">
        <v>0</v>
      </c>
      <c r="AC5" s="73">
        <v>46204</v>
      </c>
      <c r="AD5" s="73">
        <v>46204</v>
      </c>
      <c r="AE5" s="73"/>
      <c r="AF5" s="73">
        <v>46204</v>
      </c>
      <c r="AG5" s="3">
        <v>6000</v>
      </c>
      <c r="AH5" s="353" t="str">
        <f t="shared" si="0"/>
        <v/>
      </c>
      <c r="AI5" s="3" t="str">
        <f t="shared" si="1"/>
        <v>58</v>
      </c>
      <c r="AJ5" s="64" t="e">
        <f>VLOOKUP(T5,'GL Name'!A:B,2,0)</f>
        <v>#N/A</v>
      </c>
      <c r="AL5" s="13">
        <f t="shared" si="2"/>
        <v>0</v>
      </c>
      <c r="AM5" s="13" t="e">
        <f>VLOOKUP(I5,'Order 301-305 (เรียง)'!A:B,2,0)</f>
        <v>#N/A</v>
      </c>
      <c r="AN5" t="e">
        <f>VLOOKUP(I5,'Order 301-305 (เรียง)'!A:C,3,0)</f>
        <v>#N/A</v>
      </c>
    </row>
    <row r="6" spans="1:40" x14ac:dyDescent="0.3">
      <c r="A6" s="1" t="s">
        <v>104</v>
      </c>
      <c r="B6" s="1" t="s">
        <v>105</v>
      </c>
      <c r="C6" s="1" t="s">
        <v>64</v>
      </c>
      <c r="D6" s="1" t="s">
        <v>125</v>
      </c>
      <c r="E6" s="1" t="s">
        <v>289</v>
      </c>
      <c r="F6" s="1" t="s">
        <v>331</v>
      </c>
      <c r="G6" s="1" t="s">
        <v>101</v>
      </c>
      <c r="H6" s="1" t="s">
        <v>277</v>
      </c>
      <c r="I6" s="1" t="s">
        <v>68</v>
      </c>
      <c r="J6" s="1" t="s">
        <v>332</v>
      </c>
      <c r="K6" s="1" t="s">
        <v>294</v>
      </c>
      <c r="L6" s="1" t="s">
        <v>95</v>
      </c>
      <c r="M6" s="1" t="s">
        <v>68</v>
      </c>
      <c r="N6" s="1" t="s">
        <v>71</v>
      </c>
      <c r="O6" s="1" t="s">
        <v>68</v>
      </c>
      <c r="P6" s="1" t="s">
        <v>72</v>
      </c>
      <c r="Q6" s="1" t="s">
        <v>68</v>
      </c>
      <c r="R6" s="1" t="s">
        <v>68</v>
      </c>
      <c r="S6" s="1" t="s">
        <v>68</v>
      </c>
      <c r="T6" s="1" t="s">
        <v>68</v>
      </c>
      <c r="U6" s="1" t="s">
        <v>68</v>
      </c>
      <c r="V6" s="1" t="s">
        <v>68</v>
      </c>
      <c r="W6" s="1" t="s">
        <v>68</v>
      </c>
      <c r="X6" s="1" t="s">
        <v>68</v>
      </c>
      <c r="Y6" s="73"/>
      <c r="Z6" s="2" t="s">
        <v>102</v>
      </c>
      <c r="AA6" s="3">
        <v>-75</v>
      </c>
      <c r="AB6" s="4">
        <v>0</v>
      </c>
      <c r="AC6" s="73">
        <v>46204</v>
      </c>
      <c r="AD6" s="73">
        <v>46204</v>
      </c>
      <c r="AE6" s="73"/>
      <c r="AF6" s="73">
        <v>46204</v>
      </c>
      <c r="AG6" s="3">
        <v>-75</v>
      </c>
      <c r="AH6" s="353" t="str">
        <f t="shared" si="0"/>
        <v/>
      </c>
      <c r="AI6" s="3" t="str">
        <f t="shared" si="1"/>
        <v>58</v>
      </c>
      <c r="AJ6" s="64" t="e">
        <f>VLOOKUP(T6,'GL Name'!A:B,2,0)</f>
        <v>#N/A</v>
      </c>
      <c r="AL6" s="13">
        <f t="shared" si="2"/>
        <v>0</v>
      </c>
      <c r="AM6" s="13" t="e">
        <f>VLOOKUP(I6,'Order 301-305 (เรียง)'!A:B,2,0)</f>
        <v>#N/A</v>
      </c>
      <c r="AN6" t="e">
        <f>VLOOKUP(I6,'Order 301-305 (เรียง)'!A:C,3,0)</f>
        <v>#N/A</v>
      </c>
    </row>
    <row r="7" spans="1:40" x14ac:dyDescent="0.3">
      <c r="A7" s="1" t="s">
        <v>104</v>
      </c>
      <c r="B7" s="1" t="s">
        <v>105</v>
      </c>
      <c r="C7" s="1" t="s">
        <v>64</v>
      </c>
      <c r="D7" s="1" t="s">
        <v>125</v>
      </c>
      <c r="E7" s="1" t="s">
        <v>289</v>
      </c>
      <c r="F7" s="1" t="s">
        <v>331</v>
      </c>
      <c r="G7" s="1" t="s">
        <v>103</v>
      </c>
      <c r="H7" s="1" t="s">
        <v>277</v>
      </c>
      <c r="I7" s="1" t="s">
        <v>68</v>
      </c>
      <c r="J7" s="1" t="s">
        <v>332</v>
      </c>
      <c r="K7" s="1" t="s">
        <v>294</v>
      </c>
      <c r="L7" s="1" t="s">
        <v>111</v>
      </c>
      <c r="M7" s="1" t="s">
        <v>68</v>
      </c>
      <c r="N7" s="1" t="s">
        <v>71</v>
      </c>
      <c r="O7" s="1" t="s">
        <v>68</v>
      </c>
      <c r="P7" s="1" t="s">
        <v>72</v>
      </c>
      <c r="Q7" s="1" t="s">
        <v>68</v>
      </c>
      <c r="R7" s="1" t="s">
        <v>68</v>
      </c>
      <c r="S7" s="1" t="s">
        <v>68</v>
      </c>
      <c r="T7" s="1" t="s">
        <v>68</v>
      </c>
      <c r="U7" s="1" t="s">
        <v>68</v>
      </c>
      <c r="V7" s="1" t="s">
        <v>68</v>
      </c>
      <c r="W7" s="1" t="s">
        <v>68</v>
      </c>
      <c r="X7" s="1" t="s">
        <v>68</v>
      </c>
      <c r="Y7" s="73"/>
      <c r="Z7" s="2" t="s">
        <v>102</v>
      </c>
      <c r="AA7" s="3">
        <v>75</v>
      </c>
      <c r="AB7" s="4">
        <v>0</v>
      </c>
      <c r="AC7" s="73">
        <v>46204</v>
      </c>
      <c r="AD7" s="73">
        <v>46204</v>
      </c>
      <c r="AE7" s="73"/>
      <c r="AF7" s="73">
        <v>46204</v>
      </c>
      <c r="AG7" s="3">
        <v>75</v>
      </c>
      <c r="AH7" s="353" t="str">
        <f t="shared" si="0"/>
        <v/>
      </c>
      <c r="AI7" s="3" t="str">
        <f t="shared" si="1"/>
        <v>58</v>
      </c>
      <c r="AJ7" s="64" t="e">
        <f>VLOOKUP(T7,'GL Name'!A:B,2,0)</f>
        <v>#N/A</v>
      </c>
      <c r="AL7" s="13">
        <f t="shared" si="2"/>
        <v>0</v>
      </c>
      <c r="AM7" s="13" t="e">
        <f>VLOOKUP(I7,'Order 301-305 (เรียง)'!A:B,2,0)</f>
        <v>#N/A</v>
      </c>
      <c r="AN7" t="e">
        <f>VLOOKUP(I7,'Order 301-305 (เรียง)'!A:C,3,0)</f>
        <v>#N/A</v>
      </c>
    </row>
    <row r="8" spans="1:40" x14ac:dyDescent="0.3">
      <c r="A8" s="1" t="s">
        <v>104</v>
      </c>
      <c r="B8" s="1" t="s">
        <v>105</v>
      </c>
      <c r="C8" s="1" t="s">
        <v>64</v>
      </c>
      <c r="D8" s="1" t="s">
        <v>125</v>
      </c>
      <c r="E8" s="1" t="s">
        <v>289</v>
      </c>
      <c r="F8" s="1" t="s">
        <v>331</v>
      </c>
      <c r="G8" s="1" t="s">
        <v>101</v>
      </c>
      <c r="H8" s="1" t="s">
        <v>303</v>
      </c>
      <c r="I8" s="1" t="s">
        <v>68</v>
      </c>
      <c r="J8" s="1" t="s">
        <v>332</v>
      </c>
      <c r="K8" s="1" t="s">
        <v>294</v>
      </c>
      <c r="L8" s="1" t="s">
        <v>112</v>
      </c>
      <c r="M8" s="1" t="s">
        <v>68</v>
      </c>
      <c r="N8" s="1" t="s">
        <v>71</v>
      </c>
      <c r="O8" s="1" t="s">
        <v>68</v>
      </c>
      <c r="P8" s="1" t="s">
        <v>72</v>
      </c>
      <c r="Q8" s="1" t="s">
        <v>68</v>
      </c>
      <c r="R8" s="1" t="s">
        <v>68</v>
      </c>
      <c r="S8" s="1" t="s">
        <v>68</v>
      </c>
      <c r="T8" s="1" t="s">
        <v>68</v>
      </c>
      <c r="U8" s="1" t="s">
        <v>68</v>
      </c>
      <c r="V8" s="1" t="s">
        <v>68</v>
      </c>
      <c r="W8" s="1" t="s">
        <v>68</v>
      </c>
      <c r="X8" s="1" t="s">
        <v>68</v>
      </c>
      <c r="Y8" s="73"/>
      <c r="Z8" s="2" t="s">
        <v>102</v>
      </c>
      <c r="AA8" s="3">
        <v>-531</v>
      </c>
      <c r="AB8" s="4">
        <v>0</v>
      </c>
      <c r="AC8" s="73">
        <v>46204</v>
      </c>
      <c r="AD8" s="73">
        <v>46204</v>
      </c>
      <c r="AE8" s="73"/>
      <c r="AF8" s="73">
        <v>46204</v>
      </c>
      <c r="AG8" s="3">
        <v>-531</v>
      </c>
      <c r="AH8" s="353" t="str">
        <f t="shared" si="0"/>
        <v/>
      </c>
      <c r="AI8" s="3" t="str">
        <f t="shared" si="1"/>
        <v>58</v>
      </c>
      <c r="AJ8" s="64" t="e">
        <f>VLOOKUP(T8,'GL Name'!A:B,2,0)</f>
        <v>#N/A</v>
      </c>
      <c r="AL8" s="13">
        <f t="shared" si="2"/>
        <v>0</v>
      </c>
      <c r="AM8" s="13" t="e">
        <f>VLOOKUP(I8,'Order 301-305 (เรียง)'!A:B,2,0)</f>
        <v>#N/A</v>
      </c>
      <c r="AN8" t="e">
        <f>VLOOKUP(I8,'Order 301-305 (เรียง)'!A:C,3,0)</f>
        <v>#N/A</v>
      </c>
    </row>
    <row r="9" spans="1:40" x14ac:dyDescent="0.3">
      <c r="A9" s="1" t="s">
        <v>104</v>
      </c>
      <c r="B9" s="1" t="s">
        <v>105</v>
      </c>
      <c r="C9" s="1" t="s">
        <v>64</v>
      </c>
      <c r="D9" s="1" t="s">
        <v>125</v>
      </c>
      <c r="E9" s="1" t="s">
        <v>289</v>
      </c>
      <c r="F9" s="1" t="s">
        <v>331</v>
      </c>
      <c r="G9" s="1" t="s">
        <v>103</v>
      </c>
      <c r="H9" s="1" t="s">
        <v>303</v>
      </c>
      <c r="I9" s="1" t="s">
        <v>68</v>
      </c>
      <c r="J9" s="1" t="s">
        <v>332</v>
      </c>
      <c r="K9" s="1" t="s">
        <v>294</v>
      </c>
      <c r="L9" s="1" t="s">
        <v>109</v>
      </c>
      <c r="M9" s="1" t="s">
        <v>68</v>
      </c>
      <c r="N9" s="1" t="s">
        <v>71</v>
      </c>
      <c r="O9" s="1" t="s">
        <v>68</v>
      </c>
      <c r="P9" s="1" t="s">
        <v>72</v>
      </c>
      <c r="Q9" s="1" t="s">
        <v>68</v>
      </c>
      <c r="R9" s="1" t="s">
        <v>68</v>
      </c>
      <c r="S9" s="1" t="s">
        <v>68</v>
      </c>
      <c r="T9" s="1" t="s">
        <v>68</v>
      </c>
      <c r="U9" s="1" t="s">
        <v>68</v>
      </c>
      <c r="V9" s="1" t="s">
        <v>68</v>
      </c>
      <c r="W9" s="1" t="s">
        <v>68</v>
      </c>
      <c r="X9" s="1" t="s">
        <v>68</v>
      </c>
      <c r="Y9" s="73"/>
      <c r="Z9" s="2" t="s">
        <v>102</v>
      </c>
      <c r="AA9" s="3">
        <v>531</v>
      </c>
      <c r="AB9" s="4">
        <v>0</v>
      </c>
      <c r="AC9" s="73">
        <v>46204</v>
      </c>
      <c r="AD9" s="73">
        <v>46204</v>
      </c>
      <c r="AE9" s="73"/>
      <c r="AF9" s="73">
        <v>46204</v>
      </c>
      <c r="AG9" s="3">
        <v>531</v>
      </c>
      <c r="AH9" s="353" t="str">
        <f t="shared" si="0"/>
        <v/>
      </c>
      <c r="AI9" s="3" t="str">
        <f t="shared" si="1"/>
        <v>58</v>
      </c>
      <c r="AJ9" s="64" t="e">
        <f>VLOOKUP(T9,'GL Name'!A:B,2,0)</f>
        <v>#N/A</v>
      </c>
      <c r="AL9" s="13">
        <f t="shared" si="2"/>
        <v>0</v>
      </c>
      <c r="AM9" s="13" t="e">
        <f>VLOOKUP(I9,'Order 301-305 (เรียง)'!A:B,2,0)</f>
        <v>#N/A</v>
      </c>
      <c r="AN9" t="e">
        <f>VLOOKUP(I9,'Order 301-305 (เรียง)'!A:C,3,0)</f>
        <v>#N/A</v>
      </c>
    </row>
    <row r="10" spans="1:40" x14ac:dyDescent="0.3">
      <c r="A10" s="1" t="s">
        <v>333</v>
      </c>
      <c r="B10" s="1" t="s">
        <v>334</v>
      </c>
      <c r="C10" s="1" t="s">
        <v>64</v>
      </c>
      <c r="D10" s="1" t="s">
        <v>125</v>
      </c>
      <c r="E10" s="1" t="s">
        <v>289</v>
      </c>
      <c r="F10" s="1" t="s">
        <v>331</v>
      </c>
      <c r="G10" s="1" t="s">
        <v>103</v>
      </c>
      <c r="H10" s="1" t="s">
        <v>335</v>
      </c>
      <c r="I10" s="1" t="s">
        <v>68</v>
      </c>
      <c r="J10" s="1" t="s">
        <v>332</v>
      </c>
      <c r="K10" s="1" t="s">
        <v>294</v>
      </c>
      <c r="L10" s="1" t="s">
        <v>310</v>
      </c>
      <c r="M10" s="1" t="s">
        <v>68</v>
      </c>
      <c r="N10" s="1" t="s">
        <v>71</v>
      </c>
      <c r="O10" s="1" t="s">
        <v>68</v>
      </c>
      <c r="P10" s="1" t="s">
        <v>72</v>
      </c>
      <c r="Q10" s="1" t="s">
        <v>68</v>
      </c>
      <c r="R10" s="1" t="s">
        <v>68</v>
      </c>
      <c r="S10" s="1" t="s">
        <v>68</v>
      </c>
      <c r="T10" s="1" t="s">
        <v>68</v>
      </c>
      <c r="U10" s="1" t="s">
        <v>68</v>
      </c>
      <c r="V10" s="1" t="s">
        <v>68</v>
      </c>
      <c r="W10" s="1" t="s">
        <v>68</v>
      </c>
      <c r="X10" s="1" t="s">
        <v>68</v>
      </c>
      <c r="Y10" s="73"/>
      <c r="Z10" s="2" t="s">
        <v>241</v>
      </c>
      <c r="AA10" s="3">
        <v>99</v>
      </c>
      <c r="AB10" s="4">
        <v>0</v>
      </c>
      <c r="AC10" s="73">
        <v>46204</v>
      </c>
      <c r="AD10" s="73">
        <v>46204</v>
      </c>
      <c r="AE10" s="73"/>
      <c r="AF10" s="73">
        <v>46204</v>
      </c>
      <c r="AG10" s="3">
        <v>99</v>
      </c>
      <c r="AH10" s="353" t="str">
        <f t="shared" si="0"/>
        <v/>
      </c>
      <c r="AI10" s="3" t="str">
        <f t="shared" si="1"/>
        <v>58</v>
      </c>
      <c r="AJ10" s="64" t="e">
        <f>VLOOKUP(T10,'GL Name'!A:B,2,0)</f>
        <v>#N/A</v>
      </c>
      <c r="AL10" s="13">
        <f t="shared" si="2"/>
        <v>0</v>
      </c>
      <c r="AM10" s="13" t="e">
        <f>VLOOKUP(I10,'Order 301-305 (เรียง)'!A:B,2,0)</f>
        <v>#N/A</v>
      </c>
      <c r="AN10" t="e">
        <f>VLOOKUP(I10,'Order 301-305 (เรียง)'!A:C,3,0)</f>
        <v>#N/A</v>
      </c>
    </row>
    <row r="11" spans="1:40" x14ac:dyDescent="0.3">
      <c r="A11" s="1" t="s">
        <v>333</v>
      </c>
      <c r="B11" s="1" t="s">
        <v>334</v>
      </c>
      <c r="C11" s="1" t="s">
        <v>64</v>
      </c>
      <c r="D11" s="1" t="s">
        <v>125</v>
      </c>
      <c r="E11" s="1" t="s">
        <v>289</v>
      </c>
      <c r="F11" s="1" t="s">
        <v>331</v>
      </c>
      <c r="G11" s="1" t="s">
        <v>101</v>
      </c>
      <c r="H11" s="1" t="s">
        <v>335</v>
      </c>
      <c r="I11" s="1" t="s">
        <v>68</v>
      </c>
      <c r="J11" s="1" t="s">
        <v>332</v>
      </c>
      <c r="K11" s="1" t="s">
        <v>294</v>
      </c>
      <c r="L11" s="1" t="s">
        <v>309</v>
      </c>
      <c r="M11" s="1" t="s">
        <v>68</v>
      </c>
      <c r="N11" s="1" t="s">
        <v>71</v>
      </c>
      <c r="O11" s="1" t="s">
        <v>68</v>
      </c>
      <c r="P11" s="1" t="s">
        <v>72</v>
      </c>
      <c r="Q11" s="1" t="s">
        <v>68</v>
      </c>
      <c r="R11" s="1" t="s">
        <v>68</v>
      </c>
      <c r="S11" s="1" t="s">
        <v>68</v>
      </c>
      <c r="T11" s="1" t="s">
        <v>68</v>
      </c>
      <c r="U11" s="1" t="s">
        <v>68</v>
      </c>
      <c r="V11" s="1" t="s">
        <v>68</v>
      </c>
      <c r="W11" s="1" t="s">
        <v>68</v>
      </c>
      <c r="X11" s="1" t="s">
        <v>68</v>
      </c>
      <c r="Y11" s="73"/>
      <c r="Z11" s="2" t="s">
        <v>241</v>
      </c>
      <c r="AA11" s="3">
        <v>-99</v>
      </c>
      <c r="AB11" s="4">
        <v>0</v>
      </c>
      <c r="AC11" s="73">
        <v>46204</v>
      </c>
      <c r="AD11" s="73">
        <v>46204</v>
      </c>
      <c r="AE11" s="73"/>
      <c r="AF11" s="73">
        <v>46204</v>
      </c>
      <c r="AG11" s="3">
        <v>-99</v>
      </c>
      <c r="AH11" s="353" t="str">
        <f t="shared" si="0"/>
        <v/>
      </c>
      <c r="AI11" s="3" t="str">
        <f t="shared" si="1"/>
        <v>58</v>
      </c>
      <c r="AJ11" s="64" t="e">
        <f>VLOOKUP(T11,'GL Name'!A:B,2,0)</f>
        <v>#N/A</v>
      </c>
      <c r="AL11" s="13">
        <f t="shared" si="2"/>
        <v>0</v>
      </c>
      <c r="AM11" s="13" t="e">
        <f>VLOOKUP(I11,'Order 301-305 (เรียง)'!A:B,2,0)</f>
        <v>#N/A</v>
      </c>
      <c r="AN11" t="e">
        <f>VLOOKUP(I11,'Order 301-305 (เรียง)'!A:C,3,0)</f>
        <v>#N/A</v>
      </c>
    </row>
    <row r="12" spans="1:40" x14ac:dyDescent="0.3">
      <c r="A12" s="1" t="s">
        <v>237</v>
      </c>
      <c r="B12" s="1" t="s">
        <v>238</v>
      </c>
      <c r="C12" s="1" t="s">
        <v>64</v>
      </c>
      <c r="D12" s="1" t="s">
        <v>125</v>
      </c>
      <c r="E12" s="1" t="s">
        <v>289</v>
      </c>
      <c r="F12" s="1" t="s">
        <v>331</v>
      </c>
      <c r="G12" s="1" t="s">
        <v>103</v>
      </c>
      <c r="H12" s="1" t="s">
        <v>295</v>
      </c>
      <c r="I12" s="1" t="s">
        <v>68</v>
      </c>
      <c r="J12" s="1" t="s">
        <v>332</v>
      </c>
      <c r="K12" s="1" t="s">
        <v>294</v>
      </c>
      <c r="L12" s="1" t="s">
        <v>89</v>
      </c>
      <c r="M12" s="1" t="s">
        <v>68</v>
      </c>
      <c r="N12" s="1" t="s">
        <v>71</v>
      </c>
      <c r="O12" s="1" t="s">
        <v>68</v>
      </c>
      <c r="P12" s="1" t="s">
        <v>72</v>
      </c>
      <c r="Q12" s="1" t="s">
        <v>68</v>
      </c>
      <c r="R12" s="1" t="s">
        <v>68</v>
      </c>
      <c r="S12" s="1" t="s">
        <v>68</v>
      </c>
      <c r="T12" s="1" t="s">
        <v>68</v>
      </c>
      <c r="U12" s="1" t="s">
        <v>68</v>
      </c>
      <c r="V12" s="1" t="s">
        <v>68</v>
      </c>
      <c r="W12" s="1" t="s">
        <v>68</v>
      </c>
      <c r="X12" s="1" t="s">
        <v>68</v>
      </c>
      <c r="Y12" s="73"/>
      <c r="Z12" s="2" t="s">
        <v>102</v>
      </c>
      <c r="AA12" s="3">
        <v>3000</v>
      </c>
      <c r="AB12" s="4">
        <v>0</v>
      </c>
      <c r="AC12" s="73">
        <v>46204</v>
      </c>
      <c r="AD12" s="73">
        <v>46204</v>
      </c>
      <c r="AE12" s="73"/>
      <c r="AF12" s="73">
        <v>46204</v>
      </c>
      <c r="AG12" s="3">
        <v>3000</v>
      </c>
      <c r="AH12" s="353" t="str">
        <f t="shared" si="0"/>
        <v/>
      </c>
      <c r="AI12" s="3" t="str">
        <f t="shared" si="1"/>
        <v>58</v>
      </c>
      <c r="AJ12" s="64" t="e">
        <f>VLOOKUP(T12,'GL Name'!A:B,2,0)</f>
        <v>#N/A</v>
      </c>
      <c r="AL12" s="13">
        <f t="shared" si="2"/>
        <v>0</v>
      </c>
      <c r="AM12" s="13" t="e">
        <f>VLOOKUP(I12,'Order 301-305 (เรียง)'!A:B,2,0)</f>
        <v>#N/A</v>
      </c>
      <c r="AN12" t="e">
        <f>VLOOKUP(I12,'Order 301-305 (เรียง)'!A:C,3,0)</f>
        <v>#N/A</v>
      </c>
    </row>
    <row r="13" spans="1:40" s="141" customFormat="1" x14ac:dyDescent="0.3">
      <c r="A13" s="1" t="s">
        <v>237</v>
      </c>
      <c r="B13" s="1" t="s">
        <v>238</v>
      </c>
      <c r="C13" s="1" t="s">
        <v>64</v>
      </c>
      <c r="D13" s="1" t="s">
        <v>125</v>
      </c>
      <c r="E13" s="1" t="s">
        <v>289</v>
      </c>
      <c r="F13" s="1" t="s">
        <v>331</v>
      </c>
      <c r="G13" s="1" t="s">
        <v>101</v>
      </c>
      <c r="H13" s="1" t="s">
        <v>295</v>
      </c>
      <c r="I13" s="1" t="s">
        <v>68</v>
      </c>
      <c r="J13" s="1" t="s">
        <v>332</v>
      </c>
      <c r="K13" s="1" t="s">
        <v>294</v>
      </c>
      <c r="L13" s="1" t="s">
        <v>92</v>
      </c>
      <c r="M13" s="1" t="s">
        <v>68</v>
      </c>
      <c r="N13" s="1" t="s">
        <v>71</v>
      </c>
      <c r="O13" s="1" t="s">
        <v>68</v>
      </c>
      <c r="P13" s="1" t="s">
        <v>72</v>
      </c>
      <c r="Q13" s="1" t="s">
        <v>68</v>
      </c>
      <c r="R13" s="1" t="s">
        <v>68</v>
      </c>
      <c r="S13" s="1" t="s">
        <v>68</v>
      </c>
      <c r="T13" s="1" t="s">
        <v>68</v>
      </c>
      <c r="U13" s="1" t="s">
        <v>68</v>
      </c>
      <c r="V13" s="1" t="s">
        <v>68</v>
      </c>
      <c r="W13" s="1" t="s">
        <v>68</v>
      </c>
      <c r="X13" s="1" t="s">
        <v>68</v>
      </c>
      <c r="Y13" s="73"/>
      <c r="Z13" s="2" t="s">
        <v>102</v>
      </c>
      <c r="AA13" s="3">
        <v>-3000</v>
      </c>
      <c r="AB13" s="4">
        <v>0</v>
      </c>
      <c r="AC13" s="73">
        <v>46204</v>
      </c>
      <c r="AD13" s="73">
        <v>46204</v>
      </c>
      <c r="AE13" s="73"/>
      <c r="AF13" s="73">
        <v>46204</v>
      </c>
      <c r="AG13" s="3">
        <v>-3000</v>
      </c>
      <c r="AH13" s="352" t="str">
        <f t="shared" si="0"/>
        <v/>
      </c>
      <c r="AI13" s="153" t="str">
        <f t="shared" si="1"/>
        <v>58</v>
      </c>
      <c r="AJ13" s="154" t="e">
        <f>VLOOKUP(T13,'GL Name'!A:B,2,0)</f>
        <v>#N/A</v>
      </c>
      <c r="AK13" s="75"/>
      <c r="AL13" s="129">
        <f t="shared" si="2"/>
        <v>0</v>
      </c>
      <c r="AM13" s="129" t="e">
        <f>VLOOKUP(I13,'Order 301-305 (เรียง)'!A:B,2,0)</f>
        <v>#N/A</v>
      </c>
      <c r="AN13" s="75" t="e">
        <f>VLOOKUP(I13,'Order 301-305 (เรียง)'!A:C,3,0)</f>
        <v>#N/A</v>
      </c>
    </row>
    <row r="14" spans="1:40" s="141" customFormat="1" x14ac:dyDescent="0.3">
      <c r="A14" s="1" t="s">
        <v>81</v>
      </c>
      <c r="B14" s="1" t="s">
        <v>82</v>
      </c>
      <c r="C14" s="1" t="s">
        <v>64</v>
      </c>
      <c r="D14" s="1" t="s">
        <v>87</v>
      </c>
      <c r="E14" s="1" t="s">
        <v>88</v>
      </c>
      <c r="F14" s="1" t="s">
        <v>336</v>
      </c>
      <c r="G14" s="1" t="s">
        <v>83</v>
      </c>
      <c r="H14" s="1" t="s">
        <v>312</v>
      </c>
      <c r="I14" s="1" t="s">
        <v>68</v>
      </c>
      <c r="J14" s="1" t="s">
        <v>337</v>
      </c>
      <c r="K14" s="1" t="s">
        <v>118</v>
      </c>
      <c r="L14" s="1" t="s">
        <v>70</v>
      </c>
      <c r="M14" s="1" t="s">
        <v>68</v>
      </c>
      <c r="N14" s="1" t="s">
        <v>71</v>
      </c>
      <c r="O14" s="1" t="s">
        <v>68</v>
      </c>
      <c r="P14" s="1" t="s">
        <v>338</v>
      </c>
      <c r="Q14" s="1" t="s">
        <v>68</v>
      </c>
      <c r="R14" s="1" t="s">
        <v>308</v>
      </c>
      <c r="S14" s="1" t="s">
        <v>90</v>
      </c>
      <c r="T14" s="1" t="s">
        <v>91</v>
      </c>
      <c r="U14" s="1" t="s">
        <v>68</v>
      </c>
      <c r="V14" s="1" t="s">
        <v>68</v>
      </c>
      <c r="W14" s="1" t="s">
        <v>68</v>
      </c>
      <c r="X14" s="1" t="s">
        <v>68</v>
      </c>
      <c r="Y14" s="73"/>
      <c r="Z14" s="2" t="s">
        <v>74</v>
      </c>
      <c r="AA14" s="3">
        <v>-6</v>
      </c>
      <c r="AB14" s="4">
        <v>-1016.28</v>
      </c>
      <c r="AC14" s="73">
        <v>46204</v>
      </c>
      <c r="AD14" s="73">
        <v>46204</v>
      </c>
      <c r="AE14" s="73"/>
      <c r="AF14" s="73">
        <v>46204</v>
      </c>
      <c r="AG14" s="3">
        <v>-3000</v>
      </c>
      <c r="AH14" s="352" t="str">
        <f t="shared" si="0"/>
        <v/>
      </c>
      <c r="AI14" s="153" t="str">
        <f t="shared" si="1"/>
        <v>59</v>
      </c>
      <c r="AJ14" s="154" t="str">
        <f>VLOOKUP(T14,'GL Name'!A:B,2,0)</f>
        <v>ค่าวิจัยคุณภาพสินค้า</v>
      </c>
      <c r="AK14" s="75"/>
      <c r="AL14" s="129">
        <f t="shared" si="2"/>
        <v>169.38</v>
      </c>
      <c r="AM14" s="129" t="e">
        <f>VLOOKUP(I14,'Order 301-305 (เรียง)'!A:B,2,0)</f>
        <v>#N/A</v>
      </c>
      <c r="AN14" s="75" t="e">
        <f>VLOOKUP(I14,'Order 301-305 (เรียง)'!A:C,3,0)</f>
        <v>#N/A</v>
      </c>
    </row>
    <row r="15" spans="1:40" x14ac:dyDescent="0.3">
      <c r="A15" s="1" t="s">
        <v>62</v>
      </c>
      <c r="B15" s="1" t="s">
        <v>63</v>
      </c>
      <c r="C15" s="1" t="s">
        <v>64</v>
      </c>
      <c r="D15" s="1" t="s">
        <v>65</v>
      </c>
      <c r="E15" s="1" t="s">
        <v>66</v>
      </c>
      <c r="F15" s="1" t="s">
        <v>339</v>
      </c>
      <c r="G15" s="1" t="s">
        <v>67</v>
      </c>
      <c r="H15" s="1" t="s">
        <v>281</v>
      </c>
      <c r="I15" s="1" t="s">
        <v>68</v>
      </c>
      <c r="J15" s="1" t="s">
        <v>340</v>
      </c>
      <c r="K15" s="1" t="s">
        <v>231</v>
      </c>
      <c r="L15" s="1" t="s">
        <v>70</v>
      </c>
      <c r="M15" s="1" t="s">
        <v>68</v>
      </c>
      <c r="N15" s="1" t="s">
        <v>71</v>
      </c>
      <c r="O15" s="1" t="s">
        <v>68</v>
      </c>
      <c r="P15" s="1" t="s">
        <v>72</v>
      </c>
      <c r="Q15" s="1" t="s">
        <v>68</v>
      </c>
      <c r="R15" s="1" t="s">
        <v>68</v>
      </c>
      <c r="S15" s="1" t="s">
        <v>68</v>
      </c>
      <c r="T15" s="1" t="s">
        <v>73</v>
      </c>
      <c r="U15" s="1" t="s">
        <v>68</v>
      </c>
      <c r="V15" s="1" t="s">
        <v>68</v>
      </c>
      <c r="W15" s="1" t="s">
        <v>68</v>
      </c>
      <c r="X15" s="1" t="s">
        <v>341</v>
      </c>
      <c r="Y15" s="73"/>
      <c r="Z15" s="2" t="s">
        <v>74</v>
      </c>
      <c r="AA15" s="3">
        <v>-60</v>
      </c>
      <c r="AB15" s="4">
        <v>-10161.6</v>
      </c>
      <c r="AC15" s="73">
        <v>46204</v>
      </c>
      <c r="AD15" s="73">
        <v>46204</v>
      </c>
      <c r="AE15" s="73"/>
      <c r="AF15" s="73">
        <v>46204</v>
      </c>
      <c r="AG15" s="3">
        <v>-30000</v>
      </c>
      <c r="AH15" s="353" t="str">
        <f t="shared" si="0"/>
        <v/>
      </c>
      <c r="AI15" s="153" t="str">
        <f t="shared" si="1"/>
        <v>59</v>
      </c>
      <c r="AJ15" s="154" t="str">
        <f>VLOOKUP(T15,'GL Name'!A:B,2,0)</f>
        <v>ต้นทุนขาย</v>
      </c>
      <c r="AK15" s="75"/>
      <c r="AL15" s="129">
        <f t="shared" si="2"/>
        <v>169.36</v>
      </c>
      <c r="AM15" s="129" t="e">
        <f>VLOOKUP(I15,'Order 301-305 (เรียง)'!A:B,2,0)</f>
        <v>#N/A</v>
      </c>
      <c r="AN15" s="75" t="e">
        <f>VLOOKUP(I15,'Order 301-305 (เรียง)'!A:C,3,0)</f>
        <v>#N/A</v>
      </c>
    </row>
    <row r="16" spans="1:40" x14ac:dyDescent="0.3">
      <c r="A16" s="1" t="s">
        <v>62</v>
      </c>
      <c r="B16" s="1" t="s">
        <v>63</v>
      </c>
      <c r="C16" s="1" t="s">
        <v>64</v>
      </c>
      <c r="D16" s="1" t="s">
        <v>65</v>
      </c>
      <c r="E16" s="1" t="s">
        <v>66</v>
      </c>
      <c r="F16" s="1" t="s">
        <v>342</v>
      </c>
      <c r="G16" s="1" t="s">
        <v>67</v>
      </c>
      <c r="H16" s="1" t="s">
        <v>281</v>
      </c>
      <c r="I16" s="1" t="s">
        <v>68</v>
      </c>
      <c r="J16" s="1" t="s">
        <v>343</v>
      </c>
      <c r="K16" s="1" t="s">
        <v>231</v>
      </c>
      <c r="L16" s="1" t="s">
        <v>70</v>
      </c>
      <c r="M16" s="1" t="s">
        <v>68</v>
      </c>
      <c r="N16" s="1" t="s">
        <v>71</v>
      </c>
      <c r="O16" s="1" t="s">
        <v>68</v>
      </c>
      <c r="P16" s="1" t="s">
        <v>72</v>
      </c>
      <c r="Q16" s="1" t="s">
        <v>68</v>
      </c>
      <c r="R16" s="1" t="s">
        <v>68</v>
      </c>
      <c r="S16" s="1" t="s">
        <v>68</v>
      </c>
      <c r="T16" s="1" t="s">
        <v>73</v>
      </c>
      <c r="U16" s="1" t="s">
        <v>68</v>
      </c>
      <c r="V16" s="1" t="s">
        <v>68</v>
      </c>
      <c r="W16" s="1" t="s">
        <v>68</v>
      </c>
      <c r="X16" s="1" t="s">
        <v>344</v>
      </c>
      <c r="Y16" s="73"/>
      <c r="Z16" s="2" t="s">
        <v>74</v>
      </c>
      <c r="AA16" s="3">
        <v>-60</v>
      </c>
      <c r="AB16" s="4">
        <v>-10161.6</v>
      </c>
      <c r="AC16" s="73">
        <v>46204</v>
      </c>
      <c r="AD16" s="73">
        <v>46204</v>
      </c>
      <c r="AE16" s="73"/>
      <c r="AF16" s="73">
        <v>46204</v>
      </c>
      <c r="AG16" s="3">
        <v>-30000</v>
      </c>
      <c r="AH16" s="353" t="str">
        <f t="shared" si="0"/>
        <v/>
      </c>
      <c r="AI16" s="153" t="str">
        <f t="shared" si="1"/>
        <v>59</v>
      </c>
      <c r="AJ16" s="154" t="str">
        <f>VLOOKUP(T16,'GL Name'!A:B,2,0)</f>
        <v>ต้นทุนขาย</v>
      </c>
      <c r="AK16" s="75"/>
      <c r="AL16" s="129">
        <f t="shared" si="2"/>
        <v>169.36</v>
      </c>
      <c r="AM16" s="129" t="e">
        <f>VLOOKUP(I16,'Order 301-305 (เรียง)'!A:B,2,0)</f>
        <v>#N/A</v>
      </c>
      <c r="AN16" s="75" t="e">
        <f>VLOOKUP(I16,'Order 301-305 (เรียง)'!A:C,3,0)</f>
        <v>#N/A</v>
      </c>
    </row>
    <row r="17" spans="1:40" x14ac:dyDescent="0.3">
      <c r="A17" s="1" t="s">
        <v>17</v>
      </c>
      <c r="B17" s="1" t="s">
        <v>18</v>
      </c>
      <c r="C17" s="1" t="s">
        <v>64</v>
      </c>
      <c r="D17" s="1" t="s">
        <v>93</v>
      </c>
      <c r="E17" s="1" t="s">
        <v>94</v>
      </c>
      <c r="F17" s="1" t="s">
        <v>345</v>
      </c>
      <c r="G17" s="1" t="s">
        <v>232</v>
      </c>
      <c r="H17" s="1" t="s">
        <v>304</v>
      </c>
      <c r="I17" s="1" t="s">
        <v>68</v>
      </c>
      <c r="J17" s="1" t="s">
        <v>326</v>
      </c>
      <c r="K17" s="1" t="s">
        <v>223</v>
      </c>
      <c r="L17" s="1" t="s">
        <v>70</v>
      </c>
      <c r="M17" s="1" t="s">
        <v>68</v>
      </c>
      <c r="N17" s="1" t="s">
        <v>71</v>
      </c>
      <c r="O17" s="1" t="s">
        <v>68</v>
      </c>
      <c r="P17" s="1" t="s">
        <v>72</v>
      </c>
      <c r="Q17" s="1" t="s">
        <v>68</v>
      </c>
      <c r="R17" s="1" t="s">
        <v>68</v>
      </c>
      <c r="S17" s="1" t="s">
        <v>68</v>
      </c>
      <c r="T17" s="1" t="s">
        <v>68</v>
      </c>
      <c r="U17" s="1" t="s">
        <v>68</v>
      </c>
      <c r="V17" s="1" t="s">
        <v>68</v>
      </c>
      <c r="W17" s="1" t="s">
        <v>68</v>
      </c>
      <c r="X17" s="1" t="s">
        <v>68</v>
      </c>
      <c r="Y17" s="73"/>
      <c r="Z17" s="2" t="s">
        <v>80</v>
      </c>
      <c r="AA17" s="3">
        <v>-6988</v>
      </c>
      <c r="AB17" s="4">
        <v>0</v>
      </c>
      <c r="AC17" s="73">
        <v>46204</v>
      </c>
      <c r="AD17" s="73">
        <v>46204</v>
      </c>
      <c r="AE17" s="73"/>
      <c r="AF17" s="73">
        <v>46204</v>
      </c>
      <c r="AG17" s="3">
        <v>-6988000</v>
      </c>
      <c r="AH17" s="353" t="str">
        <f t="shared" si="0"/>
        <v/>
      </c>
      <c r="AI17" s="153" t="str">
        <f t="shared" si="1"/>
        <v>54</v>
      </c>
      <c r="AJ17" s="154" t="e">
        <f>VLOOKUP(T17,'GL Name'!A:B,2,0)</f>
        <v>#N/A</v>
      </c>
      <c r="AK17" s="75"/>
      <c r="AL17" s="129">
        <f t="shared" si="2"/>
        <v>0</v>
      </c>
      <c r="AM17" s="129" t="e">
        <f>VLOOKUP(I17,'Order 301-305 (เรียง)'!A:B,2,0)</f>
        <v>#N/A</v>
      </c>
      <c r="AN17" s="75" t="e">
        <f>VLOOKUP(I17,'Order 301-305 (เรียง)'!A:C,3,0)</f>
        <v>#N/A</v>
      </c>
    </row>
    <row r="18" spans="1:40" x14ac:dyDescent="0.3">
      <c r="A18" s="1" t="s">
        <v>17</v>
      </c>
      <c r="B18" s="1" t="s">
        <v>18</v>
      </c>
      <c r="C18" s="1" t="s">
        <v>64</v>
      </c>
      <c r="D18" s="1" t="s">
        <v>93</v>
      </c>
      <c r="E18" s="1" t="s">
        <v>94</v>
      </c>
      <c r="F18" s="1" t="s">
        <v>345</v>
      </c>
      <c r="G18" s="1" t="s">
        <v>278</v>
      </c>
      <c r="H18" s="1" t="s">
        <v>304</v>
      </c>
      <c r="I18" s="1" t="s">
        <v>68</v>
      </c>
      <c r="J18" s="1" t="s">
        <v>326</v>
      </c>
      <c r="K18" s="1" t="s">
        <v>223</v>
      </c>
      <c r="L18" s="1" t="s">
        <v>86</v>
      </c>
      <c r="M18" s="1" t="s">
        <v>68</v>
      </c>
      <c r="N18" s="1" t="s">
        <v>71</v>
      </c>
      <c r="O18" s="1" t="s">
        <v>68</v>
      </c>
      <c r="P18" s="1" t="s">
        <v>72</v>
      </c>
      <c r="Q18" s="1" t="s">
        <v>68</v>
      </c>
      <c r="R18" s="1" t="s">
        <v>68</v>
      </c>
      <c r="S18" s="1" t="s">
        <v>68</v>
      </c>
      <c r="T18" s="1" t="s">
        <v>68</v>
      </c>
      <c r="U18" s="1" t="s">
        <v>68</v>
      </c>
      <c r="V18" s="1" t="s">
        <v>68</v>
      </c>
      <c r="W18" s="1" t="s">
        <v>68</v>
      </c>
      <c r="X18" s="1" t="s">
        <v>68</v>
      </c>
      <c r="Y18" s="73"/>
      <c r="Z18" s="2" t="s">
        <v>80</v>
      </c>
      <c r="AA18" s="3">
        <v>6988</v>
      </c>
      <c r="AB18" s="4">
        <v>0</v>
      </c>
      <c r="AC18" s="73">
        <v>46204</v>
      </c>
      <c r="AD18" s="73">
        <v>46204</v>
      </c>
      <c r="AE18" s="73"/>
      <c r="AF18" s="73">
        <v>46204</v>
      </c>
      <c r="AG18" s="3">
        <v>6988000</v>
      </c>
      <c r="AH18" s="353" t="str">
        <f t="shared" si="0"/>
        <v/>
      </c>
      <c r="AI18" s="153" t="str">
        <f t="shared" si="1"/>
        <v>54</v>
      </c>
      <c r="AJ18" s="154" t="e">
        <f>VLOOKUP(T18,'GL Name'!A:B,2,0)</f>
        <v>#N/A</v>
      </c>
      <c r="AK18" s="75"/>
      <c r="AL18" s="129">
        <f t="shared" si="2"/>
        <v>0</v>
      </c>
      <c r="AM18" s="129" t="e">
        <f>VLOOKUP(I18,'Order 301-305 (เรียง)'!A:B,2,0)</f>
        <v>#N/A</v>
      </c>
      <c r="AN18" s="75" t="e">
        <f>VLOOKUP(I18,'Order 301-305 (เรียง)'!A:C,3,0)</f>
        <v>#N/A</v>
      </c>
    </row>
    <row r="19" spans="1:40" x14ac:dyDescent="0.3">
      <c r="A19" s="1" t="s">
        <v>81</v>
      </c>
      <c r="B19" s="1" t="s">
        <v>82</v>
      </c>
      <c r="C19" s="1" t="s">
        <v>64</v>
      </c>
      <c r="D19" s="1" t="s">
        <v>65</v>
      </c>
      <c r="E19" s="1" t="s">
        <v>66</v>
      </c>
      <c r="F19" s="1" t="s">
        <v>346</v>
      </c>
      <c r="G19" s="1" t="s">
        <v>83</v>
      </c>
      <c r="H19" s="1" t="s">
        <v>312</v>
      </c>
      <c r="I19" s="1" t="s">
        <v>68</v>
      </c>
      <c r="J19" s="1" t="s">
        <v>347</v>
      </c>
      <c r="K19" s="1" t="s">
        <v>118</v>
      </c>
      <c r="L19" s="1" t="s">
        <v>70</v>
      </c>
      <c r="M19" s="1" t="s">
        <v>68</v>
      </c>
      <c r="N19" s="1" t="s">
        <v>71</v>
      </c>
      <c r="O19" s="1" t="s">
        <v>68</v>
      </c>
      <c r="P19" s="1" t="s">
        <v>72</v>
      </c>
      <c r="Q19" s="1" t="s">
        <v>68</v>
      </c>
      <c r="R19" s="1" t="s">
        <v>68</v>
      </c>
      <c r="S19" s="1" t="s">
        <v>68</v>
      </c>
      <c r="T19" s="1" t="s">
        <v>73</v>
      </c>
      <c r="U19" s="1" t="s">
        <v>68</v>
      </c>
      <c r="V19" s="1" t="s">
        <v>68</v>
      </c>
      <c r="W19" s="1" t="s">
        <v>68</v>
      </c>
      <c r="X19" s="1" t="s">
        <v>348</v>
      </c>
      <c r="Y19" s="73"/>
      <c r="Z19" s="2" t="s">
        <v>85</v>
      </c>
      <c r="AA19" s="3">
        <v>-1920</v>
      </c>
      <c r="AB19" s="4">
        <v>-1951257.6000000001</v>
      </c>
      <c r="AC19" s="73">
        <v>46204</v>
      </c>
      <c r="AD19" s="73">
        <v>46204</v>
      </c>
      <c r="AE19" s="73"/>
      <c r="AF19" s="73">
        <v>46204</v>
      </c>
      <c r="AG19" s="3">
        <v>-5760000</v>
      </c>
      <c r="AH19" s="353" t="str">
        <f t="shared" si="0"/>
        <v/>
      </c>
      <c r="AI19" s="153" t="str">
        <f t="shared" si="1"/>
        <v>59</v>
      </c>
      <c r="AJ19" s="154" t="str">
        <f>VLOOKUP(T19,'GL Name'!A:B,2,0)</f>
        <v>ต้นทุนขาย</v>
      </c>
      <c r="AK19" s="75"/>
      <c r="AL19" s="129">
        <f t="shared" si="2"/>
        <v>1016.2800000000001</v>
      </c>
      <c r="AM19" s="129" t="e">
        <f>VLOOKUP(I19,'Order 301-305 (เรียง)'!A:B,2,0)</f>
        <v>#N/A</v>
      </c>
      <c r="AN19" s="75" t="e">
        <f>VLOOKUP(I19,'Order 301-305 (เรียง)'!A:C,3,0)</f>
        <v>#N/A</v>
      </c>
    </row>
    <row r="20" spans="1:40" x14ac:dyDescent="0.3">
      <c r="A20" s="1" t="s">
        <v>81</v>
      </c>
      <c r="B20" s="1" t="s">
        <v>82</v>
      </c>
      <c r="C20" s="1" t="s">
        <v>64</v>
      </c>
      <c r="D20" s="1" t="s">
        <v>65</v>
      </c>
      <c r="E20" s="1" t="s">
        <v>66</v>
      </c>
      <c r="F20" s="1" t="s">
        <v>349</v>
      </c>
      <c r="G20" s="1" t="s">
        <v>83</v>
      </c>
      <c r="H20" s="1" t="s">
        <v>313</v>
      </c>
      <c r="I20" s="1" t="s">
        <v>68</v>
      </c>
      <c r="J20" s="1" t="s">
        <v>350</v>
      </c>
      <c r="K20" s="1" t="s">
        <v>118</v>
      </c>
      <c r="L20" s="1" t="s">
        <v>86</v>
      </c>
      <c r="M20" s="1" t="s">
        <v>68</v>
      </c>
      <c r="N20" s="1" t="s">
        <v>71</v>
      </c>
      <c r="O20" s="1" t="s">
        <v>68</v>
      </c>
      <c r="P20" s="1" t="s">
        <v>72</v>
      </c>
      <c r="Q20" s="1" t="s">
        <v>68</v>
      </c>
      <c r="R20" s="1" t="s">
        <v>68</v>
      </c>
      <c r="S20" s="1" t="s">
        <v>68</v>
      </c>
      <c r="T20" s="1" t="s">
        <v>73</v>
      </c>
      <c r="U20" s="1" t="s">
        <v>68</v>
      </c>
      <c r="V20" s="1" t="s">
        <v>68</v>
      </c>
      <c r="W20" s="1" t="s">
        <v>68</v>
      </c>
      <c r="X20" s="1" t="s">
        <v>351</v>
      </c>
      <c r="Y20" s="73"/>
      <c r="Z20" s="2" t="s">
        <v>85</v>
      </c>
      <c r="AA20" s="3">
        <v>-149</v>
      </c>
      <c r="AB20" s="4">
        <v>-151425.72</v>
      </c>
      <c r="AC20" s="73">
        <v>46204</v>
      </c>
      <c r="AD20" s="73">
        <v>46204</v>
      </c>
      <c r="AE20" s="73"/>
      <c r="AF20" s="73">
        <v>46204</v>
      </c>
      <c r="AG20" s="3">
        <v>-447000</v>
      </c>
      <c r="AH20" s="353" t="str">
        <f t="shared" si="0"/>
        <v/>
      </c>
      <c r="AI20" s="153" t="str">
        <f t="shared" si="1"/>
        <v>59</v>
      </c>
      <c r="AJ20" s="154" t="str">
        <f>VLOOKUP(T20,'GL Name'!A:B,2,0)</f>
        <v>ต้นทุนขาย</v>
      </c>
      <c r="AK20" s="75"/>
      <c r="AL20" s="129">
        <f t="shared" si="2"/>
        <v>1016.28</v>
      </c>
      <c r="AM20" s="129" t="e">
        <f>VLOOKUP(I20,'Order 301-305 (เรียง)'!A:B,2,0)</f>
        <v>#N/A</v>
      </c>
      <c r="AN20" s="75" t="e">
        <f>VLOOKUP(I20,'Order 301-305 (เรียง)'!A:C,3,0)</f>
        <v>#N/A</v>
      </c>
    </row>
    <row r="21" spans="1:40" s="141" customFormat="1" x14ac:dyDescent="0.3">
      <c r="A21" s="1" t="s">
        <v>81</v>
      </c>
      <c r="B21" s="1" t="s">
        <v>82</v>
      </c>
      <c r="C21" s="1" t="s">
        <v>64</v>
      </c>
      <c r="D21" s="1" t="s">
        <v>65</v>
      </c>
      <c r="E21" s="1" t="s">
        <v>66</v>
      </c>
      <c r="F21" s="1" t="s">
        <v>349</v>
      </c>
      <c r="G21" s="1" t="s">
        <v>83</v>
      </c>
      <c r="H21" s="1" t="s">
        <v>312</v>
      </c>
      <c r="I21" s="1" t="s">
        <v>68</v>
      </c>
      <c r="J21" s="1" t="s">
        <v>350</v>
      </c>
      <c r="K21" s="1" t="s">
        <v>118</v>
      </c>
      <c r="L21" s="1" t="s">
        <v>70</v>
      </c>
      <c r="M21" s="1" t="s">
        <v>68</v>
      </c>
      <c r="N21" s="1" t="s">
        <v>71</v>
      </c>
      <c r="O21" s="1" t="s">
        <v>68</v>
      </c>
      <c r="P21" s="1" t="s">
        <v>72</v>
      </c>
      <c r="Q21" s="1" t="s">
        <v>68</v>
      </c>
      <c r="R21" s="1" t="s">
        <v>68</v>
      </c>
      <c r="S21" s="1" t="s">
        <v>68</v>
      </c>
      <c r="T21" s="1" t="s">
        <v>73</v>
      </c>
      <c r="U21" s="1" t="s">
        <v>68</v>
      </c>
      <c r="V21" s="1" t="s">
        <v>68</v>
      </c>
      <c r="W21" s="1" t="s">
        <v>68</v>
      </c>
      <c r="X21" s="1" t="s">
        <v>351</v>
      </c>
      <c r="Y21" s="73"/>
      <c r="Z21" s="2" t="s">
        <v>85</v>
      </c>
      <c r="AA21" s="3">
        <v>-811</v>
      </c>
      <c r="AB21" s="4">
        <v>-824203.08</v>
      </c>
      <c r="AC21" s="73">
        <v>46204</v>
      </c>
      <c r="AD21" s="73">
        <v>46204</v>
      </c>
      <c r="AE21" s="73"/>
      <c r="AF21" s="73">
        <v>46204</v>
      </c>
      <c r="AG21" s="3">
        <v>-2433000</v>
      </c>
      <c r="AH21" s="352" t="str">
        <f t="shared" si="0"/>
        <v/>
      </c>
      <c r="AI21" s="153" t="str">
        <f t="shared" si="1"/>
        <v>59</v>
      </c>
      <c r="AJ21" s="154" t="str">
        <f>VLOOKUP(T21,'GL Name'!A:B,2,0)</f>
        <v>ต้นทุนขาย</v>
      </c>
      <c r="AK21" s="75"/>
      <c r="AL21" s="129">
        <f t="shared" si="2"/>
        <v>1016.28</v>
      </c>
      <c r="AM21" s="129" t="e">
        <f>VLOOKUP(I21,'Order 301-305 (เรียง)'!A:B,2,0)</f>
        <v>#N/A</v>
      </c>
      <c r="AN21" s="75" t="e">
        <f>VLOOKUP(I21,'Order 301-305 (เรียง)'!A:C,3,0)</f>
        <v>#N/A</v>
      </c>
    </row>
    <row r="22" spans="1:40" s="141" customFormat="1" x14ac:dyDescent="0.3">
      <c r="A22" s="1" t="s">
        <v>81</v>
      </c>
      <c r="B22" s="1" t="s">
        <v>82</v>
      </c>
      <c r="C22" s="1" t="s">
        <v>64</v>
      </c>
      <c r="D22" s="1" t="s">
        <v>87</v>
      </c>
      <c r="E22" s="1" t="s">
        <v>88</v>
      </c>
      <c r="F22" s="1" t="s">
        <v>352</v>
      </c>
      <c r="G22" s="1" t="s">
        <v>83</v>
      </c>
      <c r="H22" s="1" t="s">
        <v>312</v>
      </c>
      <c r="I22" s="1" t="s">
        <v>68</v>
      </c>
      <c r="J22" s="1" t="s">
        <v>353</v>
      </c>
      <c r="K22" s="1" t="s">
        <v>118</v>
      </c>
      <c r="L22" s="1" t="s">
        <v>70</v>
      </c>
      <c r="M22" s="1" t="s">
        <v>68</v>
      </c>
      <c r="N22" s="1" t="s">
        <v>71</v>
      </c>
      <c r="O22" s="1" t="s">
        <v>68</v>
      </c>
      <c r="P22" s="1" t="s">
        <v>354</v>
      </c>
      <c r="Q22" s="1" t="s">
        <v>68</v>
      </c>
      <c r="R22" s="1" t="s">
        <v>355</v>
      </c>
      <c r="S22" s="1" t="s">
        <v>90</v>
      </c>
      <c r="T22" s="1" t="s">
        <v>91</v>
      </c>
      <c r="U22" s="1" t="s">
        <v>68</v>
      </c>
      <c r="V22" s="1" t="s">
        <v>68</v>
      </c>
      <c r="W22" s="1" t="s">
        <v>68</v>
      </c>
      <c r="X22" s="1" t="s">
        <v>68</v>
      </c>
      <c r="Y22" s="73"/>
      <c r="Z22" s="2" t="s">
        <v>74</v>
      </c>
      <c r="AA22" s="3">
        <v>-2</v>
      </c>
      <c r="AB22" s="4">
        <v>-338.76</v>
      </c>
      <c r="AC22" s="73">
        <v>46204</v>
      </c>
      <c r="AD22" s="73">
        <v>46204</v>
      </c>
      <c r="AE22" s="73"/>
      <c r="AF22" s="73">
        <v>46204</v>
      </c>
      <c r="AG22" s="3">
        <v>-1000</v>
      </c>
      <c r="AH22" s="352" t="str">
        <f t="shared" si="0"/>
        <v/>
      </c>
      <c r="AI22" s="153" t="str">
        <f t="shared" si="1"/>
        <v>59</v>
      </c>
      <c r="AJ22" s="154" t="str">
        <f>VLOOKUP(T22,'GL Name'!A:B,2,0)</f>
        <v>ค่าวิจัยคุณภาพสินค้า</v>
      </c>
      <c r="AK22" s="75"/>
      <c r="AL22" s="129">
        <f t="shared" si="2"/>
        <v>169.38</v>
      </c>
      <c r="AM22" s="129" t="e">
        <f>VLOOKUP(I22,'Order 301-305 (เรียง)'!A:B,2,0)</f>
        <v>#N/A</v>
      </c>
      <c r="AN22" s="75" t="e">
        <f>VLOOKUP(I22,'Order 301-305 (เรียง)'!A:C,3,0)</f>
        <v>#N/A</v>
      </c>
    </row>
    <row r="23" spans="1:40" s="141" customFormat="1" x14ac:dyDescent="0.3">
      <c r="A23" s="1" t="s">
        <v>81</v>
      </c>
      <c r="B23" s="1" t="s">
        <v>82</v>
      </c>
      <c r="C23" s="1" t="s">
        <v>64</v>
      </c>
      <c r="D23" s="1" t="s">
        <v>87</v>
      </c>
      <c r="E23" s="1" t="s">
        <v>88</v>
      </c>
      <c r="F23" s="1" t="s">
        <v>352</v>
      </c>
      <c r="G23" s="1" t="s">
        <v>83</v>
      </c>
      <c r="H23" s="1" t="s">
        <v>312</v>
      </c>
      <c r="I23" s="1" t="s">
        <v>68</v>
      </c>
      <c r="J23" s="1" t="s">
        <v>353</v>
      </c>
      <c r="K23" s="1" t="s">
        <v>118</v>
      </c>
      <c r="L23" s="1" t="s">
        <v>86</v>
      </c>
      <c r="M23" s="1" t="s">
        <v>68</v>
      </c>
      <c r="N23" s="1" t="s">
        <v>71</v>
      </c>
      <c r="O23" s="1" t="s">
        <v>68</v>
      </c>
      <c r="P23" s="1" t="s">
        <v>354</v>
      </c>
      <c r="Q23" s="1" t="s">
        <v>68</v>
      </c>
      <c r="R23" s="1" t="s">
        <v>356</v>
      </c>
      <c r="S23" s="1" t="s">
        <v>90</v>
      </c>
      <c r="T23" s="1" t="s">
        <v>91</v>
      </c>
      <c r="U23" s="1" t="s">
        <v>68</v>
      </c>
      <c r="V23" s="1" t="s">
        <v>68</v>
      </c>
      <c r="W23" s="1" t="s">
        <v>68</v>
      </c>
      <c r="X23" s="1" t="s">
        <v>68</v>
      </c>
      <c r="Y23" s="73"/>
      <c r="Z23" s="2" t="s">
        <v>74</v>
      </c>
      <c r="AA23" s="3">
        <v>-2</v>
      </c>
      <c r="AB23" s="4">
        <v>-338.76</v>
      </c>
      <c r="AC23" s="73">
        <v>46204</v>
      </c>
      <c r="AD23" s="73">
        <v>46204</v>
      </c>
      <c r="AE23" s="73"/>
      <c r="AF23" s="73">
        <v>46204</v>
      </c>
      <c r="AG23" s="3">
        <v>-1000</v>
      </c>
      <c r="AH23" s="352" t="str">
        <f t="shared" si="0"/>
        <v/>
      </c>
      <c r="AI23" s="153" t="str">
        <f t="shared" si="1"/>
        <v>59</v>
      </c>
      <c r="AJ23" s="154" t="str">
        <f>VLOOKUP(T23,'GL Name'!A:B,2,0)</f>
        <v>ค่าวิจัยคุณภาพสินค้า</v>
      </c>
      <c r="AK23" s="75"/>
      <c r="AL23" s="129">
        <f t="shared" si="2"/>
        <v>169.38</v>
      </c>
      <c r="AM23" s="129" t="e">
        <f>VLOOKUP(I23,'Order 301-305 (เรียง)'!A:B,2,0)</f>
        <v>#N/A</v>
      </c>
      <c r="AN23" s="75" t="e">
        <f>VLOOKUP(I23,'Order 301-305 (เรียง)'!A:C,3,0)</f>
        <v>#N/A</v>
      </c>
    </row>
    <row r="24" spans="1:40" s="141" customFormat="1" x14ac:dyDescent="0.3">
      <c r="A24" s="1" t="s">
        <v>113</v>
      </c>
      <c r="B24" s="1" t="s">
        <v>114</v>
      </c>
      <c r="C24" s="1" t="s">
        <v>64</v>
      </c>
      <c r="D24" s="1" t="s">
        <v>87</v>
      </c>
      <c r="E24" s="1" t="s">
        <v>88</v>
      </c>
      <c r="F24" s="1" t="s">
        <v>357</v>
      </c>
      <c r="G24" s="1" t="s">
        <v>83</v>
      </c>
      <c r="H24" s="1" t="s">
        <v>287</v>
      </c>
      <c r="I24" s="1" t="s">
        <v>68</v>
      </c>
      <c r="J24" s="1" t="s">
        <v>358</v>
      </c>
      <c r="K24" s="1" t="s">
        <v>118</v>
      </c>
      <c r="L24" s="1" t="s">
        <v>86</v>
      </c>
      <c r="M24" s="1" t="s">
        <v>68</v>
      </c>
      <c r="N24" s="1" t="s">
        <v>71</v>
      </c>
      <c r="O24" s="1" t="s">
        <v>68</v>
      </c>
      <c r="P24" s="1" t="s">
        <v>359</v>
      </c>
      <c r="Q24" s="1" t="s">
        <v>68</v>
      </c>
      <c r="R24" s="1" t="s">
        <v>360</v>
      </c>
      <c r="S24" s="1" t="s">
        <v>90</v>
      </c>
      <c r="T24" s="1" t="s">
        <v>91</v>
      </c>
      <c r="U24" s="1" t="s">
        <v>68</v>
      </c>
      <c r="V24" s="1" t="s">
        <v>68</v>
      </c>
      <c r="W24" s="1" t="s">
        <v>68</v>
      </c>
      <c r="X24" s="1" t="s">
        <v>68</v>
      </c>
      <c r="Y24" s="73"/>
      <c r="Z24" s="2" t="s">
        <v>74</v>
      </c>
      <c r="AA24" s="3">
        <v>-4</v>
      </c>
      <c r="AB24" s="4">
        <v>-677.44</v>
      </c>
      <c r="AC24" s="73">
        <v>46204</v>
      </c>
      <c r="AD24" s="73">
        <v>46204</v>
      </c>
      <c r="AE24" s="73"/>
      <c r="AF24" s="73">
        <v>46204</v>
      </c>
      <c r="AG24" s="3">
        <v>-2000</v>
      </c>
      <c r="AH24" s="352" t="str">
        <f t="shared" si="0"/>
        <v/>
      </c>
      <c r="AI24" s="153" t="str">
        <f t="shared" si="1"/>
        <v>59</v>
      </c>
      <c r="AJ24" s="154" t="str">
        <f>VLOOKUP(T24,'GL Name'!A:B,2,0)</f>
        <v>ค่าวิจัยคุณภาพสินค้า</v>
      </c>
      <c r="AK24" s="75"/>
      <c r="AL24" s="129">
        <f t="shared" si="2"/>
        <v>169.36</v>
      </c>
      <c r="AM24" s="129" t="e">
        <f>VLOOKUP(I24,'Order 301-305 (เรียง)'!A:B,2,0)</f>
        <v>#N/A</v>
      </c>
      <c r="AN24" s="75" t="e">
        <f>VLOOKUP(I24,'Order 301-305 (เรียง)'!A:C,3,0)</f>
        <v>#N/A</v>
      </c>
    </row>
    <row r="25" spans="1:40" x14ac:dyDescent="0.3">
      <c r="A25" s="1" t="s">
        <v>113</v>
      </c>
      <c r="B25" s="1" t="s">
        <v>114</v>
      </c>
      <c r="C25" s="1" t="s">
        <v>64</v>
      </c>
      <c r="D25" s="1" t="s">
        <v>87</v>
      </c>
      <c r="E25" s="1" t="s">
        <v>88</v>
      </c>
      <c r="F25" s="1" t="s">
        <v>357</v>
      </c>
      <c r="G25" s="1" t="s">
        <v>83</v>
      </c>
      <c r="H25" s="1" t="s">
        <v>324</v>
      </c>
      <c r="I25" s="1" t="s">
        <v>68</v>
      </c>
      <c r="J25" s="1" t="s">
        <v>358</v>
      </c>
      <c r="K25" s="1" t="s">
        <v>118</v>
      </c>
      <c r="L25" s="1" t="s">
        <v>70</v>
      </c>
      <c r="M25" s="1" t="s">
        <v>68</v>
      </c>
      <c r="N25" s="1" t="s">
        <v>71</v>
      </c>
      <c r="O25" s="1" t="s">
        <v>68</v>
      </c>
      <c r="P25" s="1" t="s">
        <v>359</v>
      </c>
      <c r="Q25" s="1" t="s">
        <v>68</v>
      </c>
      <c r="R25" s="1" t="s">
        <v>360</v>
      </c>
      <c r="S25" s="1" t="s">
        <v>90</v>
      </c>
      <c r="T25" s="1" t="s">
        <v>91</v>
      </c>
      <c r="U25" s="1" t="s">
        <v>68</v>
      </c>
      <c r="V25" s="1" t="s">
        <v>68</v>
      </c>
      <c r="W25" s="1" t="s">
        <v>68</v>
      </c>
      <c r="X25" s="1" t="s">
        <v>68</v>
      </c>
      <c r="Y25" s="73"/>
      <c r="Z25" s="2" t="s">
        <v>74</v>
      </c>
      <c r="AA25" s="3">
        <v>-5</v>
      </c>
      <c r="AB25" s="4">
        <v>-846.8</v>
      </c>
      <c r="AC25" s="73">
        <v>46204</v>
      </c>
      <c r="AD25" s="73">
        <v>46204</v>
      </c>
      <c r="AE25" s="73"/>
      <c r="AF25" s="73">
        <v>46204</v>
      </c>
      <c r="AG25" s="3">
        <v>-2500</v>
      </c>
      <c r="AH25" s="353" t="str">
        <f t="shared" si="0"/>
        <v/>
      </c>
      <c r="AI25" s="153" t="str">
        <f t="shared" si="1"/>
        <v>59</v>
      </c>
      <c r="AJ25" s="154" t="str">
        <f>VLOOKUP(T25,'GL Name'!A:B,2,0)</f>
        <v>ค่าวิจัยคุณภาพสินค้า</v>
      </c>
      <c r="AK25" s="75"/>
      <c r="AL25" s="129">
        <f t="shared" si="2"/>
        <v>169.35999999999999</v>
      </c>
      <c r="AM25" s="129" t="e">
        <f>VLOOKUP(I25,'Order 301-305 (เรียง)'!A:B,2,0)</f>
        <v>#N/A</v>
      </c>
      <c r="AN25" s="75" t="e">
        <f>VLOOKUP(I25,'Order 301-305 (เรียง)'!A:C,3,0)</f>
        <v>#N/A</v>
      </c>
    </row>
    <row r="26" spans="1:40" x14ac:dyDescent="0.3">
      <c r="A26" s="1" t="s">
        <v>62</v>
      </c>
      <c r="B26" s="1" t="s">
        <v>63</v>
      </c>
      <c r="C26" s="1" t="s">
        <v>64</v>
      </c>
      <c r="D26" s="1" t="s">
        <v>65</v>
      </c>
      <c r="E26" s="1" t="s">
        <v>66</v>
      </c>
      <c r="F26" s="1" t="s">
        <v>361</v>
      </c>
      <c r="G26" s="1" t="s">
        <v>67</v>
      </c>
      <c r="H26" s="1" t="s">
        <v>281</v>
      </c>
      <c r="I26" s="1" t="s">
        <v>68</v>
      </c>
      <c r="J26" s="1" t="s">
        <v>362</v>
      </c>
      <c r="K26" s="1" t="s">
        <v>96</v>
      </c>
      <c r="L26" s="1" t="s">
        <v>70</v>
      </c>
      <c r="M26" s="1" t="s">
        <v>68</v>
      </c>
      <c r="N26" s="1" t="s">
        <v>71</v>
      </c>
      <c r="O26" s="1" t="s">
        <v>68</v>
      </c>
      <c r="P26" s="1" t="s">
        <v>72</v>
      </c>
      <c r="Q26" s="1" t="s">
        <v>68</v>
      </c>
      <c r="R26" s="1" t="s">
        <v>68</v>
      </c>
      <c r="S26" s="1" t="s">
        <v>68</v>
      </c>
      <c r="T26" s="1" t="s">
        <v>73</v>
      </c>
      <c r="U26" s="1" t="s">
        <v>68</v>
      </c>
      <c r="V26" s="1" t="s">
        <v>68</v>
      </c>
      <c r="W26" s="1" t="s">
        <v>68</v>
      </c>
      <c r="X26" s="1" t="s">
        <v>363</v>
      </c>
      <c r="Y26" s="73"/>
      <c r="Z26" s="2" t="s">
        <v>265</v>
      </c>
      <c r="AA26" s="3">
        <v>-2</v>
      </c>
      <c r="AB26" s="4">
        <v>-0.68</v>
      </c>
      <c r="AC26" s="73">
        <v>46205</v>
      </c>
      <c r="AD26" s="73">
        <v>46205</v>
      </c>
      <c r="AE26" s="73"/>
      <c r="AF26" s="73">
        <v>46205</v>
      </c>
      <c r="AG26" s="3">
        <v>-2</v>
      </c>
      <c r="AH26" s="379" t="str">
        <f t="shared" si="0"/>
        <v/>
      </c>
      <c r="AI26" s="380" t="str">
        <f t="shared" si="1"/>
        <v>59</v>
      </c>
      <c r="AJ26" s="381" t="str">
        <f>VLOOKUP(T26,'GL Name'!A:B,2,0)</f>
        <v>ต้นทุนขาย</v>
      </c>
      <c r="AK26" s="382" t="s">
        <v>1638</v>
      </c>
      <c r="AL26" s="383">
        <f t="shared" si="2"/>
        <v>0.34</v>
      </c>
      <c r="AM26" s="383" t="e">
        <f>VLOOKUP(I26,'Order 301-305 (เรียง)'!A:B,2,0)</f>
        <v>#N/A</v>
      </c>
      <c r="AN26" s="382" t="e">
        <f>VLOOKUP(I26,'Order 301-305 (เรียง)'!A:C,3,0)</f>
        <v>#N/A</v>
      </c>
    </row>
    <row r="27" spans="1:40" x14ac:dyDescent="0.3">
      <c r="A27" s="1" t="s">
        <v>62</v>
      </c>
      <c r="B27" s="1" t="s">
        <v>63</v>
      </c>
      <c r="C27" s="1" t="s">
        <v>64</v>
      </c>
      <c r="D27" s="1" t="s">
        <v>65</v>
      </c>
      <c r="E27" s="1" t="s">
        <v>66</v>
      </c>
      <c r="F27" s="1" t="s">
        <v>364</v>
      </c>
      <c r="G27" s="1" t="s">
        <v>67</v>
      </c>
      <c r="H27" s="1" t="s">
        <v>281</v>
      </c>
      <c r="I27" s="1" t="s">
        <v>68</v>
      </c>
      <c r="J27" s="1" t="s">
        <v>365</v>
      </c>
      <c r="K27" s="1" t="s">
        <v>96</v>
      </c>
      <c r="L27" s="1" t="s">
        <v>70</v>
      </c>
      <c r="M27" s="1" t="s">
        <v>68</v>
      </c>
      <c r="N27" s="1" t="s">
        <v>71</v>
      </c>
      <c r="O27" s="1" t="s">
        <v>68</v>
      </c>
      <c r="P27" s="1" t="s">
        <v>72</v>
      </c>
      <c r="Q27" s="1" t="s">
        <v>68</v>
      </c>
      <c r="R27" s="1" t="s">
        <v>68</v>
      </c>
      <c r="S27" s="1" t="s">
        <v>68</v>
      </c>
      <c r="T27" s="1" t="s">
        <v>73</v>
      </c>
      <c r="U27" s="1" t="s">
        <v>68</v>
      </c>
      <c r="V27" s="1" t="s">
        <v>68</v>
      </c>
      <c r="W27" s="1" t="s">
        <v>68</v>
      </c>
      <c r="X27" s="1" t="s">
        <v>366</v>
      </c>
      <c r="Y27" s="73"/>
      <c r="Z27" s="2" t="s">
        <v>74</v>
      </c>
      <c r="AA27" s="3">
        <v>-1</v>
      </c>
      <c r="AB27" s="4">
        <v>-169.36</v>
      </c>
      <c r="AC27" s="73">
        <v>46205</v>
      </c>
      <c r="AD27" s="73">
        <v>46205</v>
      </c>
      <c r="AE27" s="73"/>
      <c r="AF27" s="73">
        <v>46205</v>
      </c>
      <c r="AG27" s="3">
        <v>-500</v>
      </c>
      <c r="AH27" s="353" t="str">
        <f t="shared" si="0"/>
        <v/>
      </c>
      <c r="AI27" s="153" t="str">
        <f t="shared" si="1"/>
        <v>59</v>
      </c>
      <c r="AJ27" s="154" t="str">
        <f>VLOOKUP(T27,'GL Name'!A:B,2,0)</f>
        <v>ต้นทุนขาย</v>
      </c>
      <c r="AK27" s="75"/>
      <c r="AL27" s="129">
        <f t="shared" si="2"/>
        <v>169.36</v>
      </c>
      <c r="AM27" s="129" t="e">
        <f>VLOOKUP(I27,'Order 301-305 (เรียง)'!A:B,2,0)</f>
        <v>#N/A</v>
      </c>
      <c r="AN27" s="75" t="e">
        <f>VLOOKUP(I27,'Order 301-305 (เรียง)'!A:C,3,0)</f>
        <v>#N/A</v>
      </c>
    </row>
    <row r="28" spans="1:40" x14ac:dyDescent="0.3">
      <c r="A28" s="1" t="s">
        <v>62</v>
      </c>
      <c r="B28" s="1" t="s">
        <v>63</v>
      </c>
      <c r="C28" s="1" t="s">
        <v>64</v>
      </c>
      <c r="D28" s="1" t="s">
        <v>65</v>
      </c>
      <c r="E28" s="1" t="s">
        <v>66</v>
      </c>
      <c r="F28" s="1" t="s">
        <v>367</v>
      </c>
      <c r="G28" s="1" t="s">
        <v>67</v>
      </c>
      <c r="H28" s="1" t="s">
        <v>281</v>
      </c>
      <c r="I28" s="1" t="s">
        <v>68</v>
      </c>
      <c r="J28" s="1" t="s">
        <v>368</v>
      </c>
      <c r="K28" s="1" t="s">
        <v>96</v>
      </c>
      <c r="L28" s="1" t="s">
        <v>70</v>
      </c>
      <c r="M28" s="1" t="s">
        <v>68</v>
      </c>
      <c r="N28" s="1" t="s">
        <v>71</v>
      </c>
      <c r="O28" s="1" t="s">
        <v>68</v>
      </c>
      <c r="P28" s="1" t="s">
        <v>72</v>
      </c>
      <c r="Q28" s="1" t="s">
        <v>68</v>
      </c>
      <c r="R28" s="1" t="s">
        <v>68</v>
      </c>
      <c r="S28" s="1" t="s">
        <v>68</v>
      </c>
      <c r="T28" s="1" t="s">
        <v>73</v>
      </c>
      <c r="U28" s="1" t="s">
        <v>68</v>
      </c>
      <c r="V28" s="1" t="s">
        <v>68</v>
      </c>
      <c r="W28" s="1" t="s">
        <v>68</v>
      </c>
      <c r="X28" s="1" t="s">
        <v>369</v>
      </c>
      <c r="Y28" s="73"/>
      <c r="Z28" s="2" t="s">
        <v>74</v>
      </c>
      <c r="AA28" s="3">
        <v>-1</v>
      </c>
      <c r="AB28" s="4">
        <v>-169.36</v>
      </c>
      <c r="AC28" s="73">
        <v>46205</v>
      </c>
      <c r="AD28" s="73">
        <v>46205</v>
      </c>
      <c r="AE28" s="73"/>
      <c r="AF28" s="73">
        <v>46205</v>
      </c>
      <c r="AG28" s="3">
        <v>-500</v>
      </c>
      <c r="AH28" s="353" t="str">
        <f t="shared" si="0"/>
        <v/>
      </c>
      <c r="AI28" s="153" t="str">
        <f t="shared" si="1"/>
        <v>59</v>
      </c>
      <c r="AJ28" s="154" t="str">
        <f>VLOOKUP(T28,'GL Name'!A:B,2,0)</f>
        <v>ต้นทุนขาย</v>
      </c>
      <c r="AK28" s="75"/>
      <c r="AL28" s="129">
        <f t="shared" si="2"/>
        <v>169.36</v>
      </c>
      <c r="AM28" s="129" t="e">
        <f>VLOOKUP(I28,'Order 301-305 (เรียง)'!A:B,2,0)</f>
        <v>#N/A</v>
      </c>
      <c r="AN28" s="75" t="e">
        <f>VLOOKUP(I28,'Order 301-305 (เรียง)'!A:C,3,0)</f>
        <v>#N/A</v>
      </c>
    </row>
    <row r="29" spans="1:40" x14ac:dyDescent="0.3">
      <c r="A29" s="1" t="s">
        <v>62</v>
      </c>
      <c r="B29" s="1" t="s">
        <v>63</v>
      </c>
      <c r="C29" s="1" t="s">
        <v>64</v>
      </c>
      <c r="D29" s="1" t="s">
        <v>65</v>
      </c>
      <c r="E29" s="1" t="s">
        <v>66</v>
      </c>
      <c r="F29" s="1" t="s">
        <v>370</v>
      </c>
      <c r="G29" s="1" t="s">
        <v>67</v>
      </c>
      <c r="H29" s="1" t="s">
        <v>281</v>
      </c>
      <c r="I29" s="1" t="s">
        <v>68</v>
      </c>
      <c r="J29" s="1" t="s">
        <v>371</v>
      </c>
      <c r="K29" s="1" t="s">
        <v>96</v>
      </c>
      <c r="L29" s="1" t="s">
        <v>70</v>
      </c>
      <c r="M29" s="1" t="s">
        <v>68</v>
      </c>
      <c r="N29" s="1" t="s">
        <v>71</v>
      </c>
      <c r="O29" s="1" t="s">
        <v>68</v>
      </c>
      <c r="P29" s="1" t="s">
        <v>72</v>
      </c>
      <c r="Q29" s="1" t="s">
        <v>68</v>
      </c>
      <c r="R29" s="1" t="s">
        <v>68</v>
      </c>
      <c r="S29" s="1" t="s">
        <v>68</v>
      </c>
      <c r="T29" s="1" t="s">
        <v>73</v>
      </c>
      <c r="U29" s="1" t="s">
        <v>68</v>
      </c>
      <c r="V29" s="1" t="s">
        <v>68</v>
      </c>
      <c r="W29" s="1" t="s">
        <v>68</v>
      </c>
      <c r="X29" s="1" t="s">
        <v>372</v>
      </c>
      <c r="Y29" s="73"/>
      <c r="Z29" s="2" t="s">
        <v>74</v>
      </c>
      <c r="AA29" s="3">
        <v>-2</v>
      </c>
      <c r="AB29" s="4">
        <v>-338.72</v>
      </c>
      <c r="AC29" s="73">
        <v>46205</v>
      </c>
      <c r="AD29" s="73">
        <v>46205</v>
      </c>
      <c r="AE29" s="73"/>
      <c r="AF29" s="73">
        <v>46205</v>
      </c>
      <c r="AG29" s="3">
        <v>-1000</v>
      </c>
      <c r="AH29" s="353" t="str">
        <f t="shared" si="0"/>
        <v/>
      </c>
      <c r="AI29" s="3" t="str">
        <f t="shared" si="1"/>
        <v>59</v>
      </c>
      <c r="AJ29" s="64" t="str">
        <f>VLOOKUP(T29,'GL Name'!A:B,2,0)</f>
        <v>ต้นทุนขาย</v>
      </c>
      <c r="AL29" s="13">
        <f t="shared" si="2"/>
        <v>169.36</v>
      </c>
      <c r="AM29" s="13" t="e">
        <f>VLOOKUP(I29,'Order 301-305 (เรียง)'!A:B,2,0)</f>
        <v>#N/A</v>
      </c>
      <c r="AN29" t="e">
        <f>VLOOKUP(I29,'Order 301-305 (เรียง)'!A:C,3,0)</f>
        <v>#N/A</v>
      </c>
    </row>
    <row r="30" spans="1:40" x14ac:dyDescent="0.3">
      <c r="A30" s="1" t="s">
        <v>62</v>
      </c>
      <c r="B30" s="1" t="s">
        <v>63</v>
      </c>
      <c r="C30" s="1" t="s">
        <v>64</v>
      </c>
      <c r="D30" s="1" t="s">
        <v>65</v>
      </c>
      <c r="E30" s="1" t="s">
        <v>66</v>
      </c>
      <c r="F30" s="1" t="s">
        <v>373</v>
      </c>
      <c r="G30" s="1" t="s">
        <v>67</v>
      </c>
      <c r="H30" s="1" t="s">
        <v>281</v>
      </c>
      <c r="I30" s="1" t="s">
        <v>68</v>
      </c>
      <c r="J30" s="1" t="s">
        <v>374</v>
      </c>
      <c r="K30" s="1" t="s">
        <v>231</v>
      </c>
      <c r="L30" s="1" t="s">
        <v>70</v>
      </c>
      <c r="M30" s="1" t="s">
        <v>68</v>
      </c>
      <c r="N30" s="1" t="s">
        <v>71</v>
      </c>
      <c r="O30" s="1" t="s">
        <v>68</v>
      </c>
      <c r="P30" s="1" t="s">
        <v>72</v>
      </c>
      <c r="Q30" s="1" t="s">
        <v>68</v>
      </c>
      <c r="R30" s="1" t="s">
        <v>68</v>
      </c>
      <c r="S30" s="1" t="s">
        <v>68</v>
      </c>
      <c r="T30" s="1" t="s">
        <v>73</v>
      </c>
      <c r="U30" s="1" t="s">
        <v>68</v>
      </c>
      <c r="V30" s="1" t="s">
        <v>68</v>
      </c>
      <c r="W30" s="1" t="s">
        <v>68</v>
      </c>
      <c r="X30" s="1" t="s">
        <v>375</v>
      </c>
      <c r="Y30" s="73"/>
      <c r="Z30" s="2" t="s">
        <v>74</v>
      </c>
      <c r="AA30" s="3">
        <v>-20</v>
      </c>
      <c r="AB30" s="4">
        <v>-3387.2</v>
      </c>
      <c r="AC30" s="73">
        <v>46205</v>
      </c>
      <c r="AD30" s="73">
        <v>46205</v>
      </c>
      <c r="AE30" s="73"/>
      <c r="AF30" s="73">
        <v>46205</v>
      </c>
      <c r="AG30" s="3">
        <v>-10000</v>
      </c>
      <c r="AH30" s="353" t="str">
        <f t="shared" si="0"/>
        <v/>
      </c>
      <c r="AI30" s="3" t="str">
        <f t="shared" si="1"/>
        <v>59</v>
      </c>
      <c r="AJ30" s="64" t="str">
        <f>VLOOKUP(T30,'GL Name'!A:B,2,0)</f>
        <v>ต้นทุนขาย</v>
      </c>
      <c r="AL30" s="13">
        <f t="shared" si="2"/>
        <v>169.35999999999999</v>
      </c>
      <c r="AM30" s="13" t="e">
        <f>VLOOKUP(I30,'Order 301-305 (เรียง)'!A:B,2,0)</f>
        <v>#N/A</v>
      </c>
      <c r="AN30" t="e">
        <f>VLOOKUP(I30,'Order 301-305 (เรียง)'!A:C,3,0)</f>
        <v>#N/A</v>
      </c>
    </row>
    <row r="31" spans="1:40" x14ac:dyDescent="0.3">
      <c r="A31" s="1" t="s">
        <v>62</v>
      </c>
      <c r="B31" s="1" t="s">
        <v>63</v>
      </c>
      <c r="C31" s="1" t="s">
        <v>64</v>
      </c>
      <c r="D31" s="1" t="s">
        <v>77</v>
      </c>
      <c r="E31" s="1" t="s">
        <v>78</v>
      </c>
      <c r="F31" s="1" t="s">
        <v>376</v>
      </c>
      <c r="G31" s="1" t="s">
        <v>83</v>
      </c>
      <c r="H31" s="1" t="s">
        <v>287</v>
      </c>
      <c r="I31" s="1" t="s">
        <v>377</v>
      </c>
      <c r="J31" s="1" t="s">
        <v>378</v>
      </c>
      <c r="K31" s="1" t="s">
        <v>84</v>
      </c>
      <c r="L31" s="1" t="s">
        <v>86</v>
      </c>
      <c r="M31" s="1" t="s">
        <v>68</v>
      </c>
      <c r="N31" s="1" t="s">
        <v>71</v>
      </c>
      <c r="O31" s="1" t="s">
        <v>68</v>
      </c>
      <c r="P31" s="1" t="s">
        <v>72</v>
      </c>
      <c r="Q31" s="1" t="s">
        <v>68</v>
      </c>
      <c r="R31" s="1" t="s">
        <v>63</v>
      </c>
      <c r="S31" s="1" t="s">
        <v>68</v>
      </c>
      <c r="T31" s="1" t="s">
        <v>110</v>
      </c>
      <c r="U31" s="1" t="s">
        <v>68</v>
      </c>
      <c r="V31" s="1" t="s">
        <v>68</v>
      </c>
      <c r="W31" s="1" t="s">
        <v>68</v>
      </c>
      <c r="X31" s="1" t="s">
        <v>68</v>
      </c>
      <c r="Y31" s="73"/>
      <c r="Z31" s="2" t="s">
        <v>74</v>
      </c>
      <c r="AA31" s="3">
        <v>-9</v>
      </c>
      <c r="AB31" s="4">
        <v>-1524.24</v>
      </c>
      <c r="AC31" s="73">
        <v>46205</v>
      </c>
      <c r="AD31" s="73">
        <v>46204</v>
      </c>
      <c r="AE31" s="73"/>
      <c r="AF31" s="73">
        <v>46205</v>
      </c>
      <c r="AG31" s="3">
        <v>-4500</v>
      </c>
      <c r="AH31" s="353" t="str">
        <f t="shared" si="0"/>
        <v>305</v>
      </c>
      <c r="AI31" s="3" t="str">
        <f t="shared" si="1"/>
        <v>59</v>
      </c>
      <c r="AJ31" s="64" t="str">
        <f>VLOOKUP(T31,'GL Name'!A:B,2,0)</f>
        <v>ต้นทุนผลิต-สินค้าสำเร็จรูป</v>
      </c>
      <c r="AL31" s="13">
        <f t="shared" si="2"/>
        <v>169.36</v>
      </c>
      <c r="AM31" s="13" t="str">
        <f>VLOOKUP(I31,'Order 301-305 (เรียง)'!A:B,2,0)</f>
        <v>59100000</v>
      </c>
      <c r="AN31" t="str">
        <f>VLOOKUP(I31,'Order 301-305 (เรียง)'!A:C,3,0)</f>
        <v>เมล็ดกาแฟ CPR Calibrate MF. 500 G.</v>
      </c>
    </row>
    <row r="32" spans="1:40" x14ac:dyDescent="0.3">
      <c r="A32" s="1" t="s">
        <v>113</v>
      </c>
      <c r="B32" s="1" t="s">
        <v>114</v>
      </c>
      <c r="C32" s="1" t="s">
        <v>64</v>
      </c>
      <c r="D32" s="1" t="s">
        <v>115</v>
      </c>
      <c r="E32" s="1" t="s">
        <v>116</v>
      </c>
      <c r="F32" s="1" t="s">
        <v>376</v>
      </c>
      <c r="G32" s="1" t="s">
        <v>83</v>
      </c>
      <c r="H32" s="1" t="s">
        <v>287</v>
      </c>
      <c r="I32" s="1" t="s">
        <v>377</v>
      </c>
      <c r="J32" s="1" t="s">
        <v>378</v>
      </c>
      <c r="K32" s="1" t="s">
        <v>84</v>
      </c>
      <c r="L32" s="1" t="s">
        <v>70</v>
      </c>
      <c r="M32" s="1" t="s">
        <v>68</v>
      </c>
      <c r="N32" s="1" t="s">
        <v>71</v>
      </c>
      <c r="O32" s="1" t="s">
        <v>68</v>
      </c>
      <c r="P32" s="1" t="s">
        <v>72</v>
      </c>
      <c r="Q32" s="1" t="s">
        <v>68</v>
      </c>
      <c r="R32" s="1" t="s">
        <v>68</v>
      </c>
      <c r="S32" s="1" t="s">
        <v>68</v>
      </c>
      <c r="T32" s="1" t="s">
        <v>117</v>
      </c>
      <c r="U32" s="1" t="s">
        <v>68</v>
      </c>
      <c r="V32" s="1" t="s">
        <v>68</v>
      </c>
      <c r="W32" s="1" t="s">
        <v>68</v>
      </c>
      <c r="X32" s="1" t="s">
        <v>68</v>
      </c>
      <c r="Y32" s="73"/>
      <c r="Z32" s="2" t="s">
        <v>74</v>
      </c>
      <c r="AA32" s="3">
        <v>9</v>
      </c>
      <c r="AB32" s="4">
        <v>1524.24</v>
      </c>
      <c r="AC32" s="73">
        <v>46205</v>
      </c>
      <c r="AD32" s="73">
        <v>46204</v>
      </c>
      <c r="AE32" s="73"/>
      <c r="AF32" s="73">
        <v>46205</v>
      </c>
      <c r="AG32" s="3">
        <v>4500</v>
      </c>
      <c r="AH32" s="353" t="str">
        <f t="shared" si="0"/>
        <v>305</v>
      </c>
      <c r="AI32" s="3" t="str">
        <f t="shared" si="1"/>
        <v>59</v>
      </c>
      <c r="AJ32" s="64" t="str">
        <f>VLOOKUP(T32,'GL Name'!A:B,2,0)</f>
        <v>ต้นทุนผลิตโอน F/G</v>
      </c>
      <c r="AL32" s="13">
        <f t="shared" si="2"/>
        <v>169.36</v>
      </c>
      <c r="AM32" s="13" t="str">
        <f>VLOOKUP(I32,'Order 301-305 (เรียง)'!A:B,2,0)</f>
        <v>59100000</v>
      </c>
      <c r="AN32" t="str">
        <f>VLOOKUP(I32,'Order 301-305 (เรียง)'!A:C,3,0)</f>
        <v>เมล็ดกาแฟ CPR Calibrate MF. 500 G.</v>
      </c>
    </row>
    <row r="33" spans="1:41" x14ac:dyDescent="0.3">
      <c r="A33" s="1" t="s">
        <v>113</v>
      </c>
      <c r="B33" s="1" t="s">
        <v>114</v>
      </c>
      <c r="C33" s="1" t="s">
        <v>64</v>
      </c>
      <c r="D33" s="1" t="s">
        <v>125</v>
      </c>
      <c r="E33" s="1" t="s">
        <v>289</v>
      </c>
      <c r="F33" s="1" t="s">
        <v>379</v>
      </c>
      <c r="G33" s="1" t="s">
        <v>83</v>
      </c>
      <c r="H33" s="1" t="s">
        <v>287</v>
      </c>
      <c r="I33" s="1" t="s">
        <v>68</v>
      </c>
      <c r="J33" s="1" t="s">
        <v>380</v>
      </c>
      <c r="K33" s="1" t="s">
        <v>84</v>
      </c>
      <c r="L33" s="1" t="s">
        <v>70</v>
      </c>
      <c r="M33" s="1" t="s">
        <v>68</v>
      </c>
      <c r="N33" s="1" t="s">
        <v>71</v>
      </c>
      <c r="O33" s="1" t="s">
        <v>68</v>
      </c>
      <c r="P33" s="1" t="s">
        <v>381</v>
      </c>
      <c r="Q33" s="1" t="s">
        <v>68</v>
      </c>
      <c r="R33" s="1" t="s">
        <v>68</v>
      </c>
      <c r="S33" s="1" t="s">
        <v>68</v>
      </c>
      <c r="T33" s="1" t="s">
        <v>68</v>
      </c>
      <c r="U33" s="1" t="s">
        <v>68</v>
      </c>
      <c r="V33" s="1" t="s">
        <v>68</v>
      </c>
      <c r="W33" s="1" t="s">
        <v>68</v>
      </c>
      <c r="X33" s="1" t="s">
        <v>68</v>
      </c>
      <c r="Y33" s="73"/>
      <c r="Z33" s="2" t="s">
        <v>74</v>
      </c>
      <c r="AA33" s="3">
        <v>-900</v>
      </c>
      <c r="AB33" s="4">
        <v>-152424</v>
      </c>
      <c r="AC33" s="73">
        <v>46205</v>
      </c>
      <c r="AD33" s="73">
        <v>46205</v>
      </c>
      <c r="AE33" s="73"/>
      <c r="AF33" s="73">
        <v>46205</v>
      </c>
      <c r="AG33" s="3">
        <v>-450000</v>
      </c>
      <c r="AH33" s="353" t="str">
        <f t="shared" si="0"/>
        <v/>
      </c>
      <c r="AI33" s="3" t="str">
        <f t="shared" si="1"/>
        <v>59</v>
      </c>
      <c r="AJ33" s="64" t="e">
        <f>VLOOKUP(T33,'GL Name'!A:B,2,0)</f>
        <v>#N/A</v>
      </c>
      <c r="AL33" s="13">
        <f t="shared" si="2"/>
        <v>169.36</v>
      </c>
      <c r="AM33" s="13" t="e">
        <f>VLOOKUP(I33,'Order 301-305 (เรียง)'!A:B,2,0)</f>
        <v>#N/A</v>
      </c>
      <c r="AN33" t="e">
        <f>VLOOKUP(I33,'Order 301-305 (เรียง)'!A:C,3,0)</f>
        <v>#N/A</v>
      </c>
    </row>
    <row r="34" spans="1:41" x14ac:dyDescent="0.3">
      <c r="A34" s="1" t="s">
        <v>75</v>
      </c>
      <c r="B34" s="1" t="s">
        <v>76</v>
      </c>
      <c r="C34" s="1" t="s">
        <v>64</v>
      </c>
      <c r="D34" s="1" t="s">
        <v>115</v>
      </c>
      <c r="E34" s="1" t="s">
        <v>116</v>
      </c>
      <c r="F34" s="1" t="s">
        <v>382</v>
      </c>
      <c r="G34" s="1" t="s">
        <v>83</v>
      </c>
      <c r="H34" s="1" t="s">
        <v>383</v>
      </c>
      <c r="I34" s="1" t="s">
        <v>384</v>
      </c>
      <c r="J34" s="1" t="s">
        <v>385</v>
      </c>
      <c r="K34" s="1" t="s">
        <v>84</v>
      </c>
      <c r="L34" s="1" t="s">
        <v>70</v>
      </c>
      <c r="M34" s="1" t="s">
        <v>68</v>
      </c>
      <c r="N34" s="1" t="s">
        <v>71</v>
      </c>
      <c r="O34" s="1" t="s">
        <v>68</v>
      </c>
      <c r="P34" s="1" t="s">
        <v>72</v>
      </c>
      <c r="Q34" s="1" t="s">
        <v>68</v>
      </c>
      <c r="R34" s="1" t="s">
        <v>68</v>
      </c>
      <c r="S34" s="1" t="s">
        <v>68</v>
      </c>
      <c r="T34" s="1" t="s">
        <v>117</v>
      </c>
      <c r="U34" s="1" t="s">
        <v>68</v>
      </c>
      <c r="V34" s="1" t="s">
        <v>68</v>
      </c>
      <c r="W34" s="1" t="s">
        <v>68</v>
      </c>
      <c r="X34" s="1" t="s">
        <v>68</v>
      </c>
      <c r="Y34" s="73"/>
      <c r="Z34" s="2" t="s">
        <v>74</v>
      </c>
      <c r="AA34" s="3">
        <v>1520</v>
      </c>
      <c r="AB34" s="4">
        <v>217466.4</v>
      </c>
      <c r="AC34" s="73">
        <v>46205</v>
      </c>
      <c r="AD34" s="73">
        <v>46204</v>
      </c>
      <c r="AE34" s="73"/>
      <c r="AF34" s="73">
        <v>46205</v>
      </c>
      <c r="AG34" s="3">
        <v>760000</v>
      </c>
      <c r="AH34" s="353" t="str">
        <f t="shared" si="0"/>
        <v>303</v>
      </c>
      <c r="AI34" s="3" t="str">
        <f t="shared" si="1"/>
        <v>59</v>
      </c>
      <c r="AJ34" s="64" t="str">
        <f>VLOOKUP(T34,'GL Name'!A:B,2,0)</f>
        <v>ต้นทุนผลิตโอน F/G</v>
      </c>
      <c r="AL34" s="13">
        <f t="shared" si="2"/>
        <v>143.07</v>
      </c>
      <c r="AM34" s="13" t="str">
        <f>VLOOKUP(I34,'Order 301-305 (เรียง)'!A:B,2,0)</f>
        <v>59000004</v>
      </c>
      <c r="AN34" t="str">
        <f>VLOOKUP(I34,'Order 301-305 (เรียง)'!A:C,3,0)</f>
        <v>Super  Blend  500 G.</v>
      </c>
    </row>
    <row r="35" spans="1:41" x14ac:dyDescent="0.3">
      <c r="A35" s="1" t="s">
        <v>262</v>
      </c>
      <c r="B35" s="1" t="s">
        <v>263</v>
      </c>
      <c r="C35" s="1" t="s">
        <v>64</v>
      </c>
      <c r="D35" s="1" t="s">
        <v>65</v>
      </c>
      <c r="E35" s="1" t="s">
        <v>66</v>
      </c>
      <c r="F35" s="1" t="s">
        <v>386</v>
      </c>
      <c r="G35" s="1" t="s">
        <v>67</v>
      </c>
      <c r="H35" s="1" t="s">
        <v>264</v>
      </c>
      <c r="I35" s="1" t="s">
        <v>68</v>
      </c>
      <c r="J35" s="1" t="s">
        <v>387</v>
      </c>
      <c r="K35" s="1" t="s">
        <v>69</v>
      </c>
      <c r="L35" s="1" t="s">
        <v>70</v>
      </c>
      <c r="M35" s="1" t="s">
        <v>68</v>
      </c>
      <c r="N35" s="1" t="s">
        <v>71</v>
      </c>
      <c r="O35" s="1" t="s">
        <v>68</v>
      </c>
      <c r="P35" s="1" t="s">
        <v>72</v>
      </c>
      <c r="Q35" s="1" t="s">
        <v>68</v>
      </c>
      <c r="R35" s="1" t="s">
        <v>68</v>
      </c>
      <c r="S35" s="1" t="s">
        <v>68</v>
      </c>
      <c r="T35" s="1" t="s">
        <v>73</v>
      </c>
      <c r="U35" s="1" t="s">
        <v>68</v>
      </c>
      <c r="V35" s="1" t="s">
        <v>68</v>
      </c>
      <c r="W35" s="1" t="s">
        <v>68</v>
      </c>
      <c r="X35" s="1" t="s">
        <v>388</v>
      </c>
      <c r="Y35" s="73"/>
      <c r="Z35" s="2" t="s">
        <v>74</v>
      </c>
      <c r="AA35" s="3">
        <v>-20</v>
      </c>
      <c r="AB35" s="4">
        <v>-3509.4</v>
      </c>
      <c r="AC35" s="73">
        <v>46205</v>
      </c>
      <c r="AD35" s="73">
        <v>46205</v>
      </c>
      <c r="AE35" s="73"/>
      <c r="AF35" s="73">
        <v>46205</v>
      </c>
      <c r="AG35" s="3">
        <v>-10000</v>
      </c>
      <c r="AH35" s="353" t="str">
        <f t="shared" si="0"/>
        <v/>
      </c>
      <c r="AI35" s="3" t="str">
        <f t="shared" si="1"/>
        <v>59</v>
      </c>
      <c r="AJ35" s="64" t="str">
        <f>VLOOKUP(T35,'GL Name'!A:B,2,0)</f>
        <v>ต้นทุนขาย</v>
      </c>
      <c r="AK35" s="58"/>
      <c r="AL35" s="13">
        <f t="shared" si="2"/>
        <v>175.47</v>
      </c>
      <c r="AM35" s="13" t="e">
        <f>VLOOKUP(I35,'Order 301-305 (เรียง)'!A:B,2,0)</f>
        <v>#N/A</v>
      </c>
      <c r="AN35" t="e">
        <f>VLOOKUP(I35,'Order 301-305 (เรียง)'!A:C,3,0)</f>
        <v>#N/A</v>
      </c>
    </row>
    <row r="36" spans="1:41" x14ac:dyDescent="0.3">
      <c r="A36" s="1" t="s">
        <v>262</v>
      </c>
      <c r="B36" s="1" t="s">
        <v>263</v>
      </c>
      <c r="C36" s="1" t="s">
        <v>64</v>
      </c>
      <c r="D36" s="1" t="s">
        <v>65</v>
      </c>
      <c r="E36" s="1" t="s">
        <v>66</v>
      </c>
      <c r="F36" s="1" t="s">
        <v>389</v>
      </c>
      <c r="G36" s="1" t="s">
        <v>67</v>
      </c>
      <c r="H36" s="1" t="s">
        <v>264</v>
      </c>
      <c r="I36" s="1" t="s">
        <v>68</v>
      </c>
      <c r="J36" s="1" t="s">
        <v>390</v>
      </c>
      <c r="K36" s="1" t="s">
        <v>69</v>
      </c>
      <c r="L36" s="1" t="s">
        <v>70</v>
      </c>
      <c r="M36" s="1" t="s">
        <v>68</v>
      </c>
      <c r="N36" s="1" t="s">
        <v>71</v>
      </c>
      <c r="O36" s="1" t="s">
        <v>68</v>
      </c>
      <c r="P36" s="1" t="s">
        <v>72</v>
      </c>
      <c r="Q36" s="1" t="s">
        <v>68</v>
      </c>
      <c r="R36" s="1" t="s">
        <v>68</v>
      </c>
      <c r="S36" s="1" t="s">
        <v>68</v>
      </c>
      <c r="T36" s="1" t="s">
        <v>73</v>
      </c>
      <c r="U36" s="1" t="s">
        <v>68</v>
      </c>
      <c r="V36" s="1" t="s">
        <v>68</v>
      </c>
      <c r="W36" s="1" t="s">
        <v>68</v>
      </c>
      <c r="X36" s="1" t="s">
        <v>391</v>
      </c>
      <c r="Y36" s="73"/>
      <c r="Z36" s="2" t="s">
        <v>74</v>
      </c>
      <c r="AA36" s="3">
        <v>-2</v>
      </c>
      <c r="AB36" s="4">
        <v>-350.94</v>
      </c>
      <c r="AC36" s="73">
        <v>46205</v>
      </c>
      <c r="AD36" s="73">
        <v>46205</v>
      </c>
      <c r="AE36" s="73"/>
      <c r="AF36" s="73">
        <v>46205</v>
      </c>
      <c r="AG36" s="3">
        <v>-1000</v>
      </c>
      <c r="AH36" s="353" t="str">
        <f t="shared" si="0"/>
        <v/>
      </c>
      <c r="AI36" s="3" t="str">
        <f t="shared" si="1"/>
        <v>59</v>
      </c>
      <c r="AJ36" s="64" t="str">
        <f>VLOOKUP(T36,'GL Name'!A:B,2,0)</f>
        <v>ต้นทุนขาย</v>
      </c>
      <c r="AK36" s="58"/>
      <c r="AL36" s="13">
        <f>AB36/AA36</f>
        <v>175.47</v>
      </c>
      <c r="AM36" s="13" t="e">
        <f>VLOOKUP(I36,'Order 301-305 (เรียง)'!A:B,2,0)</f>
        <v>#N/A</v>
      </c>
      <c r="AN36" t="e">
        <f>VLOOKUP(I36,'Order 301-305 (เรียง)'!A:C,3,0)</f>
        <v>#N/A</v>
      </c>
    </row>
    <row r="37" spans="1:41" s="141" customFormat="1" x14ac:dyDescent="0.3">
      <c r="A37" s="1" t="s">
        <v>62</v>
      </c>
      <c r="B37" s="1" t="s">
        <v>63</v>
      </c>
      <c r="C37" s="1" t="s">
        <v>64</v>
      </c>
      <c r="D37" s="1" t="s">
        <v>65</v>
      </c>
      <c r="E37" s="1" t="s">
        <v>66</v>
      </c>
      <c r="F37" s="1" t="s">
        <v>392</v>
      </c>
      <c r="G37" s="1" t="s">
        <v>67</v>
      </c>
      <c r="H37" s="1" t="s">
        <v>281</v>
      </c>
      <c r="I37" s="1" t="s">
        <v>68</v>
      </c>
      <c r="J37" s="1" t="s">
        <v>393</v>
      </c>
      <c r="K37" s="1" t="s">
        <v>96</v>
      </c>
      <c r="L37" s="1" t="s">
        <v>70</v>
      </c>
      <c r="M37" s="1" t="s">
        <v>68</v>
      </c>
      <c r="N37" s="1" t="s">
        <v>71</v>
      </c>
      <c r="O37" s="1" t="s">
        <v>68</v>
      </c>
      <c r="P37" s="1" t="s">
        <v>72</v>
      </c>
      <c r="Q37" s="1" t="s">
        <v>68</v>
      </c>
      <c r="R37" s="1" t="s">
        <v>68</v>
      </c>
      <c r="S37" s="1" t="s">
        <v>68</v>
      </c>
      <c r="T37" s="1" t="s">
        <v>73</v>
      </c>
      <c r="U37" s="1" t="s">
        <v>68</v>
      </c>
      <c r="V37" s="1" t="s">
        <v>68</v>
      </c>
      <c r="W37" s="1" t="s">
        <v>68</v>
      </c>
      <c r="X37" s="1" t="s">
        <v>394</v>
      </c>
      <c r="Y37" s="73"/>
      <c r="Z37" s="2" t="s">
        <v>74</v>
      </c>
      <c r="AA37" s="3">
        <v>-2</v>
      </c>
      <c r="AB37" s="4">
        <v>-338.72</v>
      </c>
      <c r="AC37" s="73">
        <v>46205</v>
      </c>
      <c r="AD37" s="73">
        <v>46205</v>
      </c>
      <c r="AE37" s="73"/>
      <c r="AF37" s="73">
        <v>46205</v>
      </c>
      <c r="AG37" s="3">
        <v>-1000</v>
      </c>
      <c r="AH37" s="352" t="str">
        <f t="shared" si="0"/>
        <v/>
      </c>
      <c r="AI37" s="153" t="str">
        <f t="shared" si="1"/>
        <v>59</v>
      </c>
      <c r="AJ37" s="154" t="str">
        <f>VLOOKUP(T37,'GL Name'!A:B,2,0)</f>
        <v>ต้นทุนขาย</v>
      </c>
      <c r="AK37" s="58"/>
      <c r="AL37" s="129">
        <f t="shared" si="2"/>
        <v>169.36</v>
      </c>
      <c r="AM37" s="129" t="e">
        <f>VLOOKUP(I37,'Order 301-305 (เรียง)'!A:B,2,0)</f>
        <v>#N/A</v>
      </c>
      <c r="AN37" s="75" t="e">
        <f>VLOOKUP(I37,'Order 301-305 (เรียง)'!A:C,3,0)</f>
        <v>#N/A</v>
      </c>
    </row>
    <row r="38" spans="1:41" x14ac:dyDescent="0.3">
      <c r="A38" s="1" t="s">
        <v>62</v>
      </c>
      <c r="B38" s="1" t="s">
        <v>63</v>
      </c>
      <c r="C38" s="1" t="s">
        <v>64</v>
      </c>
      <c r="D38" s="1" t="s">
        <v>65</v>
      </c>
      <c r="E38" s="1" t="s">
        <v>66</v>
      </c>
      <c r="F38" s="1" t="s">
        <v>395</v>
      </c>
      <c r="G38" s="1" t="s">
        <v>67</v>
      </c>
      <c r="H38" s="1" t="s">
        <v>281</v>
      </c>
      <c r="I38" s="1" t="s">
        <v>68</v>
      </c>
      <c r="J38" s="1" t="s">
        <v>396</v>
      </c>
      <c r="K38" s="1" t="s">
        <v>96</v>
      </c>
      <c r="L38" s="1" t="s">
        <v>70</v>
      </c>
      <c r="M38" s="1" t="s">
        <v>68</v>
      </c>
      <c r="N38" s="1" t="s">
        <v>71</v>
      </c>
      <c r="O38" s="1" t="s">
        <v>68</v>
      </c>
      <c r="P38" s="1" t="s">
        <v>72</v>
      </c>
      <c r="Q38" s="1" t="s">
        <v>68</v>
      </c>
      <c r="R38" s="1" t="s">
        <v>68</v>
      </c>
      <c r="S38" s="1" t="s">
        <v>68</v>
      </c>
      <c r="T38" s="1" t="s">
        <v>73</v>
      </c>
      <c r="U38" s="1" t="s">
        <v>68</v>
      </c>
      <c r="V38" s="1" t="s">
        <v>68</v>
      </c>
      <c r="W38" s="1" t="s">
        <v>68</v>
      </c>
      <c r="X38" s="1" t="s">
        <v>397</v>
      </c>
      <c r="Y38" s="73"/>
      <c r="Z38" s="2" t="s">
        <v>74</v>
      </c>
      <c r="AA38" s="3">
        <v>-2</v>
      </c>
      <c r="AB38" s="4">
        <v>-338.72</v>
      </c>
      <c r="AC38" s="73">
        <v>46205</v>
      </c>
      <c r="AD38" s="73">
        <v>46205</v>
      </c>
      <c r="AE38" s="73"/>
      <c r="AF38" s="73">
        <v>46205</v>
      </c>
      <c r="AG38" s="3">
        <v>-1000</v>
      </c>
      <c r="AH38" s="353" t="str">
        <f t="shared" si="0"/>
        <v/>
      </c>
      <c r="AI38" s="3" t="str">
        <f t="shared" si="1"/>
        <v>59</v>
      </c>
      <c r="AJ38" s="64" t="str">
        <f>VLOOKUP(T38,'GL Name'!A:B,2,0)</f>
        <v>ต้นทุนขาย</v>
      </c>
      <c r="AL38" s="13">
        <f t="shared" si="2"/>
        <v>169.36</v>
      </c>
      <c r="AM38" s="13" t="e">
        <f>VLOOKUP(I38,'Order 301-305 (เรียง)'!A:B,2,0)</f>
        <v>#N/A</v>
      </c>
      <c r="AN38" t="e">
        <f>VLOOKUP(I38,'Order 301-305 (เรียง)'!A:C,3,0)</f>
        <v>#N/A</v>
      </c>
    </row>
    <row r="39" spans="1:41" x14ac:dyDescent="0.3">
      <c r="A39" s="1" t="s">
        <v>62</v>
      </c>
      <c r="B39" s="1" t="s">
        <v>63</v>
      </c>
      <c r="C39" s="1" t="s">
        <v>64</v>
      </c>
      <c r="D39" s="1" t="s">
        <v>65</v>
      </c>
      <c r="E39" s="1" t="s">
        <v>66</v>
      </c>
      <c r="F39" s="1" t="s">
        <v>398</v>
      </c>
      <c r="G39" s="1" t="s">
        <v>67</v>
      </c>
      <c r="H39" s="1" t="s">
        <v>281</v>
      </c>
      <c r="I39" s="1" t="s">
        <v>68</v>
      </c>
      <c r="J39" s="1" t="s">
        <v>399</v>
      </c>
      <c r="K39" s="1" t="s">
        <v>96</v>
      </c>
      <c r="L39" s="1" t="s">
        <v>70</v>
      </c>
      <c r="M39" s="1" t="s">
        <v>68</v>
      </c>
      <c r="N39" s="1" t="s">
        <v>71</v>
      </c>
      <c r="O39" s="1" t="s">
        <v>68</v>
      </c>
      <c r="P39" s="1" t="s">
        <v>72</v>
      </c>
      <c r="Q39" s="1" t="s">
        <v>68</v>
      </c>
      <c r="R39" s="1" t="s">
        <v>68</v>
      </c>
      <c r="S39" s="1" t="s">
        <v>68</v>
      </c>
      <c r="T39" s="1" t="s">
        <v>73</v>
      </c>
      <c r="U39" s="1" t="s">
        <v>68</v>
      </c>
      <c r="V39" s="1" t="s">
        <v>68</v>
      </c>
      <c r="W39" s="1" t="s">
        <v>68</v>
      </c>
      <c r="X39" s="1" t="s">
        <v>400</v>
      </c>
      <c r="Y39" s="73"/>
      <c r="Z39" s="2" t="s">
        <v>74</v>
      </c>
      <c r="AA39" s="3">
        <v>-2</v>
      </c>
      <c r="AB39" s="4">
        <v>-338.72</v>
      </c>
      <c r="AC39" s="73">
        <v>46205</v>
      </c>
      <c r="AD39" s="73">
        <v>46205</v>
      </c>
      <c r="AE39" s="73"/>
      <c r="AF39" s="73">
        <v>46205</v>
      </c>
      <c r="AG39" s="3">
        <v>-1000</v>
      </c>
      <c r="AH39" s="353" t="str">
        <f t="shared" si="0"/>
        <v/>
      </c>
      <c r="AI39" s="3" t="str">
        <f t="shared" si="1"/>
        <v>59</v>
      </c>
      <c r="AJ39" s="64" t="str">
        <f>VLOOKUP(T39,'GL Name'!A:B,2,0)</f>
        <v>ต้นทุนขาย</v>
      </c>
      <c r="AL39" s="13">
        <f t="shared" si="2"/>
        <v>169.36</v>
      </c>
      <c r="AM39" s="13" t="e">
        <f>VLOOKUP(I39,'Order 301-305 (เรียง)'!A:B,2,0)</f>
        <v>#N/A</v>
      </c>
      <c r="AN39" t="e">
        <f>VLOOKUP(I39,'Order 301-305 (เรียง)'!A:C,3,0)</f>
        <v>#N/A</v>
      </c>
    </row>
    <row r="40" spans="1:41" x14ac:dyDescent="0.3">
      <c r="A40" s="1" t="s">
        <v>62</v>
      </c>
      <c r="B40" s="1" t="s">
        <v>63</v>
      </c>
      <c r="C40" s="1" t="s">
        <v>64</v>
      </c>
      <c r="D40" s="1" t="s">
        <v>65</v>
      </c>
      <c r="E40" s="1" t="s">
        <v>66</v>
      </c>
      <c r="F40" s="1" t="s">
        <v>401</v>
      </c>
      <c r="G40" s="1" t="s">
        <v>67</v>
      </c>
      <c r="H40" s="1" t="s">
        <v>281</v>
      </c>
      <c r="I40" s="1" t="s">
        <v>68</v>
      </c>
      <c r="J40" s="1" t="s">
        <v>402</v>
      </c>
      <c r="K40" s="1" t="s">
        <v>96</v>
      </c>
      <c r="L40" s="1" t="s">
        <v>70</v>
      </c>
      <c r="M40" s="1" t="s">
        <v>68</v>
      </c>
      <c r="N40" s="1" t="s">
        <v>71</v>
      </c>
      <c r="O40" s="1" t="s">
        <v>68</v>
      </c>
      <c r="P40" s="1" t="s">
        <v>72</v>
      </c>
      <c r="Q40" s="1" t="s">
        <v>68</v>
      </c>
      <c r="R40" s="1" t="s">
        <v>68</v>
      </c>
      <c r="S40" s="1" t="s">
        <v>68</v>
      </c>
      <c r="T40" s="1" t="s">
        <v>73</v>
      </c>
      <c r="U40" s="1" t="s">
        <v>68</v>
      </c>
      <c r="V40" s="1" t="s">
        <v>68</v>
      </c>
      <c r="W40" s="1" t="s">
        <v>68</v>
      </c>
      <c r="X40" s="1" t="s">
        <v>403</v>
      </c>
      <c r="Y40" s="73"/>
      <c r="Z40" s="2" t="s">
        <v>74</v>
      </c>
      <c r="AA40" s="3">
        <v>-8</v>
      </c>
      <c r="AB40" s="4">
        <v>-1354.88</v>
      </c>
      <c r="AC40" s="73">
        <v>46205</v>
      </c>
      <c r="AD40" s="73">
        <v>46205</v>
      </c>
      <c r="AE40" s="73"/>
      <c r="AF40" s="73">
        <v>46205</v>
      </c>
      <c r="AG40" s="3">
        <v>-4000</v>
      </c>
      <c r="AH40" s="353" t="str">
        <f t="shared" si="0"/>
        <v/>
      </c>
      <c r="AI40" s="3" t="str">
        <f t="shared" si="1"/>
        <v>59</v>
      </c>
      <c r="AJ40" s="64" t="str">
        <f>VLOOKUP(T40,'GL Name'!A:B,2,0)</f>
        <v>ต้นทุนขาย</v>
      </c>
      <c r="AL40" s="13">
        <f t="shared" si="2"/>
        <v>169.36</v>
      </c>
      <c r="AM40" s="13" t="e">
        <f>VLOOKUP(I40,'Order 301-305 (เรียง)'!A:B,2,0)</f>
        <v>#N/A</v>
      </c>
      <c r="AN40" t="e">
        <f>VLOOKUP(I40,'Order 301-305 (เรียง)'!A:C,3,0)</f>
        <v>#N/A</v>
      </c>
    </row>
    <row r="41" spans="1:41" x14ac:dyDescent="0.3">
      <c r="A41" s="1" t="s">
        <v>106</v>
      </c>
      <c r="B41" s="1" t="s">
        <v>107</v>
      </c>
      <c r="C41" s="1" t="s">
        <v>64</v>
      </c>
      <c r="D41" s="1" t="s">
        <v>93</v>
      </c>
      <c r="E41" s="1" t="s">
        <v>94</v>
      </c>
      <c r="F41" s="1" t="s">
        <v>404</v>
      </c>
      <c r="G41" s="1" t="s">
        <v>101</v>
      </c>
      <c r="H41" s="1" t="s">
        <v>220</v>
      </c>
      <c r="I41" s="1" t="s">
        <v>68</v>
      </c>
      <c r="J41" s="1" t="s">
        <v>405</v>
      </c>
      <c r="K41" s="1" t="s">
        <v>223</v>
      </c>
      <c r="L41" s="1" t="s">
        <v>112</v>
      </c>
      <c r="M41" s="1" t="s">
        <v>68</v>
      </c>
      <c r="N41" s="1" t="s">
        <v>71</v>
      </c>
      <c r="O41" s="1" t="s">
        <v>68</v>
      </c>
      <c r="P41" s="1" t="s">
        <v>72</v>
      </c>
      <c r="Q41" s="1" t="s">
        <v>68</v>
      </c>
      <c r="R41" s="1" t="s">
        <v>68</v>
      </c>
      <c r="S41" s="1" t="s">
        <v>68</v>
      </c>
      <c r="T41" s="1" t="s">
        <v>68</v>
      </c>
      <c r="U41" s="1" t="s">
        <v>68</v>
      </c>
      <c r="V41" s="1" t="s">
        <v>68</v>
      </c>
      <c r="W41" s="1" t="s">
        <v>68</v>
      </c>
      <c r="X41" s="1" t="s">
        <v>68</v>
      </c>
      <c r="Y41" s="73"/>
      <c r="Z41" s="2" t="s">
        <v>102</v>
      </c>
      <c r="AA41" s="3">
        <v>-20000</v>
      </c>
      <c r="AB41" s="4">
        <v>0</v>
      </c>
      <c r="AC41" s="73">
        <v>46205</v>
      </c>
      <c r="AD41" s="73">
        <v>46205</v>
      </c>
      <c r="AE41" s="73"/>
      <c r="AF41" s="73">
        <v>46205</v>
      </c>
      <c r="AG41" s="3">
        <v>-20000</v>
      </c>
      <c r="AH41" s="353" t="str">
        <f t="shared" si="0"/>
        <v/>
      </c>
      <c r="AI41" s="3" t="str">
        <f t="shared" si="1"/>
        <v>58</v>
      </c>
      <c r="AJ41" s="64" t="e">
        <f>VLOOKUP(T41,'GL Name'!A:B,2,0)</f>
        <v>#N/A</v>
      </c>
      <c r="AL41" s="13">
        <f t="shared" si="2"/>
        <v>0</v>
      </c>
      <c r="AM41" s="13" t="e">
        <f>VLOOKUP(I41,'Order 301-305 (เรียง)'!A:B,2,0)</f>
        <v>#N/A</v>
      </c>
      <c r="AN41" t="e">
        <f>VLOOKUP(I41,'Order 301-305 (เรียง)'!A:C,3,0)</f>
        <v>#N/A</v>
      </c>
    </row>
    <row r="42" spans="1:41" x14ac:dyDescent="0.3">
      <c r="A42" s="1" t="s">
        <v>106</v>
      </c>
      <c r="B42" s="1" t="s">
        <v>107</v>
      </c>
      <c r="C42" s="1" t="s">
        <v>64</v>
      </c>
      <c r="D42" s="1" t="s">
        <v>93</v>
      </c>
      <c r="E42" s="1" t="s">
        <v>94</v>
      </c>
      <c r="F42" s="1" t="s">
        <v>404</v>
      </c>
      <c r="G42" s="1" t="s">
        <v>103</v>
      </c>
      <c r="H42" s="1" t="s">
        <v>220</v>
      </c>
      <c r="I42" s="1" t="s">
        <v>68</v>
      </c>
      <c r="J42" s="1" t="s">
        <v>405</v>
      </c>
      <c r="K42" s="1" t="s">
        <v>223</v>
      </c>
      <c r="L42" s="1" t="s">
        <v>109</v>
      </c>
      <c r="M42" s="1" t="s">
        <v>68</v>
      </c>
      <c r="N42" s="1" t="s">
        <v>71</v>
      </c>
      <c r="O42" s="1" t="s">
        <v>68</v>
      </c>
      <c r="P42" s="1" t="s">
        <v>72</v>
      </c>
      <c r="Q42" s="1" t="s">
        <v>68</v>
      </c>
      <c r="R42" s="1" t="s">
        <v>68</v>
      </c>
      <c r="S42" s="1" t="s">
        <v>68</v>
      </c>
      <c r="T42" s="1" t="s">
        <v>68</v>
      </c>
      <c r="U42" s="1" t="s">
        <v>68</v>
      </c>
      <c r="V42" s="1" t="s">
        <v>68</v>
      </c>
      <c r="W42" s="1" t="s">
        <v>68</v>
      </c>
      <c r="X42" s="1" t="s">
        <v>68</v>
      </c>
      <c r="Y42" s="73"/>
      <c r="Z42" s="2" t="s">
        <v>102</v>
      </c>
      <c r="AA42" s="3">
        <v>20000</v>
      </c>
      <c r="AB42" s="4">
        <v>0</v>
      </c>
      <c r="AC42" s="73">
        <v>46205</v>
      </c>
      <c r="AD42" s="73">
        <v>46205</v>
      </c>
      <c r="AE42" s="73"/>
      <c r="AF42" s="73">
        <v>46205</v>
      </c>
      <c r="AG42" s="3">
        <v>20000</v>
      </c>
      <c r="AH42" s="353" t="str">
        <f t="shared" si="0"/>
        <v/>
      </c>
      <c r="AI42" s="3" t="str">
        <f t="shared" si="1"/>
        <v>58</v>
      </c>
      <c r="AJ42" s="64" t="e">
        <f>VLOOKUP(T42,'GL Name'!A:B,2,0)</f>
        <v>#N/A</v>
      </c>
      <c r="AL42" s="13">
        <f t="shared" si="2"/>
        <v>0</v>
      </c>
      <c r="AM42" s="13" t="e">
        <f>VLOOKUP(I42,'Order 301-305 (เรียง)'!A:B,2,0)</f>
        <v>#N/A</v>
      </c>
      <c r="AN42" t="e">
        <f>VLOOKUP(I42,'Order 301-305 (เรียง)'!A:C,3,0)</f>
        <v>#N/A</v>
      </c>
    </row>
    <row r="43" spans="1:41" x14ac:dyDescent="0.3">
      <c r="A43" s="1" t="s">
        <v>119</v>
      </c>
      <c r="B43" s="1" t="s">
        <v>120</v>
      </c>
      <c r="C43" s="1" t="s">
        <v>64</v>
      </c>
      <c r="D43" s="1" t="s">
        <v>93</v>
      </c>
      <c r="E43" s="1" t="s">
        <v>94</v>
      </c>
      <c r="F43" s="1" t="s">
        <v>404</v>
      </c>
      <c r="G43" s="1" t="s">
        <v>103</v>
      </c>
      <c r="H43" s="1" t="s">
        <v>302</v>
      </c>
      <c r="I43" s="1" t="s">
        <v>68</v>
      </c>
      <c r="J43" s="1" t="s">
        <v>405</v>
      </c>
      <c r="K43" s="1" t="s">
        <v>223</v>
      </c>
      <c r="L43" s="1" t="s">
        <v>111</v>
      </c>
      <c r="M43" s="1" t="s">
        <v>68</v>
      </c>
      <c r="N43" s="1" t="s">
        <v>71</v>
      </c>
      <c r="O43" s="1" t="s">
        <v>68</v>
      </c>
      <c r="P43" s="1" t="s">
        <v>72</v>
      </c>
      <c r="Q43" s="1" t="s">
        <v>68</v>
      </c>
      <c r="R43" s="1" t="s">
        <v>68</v>
      </c>
      <c r="S43" s="1" t="s">
        <v>68</v>
      </c>
      <c r="T43" s="1" t="s">
        <v>68</v>
      </c>
      <c r="U43" s="1" t="s">
        <v>68</v>
      </c>
      <c r="V43" s="1" t="s">
        <v>68</v>
      </c>
      <c r="W43" s="1" t="s">
        <v>68</v>
      </c>
      <c r="X43" s="1" t="s">
        <v>68</v>
      </c>
      <c r="Y43" s="73"/>
      <c r="Z43" s="2" t="s">
        <v>102</v>
      </c>
      <c r="AA43" s="3">
        <v>24000</v>
      </c>
      <c r="AB43" s="4">
        <v>0</v>
      </c>
      <c r="AC43" s="73">
        <v>46205</v>
      </c>
      <c r="AD43" s="73">
        <v>46205</v>
      </c>
      <c r="AE43" s="73"/>
      <c r="AF43" s="73">
        <v>46205</v>
      </c>
      <c r="AG43" s="3">
        <v>24000</v>
      </c>
      <c r="AH43" s="353" t="str">
        <f t="shared" si="0"/>
        <v/>
      </c>
      <c r="AI43" s="3" t="str">
        <f t="shared" si="1"/>
        <v>58</v>
      </c>
      <c r="AJ43" s="64" t="e">
        <f>VLOOKUP(T43,'GL Name'!A:B,2,0)</f>
        <v>#N/A</v>
      </c>
      <c r="AL43" s="13">
        <f t="shared" si="2"/>
        <v>0</v>
      </c>
      <c r="AM43" s="13" t="e">
        <f>VLOOKUP(I43,'Order 301-305 (เรียง)'!A:B,2,0)</f>
        <v>#N/A</v>
      </c>
      <c r="AN43" t="e">
        <f>VLOOKUP(I43,'Order 301-305 (เรียง)'!A:C,3,0)</f>
        <v>#N/A</v>
      </c>
    </row>
    <row r="44" spans="1:41" x14ac:dyDescent="0.3">
      <c r="A44" s="1" t="s">
        <v>119</v>
      </c>
      <c r="B44" s="1" t="s">
        <v>120</v>
      </c>
      <c r="C44" s="1" t="s">
        <v>64</v>
      </c>
      <c r="D44" s="1" t="s">
        <v>93</v>
      </c>
      <c r="E44" s="1" t="s">
        <v>94</v>
      </c>
      <c r="F44" s="1" t="s">
        <v>404</v>
      </c>
      <c r="G44" s="1" t="s">
        <v>101</v>
      </c>
      <c r="H44" s="1" t="s">
        <v>302</v>
      </c>
      <c r="I44" s="1" t="s">
        <v>68</v>
      </c>
      <c r="J44" s="1" t="s">
        <v>405</v>
      </c>
      <c r="K44" s="1" t="s">
        <v>223</v>
      </c>
      <c r="L44" s="1" t="s">
        <v>95</v>
      </c>
      <c r="M44" s="1" t="s">
        <v>68</v>
      </c>
      <c r="N44" s="1" t="s">
        <v>71</v>
      </c>
      <c r="O44" s="1" t="s">
        <v>68</v>
      </c>
      <c r="P44" s="1" t="s">
        <v>72</v>
      </c>
      <c r="Q44" s="1" t="s">
        <v>68</v>
      </c>
      <c r="R44" s="1" t="s">
        <v>68</v>
      </c>
      <c r="S44" s="1" t="s">
        <v>68</v>
      </c>
      <c r="T44" s="1" t="s">
        <v>68</v>
      </c>
      <c r="U44" s="1" t="s">
        <v>68</v>
      </c>
      <c r="V44" s="1" t="s">
        <v>68</v>
      </c>
      <c r="W44" s="1" t="s">
        <v>68</v>
      </c>
      <c r="X44" s="1" t="s">
        <v>68</v>
      </c>
      <c r="Y44" s="73"/>
      <c r="Z44" s="2" t="s">
        <v>102</v>
      </c>
      <c r="AA44" s="3">
        <v>-24000</v>
      </c>
      <c r="AB44" s="4">
        <v>0</v>
      </c>
      <c r="AC44" s="73">
        <v>46205</v>
      </c>
      <c r="AD44" s="73">
        <v>46205</v>
      </c>
      <c r="AE44" s="73"/>
      <c r="AF44" s="73">
        <v>46205</v>
      </c>
      <c r="AG44" s="3">
        <v>-24000</v>
      </c>
      <c r="AH44" s="353" t="str">
        <f t="shared" si="0"/>
        <v/>
      </c>
      <c r="AI44" s="3" t="str">
        <f t="shared" si="1"/>
        <v>58</v>
      </c>
      <c r="AJ44" s="64" t="e">
        <f>VLOOKUP(T44,'GL Name'!A:B,2,0)</f>
        <v>#N/A</v>
      </c>
      <c r="AL44" s="13">
        <f t="shared" si="2"/>
        <v>0</v>
      </c>
      <c r="AM44" s="13" t="e">
        <f>VLOOKUP(I44,'Order 301-305 (เรียง)'!A:B,2,0)</f>
        <v>#N/A</v>
      </c>
      <c r="AN44" t="e">
        <f>VLOOKUP(I44,'Order 301-305 (เรียง)'!A:C,3,0)</f>
        <v>#N/A</v>
      </c>
    </row>
    <row r="45" spans="1:41" x14ac:dyDescent="0.3">
      <c r="A45" s="1" t="s">
        <v>121</v>
      </c>
      <c r="B45" s="1" t="s">
        <v>122</v>
      </c>
      <c r="C45" s="1" t="s">
        <v>64</v>
      </c>
      <c r="D45" s="1" t="s">
        <v>93</v>
      </c>
      <c r="E45" s="1" t="s">
        <v>94</v>
      </c>
      <c r="F45" s="1" t="s">
        <v>404</v>
      </c>
      <c r="G45" s="1" t="s">
        <v>101</v>
      </c>
      <c r="H45" s="1" t="s">
        <v>314</v>
      </c>
      <c r="I45" s="1" t="s">
        <v>68</v>
      </c>
      <c r="J45" s="1" t="s">
        <v>405</v>
      </c>
      <c r="K45" s="1" t="s">
        <v>223</v>
      </c>
      <c r="L45" s="1" t="s">
        <v>70</v>
      </c>
      <c r="M45" s="1" t="s">
        <v>68</v>
      </c>
      <c r="N45" s="1" t="s">
        <v>71</v>
      </c>
      <c r="O45" s="1" t="s">
        <v>68</v>
      </c>
      <c r="P45" s="1" t="s">
        <v>72</v>
      </c>
      <c r="Q45" s="1" t="s">
        <v>68</v>
      </c>
      <c r="R45" s="1" t="s">
        <v>68</v>
      </c>
      <c r="S45" s="1" t="s">
        <v>68</v>
      </c>
      <c r="T45" s="1" t="s">
        <v>68</v>
      </c>
      <c r="U45" s="1" t="s">
        <v>68</v>
      </c>
      <c r="V45" s="1" t="s">
        <v>68</v>
      </c>
      <c r="W45" s="1" t="s">
        <v>68</v>
      </c>
      <c r="X45" s="1" t="s">
        <v>68</v>
      </c>
      <c r="Y45" s="73"/>
      <c r="Z45" s="2" t="s">
        <v>102</v>
      </c>
      <c r="AA45" s="3">
        <v>-2900</v>
      </c>
      <c r="AB45" s="4">
        <v>0</v>
      </c>
      <c r="AC45" s="73">
        <v>46205</v>
      </c>
      <c r="AD45" s="73">
        <v>46205</v>
      </c>
      <c r="AE45" s="73"/>
      <c r="AF45" s="73">
        <v>46205</v>
      </c>
      <c r="AG45" s="3">
        <v>-2900</v>
      </c>
      <c r="AH45" s="353" t="str">
        <f t="shared" si="0"/>
        <v/>
      </c>
      <c r="AI45" s="3" t="str">
        <f t="shared" si="1"/>
        <v>58</v>
      </c>
      <c r="AJ45" s="64" t="e">
        <f>VLOOKUP(T45,'GL Name'!A:B,2,0)</f>
        <v>#N/A</v>
      </c>
      <c r="AL45" s="13">
        <f t="shared" si="2"/>
        <v>0</v>
      </c>
      <c r="AM45" s="13" t="e">
        <f>VLOOKUP(I45,'Order 301-305 (เรียง)'!A:B,2,0)</f>
        <v>#N/A</v>
      </c>
      <c r="AN45" t="e">
        <f>VLOOKUP(I45,'Order 301-305 (เรียง)'!A:C,3,0)</f>
        <v>#N/A</v>
      </c>
    </row>
    <row r="46" spans="1:41" x14ac:dyDescent="0.3">
      <c r="A46" s="1" t="s">
        <v>121</v>
      </c>
      <c r="B46" s="1" t="s">
        <v>122</v>
      </c>
      <c r="C46" s="1" t="s">
        <v>64</v>
      </c>
      <c r="D46" s="1" t="s">
        <v>93</v>
      </c>
      <c r="E46" s="1" t="s">
        <v>94</v>
      </c>
      <c r="F46" s="1" t="s">
        <v>404</v>
      </c>
      <c r="G46" s="1" t="s">
        <v>103</v>
      </c>
      <c r="H46" s="1" t="s">
        <v>314</v>
      </c>
      <c r="I46" s="1" t="s">
        <v>68</v>
      </c>
      <c r="J46" s="1" t="s">
        <v>405</v>
      </c>
      <c r="K46" s="1" t="s">
        <v>223</v>
      </c>
      <c r="L46" s="1" t="s">
        <v>86</v>
      </c>
      <c r="M46" s="1" t="s">
        <v>68</v>
      </c>
      <c r="N46" s="1" t="s">
        <v>71</v>
      </c>
      <c r="O46" s="1" t="s">
        <v>68</v>
      </c>
      <c r="P46" s="1" t="s">
        <v>72</v>
      </c>
      <c r="Q46" s="1" t="s">
        <v>68</v>
      </c>
      <c r="R46" s="1" t="s">
        <v>68</v>
      </c>
      <c r="S46" s="1" t="s">
        <v>68</v>
      </c>
      <c r="T46" s="1" t="s">
        <v>68</v>
      </c>
      <c r="U46" s="1" t="s">
        <v>68</v>
      </c>
      <c r="V46" s="1" t="s">
        <v>68</v>
      </c>
      <c r="W46" s="1" t="s">
        <v>68</v>
      </c>
      <c r="X46" s="1" t="s">
        <v>68</v>
      </c>
      <c r="Y46" s="73"/>
      <c r="Z46" s="2" t="s">
        <v>102</v>
      </c>
      <c r="AA46" s="3">
        <v>2900</v>
      </c>
      <c r="AB46" s="4">
        <v>0</v>
      </c>
      <c r="AC46" s="73">
        <v>46205</v>
      </c>
      <c r="AD46" s="73">
        <v>46205</v>
      </c>
      <c r="AE46" s="73"/>
      <c r="AF46" s="73">
        <v>46205</v>
      </c>
      <c r="AG46" s="3">
        <v>2900</v>
      </c>
      <c r="AH46" s="353" t="str">
        <f t="shared" si="0"/>
        <v/>
      </c>
      <c r="AI46" s="3" t="str">
        <f t="shared" si="1"/>
        <v>58</v>
      </c>
      <c r="AJ46" s="64" t="e">
        <f>VLOOKUP(T46,'GL Name'!A:B,2,0)</f>
        <v>#N/A</v>
      </c>
      <c r="AL46" s="13">
        <f t="shared" si="2"/>
        <v>0</v>
      </c>
      <c r="AM46" s="13" t="e">
        <f>VLOOKUP(I46,'Order 301-305 (เรียง)'!A:B,2,0)</f>
        <v>#N/A</v>
      </c>
      <c r="AN46" t="e">
        <f>VLOOKUP(I46,'Order 301-305 (เรียง)'!A:C,3,0)</f>
        <v>#N/A</v>
      </c>
    </row>
    <row r="47" spans="1:41" x14ac:dyDescent="0.3">
      <c r="A47" s="1" t="s">
        <v>121</v>
      </c>
      <c r="B47" s="1" t="s">
        <v>122</v>
      </c>
      <c r="C47" s="1" t="s">
        <v>64</v>
      </c>
      <c r="D47" s="1" t="s">
        <v>93</v>
      </c>
      <c r="E47" s="1" t="s">
        <v>94</v>
      </c>
      <c r="F47" s="1" t="s">
        <v>404</v>
      </c>
      <c r="G47" s="1" t="s">
        <v>101</v>
      </c>
      <c r="H47" s="1" t="s">
        <v>316</v>
      </c>
      <c r="I47" s="1" t="s">
        <v>68</v>
      </c>
      <c r="J47" s="1" t="s">
        <v>405</v>
      </c>
      <c r="K47" s="1" t="s">
        <v>223</v>
      </c>
      <c r="L47" s="1" t="s">
        <v>92</v>
      </c>
      <c r="M47" s="1" t="s">
        <v>68</v>
      </c>
      <c r="N47" s="1" t="s">
        <v>71</v>
      </c>
      <c r="O47" s="1" t="s">
        <v>68</v>
      </c>
      <c r="P47" s="1" t="s">
        <v>72</v>
      </c>
      <c r="Q47" s="1" t="s">
        <v>68</v>
      </c>
      <c r="R47" s="1" t="s">
        <v>68</v>
      </c>
      <c r="S47" s="1" t="s">
        <v>68</v>
      </c>
      <c r="T47" s="1" t="s">
        <v>68</v>
      </c>
      <c r="U47" s="1" t="s">
        <v>68</v>
      </c>
      <c r="V47" s="1" t="s">
        <v>68</v>
      </c>
      <c r="W47" s="1" t="s">
        <v>68</v>
      </c>
      <c r="X47" s="1" t="s">
        <v>68</v>
      </c>
      <c r="Y47" s="73"/>
      <c r="Z47" s="2" t="s">
        <v>102</v>
      </c>
      <c r="AA47" s="3">
        <v>-1100</v>
      </c>
      <c r="AB47" s="4">
        <v>0</v>
      </c>
      <c r="AC47" s="73">
        <v>46205</v>
      </c>
      <c r="AD47" s="73">
        <v>46205</v>
      </c>
      <c r="AE47" s="73"/>
      <c r="AF47" s="73">
        <v>46205</v>
      </c>
      <c r="AG47" s="3">
        <v>-1100</v>
      </c>
      <c r="AH47" s="353" t="str">
        <f t="shared" si="0"/>
        <v/>
      </c>
      <c r="AI47" s="3" t="str">
        <f t="shared" si="1"/>
        <v>58</v>
      </c>
      <c r="AJ47" s="64" t="e">
        <f>VLOOKUP(T47,'GL Name'!A:B,2,0)</f>
        <v>#N/A</v>
      </c>
      <c r="AL47" s="13">
        <f t="shared" si="2"/>
        <v>0</v>
      </c>
      <c r="AM47" s="13" t="e">
        <f>VLOOKUP(I47,'Order 301-305 (เรียง)'!A:B,2,0)</f>
        <v>#N/A</v>
      </c>
      <c r="AN47" t="e">
        <f>VLOOKUP(I47,'Order 301-305 (เรียง)'!A:C,3,0)</f>
        <v>#N/A</v>
      </c>
      <c r="AO47" s="9"/>
    </row>
    <row r="48" spans="1:41" x14ac:dyDescent="0.3">
      <c r="A48" s="1" t="s">
        <v>121</v>
      </c>
      <c r="B48" s="1" t="s">
        <v>122</v>
      </c>
      <c r="C48" s="1" t="s">
        <v>64</v>
      </c>
      <c r="D48" s="1" t="s">
        <v>93</v>
      </c>
      <c r="E48" s="1" t="s">
        <v>94</v>
      </c>
      <c r="F48" s="1" t="s">
        <v>404</v>
      </c>
      <c r="G48" s="1" t="s">
        <v>103</v>
      </c>
      <c r="H48" s="1" t="s">
        <v>316</v>
      </c>
      <c r="I48" s="1" t="s">
        <v>68</v>
      </c>
      <c r="J48" s="1" t="s">
        <v>405</v>
      </c>
      <c r="K48" s="1" t="s">
        <v>223</v>
      </c>
      <c r="L48" s="1" t="s">
        <v>89</v>
      </c>
      <c r="M48" s="1" t="s">
        <v>68</v>
      </c>
      <c r="N48" s="1" t="s">
        <v>71</v>
      </c>
      <c r="O48" s="1" t="s">
        <v>68</v>
      </c>
      <c r="P48" s="1" t="s">
        <v>72</v>
      </c>
      <c r="Q48" s="1" t="s">
        <v>68</v>
      </c>
      <c r="R48" s="1" t="s">
        <v>68</v>
      </c>
      <c r="S48" s="1" t="s">
        <v>68</v>
      </c>
      <c r="T48" s="1" t="s">
        <v>68</v>
      </c>
      <c r="U48" s="1" t="s">
        <v>68</v>
      </c>
      <c r="V48" s="1" t="s">
        <v>68</v>
      </c>
      <c r="W48" s="1" t="s">
        <v>68</v>
      </c>
      <c r="X48" s="1" t="s">
        <v>68</v>
      </c>
      <c r="Y48" s="73"/>
      <c r="Z48" s="2" t="s">
        <v>102</v>
      </c>
      <c r="AA48" s="3">
        <v>1100</v>
      </c>
      <c r="AB48" s="4">
        <v>0</v>
      </c>
      <c r="AC48" s="73">
        <v>46205</v>
      </c>
      <c r="AD48" s="73">
        <v>46205</v>
      </c>
      <c r="AE48" s="73"/>
      <c r="AF48" s="73">
        <v>46205</v>
      </c>
      <c r="AG48" s="3">
        <v>1100</v>
      </c>
      <c r="AH48" s="353" t="str">
        <f t="shared" si="0"/>
        <v/>
      </c>
      <c r="AI48" s="3" t="str">
        <f t="shared" si="1"/>
        <v>58</v>
      </c>
      <c r="AJ48" s="64" t="e">
        <f>VLOOKUP(T48,'GL Name'!A:B,2,0)</f>
        <v>#N/A</v>
      </c>
      <c r="AL48" s="13">
        <f t="shared" si="2"/>
        <v>0</v>
      </c>
      <c r="AM48" s="13" t="e">
        <f>VLOOKUP(I48,'Order 301-305 (เรียง)'!A:B,2,0)</f>
        <v>#N/A</v>
      </c>
      <c r="AN48" t="e">
        <f>VLOOKUP(I48,'Order 301-305 (เรียง)'!A:C,3,0)</f>
        <v>#N/A</v>
      </c>
    </row>
    <row r="49" spans="1:40" x14ac:dyDescent="0.3">
      <c r="A49" s="1" t="s">
        <v>333</v>
      </c>
      <c r="B49" s="1" t="s">
        <v>334</v>
      </c>
      <c r="C49" s="1" t="s">
        <v>64</v>
      </c>
      <c r="D49" s="1" t="s">
        <v>93</v>
      </c>
      <c r="E49" s="1" t="s">
        <v>94</v>
      </c>
      <c r="F49" s="1" t="s">
        <v>406</v>
      </c>
      <c r="G49" s="1" t="s">
        <v>103</v>
      </c>
      <c r="H49" s="1" t="s">
        <v>335</v>
      </c>
      <c r="I49" s="1" t="s">
        <v>68</v>
      </c>
      <c r="J49" s="1" t="s">
        <v>407</v>
      </c>
      <c r="K49" s="1" t="s">
        <v>223</v>
      </c>
      <c r="L49" s="1" t="s">
        <v>86</v>
      </c>
      <c r="M49" s="1" t="s">
        <v>68</v>
      </c>
      <c r="N49" s="1" t="s">
        <v>71</v>
      </c>
      <c r="O49" s="1" t="s">
        <v>68</v>
      </c>
      <c r="P49" s="1" t="s">
        <v>72</v>
      </c>
      <c r="Q49" s="1" t="s">
        <v>68</v>
      </c>
      <c r="R49" s="1" t="s">
        <v>68</v>
      </c>
      <c r="S49" s="1" t="s">
        <v>68</v>
      </c>
      <c r="T49" s="1" t="s">
        <v>68</v>
      </c>
      <c r="U49" s="1" t="s">
        <v>68</v>
      </c>
      <c r="V49" s="1" t="s">
        <v>68</v>
      </c>
      <c r="W49" s="1" t="s">
        <v>68</v>
      </c>
      <c r="X49" s="1" t="s">
        <v>68</v>
      </c>
      <c r="Y49" s="73"/>
      <c r="Z49" s="2" t="s">
        <v>241</v>
      </c>
      <c r="AA49" s="3">
        <v>24</v>
      </c>
      <c r="AB49" s="4">
        <v>0</v>
      </c>
      <c r="AC49" s="73">
        <v>46205</v>
      </c>
      <c r="AD49" s="73">
        <v>46205</v>
      </c>
      <c r="AE49" s="73"/>
      <c r="AF49" s="73">
        <v>46205</v>
      </c>
      <c r="AG49" s="3">
        <v>24</v>
      </c>
      <c r="AH49" s="353" t="str">
        <f t="shared" si="0"/>
        <v/>
      </c>
      <c r="AI49" s="3" t="str">
        <f t="shared" si="1"/>
        <v>58</v>
      </c>
      <c r="AJ49" s="64" t="e">
        <f>VLOOKUP(T49,'GL Name'!A:B,2,0)</f>
        <v>#N/A</v>
      </c>
      <c r="AL49" s="13">
        <f t="shared" si="2"/>
        <v>0</v>
      </c>
      <c r="AM49" s="13" t="e">
        <f>VLOOKUP(I49,'Order 301-305 (เรียง)'!A:B,2,0)</f>
        <v>#N/A</v>
      </c>
      <c r="AN49" t="e">
        <f>VLOOKUP(I49,'Order 301-305 (เรียง)'!A:C,3,0)</f>
        <v>#N/A</v>
      </c>
    </row>
    <row r="50" spans="1:40" x14ac:dyDescent="0.3">
      <c r="A50" s="1" t="s">
        <v>333</v>
      </c>
      <c r="B50" s="1" t="s">
        <v>334</v>
      </c>
      <c r="C50" s="1" t="s">
        <v>64</v>
      </c>
      <c r="D50" s="1" t="s">
        <v>93</v>
      </c>
      <c r="E50" s="1" t="s">
        <v>94</v>
      </c>
      <c r="F50" s="1" t="s">
        <v>406</v>
      </c>
      <c r="G50" s="1" t="s">
        <v>101</v>
      </c>
      <c r="H50" s="1" t="s">
        <v>335</v>
      </c>
      <c r="I50" s="1" t="s">
        <v>68</v>
      </c>
      <c r="J50" s="1" t="s">
        <v>407</v>
      </c>
      <c r="K50" s="1" t="s">
        <v>223</v>
      </c>
      <c r="L50" s="1" t="s">
        <v>70</v>
      </c>
      <c r="M50" s="1" t="s">
        <v>68</v>
      </c>
      <c r="N50" s="1" t="s">
        <v>71</v>
      </c>
      <c r="O50" s="1" t="s">
        <v>68</v>
      </c>
      <c r="P50" s="1" t="s">
        <v>72</v>
      </c>
      <c r="Q50" s="1" t="s">
        <v>68</v>
      </c>
      <c r="R50" s="1" t="s">
        <v>68</v>
      </c>
      <c r="S50" s="1" t="s">
        <v>68</v>
      </c>
      <c r="T50" s="1" t="s">
        <v>68</v>
      </c>
      <c r="U50" s="1" t="s">
        <v>68</v>
      </c>
      <c r="V50" s="1" t="s">
        <v>68</v>
      </c>
      <c r="W50" s="1" t="s">
        <v>68</v>
      </c>
      <c r="X50" s="1" t="s">
        <v>68</v>
      </c>
      <c r="Y50" s="73"/>
      <c r="Z50" s="2" t="s">
        <v>241</v>
      </c>
      <c r="AA50" s="3">
        <v>-24</v>
      </c>
      <c r="AB50" s="4">
        <v>0</v>
      </c>
      <c r="AC50" s="73">
        <v>46205</v>
      </c>
      <c r="AD50" s="73">
        <v>46205</v>
      </c>
      <c r="AE50" s="73"/>
      <c r="AF50" s="73">
        <v>46205</v>
      </c>
      <c r="AG50" s="3">
        <v>-24</v>
      </c>
      <c r="AH50" s="353" t="str">
        <f t="shared" si="0"/>
        <v/>
      </c>
      <c r="AI50" s="3" t="str">
        <f t="shared" si="1"/>
        <v>58</v>
      </c>
      <c r="AJ50" s="64" t="e">
        <f>VLOOKUP(T50,'GL Name'!A:B,2,0)</f>
        <v>#N/A</v>
      </c>
      <c r="AL50" s="13">
        <f t="shared" si="2"/>
        <v>0</v>
      </c>
      <c r="AM50" s="13" t="e">
        <f>VLOOKUP(I50,'Order 301-305 (เรียง)'!A:B,2,0)</f>
        <v>#N/A</v>
      </c>
      <c r="AN50" t="e">
        <f>VLOOKUP(I50,'Order 301-305 (เรียง)'!A:C,3,0)</f>
        <v>#N/A</v>
      </c>
    </row>
    <row r="51" spans="1:40" x14ac:dyDescent="0.3">
      <c r="A51" s="1" t="s">
        <v>81</v>
      </c>
      <c r="B51" s="1" t="s">
        <v>82</v>
      </c>
      <c r="C51" s="1" t="s">
        <v>64</v>
      </c>
      <c r="D51" s="1" t="s">
        <v>65</v>
      </c>
      <c r="E51" s="1" t="s">
        <v>66</v>
      </c>
      <c r="F51" s="1" t="s">
        <v>408</v>
      </c>
      <c r="G51" s="1" t="s">
        <v>83</v>
      </c>
      <c r="H51" s="1" t="s">
        <v>313</v>
      </c>
      <c r="I51" s="1" t="s">
        <v>68</v>
      </c>
      <c r="J51" s="1" t="s">
        <v>409</v>
      </c>
      <c r="K51" s="1" t="s">
        <v>223</v>
      </c>
      <c r="L51" s="1" t="s">
        <v>70</v>
      </c>
      <c r="M51" s="1" t="s">
        <v>68</v>
      </c>
      <c r="N51" s="1" t="s">
        <v>71</v>
      </c>
      <c r="O51" s="1" t="s">
        <v>68</v>
      </c>
      <c r="P51" s="1" t="s">
        <v>72</v>
      </c>
      <c r="Q51" s="1" t="s">
        <v>68</v>
      </c>
      <c r="R51" s="1" t="s">
        <v>68</v>
      </c>
      <c r="S51" s="1" t="s">
        <v>68</v>
      </c>
      <c r="T51" s="1" t="s">
        <v>73</v>
      </c>
      <c r="U51" s="1" t="s">
        <v>68</v>
      </c>
      <c r="V51" s="1" t="s">
        <v>68</v>
      </c>
      <c r="W51" s="1" t="s">
        <v>68</v>
      </c>
      <c r="X51" s="1" t="s">
        <v>410</v>
      </c>
      <c r="Y51" s="73"/>
      <c r="Z51" s="2" t="s">
        <v>85</v>
      </c>
      <c r="AA51" s="3">
        <v>-960</v>
      </c>
      <c r="AB51" s="4">
        <v>-975628.80000000005</v>
      </c>
      <c r="AC51" s="73">
        <v>46205</v>
      </c>
      <c r="AD51" s="73">
        <v>46205</v>
      </c>
      <c r="AE51" s="73"/>
      <c r="AF51" s="73">
        <v>46205</v>
      </c>
      <c r="AG51" s="3">
        <v>-2880000</v>
      </c>
      <c r="AH51" s="353" t="str">
        <f t="shared" si="0"/>
        <v/>
      </c>
      <c r="AI51" s="3" t="str">
        <f t="shared" si="1"/>
        <v>59</v>
      </c>
      <c r="AJ51" s="64" t="str">
        <f>VLOOKUP(T51,'GL Name'!A:B,2,0)</f>
        <v>ต้นทุนขาย</v>
      </c>
      <c r="AL51" s="13">
        <f t="shared" si="2"/>
        <v>1016.2800000000001</v>
      </c>
      <c r="AM51" s="13" t="e">
        <f>VLOOKUP(I51,'Order 301-305 (เรียง)'!A:B,2,0)</f>
        <v>#N/A</v>
      </c>
      <c r="AN51" t="e">
        <f>VLOOKUP(I51,'Order 301-305 (เรียง)'!A:C,3,0)</f>
        <v>#N/A</v>
      </c>
    </row>
    <row r="52" spans="1:40" x14ac:dyDescent="0.3">
      <c r="A52" s="1" t="s">
        <v>81</v>
      </c>
      <c r="B52" s="1" t="s">
        <v>82</v>
      </c>
      <c r="C52" s="1" t="s">
        <v>64</v>
      </c>
      <c r="D52" s="1" t="s">
        <v>87</v>
      </c>
      <c r="E52" s="1" t="s">
        <v>88</v>
      </c>
      <c r="F52" s="1" t="s">
        <v>411</v>
      </c>
      <c r="G52" s="1" t="s">
        <v>83</v>
      </c>
      <c r="H52" s="1" t="s">
        <v>306</v>
      </c>
      <c r="I52" s="1" t="s">
        <v>68</v>
      </c>
      <c r="J52" s="1" t="s">
        <v>412</v>
      </c>
      <c r="K52" s="1" t="s">
        <v>294</v>
      </c>
      <c r="L52" s="1" t="s">
        <v>70</v>
      </c>
      <c r="M52" s="1" t="s">
        <v>68</v>
      </c>
      <c r="N52" s="1" t="s">
        <v>71</v>
      </c>
      <c r="O52" s="1" t="s">
        <v>68</v>
      </c>
      <c r="P52" s="1" t="s">
        <v>413</v>
      </c>
      <c r="Q52" s="1" t="s">
        <v>68</v>
      </c>
      <c r="R52" s="1" t="s">
        <v>308</v>
      </c>
      <c r="S52" s="1" t="s">
        <v>90</v>
      </c>
      <c r="T52" s="1" t="s">
        <v>91</v>
      </c>
      <c r="U52" s="1" t="s">
        <v>68</v>
      </c>
      <c r="V52" s="1" t="s">
        <v>68</v>
      </c>
      <c r="W52" s="1" t="s">
        <v>68</v>
      </c>
      <c r="X52" s="1" t="s">
        <v>68</v>
      </c>
      <c r="Y52" s="73"/>
      <c r="Z52" s="2" t="s">
        <v>74</v>
      </c>
      <c r="AA52" s="3">
        <v>-2</v>
      </c>
      <c r="AB52" s="4">
        <v>-338.76</v>
      </c>
      <c r="AC52" s="73">
        <v>46205</v>
      </c>
      <c r="AD52" s="73">
        <v>46205</v>
      </c>
      <c r="AE52" s="73"/>
      <c r="AF52" s="73">
        <v>46205</v>
      </c>
      <c r="AG52" s="3">
        <v>-1000</v>
      </c>
      <c r="AH52" s="353" t="str">
        <f t="shared" si="0"/>
        <v/>
      </c>
      <c r="AI52" s="3" t="str">
        <f t="shared" si="1"/>
        <v>59</v>
      </c>
      <c r="AJ52" s="64" t="str">
        <f>VLOOKUP(T52,'GL Name'!A:B,2,0)</f>
        <v>ค่าวิจัยคุณภาพสินค้า</v>
      </c>
      <c r="AL52" s="13">
        <f t="shared" si="2"/>
        <v>169.38</v>
      </c>
      <c r="AM52" s="13" t="e">
        <f>VLOOKUP(I52,'Order 301-305 (เรียง)'!A:B,2,0)</f>
        <v>#N/A</v>
      </c>
      <c r="AN52" t="e">
        <f>VLOOKUP(I52,'Order 301-305 (เรียง)'!A:C,3,0)</f>
        <v>#N/A</v>
      </c>
    </row>
    <row r="53" spans="1:40" x14ac:dyDescent="0.3">
      <c r="A53" s="1" t="s">
        <v>75</v>
      </c>
      <c r="B53" s="1" t="s">
        <v>76</v>
      </c>
      <c r="C53" s="1" t="s">
        <v>64</v>
      </c>
      <c r="D53" s="1" t="s">
        <v>93</v>
      </c>
      <c r="E53" s="1" t="s">
        <v>94</v>
      </c>
      <c r="F53" s="1" t="s">
        <v>414</v>
      </c>
      <c r="G53" s="1" t="s">
        <v>83</v>
      </c>
      <c r="H53" s="1" t="s">
        <v>383</v>
      </c>
      <c r="I53" s="1" t="s">
        <v>68</v>
      </c>
      <c r="J53" s="1" t="s">
        <v>415</v>
      </c>
      <c r="K53" s="1" t="s">
        <v>84</v>
      </c>
      <c r="L53" s="1" t="s">
        <v>70</v>
      </c>
      <c r="M53" s="1" t="s">
        <v>68</v>
      </c>
      <c r="N53" s="1" t="s">
        <v>71</v>
      </c>
      <c r="O53" s="1" t="s">
        <v>68</v>
      </c>
      <c r="P53" s="1" t="s">
        <v>72</v>
      </c>
      <c r="Q53" s="1" t="s">
        <v>68</v>
      </c>
      <c r="R53" s="1" t="s">
        <v>68</v>
      </c>
      <c r="S53" s="1" t="s">
        <v>68</v>
      </c>
      <c r="T53" s="1" t="s">
        <v>68</v>
      </c>
      <c r="U53" s="1" t="s">
        <v>68</v>
      </c>
      <c r="V53" s="1" t="s">
        <v>68</v>
      </c>
      <c r="W53" s="1" t="s">
        <v>68</v>
      </c>
      <c r="X53" s="1" t="s">
        <v>68</v>
      </c>
      <c r="Y53" s="73"/>
      <c r="Z53" s="2" t="s">
        <v>74</v>
      </c>
      <c r="AA53" s="3">
        <v>-1519</v>
      </c>
      <c r="AB53" s="4">
        <v>0</v>
      </c>
      <c r="AC53" s="73">
        <v>46205</v>
      </c>
      <c r="AD53" s="73">
        <v>46205</v>
      </c>
      <c r="AE53" s="73"/>
      <c r="AF53" s="73">
        <v>46205</v>
      </c>
      <c r="AG53" s="3">
        <v>-759500</v>
      </c>
      <c r="AH53" s="353" t="str">
        <f t="shared" si="0"/>
        <v/>
      </c>
      <c r="AI53" s="3" t="str">
        <f t="shared" si="1"/>
        <v>59</v>
      </c>
      <c r="AJ53" s="64" t="e">
        <f>VLOOKUP(T53,'GL Name'!A:B,2,0)</f>
        <v>#N/A</v>
      </c>
      <c r="AL53" s="13">
        <f t="shared" si="2"/>
        <v>0</v>
      </c>
      <c r="AM53" s="13" t="e">
        <f>VLOOKUP(I53,'Order 301-305 (เรียง)'!A:B,2,0)</f>
        <v>#N/A</v>
      </c>
      <c r="AN53" t="e">
        <f>VLOOKUP(I53,'Order 301-305 (เรียง)'!A:C,3,0)</f>
        <v>#N/A</v>
      </c>
    </row>
    <row r="54" spans="1:40" x14ac:dyDescent="0.3">
      <c r="A54" s="1" t="s">
        <v>75</v>
      </c>
      <c r="B54" s="1" t="s">
        <v>76</v>
      </c>
      <c r="C54" s="1" t="s">
        <v>64</v>
      </c>
      <c r="D54" s="1" t="s">
        <v>93</v>
      </c>
      <c r="E54" s="1" t="s">
        <v>94</v>
      </c>
      <c r="F54" s="1" t="s">
        <v>414</v>
      </c>
      <c r="G54" s="1" t="s">
        <v>67</v>
      </c>
      <c r="H54" s="1" t="s">
        <v>383</v>
      </c>
      <c r="I54" s="1" t="s">
        <v>68</v>
      </c>
      <c r="J54" s="1" t="s">
        <v>415</v>
      </c>
      <c r="K54" s="1" t="s">
        <v>84</v>
      </c>
      <c r="L54" s="1" t="s">
        <v>86</v>
      </c>
      <c r="M54" s="1" t="s">
        <v>68</v>
      </c>
      <c r="N54" s="1" t="s">
        <v>71</v>
      </c>
      <c r="O54" s="1" t="s">
        <v>68</v>
      </c>
      <c r="P54" s="1" t="s">
        <v>72</v>
      </c>
      <c r="Q54" s="1" t="s">
        <v>68</v>
      </c>
      <c r="R54" s="1" t="s">
        <v>68</v>
      </c>
      <c r="S54" s="1" t="s">
        <v>68</v>
      </c>
      <c r="T54" s="1" t="s">
        <v>68</v>
      </c>
      <c r="U54" s="1" t="s">
        <v>68</v>
      </c>
      <c r="V54" s="1" t="s">
        <v>68</v>
      </c>
      <c r="W54" s="1" t="s">
        <v>68</v>
      </c>
      <c r="X54" s="1" t="s">
        <v>68</v>
      </c>
      <c r="Y54" s="73"/>
      <c r="Z54" s="2" t="s">
        <v>74</v>
      </c>
      <c r="AA54" s="3">
        <v>1519</v>
      </c>
      <c r="AB54" s="4">
        <v>0</v>
      </c>
      <c r="AC54" s="73">
        <v>46205</v>
      </c>
      <c r="AD54" s="73">
        <v>46205</v>
      </c>
      <c r="AE54" s="73"/>
      <c r="AF54" s="73">
        <v>46205</v>
      </c>
      <c r="AG54" s="3">
        <v>759500</v>
      </c>
      <c r="AH54" s="353" t="str">
        <f t="shared" si="0"/>
        <v/>
      </c>
      <c r="AI54" s="3" t="str">
        <f t="shared" si="1"/>
        <v>59</v>
      </c>
      <c r="AJ54" s="64" t="e">
        <f>VLOOKUP(T54,'GL Name'!A:B,2,0)</f>
        <v>#N/A</v>
      </c>
      <c r="AL54" s="13">
        <f t="shared" si="2"/>
        <v>0</v>
      </c>
      <c r="AM54" s="13" t="e">
        <f>VLOOKUP(I54,'Order 301-305 (เรียง)'!A:B,2,0)</f>
        <v>#N/A</v>
      </c>
      <c r="AN54" t="e">
        <f>VLOOKUP(I54,'Order 301-305 (เรียง)'!A:C,3,0)</f>
        <v>#N/A</v>
      </c>
    </row>
    <row r="55" spans="1:40" x14ac:dyDescent="0.3">
      <c r="A55" s="1" t="s">
        <v>75</v>
      </c>
      <c r="B55" s="1" t="s">
        <v>76</v>
      </c>
      <c r="C55" s="1" t="s">
        <v>64</v>
      </c>
      <c r="D55" s="1" t="s">
        <v>65</v>
      </c>
      <c r="E55" s="1" t="s">
        <v>66</v>
      </c>
      <c r="F55" s="1" t="s">
        <v>416</v>
      </c>
      <c r="G55" s="1" t="s">
        <v>67</v>
      </c>
      <c r="H55" s="1" t="s">
        <v>383</v>
      </c>
      <c r="I55" s="1" t="s">
        <v>68</v>
      </c>
      <c r="J55" s="1" t="s">
        <v>417</v>
      </c>
      <c r="K55" s="1" t="s">
        <v>231</v>
      </c>
      <c r="L55" s="1" t="s">
        <v>70</v>
      </c>
      <c r="M55" s="1" t="s">
        <v>68</v>
      </c>
      <c r="N55" s="1" t="s">
        <v>71</v>
      </c>
      <c r="O55" s="1" t="s">
        <v>68</v>
      </c>
      <c r="P55" s="1" t="s">
        <v>72</v>
      </c>
      <c r="Q55" s="1" t="s">
        <v>68</v>
      </c>
      <c r="R55" s="1" t="s">
        <v>68</v>
      </c>
      <c r="S55" s="1" t="s">
        <v>68</v>
      </c>
      <c r="T55" s="1" t="s">
        <v>73</v>
      </c>
      <c r="U55" s="1" t="s">
        <v>68</v>
      </c>
      <c r="V55" s="1" t="s">
        <v>68</v>
      </c>
      <c r="W55" s="1" t="s">
        <v>68</v>
      </c>
      <c r="X55" s="1" t="s">
        <v>418</v>
      </c>
      <c r="Y55" s="73"/>
      <c r="Z55" s="2" t="s">
        <v>74</v>
      </c>
      <c r="AA55" s="3">
        <v>-100</v>
      </c>
      <c r="AB55" s="4">
        <v>-14307</v>
      </c>
      <c r="AC55" s="73">
        <v>46205</v>
      </c>
      <c r="AD55" s="73">
        <v>46205</v>
      </c>
      <c r="AE55" s="73"/>
      <c r="AF55" s="73">
        <v>46205</v>
      </c>
      <c r="AG55" s="3">
        <v>-50000</v>
      </c>
      <c r="AH55" s="353" t="str">
        <f t="shared" si="0"/>
        <v/>
      </c>
      <c r="AI55" s="3" t="str">
        <f t="shared" si="1"/>
        <v>59</v>
      </c>
      <c r="AJ55" s="64" t="str">
        <f>VLOOKUP(T55,'GL Name'!A:B,2,0)</f>
        <v>ต้นทุนขาย</v>
      </c>
      <c r="AL55" s="13">
        <f t="shared" si="2"/>
        <v>143.07</v>
      </c>
      <c r="AM55" s="13" t="e">
        <f>VLOOKUP(I55,'Order 301-305 (เรียง)'!A:B,2,0)</f>
        <v>#N/A</v>
      </c>
      <c r="AN55" t="e">
        <f>VLOOKUP(I55,'Order 301-305 (เรียง)'!A:C,3,0)</f>
        <v>#N/A</v>
      </c>
    </row>
    <row r="56" spans="1:40" x14ac:dyDescent="0.3">
      <c r="A56" s="1" t="s">
        <v>75</v>
      </c>
      <c r="B56" s="1" t="s">
        <v>76</v>
      </c>
      <c r="C56" s="1" t="s">
        <v>64</v>
      </c>
      <c r="D56" s="1" t="s">
        <v>65</v>
      </c>
      <c r="E56" s="1" t="s">
        <v>66</v>
      </c>
      <c r="F56" s="1" t="s">
        <v>419</v>
      </c>
      <c r="G56" s="1" t="s">
        <v>67</v>
      </c>
      <c r="H56" s="1" t="s">
        <v>383</v>
      </c>
      <c r="I56" s="1" t="s">
        <v>68</v>
      </c>
      <c r="J56" s="1" t="s">
        <v>420</v>
      </c>
      <c r="K56" s="1" t="s">
        <v>231</v>
      </c>
      <c r="L56" s="1" t="s">
        <v>70</v>
      </c>
      <c r="M56" s="1" t="s">
        <v>68</v>
      </c>
      <c r="N56" s="1" t="s">
        <v>71</v>
      </c>
      <c r="O56" s="1" t="s">
        <v>68</v>
      </c>
      <c r="P56" s="1" t="s">
        <v>72</v>
      </c>
      <c r="Q56" s="1" t="s">
        <v>68</v>
      </c>
      <c r="R56" s="1" t="s">
        <v>68</v>
      </c>
      <c r="S56" s="1" t="s">
        <v>68</v>
      </c>
      <c r="T56" s="1" t="s">
        <v>73</v>
      </c>
      <c r="U56" s="1" t="s">
        <v>68</v>
      </c>
      <c r="V56" s="1" t="s">
        <v>68</v>
      </c>
      <c r="W56" s="1" t="s">
        <v>68</v>
      </c>
      <c r="X56" s="1" t="s">
        <v>421</v>
      </c>
      <c r="Y56" s="73"/>
      <c r="Z56" s="2" t="s">
        <v>74</v>
      </c>
      <c r="AA56" s="3">
        <v>-120</v>
      </c>
      <c r="AB56" s="4">
        <v>-17168.400000000001</v>
      </c>
      <c r="AC56" s="73">
        <v>46205</v>
      </c>
      <c r="AD56" s="73">
        <v>46205</v>
      </c>
      <c r="AE56" s="73"/>
      <c r="AF56" s="73">
        <v>46205</v>
      </c>
      <c r="AG56" s="3">
        <v>-60000</v>
      </c>
      <c r="AH56" s="353" t="str">
        <f t="shared" si="0"/>
        <v/>
      </c>
      <c r="AI56" s="3" t="str">
        <f t="shared" si="1"/>
        <v>59</v>
      </c>
      <c r="AJ56" s="64" t="str">
        <f>VLOOKUP(T56,'GL Name'!A:B,2,0)</f>
        <v>ต้นทุนขาย</v>
      </c>
      <c r="AL56" s="13">
        <f t="shared" si="2"/>
        <v>143.07000000000002</v>
      </c>
      <c r="AM56" s="13" t="e">
        <f>VLOOKUP(I56,'Order 301-305 (เรียง)'!A:B,2,0)</f>
        <v>#N/A</v>
      </c>
      <c r="AN56" t="e">
        <f>VLOOKUP(I56,'Order 301-305 (เรียง)'!A:C,3,0)</f>
        <v>#N/A</v>
      </c>
    </row>
    <row r="57" spans="1:40" x14ac:dyDescent="0.3">
      <c r="A57" s="1" t="s">
        <v>75</v>
      </c>
      <c r="B57" s="1" t="s">
        <v>76</v>
      </c>
      <c r="C57" s="1" t="s">
        <v>64</v>
      </c>
      <c r="D57" s="1" t="s">
        <v>65</v>
      </c>
      <c r="E57" s="1" t="s">
        <v>66</v>
      </c>
      <c r="F57" s="1" t="s">
        <v>422</v>
      </c>
      <c r="G57" s="1" t="s">
        <v>67</v>
      </c>
      <c r="H57" s="1" t="s">
        <v>383</v>
      </c>
      <c r="I57" s="1" t="s">
        <v>68</v>
      </c>
      <c r="J57" s="1" t="s">
        <v>423</v>
      </c>
      <c r="K57" s="1" t="s">
        <v>231</v>
      </c>
      <c r="L57" s="1" t="s">
        <v>70</v>
      </c>
      <c r="M57" s="1" t="s">
        <v>68</v>
      </c>
      <c r="N57" s="1" t="s">
        <v>71</v>
      </c>
      <c r="O57" s="1" t="s">
        <v>68</v>
      </c>
      <c r="P57" s="1" t="s">
        <v>72</v>
      </c>
      <c r="Q57" s="1" t="s">
        <v>68</v>
      </c>
      <c r="R57" s="1" t="s">
        <v>68</v>
      </c>
      <c r="S57" s="1" t="s">
        <v>68</v>
      </c>
      <c r="T57" s="1" t="s">
        <v>73</v>
      </c>
      <c r="U57" s="1" t="s">
        <v>68</v>
      </c>
      <c r="V57" s="1" t="s">
        <v>68</v>
      </c>
      <c r="W57" s="1" t="s">
        <v>68</v>
      </c>
      <c r="X57" s="1" t="s">
        <v>424</v>
      </c>
      <c r="Y57" s="73"/>
      <c r="Z57" s="2" t="s">
        <v>74</v>
      </c>
      <c r="AA57" s="3">
        <v>-100</v>
      </c>
      <c r="AB57" s="4">
        <v>-14307</v>
      </c>
      <c r="AC57" s="73">
        <v>46205</v>
      </c>
      <c r="AD57" s="73">
        <v>46205</v>
      </c>
      <c r="AE57" s="73"/>
      <c r="AF57" s="73">
        <v>46205</v>
      </c>
      <c r="AG57" s="3">
        <v>-50000</v>
      </c>
      <c r="AH57" s="353" t="str">
        <f t="shared" si="0"/>
        <v/>
      </c>
      <c r="AI57" s="3" t="str">
        <f t="shared" si="1"/>
        <v>59</v>
      </c>
      <c r="AJ57" s="64" t="str">
        <f>VLOOKUP(T57,'GL Name'!A:B,2,0)</f>
        <v>ต้นทุนขาย</v>
      </c>
      <c r="AL57" s="13">
        <f t="shared" si="2"/>
        <v>143.07</v>
      </c>
      <c r="AM57" s="13" t="e">
        <f>VLOOKUP(I57,'Order 301-305 (เรียง)'!A:B,2,0)</f>
        <v>#N/A</v>
      </c>
      <c r="AN57" t="e">
        <f>VLOOKUP(I57,'Order 301-305 (เรียง)'!A:C,3,0)</f>
        <v>#N/A</v>
      </c>
    </row>
    <row r="58" spans="1:40" x14ac:dyDescent="0.3">
      <c r="A58" s="1" t="s">
        <v>75</v>
      </c>
      <c r="B58" s="1" t="s">
        <v>76</v>
      </c>
      <c r="C58" s="1" t="s">
        <v>64</v>
      </c>
      <c r="D58" s="1" t="s">
        <v>65</v>
      </c>
      <c r="E58" s="1" t="s">
        <v>66</v>
      </c>
      <c r="F58" s="1" t="s">
        <v>425</v>
      </c>
      <c r="G58" s="1" t="s">
        <v>67</v>
      </c>
      <c r="H58" s="1" t="s">
        <v>301</v>
      </c>
      <c r="I58" s="1" t="s">
        <v>68</v>
      </c>
      <c r="J58" s="1" t="s">
        <v>426</v>
      </c>
      <c r="K58" s="1" t="s">
        <v>231</v>
      </c>
      <c r="L58" s="1" t="s">
        <v>70</v>
      </c>
      <c r="M58" s="1" t="s">
        <v>68</v>
      </c>
      <c r="N58" s="1" t="s">
        <v>71</v>
      </c>
      <c r="O58" s="1" t="s">
        <v>68</v>
      </c>
      <c r="P58" s="1" t="s">
        <v>72</v>
      </c>
      <c r="Q58" s="1" t="s">
        <v>68</v>
      </c>
      <c r="R58" s="1" t="s">
        <v>68</v>
      </c>
      <c r="S58" s="1" t="s">
        <v>68</v>
      </c>
      <c r="T58" s="1" t="s">
        <v>73</v>
      </c>
      <c r="U58" s="1" t="s">
        <v>68</v>
      </c>
      <c r="V58" s="1" t="s">
        <v>68</v>
      </c>
      <c r="W58" s="1" t="s">
        <v>68</v>
      </c>
      <c r="X58" s="1" t="s">
        <v>427</v>
      </c>
      <c r="Y58" s="73"/>
      <c r="Z58" s="2" t="s">
        <v>74</v>
      </c>
      <c r="AA58" s="3">
        <v>-60</v>
      </c>
      <c r="AB58" s="4">
        <v>-8584.2000000000007</v>
      </c>
      <c r="AC58" s="73">
        <v>46205</v>
      </c>
      <c r="AD58" s="73">
        <v>46205</v>
      </c>
      <c r="AE58" s="73"/>
      <c r="AF58" s="73">
        <v>46205</v>
      </c>
      <c r="AG58" s="3">
        <v>-30000</v>
      </c>
      <c r="AH58" s="353" t="str">
        <f t="shared" si="0"/>
        <v/>
      </c>
      <c r="AI58" s="3" t="str">
        <f t="shared" si="1"/>
        <v>59</v>
      </c>
      <c r="AJ58" s="64" t="str">
        <f>VLOOKUP(T58,'GL Name'!A:B,2,0)</f>
        <v>ต้นทุนขาย</v>
      </c>
      <c r="AL58" s="13">
        <f t="shared" si="2"/>
        <v>143.07000000000002</v>
      </c>
      <c r="AM58" s="13" t="e">
        <f>VLOOKUP(I58,'Order 301-305 (เรียง)'!A:B,2,0)</f>
        <v>#N/A</v>
      </c>
      <c r="AN58" t="e">
        <f>VLOOKUP(I58,'Order 301-305 (เรียง)'!A:C,3,0)</f>
        <v>#N/A</v>
      </c>
    </row>
    <row r="59" spans="1:40" x14ac:dyDescent="0.3">
      <c r="A59" s="1" t="s">
        <v>75</v>
      </c>
      <c r="B59" s="1" t="s">
        <v>76</v>
      </c>
      <c r="C59" s="1" t="s">
        <v>64</v>
      </c>
      <c r="D59" s="1" t="s">
        <v>65</v>
      </c>
      <c r="E59" s="1" t="s">
        <v>66</v>
      </c>
      <c r="F59" s="1" t="s">
        <v>428</v>
      </c>
      <c r="G59" s="1" t="s">
        <v>67</v>
      </c>
      <c r="H59" s="1" t="s">
        <v>383</v>
      </c>
      <c r="I59" s="1" t="s">
        <v>68</v>
      </c>
      <c r="J59" s="1" t="s">
        <v>429</v>
      </c>
      <c r="K59" s="1" t="s">
        <v>231</v>
      </c>
      <c r="L59" s="1" t="s">
        <v>70</v>
      </c>
      <c r="M59" s="1" t="s">
        <v>68</v>
      </c>
      <c r="N59" s="1" t="s">
        <v>71</v>
      </c>
      <c r="O59" s="1" t="s">
        <v>68</v>
      </c>
      <c r="P59" s="1" t="s">
        <v>72</v>
      </c>
      <c r="Q59" s="1" t="s">
        <v>68</v>
      </c>
      <c r="R59" s="1" t="s">
        <v>68</v>
      </c>
      <c r="S59" s="1" t="s">
        <v>68</v>
      </c>
      <c r="T59" s="1" t="s">
        <v>73</v>
      </c>
      <c r="U59" s="1" t="s">
        <v>68</v>
      </c>
      <c r="V59" s="1" t="s">
        <v>68</v>
      </c>
      <c r="W59" s="1" t="s">
        <v>68</v>
      </c>
      <c r="X59" s="1" t="s">
        <v>430</v>
      </c>
      <c r="Y59" s="73"/>
      <c r="Z59" s="2" t="s">
        <v>74</v>
      </c>
      <c r="AA59" s="3">
        <v>-140</v>
      </c>
      <c r="AB59" s="4">
        <v>-20029.8</v>
      </c>
      <c r="AC59" s="73">
        <v>46205</v>
      </c>
      <c r="AD59" s="73">
        <v>46205</v>
      </c>
      <c r="AE59" s="73"/>
      <c r="AF59" s="73">
        <v>46205</v>
      </c>
      <c r="AG59" s="3">
        <v>-70000</v>
      </c>
      <c r="AH59" s="353" t="str">
        <f t="shared" si="0"/>
        <v/>
      </c>
      <c r="AI59" s="3" t="str">
        <f t="shared" si="1"/>
        <v>59</v>
      </c>
      <c r="AJ59" s="64" t="str">
        <f>VLOOKUP(T59,'GL Name'!A:B,2,0)</f>
        <v>ต้นทุนขาย</v>
      </c>
      <c r="AL59" s="13">
        <f t="shared" si="2"/>
        <v>143.07</v>
      </c>
      <c r="AM59" s="13" t="e">
        <f>VLOOKUP(I59,'Order 301-305 (เรียง)'!A:B,2,0)</f>
        <v>#N/A</v>
      </c>
      <c r="AN59" t="e">
        <f>VLOOKUP(I59,'Order 301-305 (เรียง)'!A:C,3,0)</f>
        <v>#N/A</v>
      </c>
    </row>
    <row r="60" spans="1:40" x14ac:dyDescent="0.3">
      <c r="A60" s="1" t="s">
        <v>75</v>
      </c>
      <c r="B60" s="1" t="s">
        <v>76</v>
      </c>
      <c r="C60" s="1" t="s">
        <v>64</v>
      </c>
      <c r="D60" s="1" t="s">
        <v>65</v>
      </c>
      <c r="E60" s="1" t="s">
        <v>66</v>
      </c>
      <c r="F60" s="1" t="s">
        <v>431</v>
      </c>
      <c r="G60" s="1" t="s">
        <v>67</v>
      </c>
      <c r="H60" s="1" t="s">
        <v>383</v>
      </c>
      <c r="I60" s="1" t="s">
        <v>68</v>
      </c>
      <c r="J60" s="1" t="s">
        <v>432</v>
      </c>
      <c r="K60" s="1" t="s">
        <v>231</v>
      </c>
      <c r="L60" s="1" t="s">
        <v>70</v>
      </c>
      <c r="M60" s="1" t="s">
        <v>68</v>
      </c>
      <c r="N60" s="1" t="s">
        <v>71</v>
      </c>
      <c r="O60" s="1" t="s">
        <v>68</v>
      </c>
      <c r="P60" s="1" t="s">
        <v>72</v>
      </c>
      <c r="Q60" s="1" t="s">
        <v>68</v>
      </c>
      <c r="R60" s="1" t="s">
        <v>68</v>
      </c>
      <c r="S60" s="1" t="s">
        <v>68</v>
      </c>
      <c r="T60" s="1" t="s">
        <v>73</v>
      </c>
      <c r="U60" s="1" t="s">
        <v>68</v>
      </c>
      <c r="V60" s="1" t="s">
        <v>68</v>
      </c>
      <c r="W60" s="1" t="s">
        <v>68</v>
      </c>
      <c r="X60" s="1" t="s">
        <v>433</v>
      </c>
      <c r="Y60" s="73"/>
      <c r="Z60" s="2" t="s">
        <v>74</v>
      </c>
      <c r="AA60" s="3">
        <v>-100</v>
      </c>
      <c r="AB60" s="4">
        <v>-14307</v>
      </c>
      <c r="AC60" s="73">
        <v>46205</v>
      </c>
      <c r="AD60" s="73">
        <v>46205</v>
      </c>
      <c r="AE60" s="73"/>
      <c r="AF60" s="73">
        <v>46205</v>
      </c>
      <c r="AG60" s="3">
        <v>-50000</v>
      </c>
      <c r="AH60" s="353" t="str">
        <f t="shared" si="0"/>
        <v/>
      </c>
      <c r="AI60" s="3" t="str">
        <f t="shared" si="1"/>
        <v>59</v>
      </c>
      <c r="AJ60" s="64" t="str">
        <f>VLOOKUP(T60,'GL Name'!A:B,2,0)</f>
        <v>ต้นทุนขาย</v>
      </c>
      <c r="AL60" s="13">
        <f t="shared" si="2"/>
        <v>143.07</v>
      </c>
      <c r="AM60" s="13" t="e">
        <f>VLOOKUP(I60,'Order 301-305 (เรียง)'!A:B,2,0)</f>
        <v>#N/A</v>
      </c>
      <c r="AN60" t="e">
        <f>VLOOKUP(I60,'Order 301-305 (เรียง)'!A:C,3,0)</f>
        <v>#N/A</v>
      </c>
    </row>
    <row r="61" spans="1:40" x14ac:dyDescent="0.3">
      <c r="A61" s="1" t="s">
        <v>75</v>
      </c>
      <c r="B61" s="1" t="s">
        <v>76</v>
      </c>
      <c r="C61" s="1" t="s">
        <v>64</v>
      </c>
      <c r="D61" s="1" t="s">
        <v>65</v>
      </c>
      <c r="E61" s="1" t="s">
        <v>66</v>
      </c>
      <c r="F61" s="1" t="s">
        <v>434</v>
      </c>
      <c r="G61" s="1" t="s">
        <v>67</v>
      </c>
      <c r="H61" s="1" t="s">
        <v>383</v>
      </c>
      <c r="I61" s="1" t="s">
        <v>68</v>
      </c>
      <c r="J61" s="1" t="s">
        <v>435</v>
      </c>
      <c r="K61" s="1" t="s">
        <v>231</v>
      </c>
      <c r="L61" s="1" t="s">
        <v>70</v>
      </c>
      <c r="M61" s="1" t="s">
        <v>68</v>
      </c>
      <c r="N61" s="1" t="s">
        <v>71</v>
      </c>
      <c r="O61" s="1" t="s">
        <v>68</v>
      </c>
      <c r="P61" s="1" t="s">
        <v>72</v>
      </c>
      <c r="Q61" s="1" t="s">
        <v>68</v>
      </c>
      <c r="R61" s="1" t="s">
        <v>68</v>
      </c>
      <c r="S61" s="1" t="s">
        <v>68</v>
      </c>
      <c r="T61" s="1" t="s">
        <v>73</v>
      </c>
      <c r="U61" s="1" t="s">
        <v>68</v>
      </c>
      <c r="V61" s="1" t="s">
        <v>68</v>
      </c>
      <c r="W61" s="1" t="s">
        <v>68</v>
      </c>
      <c r="X61" s="1" t="s">
        <v>436</v>
      </c>
      <c r="Y61" s="73"/>
      <c r="Z61" s="2" t="s">
        <v>74</v>
      </c>
      <c r="AA61" s="3">
        <v>-80</v>
      </c>
      <c r="AB61" s="4">
        <v>-11445.6</v>
      </c>
      <c r="AC61" s="73">
        <v>46205</v>
      </c>
      <c r="AD61" s="73">
        <v>46205</v>
      </c>
      <c r="AE61" s="73"/>
      <c r="AF61" s="73">
        <v>46205</v>
      </c>
      <c r="AG61" s="3">
        <v>-40000</v>
      </c>
      <c r="AH61" s="353" t="str">
        <f t="shared" si="0"/>
        <v/>
      </c>
      <c r="AI61" s="3" t="str">
        <f t="shared" si="1"/>
        <v>59</v>
      </c>
      <c r="AJ61" s="64" t="str">
        <f>VLOOKUP(T61,'GL Name'!A:B,2,0)</f>
        <v>ต้นทุนขาย</v>
      </c>
      <c r="AL61" s="13">
        <f t="shared" si="2"/>
        <v>143.07</v>
      </c>
      <c r="AM61" s="13" t="e">
        <f>VLOOKUP(I61,'Order 301-305 (เรียง)'!A:B,2,0)</f>
        <v>#N/A</v>
      </c>
      <c r="AN61" t="e">
        <f>VLOOKUP(I61,'Order 301-305 (เรียง)'!A:C,3,0)</f>
        <v>#N/A</v>
      </c>
    </row>
    <row r="62" spans="1:40" x14ac:dyDescent="0.3">
      <c r="A62" s="1" t="s">
        <v>262</v>
      </c>
      <c r="B62" s="1" t="s">
        <v>263</v>
      </c>
      <c r="C62" s="1" t="s">
        <v>64</v>
      </c>
      <c r="D62" s="1" t="s">
        <v>97</v>
      </c>
      <c r="E62" s="1" t="s">
        <v>98</v>
      </c>
      <c r="F62" s="1" t="s">
        <v>437</v>
      </c>
      <c r="G62" s="1" t="s">
        <v>67</v>
      </c>
      <c r="H62" s="1" t="s">
        <v>264</v>
      </c>
      <c r="I62" s="1" t="s">
        <v>68</v>
      </c>
      <c r="J62" s="1" t="s">
        <v>438</v>
      </c>
      <c r="K62" s="1" t="s">
        <v>69</v>
      </c>
      <c r="L62" s="1" t="s">
        <v>70</v>
      </c>
      <c r="M62" s="1" t="s">
        <v>68</v>
      </c>
      <c r="N62" s="1" t="s">
        <v>71</v>
      </c>
      <c r="O62" s="1" t="s">
        <v>68</v>
      </c>
      <c r="P62" s="1" t="s">
        <v>439</v>
      </c>
      <c r="Q62" s="1" t="s">
        <v>68</v>
      </c>
      <c r="R62" s="1" t="s">
        <v>440</v>
      </c>
      <c r="S62" s="1" t="s">
        <v>441</v>
      </c>
      <c r="T62" s="1" t="s">
        <v>99</v>
      </c>
      <c r="U62" s="1" t="s">
        <v>68</v>
      </c>
      <c r="V62" s="1" t="s">
        <v>68</v>
      </c>
      <c r="W62" s="1" t="s">
        <v>68</v>
      </c>
      <c r="X62" s="1" t="s">
        <v>68</v>
      </c>
      <c r="Y62" s="73"/>
      <c r="Z62" s="2" t="s">
        <v>74</v>
      </c>
      <c r="AA62" s="3">
        <v>-12</v>
      </c>
      <c r="AB62" s="4">
        <v>-2105.64</v>
      </c>
      <c r="AC62" s="73">
        <v>46205</v>
      </c>
      <c r="AD62" s="73">
        <v>46205</v>
      </c>
      <c r="AE62" s="73"/>
      <c r="AF62" s="73">
        <v>46205</v>
      </c>
      <c r="AG62" s="3">
        <v>-6000</v>
      </c>
      <c r="AH62" s="353" t="str">
        <f t="shared" si="0"/>
        <v/>
      </c>
      <c r="AI62" s="3" t="str">
        <f t="shared" si="1"/>
        <v>59</v>
      </c>
      <c r="AJ62" s="64" t="str">
        <f>VLOOKUP(T62,'GL Name'!A:B,2,0)</f>
        <v>ส่งเสริมฯ อื่น</v>
      </c>
      <c r="AL62" s="13">
        <f t="shared" si="2"/>
        <v>175.47</v>
      </c>
      <c r="AM62" s="13" t="e">
        <f>VLOOKUP(I62,'Order 301-305 (เรียง)'!A:B,2,0)</f>
        <v>#N/A</v>
      </c>
      <c r="AN62" t="e">
        <f>VLOOKUP(I62,'Order 301-305 (เรียง)'!A:C,3,0)</f>
        <v>#N/A</v>
      </c>
    </row>
    <row r="63" spans="1:40" x14ac:dyDescent="0.3">
      <c r="A63" s="1" t="s">
        <v>75</v>
      </c>
      <c r="B63" s="1" t="s">
        <v>76</v>
      </c>
      <c r="C63" s="1" t="s">
        <v>64</v>
      </c>
      <c r="D63" s="1" t="s">
        <v>65</v>
      </c>
      <c r="E63" s="1" t="s">
        <v>66</v>
      </c>
      <c r="F63" s="1" t="s">
        <v>442</v>
      </c>
      <c r="G63" s="1" t="s">
        <v>67</v>
      </c>
      <c r="H63" s="1" t="s">
        <v>383</v>
      </c>
      <c r="I63" s="1" t="s">
        <v>68</v>
      </c>
      <c r="J63" s="1" t="s">
        <v>443</v>
      </c>
      <c r="K63" s="1" t="s">
        <v>69</v>
      </c>
      <c r="L63" s="1" t="s">
        <v>70</v>
      </c>
      <c r="M63" s="1" t="s">
        <v>68</v>
      </c>
      <c r="N63" s="1" t="s">
        <v>71</v>
      </c>
      <c r="O63" s="1" t="s">
        <v>68</v>
      </c>
      <c r="P63" s="1" t="s">
        <v>72</v>
      </c>
      <c r="Q63" s="1" t="s">
        <v>68</v>
      </c>
      <c r="R63" s="1" t="s">
        <v>68</v>
      </c>
      <c r="S63" s="1" t="s">
        <v>68</v>
      </c>
      <c r="T63" s="1" t="s">
        <v>73</v>
      </c>
      <c r="U63" s="1" t="s">
        <v>68</v>
      </c>
      <c r="V63" s="1" t="s">
        <v>68</v>
      </c>
      <c r="W63" s="1" t="s">
        <v>68</v>
      </c>
      <c r="X63" s="1" t="s">
        <v>444</v>
      </c>
      <c r="Y63" s="73"/>
      <c r="Z63" s="2" t="s">
        <v>74</v>
      </c>
      <c r="AA63" s="3">
        <v>-100</v>
      </c>
      <c r="AB63" s="4">
        <v>-14307</v>
      </c>
      <c r="AC63" s="73">
        <v>46205</v>
      </c>
      <c r="AD63" s="73">
        <v>46205</v>
      </c>
      <c r="AE63" s="73"/>
      <c r="AF63" s="73">
        <v>46205</v>
      </c>
      <c r="AG63" s="3">
        <v>-50000</v>
      </c>
      <c r="AH63" s="353" t="str">
        <f t="shared" si="0"/>
        <v/>
      </c>
      <c r="AI63" s="3" t="str">
        <f t="shared" si="1"/>
        <v>59</v>
      </c>
      <c r="AJ63" s="64" t="str">
        <f>VLOOKUP(T63,'GL Name'!A:B,2,0)</f>
        <v>ต้นทุนขาย</v>
      </c>
      <c r="AL63" s="13">
        <f t="shared" si="2"/>
        <v>143.07</v>
      </c>
      <c r="AM63" s="13" t="e">
        <f>VLOOKUP(I63,'Order 301-305 (เรียง)'!A:B,2,0)</f>
        <v>#N/A</v>
      </c>
      <c r="AN63" t="e">
        <f>VLOOKUP(I63,'Order 301-305 (เรียง)'!A:C,3,0)</f>
        <v>#N/A</v>
      </c>
    </row>
    <row r="64" spans="1:40" x14ac:dyDescent="0.3">
      <c r="A64" s="1" t="s">
        <v>81</v>
      </c>
      <c r="B64" s="1" t="s">
        <v>82</v>
      </c>
      <c r="C64" s="1" t="s">
        <v>64</v>
      </c>
      <c r="D64" s="1" t="s">
        <v>87</v>
      </c>
      <c r="E64" s="1" t="s">
        <v>88</v>
      </c>
      <c r="F64" s="1" t="s">
        <v>445</v>
      </c>
      <c r="G64" s="1" t="s">
        <v>83</v>
      </c>
      <c r="H64" s="1" t="s">
        <v>306</v>
      </c>
      <c r="I64" s="1" t="s">
        <v>68</v>
      </c>
      <c r="J64" s="1" t="s">
        <v>446</v>
      </c>
      <c r="K64" s="1" t="s">
        <v>118</v>
      </c>
      <c r="L64" s="1" t="s">
        <v>70</v>
      </c>
      <c r="M64" s="1" t="s">
        <v>68</v>
      </c>
      <c r="N64" s="1" t="s">
        <v>71</v>
      </c>
      <c r="O64" s="1" t="s">
        <v>68</v>
      </c>
      <c r="P64" s="1" t="s">
        <v>447</v>
      </c>
      <c r="Q64" s="1" t="s">
        <v>68</v>
      </c>
      <c r="R64" s="1" t="s">
        <v>448</v>
      </c>
      <c r="S64" s="1" t="s">
        <v>90</v>
      </c>
      <c r="T64" s="1" t="s">
        <v>91</v>
      </c>
      <c r="U64" s="1" t="s">
        <v>68</v>
      </c>
      <c r="V64" s="1" t="s">
        <v>68</v>
      </c>
      <c r="W64" s="1" t="s">
        <v>68</v>
      </c>
      <c r="X64" s="1" t="s">
        <v>68</v>
      </c>
      <c r="Y64" s="73"/>
      <c r="Z64" s="2" t="s">
        <v>74</v>
      </c>
      <c r="AA64" s="3">
        <v>-3</v>
      </c>
      <c r="AB64" s="4">
        <v>-508.14</v>
      </c>
      <c r="AC64" s="73">
        <v>46205</v>
      </c>
      <c r="AD64" s="73">
        <v>46205</v>
      </c>
      <c r="AE64" s="73"/>
      <c r="AF64" s="73">
        <v>46205</v>
      </c>
      <c r="AG64" s="3">
        <v>-1500</v>
      </c>
      <c r="AH64" s="353" t="str">
        <f t="shared" si="0"/>
        <v/>
      </c>
      <c r="AI64" s="3" t="str">
        <f t="shared" si="1"/>
        <v>59</v>
      </c>
      <c r="AJ64" s="64" t="str">
        <f>VLOOKUP(T64,'GL Name'!A:B,2,0)</f>
        <v>ค่าวิจัยคุณภาพสินค้า</v>
      </c>
      <c r="AL64" s="13">
        <f t="shared" si="2"/>
        <v>169.38</v>
      </c>
      <c r="AM64" s="13" t="e">
        <f>VLOOKUP(I64,'Order 301-305 (เรียง)'!A:B,2,0)</f>
        <v>#N/A</v>
      </c>
      <c r="AN64" t="e">
        <f>VLOOKUP(I64,'Order 301-305 (เรียง)'!A:C,3,0)</f>
        <v>#N/A</v>
      </c>
    </row>
    <row r="65" spans="1:40" x14ac:dyDescent="0.3">
      <c r="A65" s="1" t="s">
        <v>81</v>
      </c>
      <c r="B65" s="1" t="s">
        <v>82</v>
      </c>
      <c r="C65" s="1" t="s">
        <v>64</v>
      </c>
      <c r="D65" s="1" t="s">
        <v>87</v>
      </c>
      <c r="E65" s="1" t="s">
        <v>88</v>
      </c>
      <c r="F65" s="1" t="s">
        <v>445</v>
      </c>
      <c r="G65" s="1" t="s">
        <v>83</v>
      </c>
      <c r="H65" s="1" t="s">
        <v>313</v>
      </c>
      <c r="I65" s="1" t="s">
        <v>68</v>
      </c>
      <c r="J65" s="1" t="s">
        <v>446</v>
      </c>
      <c r="K65" s="1" t="s">
        <v>118</v>
      </c>
      <c r="L65" s="1" t="s">
        <v>86</v>
      </c>
      <c r="M65" s="1" t="s">
        <v>68</v>
      </c>
      <c r="N65" s="1" t="s">
        <v>71</v>
      </c>
      <c r="O65" s="1" t="s">
        <v>68</v>
      </c>
      <c r="P65" s="1" t="s">
        <v>447</v>
      </c>
      <c r="Q65" s="1" t="s">
        <v>68</v>
      </c>
      <c r="R65" s="1" t="s">
        <v>449</v>
      </c>
      <c r="S65" s="1" t="s">
        <v>90</v>
      </c>
      <c r="T65" s="1" t="s">
        <v>91</v>
      </c>
      <c r="U65" s="1" t="s">
        <v>68</v>
      </c>
      <c r="V65" s="1" t="s">
        <v>68</v>
      </c>
      <c r="W65" s="1" t="s">
        <v>68</v>
      </c>
      <c r="X65" s="1" t="s">
        <v>68</v>
      </c>
      <c r="Y65" s="73"/>
      <c r="Z65" s="2" t="s">
        <v>74</v>
      </c>
      <c r="AA65" s="3">
        <v>-3</v>
      </c>
      <c r="AB65" s="4">
        <v>-508.14</v>
      </c>
      <c r="AC65" s="73">
        <v>46205</v>
      </c>
      <c r="AD65" s="73">
        <v>46205</v>
      </c>
      <c r="AE65" s="73"/>
      <c r="AF65" s="73">
        <v>46205</v>
      </c>
      <c r="AG65" s="3">
        <v>-1500</v>
      </c>
      <c r="AH65" s="353" t="str">
        <f t="shared" si="0"/>
        <v/>
      </c>
      <c r="AI65" s="3" t="str">
        <f t="shared" si="1"/>
        <v>59</v>
      </c>
      <c r="AJ65" s="64" t="str">
        <f>VLOOKUP(T65,'GL Name'!A:B,2,0)</f>
        <v>ค่าวิจัยคุณภาพสินค้า</v>
      </c>
      <c r="AL65" s="13">
        <f t="shared" si="2"/>
        <v>169.38</v>
      </c>
      <c r="AM65" s="13" t="e">
        <f>VLOOKUP(I65,'Order 301-305 (เรียง)'!A:B,2,0)</f>
        <v>#N/A</v>
      </c>
      <c r="AN65" t="e">
        <f>VLOOKUP(I65,'Order 301-305 (เรียง)'!A:C,3,0)</f>
        <v>#N/A</v>
      </c>
    </row>
    <row r="66" spans="1:40" x14ac:dyDescent="0.3">
      <c r="A66" s="1" t="s">
        <v>9</v>
      </c>
      <c r="B66" s="1" t="s">
        <v>10</v>
      </c>
      <c r="C66" s="1" t="s">
        <v>64</v>
      </c>
      <c r="D66" s="1" t="s">
        <v>77</v>
      </c>
      <c r="E66" s="1" t="s">
        <v>78</v>
      </c>
      <c r="F66" s="1" t="s">
        <v>450</v>
      </c>
      <c r="G66" s="1" t="s">
        <v>278</v>
      </c>
      <c r="H66" s="1" t="s">
        <v>327</v>
      </c>
      <c r="I66" s="1" t="s">
        <v>451</v>
      </c>
      <c r="J66" s="1" t="s">
        <v>452</v>
      </c>
      <c r="K66" s="1" t="s">
        <v>290</v>
      </c>
      <c r="L66" s="1" t="s">
        <v>70</v>
      </c>
      <c r="M66" s="1" t="s">
        <v>68</v>
      </c>
      <c r="N66" s="1" t="s">
        <v>71</v>
      </c>
      <c r="O66" s="1" t="s">
        <v>68</v>
      </c>
      <c r="P66" s="1" t="s">
        <v>453</v>
      </c>
      <c r="Q66" s="1" t="s">
        <v>68</v>
      </c>
      <c r="R66" s="1" t="s">
        <v>68</v>
      </c>
      <c r="S66" s="1" t="s">
        <v>68</v>
      </c>
      <c r="T66" s="1" t="s">
        <v>79</v>
      </c>
      <c r="U66" s="1" t="s">
        <v>68</v>
      </c>
      <c r="V66" s="1" t="s">
        <v>68</v>
      </c>
      <c r="W66" s="1" t="s">
        <v>68</v>
      </c>
      <c r="X66" s="1" t="s">
        <v>68</v>
      </c>
      <c r="Y66" s="73"/>
      <c r="Z66" s="2" t="s">
        <v>80</v>
      </c>
      <c r="AA66" s="3">
        <v>-10030.5</v>
      </c>
      <c r="AB66" s="4">
        <v>-2646750.23</v>
      </c>
      <c r="AC66" s="73">
        <v>46206</v>
      </c>
      <c r="AD66" s="73">
        <v>46204</v>
      </c>
      <c r="AE66" s="73"/>
      <c r="AF66" s="73">
        <v>46206</v>
      </c>
      <c r="AG66" s="3">
        <v>-10030500</v>
      </c>
      <c r="AH66" s="353" t="str">
        <f t="shared" ref="AH66:AH125" si="3">LEFT(I66,3)</f>
        <v>301</v>
      </c>
      <c r="AI66" s="3" t="str">
        <f t="shared" ref="AI66:AI125" si="4">LEFT(A66,2)</f>
        <v>54</v>
      </c>
      <c r="AJ66" s="64" t="str">
        <f>VLOOKUP(T66,'GL Name'!A:B,2,0)</f>
        <v>ต้นทุนผลิต-วัตถุดิบ</v>
      </c>
      <c r="AL66" s="13">
        <f t="shared" ref="AL66:AL125" si="5">AB66/AA66</f>
        <v>263.87021883256068</v>
      </c>
      <c r="AM66" s="13" t="str">
        <f>VLOOKUP(I66,'Order 301-305 (เรียง)'!A:B,2,0)</f>
        <v>Semi</v>
      </c>
      <c r="AN66" t="str">
        <f>VLOOKUP(I66,'Order 301-305 (เรียง)'!A:C,3,0)</f>
        <v>Semi เมล็ดกาแฟ</v>
      </c>
    </row>
    <row r="67" spans="1:40" x14ac:dyDescent="0.3">
      <c r="A67" s="1" t="s">
        <v>106</v>
      </c>
      <c r="B67" s="1" t="s">
        <v>107</v>
      </c>
      <c r="C67" s="1" t="s">
        <v>64</v>
      </c>
      <c r="D67" s="1" t="s">
        <v>93</v>
      </c>
      <c r="E67" s="1" t="s">
        <v>94</v>
      </c>
      <c r="F67" s="1" t="s">
        <v>454</v>
      </c>
      <c r="G67" s="1" t="s">
        <v>101</v>
      </c>
      <c r="H67" s="1" t="s">
        <v>286</v>
      </c>
      <c r="I67" s="1" t="s">
        <v>68</v>
      </c>
      <c r="J67" s="1" t="s">
        <v>455</v>
      </c>
      <c r="K67" s="1" t="s">
        <v>118</v>
      </c>
      <c r="L67" s="1" t="s">
        <v>70</v>
      </c>
      <c r="M67" s="1" t="s">
        <v>68</v>
      </c>
      <c r="N67" s="1" t="s">
        <v>71</v>
      </c>
      <c r="O67" s="1" t="s">
        <v>68</v>
      </c>
      <c r="P67" s="1" t="s">
        <v>72</v>
      </c>
      <c r="Q67" s="1" t="s">
        <v>68</v>
      </c>
      <c r="R67" s="1" t="s">
        <v>68</v>
      </c>
      <c r="S67" s="1" t="s">
        <v>68</v>
      </c>
      <c r="T67" s="1" t="s">
        <v>68</v>
      </c>
      <c r="U67" s="1" t="s">
        <v>68</v>
      </c>
      <c r="V67" s="1" t="s">
        <v>68</v>
      </c>
      <c r="W67" s="1" t="s">
        <v>68</v>
      </c>
      <c r="X67" s="1" t="s">
        <v>68</v>
      </c>
      <c r="Y67" s="73"/>
      <c r="Z67" s="2" t="s">
        <v>102</v>
      </c>
      <c r="AA67" s="3">
        <v>-20000</v>
      </c>
      <c r="AB67" s="4">
        <v>0</v>
      </c>
      <c r="AC67" s="73">
        <v>46206</v>
      </c>
      <c r="AD67" s="73">
        <v>46206</v>
      </c>
      <c r="AE67" s="73"/>
      <c r="AF67" s="73">
        <v>46206</v>
      </c>
      <c r="AG67" s="3">
        <v>-20000</v>
      </c>
      <c r="AH67" s="353" t="str">
        <f t="shared" si="3"/>
        <v/>
      </c>
      <c r="AI67" s="3" t="str">
        <f t="shared" si="4"/>
        <v>58</v>
      </c>
      <c r="AJ67" s="64" t="e">
        <f>VLOOKUP(T67,'GL Name'!A:B,2,0)</f>
        <v>#N/A</v>
      </c>
      <c r="AL67" s="13">
        <f t="shared" si="5"/>
        <v>0</v>
      </c>
      <c r="AM67" s="13" t="e">
        <f>VLOOKUP(I67,'Order 301-305 (เรียง)'!A:B,2,0)</f>
        <v>#N/A</v>
      </c>
      <c r="AN67" t="e">
        <f>VLOOKUP(I67,'Order 301-305 (เรียง)'!A:C,3,0)</f>
        <v>#N/A</v>
      </c>
    </row>
    <row r="68" spans="1:40" x14ac:dyDescent="0.3">
      <c r="A68" s="1" t="s">
        <v>106</v>
      </c>
      <c r="B68" s="1" t="s">
        <v>107</v>
      </c>
      <c r="C68" s="1" t="s">
        <v>64</v>
      </c>
      <c r="D68" s="1" t="s">
        <v>93</v>
      </c>
      <c r="E68" s="1" t="s">
        <v>94</v>
      </c>
      <c r="F68" s="1" t="s">
        <v>454</v>
      </c>
      <c r="G68" s="1" t="s">
        <v>103</v>
      </c>
      <c r="H68" s="1" t="s">
        <v>286</v>
      </c>
      <c r="I68" s="1" t="s">
        <v>68</v>
      </c>
      <c r="J68" s="1" t="s">
        <v>455</v>
      </c>
      <c r="K68" s="1" t="s">
        <v>118</v>
      </c>
      <c r="L68" s="1" t="s">
        <v>86</v>
      </c>
      <c r="M68" s="1" t="s">
        <v>68</v>
      </c>
      <c r="N68" s="1" t="s">
        <v>71</v>
      </c>
      <c r="O68" s="1" t="s">
        <v>68</v>
      </c>
      <c r="P68" s="1" t="s">
        <v>72</v>
      </c>
      <c r="Q68" s="1" t="s">
        <v>68</v>
      </c>
      <c r="R68" s="1" t="s">
        <v>68</v>
      </c>
      <c r="S68" s="1" t="s">
        <v>68</v>
      </c>
      <c r="T68" s="1" t="s">
        <v>68</v>
      </c>
      <c r="U68" s="1" t="s">
        <v>68</v>
      </c>
      <c r="V68" s="1" t="s">
        <v>68</v>
      </c>
      <c r="W68" s="1" t="s">
        <v>68</v>
      </c>
      <c r="X68" s="1" t="s">
        <v>68</v>
      </c>
      <c r="Y68" s="73"/>
      <c r="Z68" s="2" t="s">
        <v>102</v>
      </c>
      <c r="AA68" s="3">
        <v>20000</v>
      </c>
      <c r="AB68" s="4">
        <v>0</v>
      </c>
      <c r="AC68" s="73">
        <v>46206</v>
      </c>
      <c r="AD68" s="73">
        <v>46206</v>
      </c>
      <c r="AE68" s="73"/>
      <c r="AF68" s="73">
        <v>46206</v>
      </c>
      <c r="AG68" s="3">
        <v>20000</v>
      </c>
      <c r="AH68" s="353" t="str">
        <f t="shared" si="3"/>
        <v/>
      </c>
      <c r="AI68" s="3" t="str">
        <f t="shared" si="4"/>
        <v>58</v>
      </c>
      <c r="AJ68" s="64" t="e">
        <f>VLOOKUP(T68,'GL Name'!A:B,2,0)</f>
        <v>#N/A</v>
      </c>
      <c r="AL68" s="13">
        <f t="shared" si="5"/>
        <v>0</v>
      </c>
      <c r="AM68" s="13" t="e">
        <f>VLOOKUP(I68,'Order 301-305 (เรียง)'!A:B,2,0)</f>
        <v>#N/A</v>
      </c>
      <c r="AN68" t="e">
        <f>VLOOKUP(I68,'Order 301-305 (เรียง)'!A:C,3,0)</f>
        <v>#N/A</v>
      </c>
    </row>
    <row r="69" spans="1:40" x14ac:dyDescent="0.3">
      <c r="A69" s="1" t="s">
        <v>119</v>
      </c>
      <c r="B69" s="1" t="s">
        <v>120</v>
      </c>
      <c r="C69" s="1" t="s">
        <v>64</v>
      </c>
      <c r="D69" s="1" t="s">
        <v>93</v>
      </c>
      <c r="E69" s="1" t="s">
        <v>94</v>
      </c>
      <c r="F69" s="1" t="s">
        <v>454</v>
      </c>
      <c r="G69" s="1" t="s">
        <v>103</v>
      </c>
      <c r="H69" s="1" t="s">
        <v>302</v>
      </c>
      <c r="I69" s="1" t="s">
        <v>68</v>
      </c>
      <c r="J69" s="1" t="s">
        <v>455</v>
      </c>
      <c r="K69" s="1" t="s">
        <v>118</v>
      </c>
      <c r="L69" s="1" t="s">
        <v>89</v>
      </c>
      <c r="M69" s="1" t="s">
        <v>68</v>
      </c>
      <c r="N69" s="1" t="s">
        <v>71</v>
      </c>
      <c r="O69" s="1" t="s">
        <v>68</v>
      </c>
      <c r="P69" s="1" t="s">
        <v>72</v>
      </c>
      <c r="Q69" s="1" t="s">
        <v>68</v>
      </c>
      <c r="R69" s="1" t="s">
        <v>68</v>
      </c>
      <c r="S69" s="1" t="s">
        <v>68</v>
      </c>
      <c r="T69" s="1" t="s">
        <v>68</v>
      </c>
      <c r="U69" s="1" t="s">
        <v>68</v>
      </c>
      <c r="V69" s="1" t="s">
        <v>68</v>
      </c>
      <c r="W69" s="1" t="s">
        <v>68</v>
      </c>
      <c r="X69" s="1" t="s">
        <v>68</v>
      </c>
      <c r="Y69" s="73"/>
      <c r="Z69" s="2" t="s">
        <v>102</v>
      </c>
      <c r="AA69" s="3">
        <v>27000</v>
      </c>
      <c r="AB69" s="4">
        <v>0</v>
      </c>
      <c r="AC69" s="73">
        <v>46206</v>
      </c>
      <c r="AD69" s="73">
        <v>46206</v>
      </c>
      <c r="AE69" s="73"/>
      <c r="AF69" s="73">
        <v>46206</v>
      </c>
      <c r="AG69" s="3">
        <v>27000</v>
      </c>
      <c r="AH69" s="353" t="str">
        <f t="shared" si="3"/>
        <v/>
      </c>
      <c r="AI69" s="3" t="str">
        <f t="shared" si="4"/>
        <v>58</v>
      </c>
      <c r="AJ69" s="64" t="e">
        <f>VLOOKUP(T69,'GL Name'!A:B,2,0)</f>
        <v>#N/A</v>
      </c>
      <c r="AL69" s="13">
        <f t="shared" si="5"/>
        <v>0</v>
      </c>
      <c r="AM69" s="13" t="e">
        <f>VLOOKUP(I69,'Order 301-305 (เรียง)'!A:B,2,0)</f>
        <v>#N/A</v>
      </c>
      <c r="AN69" t="e">
        <f>VLOOKUP(I69,'Order 301-305 (เรียง)'!A:C,3,0)</f>
        <v>#N/A</v>
      </c>
    </row>
    <row r="70" spans="1:40" x14ac:dyDescent="0.3">
      <c r="A70" s="1" t="s">
        <v>119</v>
      </c>
      <c r="B70" s="1" t="s">
        <v>120</v>
      </c>
      <c r="C70" s="1" t="s">
        <v>64</v>
      </c>
      <c r="D70" s="1" t="s">
        <v>93</v>
      </c>
      <c r="E70" s="1" t="s">
        <v>94</v>
      </c>
      <c r="F70" s="1" t="s">
        <v>454</v>
      </c>
      <c r="G70" s="1" t="s">
        <v>101</v>
      </c>
      <c r="H70" s="1" t="s">
        <v>302</v>
      </c>
      <c r="I70" s="1" t="s">
        <v>68</v>
      </c>
      <c r="J70" s="1" t="s">
        <v>455</v>
      </c>
      <c r="K70" s="1" t="s">
        <v>118</v>
      </c>
      <c r="L70" s="1" t="s">
        <v>92</v>
      </c>
      <c r="M70" s="1" t="s">
        <v>68</v>
      </c>
      <c r="N70" s="1" t="s">
        <v>71</v>
      </c>
      <c r="O70" s="1" t="s">
        <v>68</v>
      </c>
      <c r="P70" s="1" t="s">
        <v>72</v>
      </c>
      <c r="Q70" s="1" t="s">
        <v>68</v>
      </c>
      <c r="R70" s="1" t="s">
        <v>68</v>
      </c>
      <c r="S70" s="1" t="s">
        <v>68</v>
      </c>
      <c r="T70" s="1" t="s">
        <v>68</v>
      </c>
      <c r="U70" s="1" t="s">
        <v>68</v>
      </c>
      <c r="V70" s="1" t="s">
        <v>68</v>
      </c>
      <c r="W70" s="1" t="s">
        <v>68</v>
      </c>
      <c r="X70" s="1" t="s">
        <v>68</v>
      </c>
      <c r="Y70" s="73"/>
      <c r="Z70" s="2" t="s">
        <v>102</v>
      </c>
      <c r="AA70" s="3">
        <v>-27000</v>
      </c>
      <c r="AB70" s="4">
        <v>0</v>
      </c>
      <c r="AC70" s="73">
        <v>46206</v>
      </c>
      <c r="AD70" s="73">
        <v>46206</v>
      </c>
      <c r="AE70" s="73"/>
      <c r="AF70" s="73">
        <v>46206</v>
      </c>
      <c r="AG70" s="3">
        <v>-27000</v>
      </c>
      <c r="AH70" s="353" t="str">
        <f t="shared" si="3"/>
        <v/>
      </c>
      <c r="AI70" s="3" t="str">
        <f t="shared" si="4"/>
        <v>58</v>
      </c>
      <c r="AJ70" s="64" t="e">
        <f>VLOOKUP(T70,'GL Name'!A:B,2,0)</f>
        <v>#N/A</v>
      </c>
      <c r="AL70" s="13">
        <f t="shared" si="5"/>
        <v>0</v>
      </c>
      <c r="AM70" s="13" t="e">
        <f>VLOOKUP(I70,'Order 301-305 (เรียง)'!A:B,2,0)</f>
        <v>#N/A</v>
      </c>
      <c r="AN70" t="e">
        <f>VLOOKUP(I70,'Order 301-305 (เรียง)'!A:C,3,0)</f>
        <v>#N/A</v>
      </c>
    </row>
    <row r="71" spans="1:40" x14ac:dyDescent="0.3">
      <c r="A71" s="1" t="s">
        <v>121</v>
      </c>
      <c r="B71" s="1" t="s">
        <v>122</v>
      </c>
      <c r="C71" s="1" t="s">
        <v>64</v>
      </c>
      <c r="D71" s="1" t="s">
        <v>93</v>
      </c>
      <c r="E71" s="1" t="s">
        <v>94</v>
      </c>
      <c r="F71" s="1" t="s">
        <v>454</v>
      </c>
      <c r="G71" s="1" t="s">
        <v>101</v>
      </c>
      <c r="H71" s="1" t="s">
        <v>316</v>
      </c>
      <c r="I71" s="1" t="s">
        <v>68</v>
      </c>
      <c r="J71" s="1" t="s">
        <v>455</v>
      </c>
      <c r="K71" s="1" t="s">
        <v>118</v>
      </c>
      <c r="L71" s="1" t="s">
        <v>95</v>
      </c>
      <c r="M71" s="1" t="s">
        <v>68</v>
      </c>
      <c r="N71" s="1" t="s">
        <v>71</v>
      </c>
      <c r="O71" s="1" t="s">
        <v>68</v>
      </c>
      <c r="P71" s="1" t="s">
        <v>72</v>
      </c>
      <c r="Q71" s="1" t="s">
        <v>68</v>
      </c>
      <c r="R71" s="1" t="s">
        <v>68</v>
      </c>
      <c r="S71" s="1" t="s">
        <v>68</v>
      </c>
      <c r="T71" s="1" t="s">
        <v>68</v>
      </c>
      <c r="U71" s="1" t="s">
        <v>68</v>
      </c>
      <c r="V71" s="1" t="s">
        <v>68</v>
      </c>
      <c r="W71" s="1" t="s">
        <v>68</v>
      </c>
      <c r="X71" s="1" t="s">
        <v>68</v>
      </c>
      <c r="Y71" s="73"/>
      <c r="Z71" s="2" t="s">
        <v>102</v>
      </c>
      <c r="AA71" s="3">
        <v>-4000</v>
      </c>
      <c r="AB71" s="4">
        <v>0</v>
      </c>
      <c r="AC71" s="73">
        <v>46206</v>
      </c>
      <c r="AD71" s="73">
        <v>46206</v>
      </c>
      <c r="AE71" s="73"/>
      <c r="AF71" s="73">
        <v>46206</v>
      </c>
      <c r="AG71" s="3">
        <v>-4000</v>
      </c>
      <c r="AH71" s="353" t="str">
        <f t="shared" si="3"/>
        <v/>
      </c>
      <c r="AI71" s="3" t="str">
        <f t="shared" si="4"/>
        <v>58</v>
      </c>
      <c r="AJ71" s="64" t="e">
        <f>VLOOKUP(T71,'GL Name'!A:B,2,0)</f>
        <v>#N/A</v>
      </c>
      <c r="AL71" s="13">
        <f t="shared" si="5"/>
        <v>0</v>
      </c>
      <c r="AM71" s="13" t="e">
        <f>VLOOKUP(I71,'Order 301-305 (เรียง)'!A:B,2,0)</f>
        <v>#N/A</v>
      </c>
      <c r="AN71" t="e">
        <f>VLOOKUP(I71,'Order 301-305 (เรียง)'!A:C,3,0)</f>
        <v>#N/A</v>
      </c>
    </row>
    <row r="72" spans="1:40" x14ac:dyDescent="0.3">
      <c r="A72" s="1" t="s">
        <v>121</v>
      </c>
      <c r="B72" s="1" t="s">
        <v>122</v>
      </c>
      <c r="C72" s="1" t="s">
        <v>64</v>
      </c>
      <c r="D72" s="1" t="s">
        <v>93</v>
      </c>
      <c r="E72" s="1" t="s">
        <v>94</v>
      </c>
      <c r="F72" s="1" t="s">
        <v>454</v>
      </c>
      <c r="G72" s="1" t="s">
        <v>103</v>
      </c>
      <c r="H72" s="1" t="s">
        <v>316</v>
      </c>
      <c r="I72" s="1" t="s">
        <v>68</v>
      </c>
      <c r="J72" s="1" t="s">
        <v>455</v>
      </c>
      <c r="K72" s="1" t="s">
        <v>118</v>
      </c>
      <c r="L72" s="1" t="s">
        <v>111</v>
      </c>
      <c r="M72" s="1" t="s">
        <v>68</v>
      </c>
      <c r="N72" s="1" t="s">
        <v>71</v>
      </c>
      <c r="O72" s="1" t="s">
        <v>68</v>
      </c>
      <c r="P72" s="1" t="s">
        <v>72</v>
      </c>
      <c r="Q72" s="1" t="s">
        <v>68</v>
      </c>
      <c r="R72" s="1" t="s">
        <v>68</v>
      </c>
      <c r="S72" s="1" t="s">
        <v>68</v>
      </c>
      <c r="T72" s="1" t="s">
        <v>68</v>
      </c>
      <c r="U72" s="1" t="s">
        <v>68</v>
      </c>
      <c r="V72" s="1" t="s">
        <v>68</v>
      </c>
      <c r="W72" s="1" t="s">
        <v>68</v>
      </c>
      <c r="X72" s="1" t="s">
        <v>68</v>
      </c>
      <c r="Y72" s="73"/>
      <c r="Z72" s="2" t="s">
        <v>102</v>
      </c>
      <c r="AA72" s="3">
        <v>4000</v>
      </c>
      <c r="AB72" s="4">
        <v>0</v>
      </c>
      <c r="AC72" s="73">
        <v>46206</v>
      </c>
      <c r="AD72" s="73">
        <v>46206</v>
      </c>
      <c r="AE72" s="73"/>
      <c r="AF72" s="73">
        <v>46206</v>
      </c>
      <c r="AG72" s="3">
        <v>4000</v>
      </c>
      <c r="AH72" s="353" t="str">
        <f t="shared" si="3"/>
        <v/>
      </c>
      <c r="AI72" s="3" t="str">
        <f t="shared" si="4"/>
        <v>58</v>
      </c>
      <c r="AJ72" s="64" t="e">
        <f>VLOOKUP(T72,'GL Name'!A:B,2,0)</f>
        <v>#N/A</v>
      </c>
      <c r="AL72" s="13">
        <f t="shared" si="5"/>
        <v>0</v>
      </c>
      <c r="AM72" s="13" t="e">
        <f>VLOOKUP(I72,'Order 301-305 (เรียง)'!A:B,2,0)</f>
        <v>#N/A</v>
      </c>
      <c r="AN72" t="e">
        <f>VLOOKUP(I72,'Order 301-305 (เรียง)'!A:C,3,0)</f>
        <v>#N/A</v>
      </c>
    </row>
    <row r="73" spans="1:40" x14ac:dyDescent="0.3">
      <c r="A73" s="1" t="s">
        <v>9</v>
      </c>
      <c r="B73" s="1" t="s">
        <v>10</v>
      </c>
      <c r="C73" s="1" t="s">
        <v>64</v>
      </c>
      <c r="D73" s="1" t="s">
        <v>87</v>
      </c>
      <c r="E73" s="1" t="s">
        <v>88</v>
      </c>
      <c r="F73" s="1" t="s">
        <v>456</v>
      </c>
      <c r="G73" s="1" t="s">
        <v>278</v>
      </c>
      <c r="H73" s="1" t="s">
        <v>327</v>
      </c>
      <c r="I73" s="1" t="s">
        <v>68</v>
      </c>
      <c r="J73" s="1" t="s">
        <v>457</v>
      </c>
      <c r="K73" s="1" t="s">
        <v>290</v>
      </c>
      <c r="L73" s="1" t="s">
        <v>70</v>
      </c>
      <c r="M73" s="1" t="s">
        <v>68</v>
      </c>
      <c r="N73" s="1" t="s">
        <v>71</v>
      </c>
      <c r="O73" s="1" t="s">
        <v>68</v>
      </c>
      <c r="P73" s="1" t="s">
        <v>458</v>
      </c>
      <c r="Q73" s="1" t="s">
        <v>68</v>
      </c>
      <c r="R73" s="1" t="s">
        <v>459</v>
      </c>
      <c r="S73" s="1" t="s">
        <v>90</v>
      </c>
      <c r="T73" s="1" t="s">
        <v>91</v>
      </c>
      <c r="U73" s="1" t="s">
        <v>68</v>
      </c>
      <c r="V73" s="1" t="s">
        <v>68</v>
      </c>
      <c r="W73" s="1" t="s">
        <v>68</v>
      </c>
      <c r="X73" s="1" t="s">
        <v>68</v>
      </c>
      <c r="Y73" s="73"/>
      <c r="Z73" s="2" t="s">
        <v>265</v>
      </c>
      <c r="AA73" s="3">
        <v>-500</v>
      </c>
      <c r="AB73" s="4">
        <v>-131.94</v>
      </c>
      <c r="AC73" s="73">
        <v>46205</v>
      </c>
      <c r="AD73" s="73">
        <v>46205</v>
      </c>
      <c r="AE73" s="73"/>
      <c r="AF73" s="73">
        <v>46206</v>
      </c>
      <c r="AG73" s="3">
        <v>-500</v>
      </c>
      <c r="AH73" s="353" t="str">
        <f t="shared" si="3"/>
        <v/>
      </c>
      <c r="AI73" s="3" t="str">
        <f t="shared" si="4"/>
        <v>54</v>
      </c>
      <c r="AJ73" s="64" t="str">
        <f>VLOOKUP(T73,'GL Name'!A:B,2,0)</f>
        <v>ค่าวิจัยคุณภาพสินค้า</v>
      </c>
      <c r="AL73" s="13">
        <f t="shared" si="5"/>
        <v>0.26388</v>
      </c>
      <c r="AM73" s="13" t="e">
        <f>VLOOKUP(I73,'Order 301-305 (เรียง)'!A:B,2,0)</f>
        <v>#N/A</v>
      </c>
      <c r="AN73" t="e">
        <f>VLOOKUP(I73,'Order 301-305 (เรียง)'!A:C,3,0)</f>
        <v>#N/A</v>
      </c>
    </row>
    <row r="74" spans="1:40" x14ac:dyDescent="0.3">
      <c r="A74" s="1" t="s">
        <v>17</v>
      </c>
      <c r="B74" s="1" t="s">
        <v>18</v>
      </c>
      <c r="C74" s="1" t="s">
        <v>64</v>
      </c>
      <c r="D74" s="1" t="s">
        <v>87</v>
      </c>
      <c r="E74" s="1" t="s">
        <v>88</v>
      </c>
      <c r="F74" s="1" t="s">
        <v>456</v>
      </c>
      <c r="G74" s="1" t="s">
        <v>278</v>
      </c>
      <c r="H74" s="1" t="s">
        <v>304</v>
      </c>
      <c r="I74" s="1" t="s">
        <v>68</v>
      </c>
      <c r="J74" s="1" t="s">
        <v>457</v>
      </c>
      <c r="K74" s="1" t="s">
        <v>290</v>
      </c>
      <c r="L74" s="1" t="s">
        <v>86</v>
      </c>
      <c r="M74" s="1" t="s">
        <v>68</v>
      </c>
      <c r="N74" s="1" t="s">
        <v>71</v>
      </c>
      <c r="O74" s="1" t="s">
        <v>68</v>
      </c>
      <c r="P74" s="1" t="s">
        <v>458</v>
      </c>
      <c r="Q74" s="1" t="s">
        <v>68</v>
      </c>
      <c r="R74" s="1" t="s">
        <v>460</v>
      </c>
      <c r="S74" s="1" t="s">
        <v>90</v>
      </c>
      <c r="T74" s="1" t="s">
        <v>91</v>
      </c>
      <c r="U74" s="1" t="s">
        <v>68</v>
      </c>
      <c r="V74" s="1" t="s">
        <v>68</v>
      </c>
      <c r="W74" s="1" t="s">
        <v>68</v>
      </c>
      <c r="X74" s="1" t="s">
        <v>68</v>
      </c>
      <c r="Y74" s="73"/>
      <c r="Z74" s="2" t="s">
        <v>265</v>
      </c>
      <c r="AA74" s="3">
        <v>-500</v>
      </c>
      <c r="AB74" s="4">
        <v>-77.900000000000006</v>
      </c>
      <c r="AC74" s="73">
        <v>46205</v>
      </c>
      <c r="AD74" s="73">
        <v>46205</v>
      </c>
      <c r="AE74" s="73"/>
      <c r="AF74" s="73">
        <v>46206</v>
      </c>
      <c r="AG74" s="3">
        <v>-500</v>
      </c>
      <c r="AH74" s="353" t="str">
        <f t="shared" si="3"/>
        <v/>
      </c>
      <c r="AI74" s="3" t="str">
        <f t="shared" si="4"/>
        <v>54</v>
      </c>
      <c r="AJ74" s="64" t="str">
        <f>VLOOKUP(T74,'GL Name'!A:B,2,0)</f>
        <v>ค่าวิจัยคุณภาพสินค้า</v>
      </c>
      <c r="AL74" s="13">
        <f t="shared" si="5"/>
        <v>0.15580000000000002</v>
      </c>
      <c r="AM74" s="13" t="e">
        <f>VLOOKUP(I74,'Order 301-305 (เรียง)'!A:B,2,0)</f>
        <v>#N/A</v>
      </c>
      <c r="AN74" t="e">
        <f>VLOOKUP(I74,'Order 301-305 (เรียง)'!A:C,3,0)</f>
        <v>#N/A</v>
      </c>
    </row>
    <row r="75" spans="1:40" x14ac:dyDescent="0.3">
      <c r="A75" s="1" t="s">
        <v>17</v>
      </c>
      <c r="B75" s="1" t="s">
        <v>18</v>
      </c>
      <c r="C75" s="1" t="s">
        <v>64</v>
      </c>
      <c r="D75" s="1" t="s">
        <v>77</v>
      </c>
      <c r="E75" s="1" t="s">
        <v>78</v>
      </c>
      <c r="F75" s="1" t="s">
        <v>461</v>
      </c>
      <c r="G75" s="1" t="s">
        <v>278</v>
      </c>
      <c r="H75" s="1" t="s">
        <v>311</v>
      </c>
      <c r="I75" s="1" t="s">
        <v>462</v>
      </c>
      <c r="J75" s="1" t="s">
        <v>463</v>
      </c>
      <c r="K75" s="1" t="s">
        <v>290</v>
      </c>
      <c r="L75" s="1" t="s">
        <v>86</v>
      </c>
      <c r="M75" s="1" t="s">
        <v>68</v>
      </c>
      <c r="N75" s="1" t="s">
        <v>71</v>
      </c>
      <c r="O75" s="1" t="s">
        <v>68</v>
      </c>
      <c r="P75" s="1" t="s">
        <v>72</v>
      </c>
      <c r="Q75" s="1" t="s">
        <v>68</v>
      </c>
      <c r="R75" s="1" t="s">
        <v>18</v>
      </c>
      <c r="S75" s="1" t="s">
        <v>68</v>
      </c>
      <c r="T75" s="1" t="s">
        <v>79</v>
      </c>
      <c r="U75" s="1" t="s">
        <v>68</v>
      </c>
      <c r="V75" s="1" t="s">
        <v>68</v>
      </c>
      <c r="W75" s="1" t="s">
        <v>68</v>
      </c>
      <c r="X75" s="1" t="s">
        <v>68</v>
      </c>
      <c r="Y75" s="73"/>
      <c r="Z75" s="2" t="s">
        <v>80</v>
      </c>
      <c r="AA75" s="3">
        <v>-229.31</v>
      </c>
      <c r="AB75" s="4">
        <v>-35726.33</v>
      </c>
      <c r="AC75" s="73">
        <v>46206</v>
      </c>
      <c r="AD75" s="73">
        <v>46205</v>
      </c>
      <c r="AE75" s="73"/>
      <c r="AF75" s="73">
        <v>46206</v>
      </c>
      <c r="AG75" s="3">
        <v>-229310</v>
      </c>
      <c r="AH75" s="353" t="str">
        <f t="shared" si="3"/>
        <v>301</v>
      </c>
      <c r="AI75" s="3" t="str">
        <f t="shared" si="4"/>
        <v>54</v>
      </c>
      <c r="AJ75" s="64" t="str">
        <f>VLOOKUP(T75,'GL Name'!A:B,2,0)</f>
        <v>ต้นทุนผลิต-วัตถุดิบ</v>
      </c>
      <c r="AL75" s="13">
        <f t="shared" si="5"/>
        <v>155.79926736731935</v>
      </c>
      <c r="AM75" s="13" t="str">
        <f>VLOOKUP(I75,'Order 301-305 (เรียง)'!A:B,2,0)</f>
        <v>Semi</v>
      </c>
      <c r="AN75" t="str">
        <f>VLOOKUP(I75,'Order 301-305 (เรียง)'!A:C,3,0)</f>
        <v>Semi เมล็ดกาแฟ</v>
      </c>
    </row>
    <row r="76" spans="1:40" x14ac:dyDescent="0.3">
      <c r="A76" s="1" t="s">
        <v>17</v>
      </c>
      <c r="B76" s="1" t="s">
        <v>18</v>
      </c>
      <c r="C76" s="1" t="s">
        <v>64</v>
      </c>
      <c r="D76" s="1" t="s">
        <v>77</v>
      </c>
      <c r="E76" s="1" t="s">
        <v>78</v>
      </c>
      <c r="F76" s="1" t="s">
        <v>461</v>
      </c>
      <c r="G76" s="1" t="s">
        <v>278</v>
      </c>
      <c r="H76" s="1" t="s">
        <v>304</v>
      </c>
      <c r="I76" s="1" t="s">
        <v>462</v>
      </c>
      <c r="J76" s="1" t="s">
        <v>463</v>
      </c>
      <c r="K76" s="1" t="s">
        <v>290</v>
      </c>
      <c r="L76" s="1" t="s">
        <v>70</v>
      </c>
      <c r="M76" s="1" t="s">
        <v>68</v>
      </c>
      <c r="N76" s="1" t="s">
        <v>71</v>
      </c>
      <c r="O76" s="1" t="s">
        <v>68</v>
      </c>
      <c r="P76" s="1" t="s">
        <v>464</v>
      </c>
      <c r="Q76" s="1" t="s">
        <v>68</v>
      </c>
      <c r="R76" s="1" t="s">
        <v>68</v>
      </c>
      <c r="S76" s="1" t="s">
        <v>68</v>
      </c>
      <c r="T76" s="1" t="s">
        <v>79</v>
      </c>
      <c r="U76" s="1" t="s">
        <v>68</v>
      </c>
      <c r="V76" s="1" t="s">
        <v>68</v>
      </c>
      <c r="W76" s="1" t="s">
        <v>68</v>
      </c>
      <c r="X76" s="1" t="s">
        <v>68</v>
      </c>
      <c r="Y76" s="73"/>
      <c r="Z76" s="2" t="s">
        <v>80</v>
      </c>
      <c r="AA76" s="3">
        <v>-9816.49</v>
      </c>
      <c r="AB76" s="4">
        <v>-1529401.98</v>
      </c>
      <c r="AC76" s="73">
        <v>46206</v>
      </c>
      <c r="AD76" s="73">
        <v>46205</v>
      </c>
      <c r="AE76" s="73"/>
      <c r="AF76" s="73">
        <v>46206</v>
      </c>
      <c r="AG76" s="3">
        <v>-9816490</v>
      </c>
      <c r="AH76" s="353" t="str">
        <f t="shared" si="3"/>
        <v>301</v>
      </c>
      <c r="AI76" s="3" t="str">
        <f t="shared" si="4"/>
        <v>54</v>
      </c>
      <c r="AJ76" s="64" t="str">
        <f>VLOOKUP(T76,'GL Name'!A:B,2,0)</f>
        <v>ต้นทุนผลิต-วัตถุดิบ</v>
      </c>
      <c r="AL76" s="13">
        <f>AB76/AA76</f>
        <v>155.7992704113181</v>
      </c>
      <c r="AM76" s="13" t="str">
        <f>VLOOKUP(I76,'Order 301-305 (เรียง)'!A:B,2,0)</f>
        <v>Semi</v>
      </c>
      <c r="AN76" t="str">
        <f>VLOOKUP(I76,'Order 301-305 (เรียง)'!A:C,3,0)</f>
        <v>Semi เมล็ดกาแฟ</v>
      </c>
    </row>
    <row r="77" spans="1:40" x14ac:dyDescent="0.3">
      <c r="A77" s="1" t="s">
        <v>81</v>
      </c>
      <c r="B77" s="1" t="s">
        <v>82</v>
      </c>
      <c r="C77" s="1" t="s">
        <v>64</v>
      </c>
      <c r="D77" s="1" t="s">
        <v>65</v>
      </c>
      <c r="E77" s="1" t="s">
        <v>66</v>
      </c>
      <c r="F77" s="1" t="s">
        <v>465</v>
      </c>
      <c r="G77" s="1" t="s">
        <v>83</v>
      </c>
      <c r="H77" s="1" t="s">
        <v>313</v>
      </c>
      <c r="I77" s="1" t="s">
        <v>68</v>
      </c>
      <c r="J77" s="1" t="s">
        <v>466</v>
      </c>
      <c r="K77" s="1" t="s">
        <v>118</v>
      </c>
      <c r="L77" s="1" t="s">
        <v>70</v>
      </c>
      <c r="M77" s="1" t="s">
        <v>68</v>
      </c>
      <c r="N77" s="1" t="s">
        <v>71</v>
      </c>
      <c r="O77" s="1" t="s">
        <v>68</v>
      </c>
      <c r="P77" s="1" t="s">
        <v>72</v>
      </c>
      <c r="Q77" s="1" t="s">
        <v>68</v>
      </c>
      <c r="R77" s="1" t="s">
        <v>68</v>
      </c>
      <c r="S77" s="1" t="s">
        <v>68</v>
      </c>
      <c r="T77" s="1" t="s">
        <v>73</v>
      </c>
      <c r="U77" s="1" t="s">
        <v>68</v>
      </c>
      <c r="V77" s="1" t="s">
        <v>68</v>
      </c>
      <c r="W77" s="1" t="s">
        <v>68</v>
      </c>
      <c r="X77" s="1" t="s">
        <v>467</v>
      </c>
      <c r="Y77" s="73"/>
      <c r="Z77" s="2" t="s">
        <v>85</v>
      </c>
      <c r="AA77" s="3">
        <v>-1661</v>
      </c>
      <c r="AB77" s="4">
        <v>-1688041.08</v>
      </c>
      <c r="AC77" s="73">
        <v>46206</v>
      </c>
      <c r="AD77" s="73">
        <v>46206</v>
      </c>
      <c r="AE77" s="73"/>
      <c r="AF77" s="73">
        <v>46206</v>
      </c>
      <c r="AG77" s="3">
        <v>-4983000</v>
      </c>
      <c r="AH77" s="353" t="str">
        <f t="shared" si="3"/>
        <v/>
      </c>
      <c r="AI77" s="3" t="str">
        <f t="shared" si="4"/>
        <v>59</v>
      </c>
      <c r="AJ77" s="64" t="str">
        <f>VLOOKUP(T77,'GL Name'!A:B,2,0)</f>
        <v>ต้นทุนขาย</v>
      </c>
      <c r="AL77" s="13">
        <f t="shared" si="5"/>
        <v>1016.2800000000001</v>
      </c>
      <c r="AM77" s="13" t="e">
        <f>VLOOKUP(I77,'Order 301-305 (เรียง)'!A:B,2,0)</f>
        <v>#N/A</v>
      </c>
      <c r="AN77" t="e">
        <f>VLOOKUP(I77,'Order 301-305 (เรียง)'!A:C,3,0)</f>
        <v>#N/A</v>
      </c>
    </row>
    <row r="78" spans="1:40" x14ac:dyDescent="0.3">
      <c r="A78" s="1" t="s">
        <v>81</v>
      </c>
      <c r="B78" s="1" t="s">
        <v>82</v>
      </c>
      <c r="C78" s="1" t="s">
        <v>64</v>
      </c>
      <c r="D78" s="1" t="s">
        <v>65</v>
      </c>
      <c r="E78" s="1" t="s">
        <v>66</v>
      </c>
      <c r="F78" s="1" t="s">
        <v>465</v>
      </c>
      <c r="G78" s="1" t="s">
        <v>83</v>
      </c>
      <c r="H78" s="1" t="s">
        <v>320</v>
      </c>
      <c r="I78" s="1" t="s">
        <v>68</v>
      </c>
      <c r="J78" s="1" t="s">
        <v>466</v>
      </c>
      <c r="K78" s="1" t="s">
        <v>118</v>
      </c>
      <c r="L78" s="1" t="s">
        <v>86</v>
      </c>
      <c r="M78" s="1" t="s">
        <v>68</v>
      </c>
      <c r="N78" s="1" t="s">
        <v>71</v>
      </c>
      <c r="O78" s="1" t="s">
        <v>68</v>
      </c>
      <c r="P78" s="1" t="s">
        <v>72</v>
      </c>
      <c r="Q78" s="1" t="s">
        <v>68</v>
      </c>
      <c r="R78" s="1" t="s">
        <v>68</v>
      </c>
      <c r="S78" s="1" t="s">
        <v>68</v>
      </c>
      <c r="T78" s="1" t="s">
        <v>73</v>
      </c>
      <c r="U78" s="1" t="s">
        <v>68</v>
      </c>
      <c r="V78" s="1" t="s">
        <v>68</v>
      </c>
      <c r="W78" s="1" t="s">
        <v>68</v>
      </c>
      <c r="X78" s="1" t="s">
        <v>467</v>
      </c>
      <c r="Y78" s="73"/>
      <c r="Z78" s="2" t="s">
        <v>85</v>
      </c>
      <c r="AA78" s="3">
        <v>-259</v>
      </c>
      <c r="AB78" s="4">
        <v>-263216.52</v>
      </c>
      <c r="AC78" s="73">
        <v>46206</v>
      </c>
      <c r="AD78" s="73">
        <v>46206</v>
      </c>
      <c r="AE78" s="73"/>
      <c r="AF78" s="73">
        <v>46206</v>
      </c>
      <c r="AG78" s="3">
        <v>-777000</v>
      </c>
      <c r="AH78" s="353" t="str">
        <f t="shared" si="3"/>
        <v/>
      </c>
      <c r="AI78" s="3" t="str">
        <f t="shared" si="4"/>
        <v>59</v>
      </c>
      <c r="AJ78" s="64" t="str">
        <f>VLOOKUP(T78,'GL Name'!A:B,2,0)</f>
        <v>ต้นทุนขาย</v>
      </c>
      <c r="AL78" s="13">
        <f t="shared" si="5"/>
        <v>1016.2800000000001</v>
      </c>
      <c r="AM78" s="13" t="e">
        <f>VLOOKUP(I78,'Order 301-305 (เรียง)'!A:B,2,0)</f>
        <v>#N/A</v>
      </c>
      <c r="AN78" t="e">
        <f>VLOOKUP(I78,'Order 301-305 (เรียง)'!A:C,3,0)</f>
        <v>#N/A</v>
      </c>
    </row>
    <row r="79" spans="1:40" x14ac:dyDescent="0.3">
      <c r="A79" s="1" t="s">
        <v>81</v>
      </c>
      <c r="B79" s="1" t="s">
        <v>82</v>
      </c>
      <c r="C79" s="1" t="s">
        <v>64</v>
      </c>
      <c r="D79" s="1" t="s">
        <v>65</v>
      </c>
      <c r="E79" s="1" t="s">
        <v>66</v>
      </c>
      <c r="F79" s="1" t="s">
        <v>468</v>
      </c>
      <c r="G79" s="1" t="s">
        <v>83</v>
      </c>
      <c r="H79" s="1" t="s">
        <v>320</v>
      </c>
      <c r="I79" s="1" t="s">
        <v>68</v>
      </c>
      <c r="J79" s="1" t="s">
        <v>469</v>
      </c>
      <c r="K79" s="1" t="s">
        <v>118</v>
      </c>
      <c r="L79" s="1" t="s">
        <v>70</v>
      </c>
      <c r="M79" s="1" t="s">
        <v>68</v>
      </c>
      <c r="N79" s="1" t="s">
        <v>71</v>
      </c>
      <c r="O79" s="1" t="s">
        <v>68</v>
      </c>
      <c r="P79" s="1" t="s">
        <v>72</v>
      </c>
      <c r="Q79" s="1" t="s">
        <v>68</v>
      </c>
      <c r="R79" s="1" t="s">
        <v>68</v>
      </c>
      <c r="S79" s="1" t="s">
        <v>68</v>
      </c>
      <c r="T79" s="1" t="s">
        <v>73</v>
      </c>
      <c r="U79" s="1" t="s">
        <v>68</v>
      </c>
      <c r="V79" s="1" t="s">
        <v>68</v>
      </c>
      <c r="W79" s="1" t="s">
        <v>68</v>
      </c>
      <c r="X79" s="1" t="s">
        <v>470</v>
      </c>
      <c r="Y79" s="73"/>
      <c r="Z79" s="2" t="s">
        <v>85</v>
      </c>
      <c r="AA79" s="3">
        <v>-960</v>
      </c>
      <c r="AB79" s="4">
        <v>-975628.80000000005</v>
      </c>
      <c r="AC79" s="73">
        <v>46206</v>
      </c>
      <c r="AD79" s="73">
        <v>46206</v>
      </c>
      <c r="AE79" s="73"/>
      <c r="AF79" s="73">
        <v>46206</v>
      </c>
      <c r="AG79" s="3">
        <v>-2880000</v>
      </c>
      <c r="AH79" s="353" t="str">
        <f t="shared" si="3"/>
        <v/>
      </c>
      <c r="AI79" s="3" t="str">
        <f t="shared" si="4"/>
        <v>59</v>
      </c>
      <c r="AJ79" s="64" t="str">
        <f>VLOOKUP(T79,'GL Name'!A:B,2,0)</f>
        <v>ต้นทุนขาย</v>
      </c>
      <c r="AL79" s="13">
        <f t="shared" si="5"/>
        <v>1016.2800000000001</v>
      </c>
      <c r="AM79" s="13" t="e">
        <f>VLOOKUP(I79,'Order 301-305 (เรียง)'!A:B,2,0)</f>
        <v>#N/A</v>
      </c>
      <c r="AN79" t="e">
        <f>VLOOKUP(I79,'Order 301-305 (เรียง)'!A:C,3,0)</f>
        <v>#N/A</v>
      </c>
    </row>
    <row r="80" spans="1:40" x14ac:dyDescent="0.3">
      <c r="A80" s="1" t="s">
        <v>81</v>
      </c>
      <c r="B80" s="1" t="s">
        <v>82</v>
      </c>
      <c r="C80" s="1" t="s">
        <v>64</v>
      </c>
      <c r="D80" s="1" t="s">
        <v>87</v>
      </c>
      <c r="E80" s="1" t="s">
        <v>88</v>
      </c>
      <c r="F80" s="1" t="s">
        <v>471</v>
      </c>
      <c r="G80" s="1" t="s">
        <v>83</v>
      </c>
      <c r="H80" s="1" t="s">
        <v>320</v>
      </c>
      <c r="I80" s="1" t="s">
        <v>68</v>
      </c>
      <c r="J80" s="1" t="s">
        <v>472</v>
      </c>
      <c r="K80" s="1" t="s">
        <v>118</v>
      </c>
      <c r="L80" s="1" t="s">
        <v>86</v>
      </c>
      <c r="M80" s="1" t="s">
        <v>68</v>
      </c>
      <c r="N80" s="1" t="s">
        <v>71</v>
      </c>
      <c r="O80" s="1" t="s">
        <v>68</v>
      </c>
      <c r="P80" s="1" t="s">
        <v>473</v>
      </c>
      <c r="Q80" s="1" t="s">
        <v>68</v>
      </c>
      <c r="R80" s="1" t="s">
        <v>474</v>
      </c>
      <c r="S80" s="1" t="s">
        <v>90</v>
      </c>
      <c r="T80" s="1" t="s">
        <v>91</v>
      </c>
      <c r="U80" s="1" t="s">
        <v>68</v>
      </c>
      <c r="V80" s="1" t="s">
        <v>68</v>
      </c>
      <c r="W80" s="1" t="s">
        <v>68</v>
      </c>
      <c r="X80" s="1" t="s">
        <v>68</v>
      </c>
      <c r="Y80" s="73"/>
      <c r="Z80" s="2" t="s">
        <v>74</v>
      </c>
      <c r="AA80" s="3">
        <v>-3</v>
      </c>
      <c r="AB80" s="4">
        <v>-508.14</v>
      </c>
      <c r="AC80" s="73">
        <v>46206</v>
      </c>
      <c r="AD80" s="73">
        <v>46206</v>
      </c>
      <c r="AE80" s="73"/>
      <c r="AF80" s="73">
        <v>46206</v>
      </c>
      <c r="AG80" s="3">
        <v>-1500</v>
      </c>
      <c r="AH80" s="353" t="str">
        <f t="shared" si="3"/>
        <v/>
      </c>
      <c r="AI80" s="3" t="str">
        <f t="shared" si="4"/>
        <v>59</v>
      </c>
      <c r="AJ80" s="64" t="str">
        <f>VLOOKUP(T80,'GL Name'!A:B,2,0)</f>
        <v>ค่าวิจัยคุณภาพสินค้า</v>
      </c>
      <c r="AL80" s="13">
        <f t="shared" si="5"/>
        <v>169.38</v>
      </c>
      <c r="AM80" s="13" t="e">
        <f>VLOOKUP(I80,'Order 301-305 (เรียง)'!A:B,2,0)</f>
        <v>#N/A</v>
      </c>
      <c r="AN80" t="e">
        <f>VLOOKUP(I80,'Order 301-305 (เรียง)'!A:C,3,0)</f>
        <v>#N/A</v>
      </c>
    </row>
    <row r="81" spans="1:40" x14ac:dyDescent="0.3">
      <c r="A81" s="1" t="s">
        <v>81</v>
      </c>
      <c r="B81" s="1" t="s">
        <v>82</v>
      </c>
      <c r="C81" s="1" t="s">
        <v>64</v>
      </c>
      <c r="D81" s="1" t="s">
        <v>87</v>
      </c>
      <c r="E81" s="1" t="s">
        <v>88</v>
      </c>
      <c r="F81" s="1" t="s">
        <v>471</v>
      </c>
      <c r="G81" s="1" t="s">
        <v>83</v>
      </c>
      <c r="H81" s="1" t="s">
        <v>320</v>
      </c>
      <c r="I81" s="1" t="s">
        <v>68</v>
      </c>
      <c r="J81" s="1" t="s">
        <v>472</v>
      </c>
      <c r="K81" s="1" t="s">
        <v>118</v>
      </c>
      <c r="L81" s="1" t="s">
        <v>70</v>
      </c>
      <c r="M81" s="1" t="s">
        <v>68</v>
      </c>
      <c r="N81" s="1" t="s">
        <v>71</v>
      </c>
      <c r="O81" s="1" t="s">
        <v>68</v>
      </c>
      <c r="P81" s="1" t="s">
        <v>473</v>
      </c>
      <c r="Q81" s="1" t="s">
        <v>68</v>
      </c>
      <c r="R81" s="1" t="s">
        <v>475</v>
      </c>
      <c r="S81" s="1" t="s">
        <v>90</v>
      </c>
      <c r="T81" s="1" t="s">
        <v>91</v>
      </c>
      <c r="U81" s="1" t="s">
        <v>68</v>
      </c>
      <c r="V81" s="1" t="s">
        <v>68</v>
      </c>
      <c r="W81" s="1" t="s">
        <v>68</v>
      </c>
      <c r="X81" s="1" t="s">
        <v>68</v>
      </c>
      <c r="Y81" s="73"/>
      <c r="Z81" s="2" t="s">
        <v>74</v>
      </c>
      <c r="AA81" s="3">
        <v>-3</v>
      </c>
      <c r="AB81" s="4">
        <v>-508.14</v>
      </c>
      <c r="AC81" s="73">
        <v>46206</v>
      </c>
      <c r="AD81" s="73">
        <v>46206</v>
      </c>
      <c r="AE81" s="73"/>
      <c r="AF81" s="73">
        <v>46206</v>
      </c>
      <c r="AG81" s="3">
        <v>-1500</v>
      </c>
      <c r="AH81" s="353" t="str">
        <f t="shared" si="3"/>
        <v/>
      </c>
      <c r="AI81" s="3" t="str">
        <f t="shared" si="4"/>
        <v>59</v>
      </c>
      <c r="AJ81" s="64" t="str">
        <f>VLOOKUP(T81,'GL Name'!A:B,2,0)</f>
        <v>ค่าวิจัยคุณภาพสินค้า</v>
      </c>
      <c r="AL81" s="13">
        <f t="shared" si="5"/>
        <v>169.38</v>
      </c>
      <c r="AM81" s="13" t="e">
        <f>VLOOKUP(I81,'Order 301-305 (เรียง)'!A:B,2,0)</f>
        <v>#N/A</v>
      </c>
      <c r="AN81" t="e">
        <f>VLOOKUP(I81,'Order 301-305 (เรียง)'!A:C,3,0)</f>
        <v>#N/A</v>
      </c>
    </row>
    <row r="82" spans="1:40" x14ac:dyDescent="0.3">
      <c r="A82" s="1" t="s">
        <v>9</v>
      </c>
      <c r="B82" s="1" t="s">
        <v>10</v>
      </c>
      <c r="C82" s="1" t="s">
        <v>64</v>
      </c>
      <c r="D82" s="1" t="s">
        <v>77</v>
      </c>
      <c r="E82" s="1" t="s">
        <v>78</v>
      </c>
      <c r="F82" s="1" t="s">
        <v>476</v>
      </c>
      <c r="G82" s="1" t="s">
        <v>278</v>
      </c>
      <c r="H82" s="1" t="s">
        <v>327</v>
      </c>
      <c r="I82" s="1" t="s">
        <v>477</v>
      </c>
      <c r="J82" s="1" t="s">
        <v>478</v>
      </c>
      <c r="K82" s="1" t="s">
        <v>290</v>
      </c>
      <c r="L82" s="1" t="s">
        <v>70</v>
      </c>
      <c r="M82" s="1" t="s">
        <v>68</v>
      </c>
      <c r="N82" s="1" t="s">
        <v>71</v>
      </c>
      <c r="O82" s="1" t="s">
        <v>68</v>
      </c>
      <c r="P82" s="1" t="s">
        <v>479</v>
      </c>
      <c r="Q82" s="1" t="s">
        <v>68</v>
      </c>
      <c r="R82" s="1" t="s">
        <v>68</v>
      </c>
      <c r="S82" s="1" t="s">
        <v>68</v>
      </c>
      <c r="T82" s="1" t="s">
        <v>79</v>
      </c>
      <c r="U82" s="1" t="s">
        <v>68</v>
      </c>
      <c r="V82" s="1" t="s">
        <v>68</v>
      </c>
      <c r="W82" s="1" t="s">
        <v>68</v>
      </c>
      <c r="X82" s="1" t="s">
        <v>68</v>
      </c>
      <c r="Y82" s="73"/>
      <c r="Z82" s="2" t="s">
        <v>80</v>
      </c>
      <c r="AA82" s="3">
        <v>-14947.65</v>
      </c>
      <c r="AB82" s="4">
        <v>-3944239.68</v>
      </c>
      <c r="AC82" s="73">
        <v>46207</v>
      </c>
      <c r="AD82" s="73">
        <v>46206</v>
      </c>
      <c r="AE82" s="73"/>
      <c r="AF82" s="73">
        <v>46207</v>
      </c>
      <c r="AG82" s="3">
        <v>-14947650</v>
      </c>
      <c r="AH82" s="353" t="str">
        <f t="shared" si="3"/>
        <v>301</v>
      </c>
      <c r="AI82" s="3" t="str">
        <f t="shared" si="4"/>
        <v>54</v>
      </c>
      <c r="AJ82" s="64" t="str">
        <f>VLOOKUP(T82,'GL Name'!A:B,2,0)</f>
        <v>ต้นทุนผลิต-วัตถุดิบ</v>
      </c>
      <c r="AL82" s="13">
        <f t="shared" si="5"/>
        <v>263.87021906453526</v>
      </c>
      <c r="AM82" s="13" t="str">
        <f>VLOOKUP(I82,'Order 301-305 (เรียง)'!A:B,2,0)</f>
        <v>Semi</v>
      </c>
      <c r="AN82" t="str">
        <f>VLOOKUP(I82,'Order 301-305 (เรียง)'!A:C,3,0)</f>
        <v>Semi เมล็ดกาแฟ</v>
      </c>
    </row>
    <row r="83" spans="1:40" x14ac:dyDescent="0.3">
      <c r="A83" s="1" t="s">
        <v>9</v>
      </c>
      <c r="B83" s="1" t="s">
        <v>10</v>
      </c>
      <c r="C83" s="1" t="s">
        <v>64</v>
      </c>
      <c r="D83" s="1" t="s">
        <v>77</v>
      </c>
      <c r="E83" s="1" t="s">
        <v>78</v>
      </c>
      <c r="F83" s="1" t="s">
        <v>476</v>
      </c>
      <c r="G83" s="1" t="s">
        <v>278</v>
      </c>
      <c r="H83" s="1" t="s">
        <v>319</v>
      </c>
      <c r="I83" s="1" t="s">
        <v>477</v>
      </c>
      <c r="J83" s="1" t="s">
        <v>478</v>
      </c>
      <c r="K83" s="1" t="s">
        <v>290</v>
      </c>
      <c r="L83" s="1" t="s">
        <v>86</v>
      </c>
      <c r="M83" s="1" t="s">
        <v>68</v>
      </c>
      <c r="N83" s="1" t="s">
        <v>71</v>
      </c>
      <c r="O83" s="1" t="s">
        <v>68</v>
      </c>
      <c r="P83" s="1" t="s">
        <v>72</v>
      </c>
      <c r="Q83" s="1" t="s">
        <v>68</v>
      </c>
      <c r="R83" s="1" t="s">
        <v>10</v>
      </c>
      <c r="S83" s="1" t="s">
        <v>68</v>
      </c>
      <c r="T83" s="1" t="s">
        <v>79</v>
      </c>
      <c r="U83" s="1" t="s">
        <v>68</v>
      </c>
      <c r="V83" s="1" t="s">
        <v>68</v>
      </c>
      <c r="W83" s="1" t="s">
        <v>68</v>
      </c>
      <c r="X83" s="1" t="s">
        <v>68</v>
      </c>
      <c r="Y83" s="73"/>
      <c r="Z83" s="2" t="s">
        <v>80</v>
      </c>
      <c r="AA83" s="3">
        <v>-168.55</v>
      </c>
      <c r="AB83" s="4">
        <v>-44475.33</v>
      </c>
      <c r="AC83" s="73">
        <v>46207</v>
      </c>
      <c r="AD83" s="73">
        <v>46206</v>
      </c>
      <c r="AE83" s="73"/>
      <c r="AF83" s="73">
        <v>46207</v>
      </c>
      <c r="AG83" s="3">
        <v>-168550</v>
      </c>
      <c r="AH83" s="353" t="str">
        <f t="shared" si="3"/>
        <v>301</v>
      </c>
      <c r="AI83" s="3" t="str">
        <f t="shared" si="4"/>
        <v>54</v>
      </c>
      <c r="AJ83" s="64" t="str">
        <f>VLOOKUP(T83,'GL Name'!A:B,2,0)</f>
        <v>ต้นทุนผลิต-วัตถุดิบ</v>
      </c>
      <c r="AL83" s="13">
        <f t="shared" si="5"/>
        <v>263.87024621773952</v>
      </c>
      <c r="AM83" s="13" t="str">
        <f>VLOOKUP(I83,'Order 301-305 (เรียง)'!A:B,2,0)</f>
        <v>Semi</v>
      </c>
      <c r="AN83" t="str">
        <f>VLOOKUP(I83,'Order 301-305 (เรียง)'!A:C,3,0)</f>
        <v>Semi เมล็ดกาแฟ</v>
      </c>
    </row>
    <row r="84" spans="1:40" x14ac:dyDescent="0.3">
      <c r="A84" s="1" t="s">
        <v>106</v>
      </c>
      <c r="B84" s="1" t="s">
        <v>107</v>
      </c>
      <c r="C84" s="1" t="s">
        <v>64</v>
      </c>
      <c r="D84" s="1" t="s">
        <v>125</v>
      </c>
      <c r="E84" s="1" t="s">
        <v>289</v>
      </c>
      <c r="F84" s="1" t="s">
        <v>480</v>
      </c>
      <c r="G84" s="1" t="s">
        <v>103</v>
      </c>
      <c r="H84" s="1" t="s">
        <v>286</v>
      </c>
      <c r="I84" s="1" t="s">
        <v>68</v>
      </c>
      <c r="J84" s="1" t="s">
        <v>481</v>
      </c>
      <c r="K84" s="1" t="s">
        <v>294</v>
      </c>
      <c r="L84" s="1" t="s">
        <v>111</v>
      </c>
      <c r="M84" s="1" t="s">
        <v>68</v>
      </c>
      <c r="N84" s="1" t="s">
        <v>71</v>
      </c>
      <c r="O84" s="1" t="s">
        <v>68</v>
      </c>
      <c r="P84" s="1" t="s">
        <v>72</v>
      </c>
      <c r="Q84" s="1" t="s">
        <v>68</v>
      </c>
      <c r="R84" s="1" t="s">
        <v>68</v>
      </c>
      <c r="S84" s="1" t="s">
        <v>68</v>
      </c>
      <c r="T84" s="1" t="s">
        <v>68</v>
      </c>
      <c r="U84" s="1" t="s">
        <v>68</v>
      </c>
      <c r="V84" s="1" t="s">
        <v>68</v>
      </c>
      <c r="W84" s="1" t="s">
        <v>68</v>
      </c>
      <c r="X84" s="1" t="s">
        <v>68</v>
      </c>
      <c r="Y84" s="73"/>
      <c r="Z84" s="2" t="s">
        <v>102</v>
      </c>
      <c r="AA84" s="3">
        <v>20000</v>
      </c>
      <c r="AB84" s="4">
        <v>0</v>
      </c>
      <c r="AC84" s="73">
        <v>46209</v>
      </c>
      <c r="AD84" s="73">
        <v>46209</v>
      </c>
      <c r="AE84" s="73"/>
      <c r="AF84" s="73">
        <v>46209</v>
      </c>
      <c r="AG84" s="3">
        <v>20000</v>
      </c>
      <c r="AH84" s="353" t="str">
        <f t="shared" si="3"/>
        <v/>
      </c>
      <c r="AI84" s="3" t="str">
        <f t="shared" si="4"/>
        <v>58</v>
      </c>
      <c r="AJ84" s="64" t="e">
        <f>VLOOKUP(T84,'GL Name'!A:B,2,0)</f>
        <v>#N/A</v>
      </c>
      <c r="AL84" s="13">
        <f t="shared" si="5"/>
        <v>0</v>
      </c>
      <c r="AM84" s="13" t="e">
        <f>VLOOKUP(I84,'Order 301-305 (เรียง)'!A:B,2,0)</f>
        <v>#N/A</v>
      </c>
      <c r="AN84" t="e">
        <f>VLOOKUP(I84,'Order 301-305 (เรียง)'!A:C,3,0)</f>
        <v>#N/A</v>
      </c>
    </row>
    <row r="85" spans="1:40" x14ac:dyDescent="0.3">
      <c r="A85" s="1" t="s">
        <v>106</v>
      </c>
      <c r="B85" s="1" t="s">
        <v>107</v>
      </c>
      <c r="C85" s="1" t="s">
        <v>64</v>
      </c>
      <c r="D85" s="1" t="s">
        <v>125</v>
      </c>
      <c r="E85" s="1" t="s">
        <v>289</v>
      </c>
      <c r="F85" s="1" t="s">
        <v>480</v>
      </c>
      <c r="G85" s="1" t="s">
        <v>101</v>
      </c>
      <c r="H85" s="1" t="s">
        <v>286</v>
      </c>
      <c r="I85" s="1" t="s">
        <v>68</v>
      </c>
      <c r="J85" s="1" t="s">
        <v>481</v>
      </c>
      <c r="K85" s="1" t="s">
        <v>294</v>
      </c>
      <c r="L85" s="1" t="s">
        <v>95</v>
      </c>
      <c r="M85" s="1" t="s">
        <v>68</v>
      </c>
      <c r="N85" s="1" t="s">
        <v>71</v>
      </c>
      <c r="O85" s="1" t="s">
        <v>68</v>
      </c>
      <c r="P85" s="1" t="s">
        <v>72</v>
      </c>
      <c r="Q85" s="1" t="s">
        <v>68</v>
      </c>
      <c r="R85" s="1" t="s">
        <v>68</v>
      </c>
      <c r="S85" s="1" t="s">
        <v>68</v>
      </c>
      <c r="T85" s="1" t="s">
        <v>68</v>
      </c>
      <c r="U85" s="1" t="s">
        <v>68</v>
      </c>
      <c r="V85" s="1" t="s">
        <v>68</v>
      </c>
      <c r="W85" s="1" t="s">
        <v>68</v>
      </c>
      <c r="X85" s="1" t="s">
        <v>68</v>
      </c>
      <c r="Y85" s="73"/>
      <c r="Z85" s="2" t="s">
        <v>102</v>
      </c>
      <c r="AA85" s="3">
        <v>-20000</v>
      </c>
      <c r="AB85" s="4">
        <v>0</v>
      </c>
      <c r="AC85" s="73">
        <v>46209</v>
      </c>
      <c r="AD85" s="73">
        <v>46209</v>
      </c>
      <c r="AE85" s="73"/>
      <c r="AF85" s="73">
        <v>46209</v>
      </c>
      <c r="AG85" s="3">
        <v>-20000</v>
      </c>
      <c r="AH85" s="353" t="str">
        <f t="shared" si="3"/>
        <v/>
      </c>
      <c r="AI85" s="3" t="str">
        <f t="shared" si="4"/>
        <v>58</v>
      </c>
      <c r="AJ85" s="64" t="e">
        <f>VLOOKUP(T85,'GL Name'!A:B,2,0)</f>
        <v>#N/A</v>
      </c>
      <c r="AL85" s="13">
        <f t="shared" si="5"/>
        <v>0</v>
      </c>
      <c r="AM85" s="13" t="e">
        <f>VLOOKUP(I85,'Order 301-305 (เรียง)'!A:B,2,0)</f>
        <v>#N/A</v>
      </c>
      <c r="AN85" t="e">
        <f>VLOOKUP(I85,'Order 301-305 (เรียง)'!A:C,3,0)</f>
        <v>#N/A</v>
      </c>
    </row>
    <row r="86" spans="1:40" x14ac:dyDescent="0.3">
      <c r="A86" s="1" t="s">
        <v>119</v>
      </c>
      <c r="B86" s="1" t="s">
        <v>120</v>
      </c>
      <c r="C86" s="1" t="s">
        <v>64</v>
      </c>
      <c r="D86" s="1" t="s">
        <v>125</v>
      </c>
      <c r="E86" s="1" t="s">
        <v>289</v>
      </c>
      <c r="F86" s="1" t="s">
        <v>480</v>
      </c>
      <c r="G86" s="1" t="s">
        <v>103</v>
      </c>
      <c r="H86" s="1" t="s">
        <v>302</v>
      </c>
      <c r="I86" s="1" t="s">
        <v>68</v>
      </c>
      <c r="J86" s="1" t="s">
        <v>481</v>
      </c>
      <c r="K86" s="1" t="s">
        <v>294</v>
      </c>
      <c r="L86" s="1" t="s">
        <v>89</v>
      </c>
      <c r="M86" s="1" t="s">
        <v>68</v>
      </c>
      <c r="N86" s="1" t="s">
        <v>71</v>
      </c>
      <c r="O86" s="1" t="s">
        <v>68</v>
      </c>
      <c r="P86" s="1" t="s">
        <v>72</v>
      </c>
      <c r="Q86" s="1" t="s">
        <v>68</v>
      </c>
      <c r="R86" s="1" t="s">
        <v>68</v>
      </c>
      <c r="S86" s="1" t="s">
        <v>68</v>
      </c>
      <c r="T86" s="1" t="s">
        <v>68</v>
      </c>
      <c r="U86" s="1" t="s">
        <v>68</v>
      </c>
      <c r="V86" s="1" t="s">
        <v>68</v>
      </c>
      <c r="W86" s="1" t="s">
        <v>68</v>
      </c>
      <c r="X86" s="1" t="s">
        <v>68</v>
      </c>
      <c r="Y86" s="73"/>
      <c r="Z86" s="2" t="s">
        <v>102</v>
      </c>
      <c r="AA86" s="3">
        <v>12000</v>
      </c>
      <c r="AB86" s="4">
        <v>0</v>
      </c>
      <c r="AC86" s="73">
        <v>46209</v>
      </c>
      <c r="AD86" s="73">
        <v>46209</v>
      </c>
      <c r="AE86" s="73"/>
      <c r="AF86" s="73">
        <v>46209</v>
      </c>
      <c r="AG86" s="3">
        <v>12000</v>
      </c>
      <c r="AH86" s="353" t="str">
        <f t="shared" si="3"/>
        <v/>
      </c>
      <c r="AI86" s="3" t="str">
        <f t="shared" si="4"/>
        <v>58</v>
      </c>
      <c r="AJ86" s="64" t="e">
        <f>VLOOKUP(T86,'GL Name'!A:B,2,0)</f>
        <v>#N/A</v>
      </c>
      <c r="AL86" s="13">
        <f t="shared" si="5"/>
        <v>0</v>
      </c>
      <c r="AM86" s="13" t="e">
        <f>VLOOKUP(I86,'Order 301-305 (เรียง)'!A:B,2,0)</f>
        <v>#N/A</v>
      </c>
      <c r="AN86" t="e">
        <f>VLOOKUP(I86,'Order 301-305 (เรียง)'!A:C,3,0)</f>
        <v>#N/A</v>
      </c>
    </row>
    <row r="87" spans="1:40" x14ac:dyDescent="0.3">
      <c r="A87" s="1" t="s">
        <v>119</v>
      </c>
      <c r="B87" s="1" t="s">
        <v>120</v>
      </c>
      <c r="C87" s="1" t="s">
        <v>64</v>
      </c>
      <c r="D87" s="1" t="s">
        <v>125</v>
      </c>
      <c r="E87" s="1" t="s">
        <v>289</v>
      </c>
      <c r="F87" s="1" t="s">
        <v>480</v>
      </c>
      <c r="G87" s="1" t="s">
        <v>101</v>
      </c>
      <c r="H87" s="1" t="s">
        <v>302</v>
      </c>
      <c r="I87" s="1" t="s">
        <v>68</v>
      </c>
      <c r="J87" s="1" t="s">
        <v>481</v>
      </c>
      <c r="K87" s="1" t="s">
        <v>294</v>
      </c>
      <c r="L87" s="1" t="s">
        <v>92</v>
      </c>
      <c r="M87" s="1" t="s">
        <v>68</v>
      </c>
      <c r="N87" s="1" t="s">
        <v>71</v>
      </c>
      <c r="O87" s="1" t="s">
        <v>68</v>
      </c>
      <c r="P87" s="1" t="s">
        <v>72</v>
      </c>
      <c r="Q87" s="1" t="s">
        <v>68</v>
      </c>
      <c r="R87" s="1" t="s">
        <v>68</v>
      </c>
      <c r="S87" s="1" t="s">
        <v>68</v>
      </c>
      <c r="T87" s="1" t="s">
        <v>68</v>
      </c>
      <c r="U87" s="1" t="s">
        <v>68</v>
      </c>
      <c r="V87" s="1" t="s">
        <v>68</v>
      </c>
      <c r="W87" s="1" t="s">
        <v>68</v>
      </c>
      <c r="X87" s="1" t="s">
        <v>68</v>
      </c>
      <c r="Y87" s="73"/>
      <c r="Z87" s="2" t="s">
        <v>102</v>
      </c>
      <c r="AA87" s="3">
        <v>-12000</v>
      </c>
      <c r="AB87" s="4">
        <v>0</v>
      </c>
      <c r="AC87" s="73">
        <v>46209</v>
      </c>
      <c r="AD87" s="73">
        <v>46209</v>
      </c>
      <c r="AE87" s="73"/>
      <c r="AF87" s="73">
        <v>46209</v>
      </c>
      <c r="AG87" s="3">
        <v>-12000</v>
      </c>
      <c r="AH87" s="353" t="str">
        <f t="shared" si="3"/>
        <v/>
      </c>
      <c r="AI87" s="3" t="str">
        <f t="shared" si="4"/>
        <v>58</v>
      </c>
      <c r="AJ87" s="64" t="e">
        <f>VLOOKUP(T87,'GL Name'!A:B,2,0)</f>
        <v>#N/A</v>
      </c>
      <c r="AL87" s="13">
        <f t="shared" si="5"/>
        <v>0</v>
      </c>
      <c r="AM87" s="13" t="e">
        <f>VLOOKUP(I87,'Order 301-305 (เรียง)'!A:B,2,0)</f>
        <v>#N/A</v>
      </c>
      <c r="AN87" t="e">
        <f>VLOOKUP(I87,'Order 301-305 (เรียง)'!A:C,3,0)</f>
        <v>#N/A</v>
      </c>
    </row>
    <row r="88" spans="1:40" x14ac:dyDescent="0.3">
      <c r="A88" s="1" t="s">
        <v>121</v>
      </c>
      <c r="B88" s="1" t="s">
        <v>122</v>
      </c>
      <c r="C88" s="1" t="s">
        <v>64</v>
      </c>
      <c r="D88" s="1" t="s">
        <v>125</v>
      </c>
      <c r="E88" s="1" t="s">
        <v>289</v>
      </c>
      <c r="F88" s="1" t="s">
        <v>480</v>
      </c>
      <c r="G88" s="1" t="s">
        <v>101</v>
      </c>
      <c r="H88" s="1" t="s">
        <v>316</v>
      </c>
      <c r="I88" s="1" t="s">
        <v>68</v>
      </c>
      <c r="J88" s="1" t="s">
        <v>481</v>
      </c>
      <c r="K88" s="1" t="s">
        <v>294</v>
      </c>
      <c r="L88" s="1" t="s">
        <v>70</v>
      </c>
      <c r="M88" s="1" t="s">
        <v>68</v>
      </c>
      <c r="N88" s="1" t="s">
        <v>71</v>
      </c>
      <c r="O88" s="1" t="s">
        <v>68</v>
      </c>
      <c r="P88" s="1" t="s">
        <v>72</v>
      </c>
      <c r="Q88" s="1" t="s">
        <v>68</v>
      </c>
      <c r="R88" s="1" t="s">
        <v>68</v>
      </c>
      <c r="S88" s="1" t="s">
        <v>68</v>
      </c>
      <c r="T88" s="1" t="s">
        <v>68</v>
      </c>
      <c r="U88" s="1" t="s">
        <v>68</v>
      </c>
      <c r="V88" s="1" t="s">
        <v>68</v>
      </c>
      <c r="W88" s="1" t="s">
        <v>68</v>
      </c>
      <c r="X88" s="1" t="s">
        <v>68</v>
      </c>
      <c r="Y88" s="73"/>
      <c r="Z88" s="2" t="s">
        <v>102</v>
      </c>
      <c r="AA88" s="3">
        <v>-2000</v>
      </c>
      <c r="AB88" s="4">
        <v>0</v>
      </c>
      <c r="AC88" s="73">
        <v>46209</v>
      </c>
      <c r="AD88" s="73">
        <v>46209</v>
      </c>
      <c r="AE88" s="73"/>
      <c r="AF88" s="73">
        <v>46209</v>
      </c>
      <c r="AG88" s="3">
        <v>-2000</v>
      </c>
      <c r="AH88" s="353" t="str">
        <f t="shared" si="3"/>
        <v/>
      </c>
      <c r="AI88" s="3" t="str">
        <f t="shared" si="4"/>
        <v>58</v>
      </c>
      <c r="AJ88" s="64" t="e">
        <f>VLOOKUP(T88,'GL Name'!A:B,2,0)</f>
        <v>#N/A</v>
      </c>
      <c r="AL88" s="13">
        <f t="shared" si="5"/>
        <v>0</v>
      </c>
      <c r="AM88" s="13" t="e">
        <f>VLOOKUP(I88,'Order 301-305 (เรียง)'!A:B,2,0)</f>
        <v>#N/A</v>
      </c>
      <c r="AN88" t="e">
        <f>VLOOKUP(I88,'Order 301-305 (เรียง)'!A:C,3,0)</f>
        <v>#N/A</v>
      </c>
    </row>
    <row r="89" spans="1:40" x14ac:dyDescent="0.3">
      <c r="A89" s="1" t="s">
        <v>121</v>
      </c>
      <c r="B89" s="1" t="s">
        <v>122</v>
      </c>
      <c r="C89" s="1" t="s">
        <v>64</v>
      </c>
      <c r="D89" s="1" t="s">
        <v>125</v>
      </c>
      <c r="E89" s="1" t="s">
        <v>289</v>
      </c>
      <c r="F89" s="1" t="s">
        <v>480</v>
      </c>
      <c r="G89" s="1" t="s">
        <v>103</v>
      </c>
      <c r="H89" s="1" t="s">
        <v>316</v>
      </c>
      <c r="I89" s="1" t="s">
        <v>68</v>
      </c>
      <c r="J89" s="1" t="s">
        <v>481</v>
      </c>
      <c r="K89" s="1" t="s">
        <v>294</v>
      </c>
      <c r="L89" s="1" t="s">
        <v>86</v>
      </c>
      <c r="M89" s="1" t="s">
        <v>68</v>
      </c>
      <c r="N89" s="1" t="s">
        <v>71</v>
      </c>
      <c r="O89" s="1" t="s">
        <v>68</v>
      </c>
      <c r="P89" s="1" t="s">
        <v>72</v>
      </c>
      <c r="Q89" s="1" t="s">
        <v>68</v>
      </c>
      <c r="R89" s="1" t="s">
        <v>68</v>
      </c>
      <c r="S89" s="1" t="s">
        <v>68</v>
      </c>
      <c r="T89" s="1" t="s">
        <v>68</v>
      </c>
      <c r="U89" s="1" t="s">
        <v>68</v>
      </c>
      <c r="V89" s="1" t="s">
        <v>68</v>
      </c>
      <c r="W89" s="1" t="s">
        <v>68</v>
      </c>
      <c r="X89" s="1" t="s">
        <v>68</v>
      </c>
      <c r="Y89" s="73"/>
      <c r="Z89" s="2" t="s">
        <v>102</v>
      </c>
      <c r="AA89" s="3">
        <v>2000</v>
      </c>
      <c r="AB89" s="4">
        <v>0</v>
      </c>
      <c r="AC89" s="73">
        <v>46209</v>
      </c>
      <c r="AD89" s="73">
        <v>46209</v>
      </c>
      <c r="AE89" s="73"/>
      <c r="AF89" s="73">
        <v>46209</v>
      </c>
      <c r="AG89" s="3">
        <v>2000</v>
      </c>
      <c r="AH89" s="353" t="str">
        <f t="shared" si="3"/>
        <v/>
      </c>
      <c r="AI89" s="3" t="str">
        <f t="shared" si="4"/>
        <v>58</v>
      </c>
      <c r="AJ89" s="64" t="e">
        <f>VLOOKUP(T89,'GL Name'!A:B,2,0)</f>
        <v>#N/A</v>
      </c>
      <c r="AL89" s="13">
        <f t="shared" si="5"/>
        <v>0</v>
      </c>
      <c r="AM89" s="13" t="e">
        <f>VLOOKUP(I89,'Order 301-305 (เรียง)'!A:B,2,0)</f>
        <v>#N/A</v>
      </c>
      <c r="AN89" t="e">
        <f>VLOOKUP(I89,'Order 301-305 (เรียง)'!A:C,3,0)</f>
        <v>#N/A</v>
      </c>
    </row>
    <row r="90" spans="1:40" x14ac:dyDescent="0.3">
      <c r="A90" s="1" t="s">
        <v>81</v>
      </c>
      <c r="B90" s="1" t="s">
        <v>82</v>
      </c>
      <c r="C90" s="1" t="s">
        <v>64</v>
      </c>
      <c r="D90" s="1" t="s">
        <v>87</v>
      </c>
      <c r="E90" s="1" t="s">
        <v>88</v>
      </c>
      <c r="F90" s="1" t="s">
        <v>482</v>
      </c>
      <c r="G90" s="1" t="s">
        <v>83</v>
      </c>
      <c r="H90" s="1" t="s">
        <v>320</v>
      </c>
      <c r="I90" s="1" t="s">
        <v>68</v>
      </c>
      <c r="J90" s="1" t="s">
        <v>483</v>
      </c>
      <c r="K90" s="1" t="s">
        <v>294</v>
      </c>
      <c r="L90" s="1" t="s">
        <v>70</v>
      </c>
      <c r="M90" s="1" t="s">
        <v>68</v>
      </c>
      <c r="N90" s="1" t="s">
        <v>71</v>
      </c>
      <c r="O90" s="1" t="s">
        <v>68</v>
      </c>
      <c r="P90" s="1" t="s">
        <v>484</v>
      </c>
      <c r="Q90" s="1" t="s">
        <v>68</v>
      </c>
      <c r="R90" s="1" t="s">
        <v>486</v>
      </c>
      <c r="S90" s="1" t="s">
        <v>90</v>
      </c>
      <c r="T90" s="1" t="s">
        <v>91</v>
      </c>
      <c r="U90" s="1" t="s">
        <v>68</v>
      </c>
      <c r="V90" s="1" t="s">
        <v>68</v>
      </c>
      <c r="W90" s="1" t="s">
        <v>68</v>
      </c>
      <c r="X90" s="1" t="s">
        <v>68</v>
      </c>
      <c r="Y90" s="73"/>
      <c r="Z90" s="2" t="s">
        <v>74</v>
      </c>
      <c r="AA90" s="3">
        <v>-3</v>
      </c>
      <c r="AB90" s="4">
        <v>-508.14</v>
      </c>
      <c r="AC90" s="73">
        <v>46207</v>
      </c>
      <c r="AD90" s="73">
        <v>46207</v>
      </c>
      <c r="AE90" s="73"/>
      <c r="AF90" s="73">
        <v>46209</v>
      </c>
      <c r="AG90" s="3">
        <v>-1500</v>
      </c>
      <c r="AH90" s="353" t="str">
        <f t="shared" si="3"/>
        <v/>
      </c>
      <c r="AI90" s="3" t="str">
        <f t="shared" si="4"/>
        <v>59</v>
      </c>
      <c r="AJ90" s="64" t="str">
        <f>VLOOKUP(T90,'GL Name'!A:B,2,0)</f>
        <v>ค่าวิจัยคุณภาพสินค้า</v>
      </c>
      <c r="AL90" s="13">
        <f t="shared" si="5"/>
        <v>169.38</v>
      </c>
      <c r="AM90" s="13" t="e">
        <f>VLOOKUP(I90,'Order 301-305 (เรียง)'!A:B,2,0)</f>
        <v>#N/A</v>
      </c>
      <c r="AN90" t="e">
        <f>VLOOKUP(I90,'Order 301-305 (เรียง)'!A:C,3,0)</f>
        <v>#N/A</v>
      </c>
    </row>
    <row r="91" spans="1:40" x14ac:dyDescent="0.3">
      <c r="A91" s="1" t="s">
        <v>81</v>
      </c>
      <c r="B91" s="1" t="s">
        <v>82</v>
      </c>
      <c r="C91" s="1" t="s">
        <v>64</v>
      </c>
      <c r="D91" s="1" t="s">
        <v>87</v>
      </c>
      <c r="E91" s="1" t="s">
        <v>88</v>
      </c>
      <c r="F91" s="1" t="s">
        <v>482</v>
      </c>
      <c r="G91" s="1" t="s">
        <v>83</v>
      </c>
      <c r="H91" s="1" t="s">
        <v>320</v>
      </c>
      <c r="I91" s="1" t="s">
        <v>68</v>
      </c>
      <c r="J91" s="1" t="s">
        <v>483</v>
      </c>
      <c r="K91" s="1" t="s">
        <v>294</v>
      </c>
      <c r="L91" s="1" t="s">
        <v>86</v>
      </c>
      <c r="M91" s="1" t="s">
        <v>68</v>
      </c>
      <c r="N91" s="1" t="s">
        <v>71</v>
      </c>
      <c r="O91" s="1" t="s">
        <v>68</v>
      </c>
      <c r="P91" s="1" t="s">
        <v>484</v>
      </c>
      <c r="Q91" s="1" t="s">
        <v>68</v>
      </c>
      <c r="R91" s="1" t="s">
        <v>485</v>
      </c>
      <c r="S91" s="1" t="s">
        <v>90</v>
      </c>
      <c r="T91" s="1" t="s">
        <v>91</v>
      </c>
      <c r="U91" s="1" t="s">
        <v>68</v>
      </c>
      <c r="V91" s="1" t="s">
        <v>68</v>
      </c>
      <c r="W91" s="1" t="s">
        <v>68</v>
      </c>
      <c r="X91" s="1" t="s">
        <v>68</v>
      </c>
      <c r="Y91" s="73"/>
      <c r="Z91" s="2" t="s">
        <v>74</v>
      </c>
      <c r="AA91" s="3">
        <v>-1</v>
      </c>
      <c r="AB91" s="4">
        <v>-169.38</v>
      </c>
      <c r="AC91" s="73">
        <v>46207</v>
      </c>
      <c r="AD91" s="73">
        <v>46207</v>
      </c>
      <c r="AE91" s="73"/>
      <c r="AF91" s="73">
        <v>46209</v>
      </c>
      <c r="AG91" s="3">
        <v>-500</v>
      </c>
      <c r="AH91" s="353" t="str">
        <f t="shared" si="3"/>
        <v/>
      </c>
      <c r="AI91" s="3" t="str">
        <f t="shared" si="4"/>
        <v>59</v>
      </c>
      <c r="AJ91" s="64" t="str">
        <f>VLOOKUP(T91,'GL Name'!A:B,2,0)</f>
        <v>ค่าวิจัยคุณภาพสินค้า</v>
      </c>
      <c r="AL91" s="13">
        <f t="shared" si="5"/>
        <v>169.38</v>
      </c>
      <c r="AM91" s="13" t="e">
        <f>VLOOKUP(I91,'Order 301-305 (เรียง)'!A:B,2,0)</f>
        <v>#N/A</v>
      </c>
      <c r="AN91" t="e">
        <f>VLOOKUP(I91,'Order 301-305 (เรียง)'!A:C,3,0)</f>
        <v>#N/A</v>
      </c>
    </row>
    <row r="92" spans="1:40" x14ac:dyDescent="0.3">
      <c r="A92" s="1" t="s">
        <v>81</v>
      </c>
      <c r="B92" s="1" t="s">
        <v>82</v>
      </c>
      <c r="C92" s="1" t="s">
        <v>64</v>
      </c>
      <c r="D92" s="1" t="s">
        <v>87</v>
      </c>
      <c r="E92" s="1" t="s">
        <v>88</v>
      </c>
      <c r="F92" s="1" t="s">
        <v>487</v>
      </c>
      <c r="G92" s="1" t="s">
        <v>83</v>
      </c>
      <c r="H92" s="1" t="s">
        <v>320</v>
      </c>
      <c r="I92" s="1" t="s">
        <v>68</v>
      </c>
      <c r="J92" s="1" t="s">
        <v>488</v>
      </c>
      <c r="K92" s="1" t="s">
        <v>294</v>
      </c>
      <c r="L92" s="1" t="s">
        <v>70</v>
      </c>
      <c r="M92" s="1" t="s">
        <v>68</v>
      </c>
      <c r="N92" s="1" t="s">
        <v>71</v>
      </c>
      <c r="O92" s="1" t="s">
        <v>68</v>
      </c>
      <c r="P92" s="1" t="s">
        <v>489</v>
      </c>
      <c r="Q92" s="1" t="s">
        <v>68</v>
      </c>
      <c r="R92" s="1" t="s">
        <v>491</v>
      </c>
      <c r="S92" s="1" t="s">
        <v>90</v>
      </c>
      <c r="T92" s="1" t="s">
        <v>91</v>
      </c>
      <c r="U92" s="1" t="s">
        <v>68</v>
      </c>
      <c r="V92" s="1" t="s">
        <v>68</v>
      </c>
      <c r="W92" s="1" t="s">
        <v>68</v>
      </c>
      <c r="X92" s="1" t="s">
        <v>68</v>
      </c>
      <c r="Y92" s="73"/>
      <c r="Z92" s="2" t="s">
        <v>74</v>
      </c>
      <c r="AA92" s="3">
        <v>-1</v>
      </c>
      <c r="AB92" s="4">
        <v>-169.38</v>
      </c>
      <c r="AC92" s="73">
        <v>46207</v>
      </c>
      <c r="AD92" s="73">
        <v>46207</v>
      </c>
      <c r="AE92" s="73"/>
      <c r="AF92" s="73">
        <v>46209</v>
      </c>
      <c r="AG92" s="3">
        <v>-500</v>
      </c>
      <c r="AH92" s="353" t="str">
        <f t="shared" si="3"/>
        <v/>
      </c>
      <c r="AI92" s="3" t="str">
        <f t="shared" si="4"/>
        <v>59</v>
      </c>
      <c r="AJ92" s="64" t="str">
        <f>VLOOKUP(T92,'GL Name'!A:B,2,0)</f>
        <v>ค่าวิจัยคุณภาพสินค้า</v>
      </c>
      <c r="AL92" s="13">
        <f t="shared" si="5"/>
        <v>169.38</v>
      </c>
      <c r="AM92" s="13" t="e">
        <f>VLOOKUP(I92,'Order 301-305 (เรียง)'!A:B,2,0)</f>
        <v>#N/A</v>
      </c>
      <c r="AN92" t="e">
        <f>VLOOKUP(I92,'Order 301-305 (เรียง)'!A:C,3,0)</f>
        <v>#N/A</v>
      </c>
    </row>
    <row r="93" spans="1:40" x14ac:dyDescent="0.3">
      <c r="A93" s="1" t="s">
        <v>81</v>
      </c>
      <c r="B93" s="1" t="s">
        <v>82</v>
      </c>
      <c r="C93" s="1" t="s">
        <v>64</v>
      </c>
      <c r="D93" s="1" t="s">
        <v>87</v>
      </c>
      <c r="E93" s="1" t="s">
        <v>88</v>
      </c>
      <c r="F93" s="1" t="s">
        <v>487</v>
      </c>
      <c r="G93" s="1" t="s">
        <v>83</v>
      </c>
      <c r="H93" s="1" t="s">
        <v>320</v>
      </c>
      <c r="I93" s="1" t="s">
        <v>68</v>
      </c>
      <c r="J93" s="1" t="s">
        <v>488</v>
      </c>
      <c r="K93" s="1" t="s">
        <v>294</v>
      </c>
      <c r="L93" s="1" t="s">
        <v>86</v>
      </c>
      <c r="M93" s="1" t="s">
        <v>68</v>
      </c>
      <c r="N93" s="1" t="s">
        <v>71</v>
      </c>
      <c r="O93" s="1" t="s">
        <v>68</v>
      </c>
      <c r="P93" s="1" t="s">
        <v>489</v>
      </c>
      <c r="Q93" s="1" t="s">
        <v>68</v>
      </c>
      <c r="R93" s="1" t="s">
        <v>490</v>
      </c>
      <c r="S93" s="1" t="s">
        <v>90</v>
      </c>
      <c r="T93" s="1" t="s">
        <v>91</v>
      </c>
      <c r="U93" s="1" t="s">
        <v>68</v>
      </c>
      <c r="V93" s="1" t="s">
        <v>68</v>
      </c>
      <c r="W93" s="1" t="s">
        <v>68</v>
      </c>
      <c r="X93" s="1" t="s">
        <v>68</v>
      </c>
      <c r="Y93" s="73"/>
      <c r="Z93" s="2" t="s">
        <v>74</v>
      </c>
      <c r="AA93" s="3">
        <v>-1</v>
      </c>
      <c r="AB93" s="4">
        <v>-169.38</v>
      </c>
      <c r="AC93" s="73">
        <v>46207</v>
      </c>
      <c r="AD93" s="73">
        <v>46207</v>
      </c>
      <c r="AE93" s="73"/>
      <c r="AF93" s="73">
        <v>46209</v>
      </c>
      <c r="AG93" s="3">
        <v>-500</v>
      </c>
      <c r="AH93" s="353" t="str">
        <f t="shared" si="3"/>
        <v/>
      </c>
      <c r="AI93" s="3" t="str">
        <f t="shared" si="4"/>
        <v>59</v>
      </c>
      <c r="AJ93" s="64" t="str">
        <f>VLOOKUP(T93,'GL Name'!A:B,2,0)</f>
        <v>ค่าวิจัยคุณภาพสินค้า</v>
      </c>
      <c r="AL93" s="13">
        <f t="shared" si="5"/>
        <v>169.38</v>
      </c>
      <c r="AM93" s="13" t="e">
        <f>VLOOKUP(I93,'Order 301-305 (เรียง)'!A:B,2,0)</f>
        <v>#N/A</v>
      </c>
      <c r="AN93" t="e">
        <f>VLOOKUP(I93,'Order 301-305 (เรียง)'!A:C,3,0)</f>
        <v>#N/A</v>
      </c>
    </row>
    <row r="94" spans="1:40" x14ac:dyDescent="0.3">
      <c r="A94" s="1" t="s">
        <v>81</v>
      </c>
      <c r="B94" s="1" t="s">
        <v>82</v>
      </c>
      <c r="C94" s="1" t="s">
        <v>64</v>
      </c>
      <c r="D94" s="1" t="s">
        <v>87</v>
      </c>
      <c r="E94" s="1" t="s">
        <v>88</v>
      </c>
      <c r="F94" s="1" t="s">
        <v>492</v>
      </c>
      <c r="G94" s="1" t="s">
        <v>83</v>
      </c>
      <c r="H94" s="1" t="s">
        <v>320</v>
      </c>
      <c r="I94" s="1" t="s">
        <v>68</v>
      </c>
      <c r="J94" s="1" t="s">
        <v>493</v>
      </c>
      <c r="K94" s="1" t="s">
        <v>118</v>
      </c>
      <c r="L94" s="1" t="s">
        <v>70</v>
      </c>
      <c r="M94" s="1" t="s">
        <v>68</v>
      </c>
      <c r="N94" s="1" t="s">
        <v>71</v>
      </c>
      <c r="O94" s="1" t="s">
        <v>68</v>
      </c>
      <c r="P94" s="1" t="s">
        <v>494</v>
      </c>
      <c r="Q94" s="1" t="s">
        <v>68</v>
      </c>
      <c r="R94" s="1" t="s">
        <v>308</v>
      </c>
      <c r="S94" s="1" t="s">
        <v>90</v>
      </c>
      <c r="T94" s="1" t="s">
        <v>91</v>
      </c>
      <c r="U94" s="1" t="s">
        <v>68</v>
      </c>
      <c r="V94" s="1" t="s">
        <v>68</v>
      </c>
      <c r="W94" s="1" t="s">
        <v>68</v>
      </c>
      <c r="X94" s="1" t="s">
        <v>68</v>
      </c>
      <c r="Y94" s="73"/>
      <c r="Z94" s="2" t="s">
        <v>74</v>
      </c>
      <c r="AA94" s="3">
        <v>-4</v>
      </c>
      <c r="AB94" s="4">
        <v>-677.52</v>
      </c>
      <c r="AC94" s="73">
        <v>46209</v>
      </c>
      <c r="AD94" s="73">
        <v>46209</v>
      </c>
      <c r="AE94" s="73"/>
      <c r="AF94" s="73">
        <v>46209</v>
      </c>
      <c r="AG94" s="3">
        <v>-2000</v>
      </c>
      <c r="AH94" s="353" t="str">
        <f t="shared" si="3"/>
        <v/>
      </c>
      <c r="AI94" s="3" t="str">
        <f t="shared" si="4"/>
        <v>59</v>
      </c>
      <c r="AJ94" s="64" t="str">
        <f>VLOOKUP(T94,'GL Name'!A:B,2,0)</f>
        <v>ค่าวิจัยคุณภาพสินค้า</v>
      </c>
      <c r="AL94" s="13">
        <f t="shared" si="5"/>
        <v>169.38</v>
      </c>
      <c r="AM94" s="13" t="e">
        <f>VLOOKUP(I94,'Order 301-305 (เรียง)'!A:B,2,0)</f>
        <v>#N/A</v>
      </c>
      <c r="AN94" t="e">
        <f>VLOOKUP(I94,'Order 301-305 (เรียง)'!A:C,3,0)</f>
        <v>#N/A</v>
      </c>
    </row>
    <row r="95" spans="1:40" x14ac:dyDescent="0.3">
      <c r="A95" s="1" t="s">
        <v>9</v>
      </c>
      <c r="B95" s="1" t="s">
        <v>10</v>
      </c>
      <c r="C95" s="1" t="s">
        <v>64</v>
      </c>
      <c r="D95" s="1" t="s">
        <v>87</v>
      </c>
      <c r="E95" s="1" t="s">
        <v>88</v>
      </c>
      <c r="F95" s="1" t="s">
        <v>495</v>
      </c>
      <c r="G95" s="1" t="s">
        <v>278</v>
      </c>
      <c r="H95" s="1" t="s">
        <v>327</v>
      </c>
      <c r="I95" s="1" t="s">
        <v>68</v>
      </c>
      <c r="J95" s="1" t="s">
        <v>496</v>
      </c>
      <c r="K95" s="1" t="s">
        <v>290</v>
      </c>
      <c r="L95" s="1" t="s">
        <v>86</v>
      </c>
      <c r="M95" s="1" t="s">
        <v>68</v>
      </c>
      <c r="N95" s="1" t="s">
        <v>71</v>
      </c>
      <c r="O95" s="1" t="s">
        <v>68</v>
      </c>
      <c r="P95" s="1" t="s">
        <v>497</v>
      </c>
      <c r="Q95" s="1" t="s">
        <v>68</v>
      </c>
      <c r="R95" s="1" t="s">
        <v>498</v>
      </c>
      <c r="S95" s="1" t="s">
        <v>90</v>
      </c>
      <c r="T95" s="1" t="s">
        <v>91</v>
      </c>
      <c r="U95" s="1" t="s">
        <v>68</v>
      </c>
      <c r="V95" s="1" t="s">
        <v>68</v>
      </c>
      <c r="W95" s="1" t="s">
        <v>68</v>
      </c>
      <c r="X95" s="1" t="s">
        <v>68</v>
      </c>
      <c r="Y95" s="73"/>
      <c r="Z95" s="2" t="s">
        <v>265</v>
      </c>
      <c r="AA95" s="3">
        <v>-500</v>
      </c>
      <c r="AB95" s="4">
        <v>-131.94</v>
      </c>
      <c r="AC95" s="73">
        <v>46206</v>
      </c>
      <c r="AD95" s="73">
        <v>46206</v>
      </c>
      <c r="AE95" s="73"/>
      <c r="AF95" s="73">
        <v>46209</v>
      </c>
      <c r="AG95" s="3">
        <v>-500</v>
      </c>
      <c r="AH95" s="353" t="str">
        <f t="shared" si="3"/>
        <v/>
      </c>
      <c r="AI95" s="3" t="str">
        <f t="shared" si="4"/>
        <v>54</v>
      </c>
      <c r="AJ95" s="64" t="str">
        <f>VLOOKUP(T95,'GL Name'!A:B,2,0)</f>
        <v>ค่าวิจัยคุณภาพสินค้า</v>
      </c>
      <c r="AL95" s="13">
        <f t="shared" si="5"/>
        <v>0.26388</v>
      </c>
      <c r="AM95" s="13" t="e">
        <f>VLOOKUP(I95,'Order 301-305 (เรียง)'!A:B,2,0)</f>
        <v>#N/A</v>
      </c>
      <c r="AN95" t="e">
        <f>VLOOKUP(I95,'Order 301-305 (เรียง)'!A:C,3,0)</f>
        <v>#N/A</v>
      </c>
    </row>
    <row r="96" spans="1:40" x14ac:dyDescent="0.3">
      <c r="A96" s="1" t="s">
        <v>9</v>
      </c>
      <c r="B96" s="1" t="s">
        <v>10</v>
      </c>
      <c r="C96" s="1" t="s">
        <v>64</v>
      </c>
      <c r="D96" s="1" t="s">
        <v>87</v>
      </c>
      <c r="E96" s="1" t="s">
        <v>88</v>
      </c>
      <c r="F96" s="1" t="s">
        <v>495</v>
      </c>
      <c r="G96" s="1" t="s">
        <v>278</v>
      </c>
      <c r="H96" s="1" t="s">
        <v>327</v>
      </c>
      <c r="I96" s="1" t="s">
        <v>68</v>
      </c>
      <c r="J96" s="1" t="s">
        <v>496</v>
      </c>
      <c r="K96" s="1" t="s">
        <v>290</v>
      </c>
      <c r="L96" s="1" t="s">
        <v>70</v>
      </c>
      <c r="M96" s="1" t="s">
        <v>68</v>
      </c>
      <c r="N96" s="1" t="s">
        <v>71</v>
      </c>
      <c r="O96" s="1" t="s">
        <v>68</v>
      </c>
      <c r="P96" s="1" t="s">
        <v>497</v>
      </c>
      <c r="Q96" s="1" t="s">
        <v>68</v>
      </c>
      <c r="R96" s="1" t="s">
        <v>499</v>
      </c>
      <c r="S96" s="1" t="s">
        <v>90</v>
      </c>
      <c r="T96" s="1" t="s">
        <v>91</v>
      </c>
      <c r="U96" s="1" t="s">
        <v>68</v>
      </c>
      <c r="V96" s="1" t="s">
        <v>68</v>
      </c>
      <c r="W96" s="1" t="s">
        <v>68</v>
      </c>
      <c r="X96" s="1" t="s">
        <v>68</v>
      </c>
      <c r="Y96" s="73"/>
      <c r="Z96" s="2" t="s">
        <v>265</v>
      </c>
      <c r="AA96" s="3">
        <v>-500</v>
      </c>
      <c r="AB96" s="4">
        <v>-131.94</v>
      </c>
      <c r="AC96" s="73">
        <v>46206</v>
      </c>
      <c r="AD96" s="73">
        <v>46206</v>
      </c>
      <c r="AE96" s="73"/>
      <c r="AF96" s="73">
        <v>46209</v>
      </c>
      <c r="AG96" s="3">
        <v>-500</v>
      </c>
      <c r="AH96" s="353" t="str">
        <f t="shared" si="3"/>
        <v/>
      </c>
      <c r="AI96" s="3" t="str">
        <f t="shared" si="4"/>
        <v>54</v>
      </c>
      <c r="AJ96" s="64" t="str">
        <f>VLOOKUP(T96,'GL Name'!A:B,2,0)</f>
        <v>ค่าวิจัยคุณภาพสินค้า</v>
      </c>
      <c r="AL96" s="13">
        <f t="shared" si="5"/>
        <v>0.26388</v>
      </c>
      <c r="AM96" s="13" t="e">
        <f>VLOOKUP(I96,'Order 301-305 (เรียง)'!A:B,2,0)</f>
        <v>#N/A</v>
      </c>
      <c r="AN96" t="e">
        <f>VLOOKUP(I96,'Order 301-305 (เรียง)'!A:C,3,0)</f>
        <v>#N/A</v>
      </c>
    </row>
    <row r="97" spans="1:40" x14ac:dyDescent="0.3">
      <c r="A97" s="1" t="s">
        <v>9</v>
      </c>
      <c r="B97" s="1" t="s">
        <v>10</v>
      </c>
      <c r="C97" s="1" t="s">
        <v>64</v>
      </c>
      <c r="D97" s="1" t="s">
        <v>87</v>
      </c>
      <c r="E97" s="1" t="s">
        <v>88</v>
      </c>
      <c r="F97" s="1" t="s">
        <v>500</v>
      </c>
      <c r="G97" s="1" t="s">
        <v>278</v>
      </c>
      <c r="H97" s="1" t="s">
        <v>327</v>
      </c>
      <c r="I97" s="1" t="s">
        <v>68</v>
      </c>
      <c r="J97" s="1" t="s">
        <v>501</v>
      </c>
      <c r="K97" s="1" t="s">
        <v>290</v>
      </c>
      <c r="L97" s="1" t="s">
        <v>70</v>
      </c>
      <c r="M97" s="1" t="s">
        <v>68</v>
      </c>
      <c r="N97" s="1" t="s">
        <v>71</v>
      </c>
      <c r="O97" s="1" t="s">
        <v>68</v>
      </c>
      <c r="P97" s="1" t="s">
        <v>502</v>
      </c>
      <c r="Q97" s="1" t="s">
        <v>68</v>
      </c>
      <c r="R97" s="1" t="s">
        <v>503</v>
      </c>
      <c r="S97" s="1" t="s">
        <v>90</v>
      </c>
      <c r="T97" s="1" t="s">
        <v>91</v>
      </c>
      <c r="U97" s="1" t="s">
        <v>68</v>
      </c>
      <c r="V97" s="1" t="s">
        <v>68</v>
      </c>
      <c r="W97" s="1" t="s">
        <v>68</v>
      </c>
      <c r="X97" s="1" t="s">
        <v>68</v>
      </c>
      <c r="Y97" s="73"/>
      <c r="Z97" s="2" t="s">
        <v>265</v>
      </c>
      <c r="AA97" s="3">
        <v>-500</v>
      </c>
      <c r="AB97" s="4">
        <v>-131.94</v>
      </c>
      <c r="AC97" s="73">
        <v>110489</v>
      </c>
      <c r="AD97" s="73">
        <v>46207</v>
      </c>
      <c r="AE97" s="73"/>
      <c r="AF97" s="73">
        <v>46209</v>
      </c>
      <c r="AG97" s="3">
        <v>-500</v>
      </c>
      <c r="AH97" s="353" t="str">
        <f t="shared" si="3"/>
        <v/>
      </c>
      <c r="AI97" s="3" t="str">
        <f t="shared" si="4"/>
        <v>54</v>
      </c>
      <c r="AJ97" s="64" t="str">
        <f>VLOOKUP(T97,'GL Name'!A:B,2,0)</f>
        <v>ค่าวิจัยคุณภาพสินค้า</v>
      </c>
      <c r="AL97" s="13">
        <f t="shared" si="5"/>
        <v>0.26388</v>
      </c>
      <c r="AM97" s="13" t="e">
        <f>VLOOKUP(I97,'Order 301-305 (เรียง)'!A:B,2,0)</f>
        <v>#N/A</v>
      </c>
      <c r="AN97" t="e">
        <f>VLOOKUP(I97,'Order 301-305 (เรียง)'!A:C,3,0)</f>
        <v>#N/A</v>
      </c>
    </row>
    <row r="98" spans="1:40" x14ac:dyDescent="0.3">
      <c r="A98" s="1" t="s">
        <v>9</v>
      </c>
      <c r="B98" s="1" t="s">
        <v>10</v>
      </c>
      <c r="C98" s="1" t="s">
        <v>64</v>
      </c>
      <c r="D98" s="1" t="s">
        <v>87</v>
      </c>
      <c r="E98" s="1" t="s">
        <v>88</v>
      </c>
      <c r="F98" s="1" t="s">
        <v>504</v>
      </c>
      <c r="G98" s="1" t="s">
        <v>278</v>
      </c>
      <c r="H98" s="1" t="s">
        <v>327</v>
      </c>
      <c r="I98" s="1" t="s">
        <v>68</v>
      </c>
      <c r="J98" s="1" t="s">
        <v>505</v>
      </c>
      <c r="K98" s="1" t="s">
        <v>290</v>
      </c>
      <c r="L98" s="1" t="s">
        <v>70</v>
      </c>
      <c r="M98" s="1" t="s">
        <v>68</v>
      </c>
      <c r="N98" s="1" t="s">
        <v>71</v>
      </c>
      <c r="O98" s="1" t="s">
        <v>68</v>
      </c>
      <c r="P98" s="1" t="s">
        <v>506</v>
      </c>
      <c r="Q98" s="1" t="s">
        <v>68</v>
      </c>
      <c r="R98" s="1" t="s">
        <v>507</v>
      </c>
      <c r="S98" s="1" t="s">
        <v>90</v>
      </c>
      <c r="T98" s="1" t="s">
        <v>91</v>
      </c>
      <c r="U98" s="1" t="s">
        <v>68</v>
      </c>
      <c r="V98" s="1" t="s">
        <v>68</v>
      </c>
      <c r="W98" s="1" t="s">
        <v>68</v>
      </c>
      <c r="X98" s="1" t="s">
        <v>68</v>
      </c>
      <c r="Y98" s="73"/>
      <c r="Z98" s="2" t="s">
        <v>265</v>
      </c>
      <c r="AA98" s="3">
        <v>-500</v>
      </c>
      <c r="AB98" s="4">
        <v>-131.94</v>
      </c>
      <c r="AC98" s="73">
        <v>46204</v>
      </c>
      <c r="AD98" s="73">
        <v>46204</v>
      </c>
      <c r="AE98" s="73"/>
      <c r="AF98" s="73">
        <v>46209</v>
      </c>
      <c r="AG98" s="3">
        <v>-500</v>
      </c>
      <c r="AH98" s="353" t="str">
        <f t="shared" si="3"/>
        <v/>
      </c>
      <c r="AI98" s="3" t="str">
        <f t="shared" si="4"/>
        <v>54</v>
      </c>
      <c r="AJ98" s="64" t="str">
        <f>VLOOKUP(T98,'GL Name'!A:B,2,0)</f>
        <v>ค่าวิจัยคุณภาพสินค้า</v>
      </c>
      <c r="AL98" s="13">
        <f t="shared" si="5"/>
        <v>0.26388</v>
      </c>
      <c r="AM98" s="13" t="e">
        <f>VLOOKUP(I98,'Order 301-305 (เรียง)'!A:B,2,0)</f>
        <v>#N/A</v>
      </c>
      <c r="AN98" t="e">
        <f>VLOOKUP(I98,'Order 301-305 (เรียง)'!A:C,3,0)</f>
        <v>#N/A</v>
      </c>
    </row>
    <row r="99" spans="1:40" x14ac:dyDescent="0.3">
      <c r="A99" s="1" t="s">
        <v>17</v>
      </c>
      <c r="B99" s="1" t="s">
        <v>18</v>
      </c>
      <c r="C99" s="1" t="s">
        <v>64</v>
      </c>
      <c r="D99" s="1" t="s">
        <v>87</v>
      </c>
      <c r="E99" s="1" t="s">
        <v>88</v>
      </c>
      <c r="F99" s="1" t="s">
        <v>504</v>
      </c>
      <c r="G99" s="1" t="s">
        <v>278</v>
      </c>
      <c r="H99" s="1" t="s">
        <v>304</v>
      </c>
      <c r="I99" s="1" t="s">
        <v>68</v>
      </c>
      <c r="J99" s="1" t="s">
        <v>505</v>
      </c>
      <c r="K99" s="1" t="s">
        <v>290</v>
      </c>
      <c r="L99" s="1" t="s">
        <v>86</v>
      </c>
      <c r="M99" s="1" t="s">
        <v>68</v>
      </c>
      <c r="N99" s="1" t="s">
        <v>71</v>
      </c>
      <c r="O99" s="1" t="s">
        <v>68</v>
      </c>
      <c r="P99" s="1" t="s">
        <v>506</v>
      </c>
      <c r="Q99" s="1" t="s">
        <v>68</v>
      </c>
      <c r="R99" s="1" t="s">
        <v>508</v>
      </c>
      <c r="S99" s="1" t="s">
        <v>90</v>
      </c>
      <c r="T99" s="1" t="s">
        <v>91</v>
      </c>
      <c r="U99" s="1" t="s">
        <v>68</v>
      </c>
      <c r="V99" s="1" t="s">
        <v>68</v>
      </c>
      <c r="W99" s="1" t="s">
        <v>68</v>
      </c>
      <c r="X99" s="1" t="s">
        <v>68</v>
      </c>
      <c r="Y99" s="73"/>
      <c r="Z99" s="2" t="s">
        <v>265</v>
      </c>
      <c r="AA99" s="3">
        <v>-500</v>
      </c>
      <c r="AB99" s="4">
        <v>-77.900000000000006</v>
      </c>
      <c r="AC99" s="73">
        <v>46204</v>
      </c>
      <c r="AD99" s="73">
        <v>46204</v>
      </c>
      <c r="AE99" s="73"/>
      <c r="AF99" s="73">
        <v>46209</v>
      </c>
      <c r="AG99" s="3">
        <v>-500</v>
      </c>
      <c r="AH99" s="353" t="str">
        <f t="shared" si="3"/>
        <v/>
      </c>
      <c r="AI99" s="3" t="str">
        <f t="shared" si="4"/>
        <v>54</v>
      </c>
      <c r="AJ99" s="64" t="str">
        <f>VLOOKUP(T99,'GL Name'!A:B,2,0)</f>
        <v>ค่าวิจัยคุณภาพสินค้า</v>
      </c>
      <c r="AL99" s="13">
        <f t="shared" si="5"/>
        <v>0.15580000000000002</v>
      </c>
      <c r="AM99" s="13" t="e">
        <f>VLOOKUP(I99,'Order 301-305 (เรียง)'!A:B,2,0)</f>
        <v>#N/A</v>
      </c>
      <c r="AN99" t="e">
        <f>VLOOKUP(I99,'Order 301-305 (เรียง)'!A:C,3,0)</f>
        <v>#N/A</v>
      </c>
    </row>
    <row r="100" spans="1:40" x14ac:dyDescent="0.3">
      <c r="A100" s="1" t="s">
        <v>62</v>
      </c>
      <c r="B100" s="1" t="s">
        <v>63</v>
      </c>
      <c r="C100" s="1" t="s">
        <v>64</v>
      </c>
      <c r="D100" s="1" t="s">
        <v>65</v>
      </c>
      <c r="E100" s="1" t="s">
        <v>66</v>
      </c>
      <c r="F100" s="1" t="s">
        <v>509</v>
      </c>
      <c r="G100" s="1" t="s">
        <v>67</v>
      </c>
      <c r="H100" s="1" t="s">
        <v>281</v>
      </c>
      <c r="I100" s="1" t="s">
        <v>68</v>
      </c>
      <c r="J100" s="1" t="s">
        <v>510</v>
      </c>
      <c r="K100" s="1" t="s">
        <v>231</v>
      </c>
      <c r="L100" s="1" t="s">
        <v>70</v>
      </c>
      <c r="M100" s="1" t="s">
        <v>68</v>
      </c>
      <c r="N100" s="1" t="s">
        <v>71</v>
      </c>
      <c r="O100" s="1" t="s">
        <v>68</v>
      </c>
      <c r="P100" s="1" t="s">
        <v>72</v>
      </c>
      <c r="Q100" s="1" t="s">
        <v>68</v>
      </c>
      <c r="R100" s="1" t="s">
        <v>68</v>
      </c>
      <c r="S100" s="1" t="s">
        <v>68</v>
      </c>
      <c r="T100" s="1" t="s">
        <v>73</v>
      </c>
      <c r="U100" s="1" t="s">
        <v>68</v>
      </c>
      <c r="V100" s="1" t="s">
        <v>68</v>
      </c>
      <c r="W100" s="1" t="s">
        <v>68</v>
      </c>
      <c r="X100" s="1" t="s">
        <v>511</v>
      </c>
      <c r="Y100" s="73"/>
      <c r="Z100" s="2" t="s">
        <v>74</v>
      </c>
      <c r="AA100" s="3">
        <v>-30</v>
      </c>
      <c r="AB100" s="4">
        <v>-5080.8</v>
      </c>
      <c r="AC100" s="73">
        <v>46209</v>
      </c>
      <c r="AD100" s="73">
        <v>46209</v>
      </c>
      <c r="AE100" s="73"/>
      <c r="AF100" s="73">
        <v>46209</v>
      </c>
      <c r="AG100" s="3">
        <v>-15000</v>
      </c>
      <c r="AH100" s="353" t="str">
        <f t="shared" si="3"/>
        <v/>
      </c>
      <c r="AI100" s="3" t="str">
        <f t="shared" si="4"/>
        <v>59</v>
      </c>
      <c r="AJ100" s="64" t="str">
        <f>VLOOKUP(T100,'GL Name'!A:B,2,0)</f>
        <v>ต้นทุนขาย</v>
      </c>
      <c r="AL100" s="13">
        <f t="shared" si="5"/>
        <v>169.36</v>
      </c>
      <c r="AM100" s="13" t="e">
        <f>VLOOKUP(I100,'Order 301-305 (เรียง)'!A:B,2,0)</f>
        <v>#N/A</v>
      </c>
      <c r="AN100" t="e">
        <f>VLOOKUP(I100,'Order 301-305 (เรียง)'!A:C,3,0)</f>
        <v>#N/A</v>
      </c>
    </row>
    <row r="101" spans="1:40" x14ac:dyDescent="0.3">
      <c r="A101" s="1" t="s">
        <v>62</v>
      </c>
      <c r="B101" s="1" t="s">
        <v>63</v>
      </c>
      <c r="C101" s="1" t="s">
        <v>64</v>
      </c>
      <c r="D101" s="1" t="s">
        <v>77</v>
      </c>
      <c r="E101" s="1" t="s">
        <v>78</v>
      </c>
      <c r="F101" s="1" t="s">
        <v>512</v>
      </c>
      <c r="G101" s="1" t="s">
        <v>83</v>
      </c>
      <c r="H101" s="1" t="s">
        <v>287</v>
      </c>
      <c r="I101" s="1" t="s">
        <v>513</v>
      </c>
      <c r="J101" s="1" t="s">
        <v>514</v>
      </c>
      <c r="K101" s="1" t="s">
        <v>84</v>
      </c>
      <c r="L101" s="1" t="s">
        <v>86</v>
      </c>
      <c r="M101" s="1" t="s">
        <v>68</v>
      </c>
      <c r="N101" s="1" t="s">
        <v>71</v>
      </c>
      <c r="O101" s="1" t="s">
        <v>68</v>
      </c>
      <c r="P101" s="1" t="s">
        <v>72</v>
      </c>
      <c r="Q101" s="1" t="s">
        <v>68</v>
      </c>
      <c r="R101" s="1" t="s">
        <v>63</v>
      </c>
      <c r="S101" s="1" t="s">
        <v>68</v>
      </c>
      <c r="T101" s="1" t="s">
        <v>110</v>
      </c>
      <c r="U101" s="1" t="s">
        <v>68</v>
      </c>
      <c r="V101" s="1" t="s">
        <v>68</v>
      </c>
      <c r="W101" s="1" t="s">
        <v>68</v>
      </c>
      <c r="X101" s="1" t="s">
        <v>68</v>
      </c>
      <c r="Y101" s="73"/>
      <c r="Z101" s="2" t="s">
        <v>74</v>
      </c>
      <c r="AA101" s="3">
        <v>-5</v>
      </c>
      <c r="AB101" s="4">
        <v>-846.8</v>
      </c>
      <c r="AC101" s="73">
        <v>46209</v>
      </c>
      <c r="AD101" s="73">
        <v>46204</v>
      </c>
      <c r="AE101" s="73"/>
      <c r="AF101" s="73">
        <v>46209</v>
      </c>
      <c r="AG101" s="3">
        <v>-2500</v>
      </c>
      <c r="AH101" s="353" t="str">
        <f t="shared" si="3"/>
        <v>305</v>
      </c>
      <c r="AI101" s="3" t="str">
        <f t="shared" si="4"/>
        <v>59</v>
      </c>
      <c r="AJ101" s="64" t="str">
        <f>VLOOKUP(T101,'GL Name'!A:B,2,0)</f>
        <v>ต้นทุนผลิต-สินค้าสำเร็จรูป</v>
      </c>
      <c r="AL101" s="13">
        <f t="shared" si="5"/>
        <v>169.35999999999999</v>
      </c>
      <c r="AM101" s="13" t="str">
        <f>VLOOKUP(I101,'Order 301-305 (เรียง)'!A:B,2,0)</f>
        <v>59100000</v>
      </c>
      <c r="AN101" t="str">
        <f>VLOOKUP(I101,'Order 301-305 (เรียง)'!A:C,3,0)</f>
        <v>เมล็ดกาแฟ CPR Calibrate MF. 500 G.</v>
      </c>
    </row>
    <row r="102" spans="1:40" x14ac:dyDescent="0.3">
      <c r="A102" s="1" t="s">
        <v>113</v>
      </c>
      <c r="B102" s="1" t="s">
        <v>114</v>
      </c>
      <c r="C102" s="1" t="s">
        <v>64</v>
      </c>
      <c r="D102" s="1" t="s">
        <v>115</v>
      </c>
      <c r="E102" s="1" t="s">
        <v>116</v>
      </c>
      <c r="F102" s="1" t="s">
        <v>512</v>
      </c>
      <c r="G102" s="1" t="s">
        <v>83</v>
      </c>
      <c r="H102" s="1" t="s">
        <v>287</v>
      </c>
      <c r="I102" s="1" t="s">
        <v>513</v>
      </c>
      <c r="J102" s="1" t="s">
        <v>514</v>
      </c>
      <c r="K102" s="1" t="s">
        <v>84</v>
      </c>
      <c r="L102" s="1" t="s">
        <v>70</v>
      </c>
      <c r="M102" s="1" t="s">
        <v>68</v>
      </c>
      <c r="N102" s="1" t="s">
        <v>71</v>
      </c>
      <c r="O102" s="1" t="s">
        <v>68</v>
      </c>
      <c r="P102" s="1" t="s">
        <v>72</v>
      </c>
      <c r="Q102" s="1" t="s">
        <v>68</v>
      </c>
      <c r="R102" s="1" t="s">
        <v>68</v>
      </c>
      <c r="S102" s="1" t="s">
        <v>68</v>
      </c>
      <c r="T102" s="1" t="s">
        <v>117</v>
      </c>
      <c r="U102" s="1" t="s">
        <v>68</v>
      </c>
      <c r="V102" s="1" t="s">
        <v>68</v>
      </c>
      <c r="W102" s="1" t="s">
        <v>68</v>
      </c>
      <c r="X102" s="1" t="s">
        <v>68</v>
      </c>
      <c r="Y102" s="73"/>
      <c r="Z102" s="2" t="s">
        <v>74</v>
      </c>
      <c r="AA102" s="3">
        <v>5</v>
      </c>
      <c r="AB102" s="4">
        <v>846.8</v>
      </c>
      <c r="AC102" s="73">
        <v>46209</v>
      </c>
      <c r="AD102" s="73">
        <v>46204</v>
      </c>
      <c r="AE102" s="73"/>
      <c r="AF102" s="73">
        <v>46209</v>
      </c>
      <c r="AG102" s="3">
        <v>2500</v>
      </c>
      <c r="AH102" s="353" t="str">
        <f t="shared" si="3"/>
        <v>305</v>
      </c>
      <c r="AI102" s="3" t="str">
        <f t="shared" si="4"/>
        <v>59</v>
      </c>
      <c r="AJ102" s="64" t="str">
        <f>VLOOKUP(T102,'GL Name'!A:B,2,0)</f>
        <v>ต้นทุนผลิตโอน F/G</v>
      </c>
      <c r="AL102" s="13">
        <f t="shared" si="5"/>
        <v>169.35999999999999</v>
      </c>
      <c r="AM102" s="13" t="str">
        <f>VLOOKUP(I102,'Order 301-305 (เรียง)'!A:B,2,0)</f>
        <v>59100000</v>
      </c>
      <c r="AN102" t="str">
        <f>VLOOKUP(I102,'Order 301-305 (เรียง)'!A:C,3,0)</f>
        <v>เมล็ดกาแฟ CPR Calibrate MF. 500 G.</v>
      </c>
    </row>
    <row r="103" spans="1:40" x14ac:dyDescent="0.3">
      <c r="A103" s="1" t="s">
        <v>62</v>
      </c>
      <c r="B103" s="1" t="s">
        <v>63</v>
      </c>
      <c r="C103" s="1" t="s">
        <v>64</v>
      </c>
      <c r="D103" s="1" t="s">
        <v>65</v>
      </c>
      <c r="E103" s="1" t="s">
        <v>66</v>
      </c>
      <c r="F103" s="1" t="s">
        <v>515</v>
      </c>
      <c r="G103" s="1" t="s">
        <v>67</v>
      </c>
      <c r="H103" s="1" t="s">
        <v>281</v>
      </c>
      <c r="I103" s="1" t="s">
        <v>68</v>
      </c>
      <c r="J103" s="1" t="s">
        <v>516</v>
      </c>
      <c r="K103" s="1" t="s">
        <v>96</v>
      </c>
      <c r="L103" s="1" t="s">
        <v>70</v>
      </c>
      <c r="M103" s="1" t="s">
        <v>68</v>
      </c>
      <c r="N103" s="1" t="s">
        <v>71</v>
      </c>
      <c r="O103" s="1" t="s">
        <v>68</v>
      </c>
      <c r="P103" s="1" t="s">
        <v>72</v>
      </c>
      <c r="Q103" s="1" t="s">
        <v>68</v>
      </c>
      <c r="R103" s="1" t="s">
        <v>68</v>
      </c>
      <c r="S103" s="1" t="s">
        <v>68</v>
      </c>
      <c r="T103" s="1" t="s">
        <v>73</v>
      </c>
      <c r="U103" s="1" t="s">
        <v>68</v>
      </c>
      <c r="V103" s="1" t="s">
        <v>68</v>
      </c>
      <c r="W103" s="1" t="s">
        <v>68</v>
      </c>
      <c r="X103" s="1" t="s">
        <v>517</v>
      </c>
      <c r="Y103" s="73"/>
      <c r="Z103" s="2" t="s">
        <v>74</v>
      </c>
      <c r="AA103" s="3">
        <v>-30</v>
      </c>
      <c r="AB103" s="4">
        <v>-5080.8</v>
      </c>
      <c r="AC103" s="73">
        <v>46209</v>
      </c>
      <c r="AD103" s="73">
        <v>46209</v>
      </c>
      <c r="AE103" s="73"/>
      <c r="AF103" s="73">
        <v>46209</v>
      </c>
      <c r="AG103" s="3">
        <v>-15000</v>
      </c>
      <c r="AH103" s="353" t="str">
        <f t="shared" si="3"/>
        <v/>
      </c>
      <c r="AI103" s="3" t="str">
        <f t="shared" si="4"/>
        <v>59</v>
      </c>
      <c r="AJ103" s="64" t="str">
        <f>VLOOKUP(T103,'GL Name'!A:B,2,0)</f>
        <v>ต้นทุนขาย</v>
      </c>
      <c r="AL103" s="13">
        <f t="shared" si="5"/>
        <v>169.36</v>
      </c>
      <c r="AM103" s="13" t="e">
        <f>VLOOKUP(I103,'Order 301-305 (เรียง)'!A:B,2,0)</f>
        <v>#N/A</v>
      </c>
      <c r="AN103" t="e">
        <f>VLOOKUP(I103,'Order 301-305 (เรียง)'!A:C,3,0)</f>
        <v>#N/A</v>
      </c>
    </row>
    <row r="104" spans="1:40" x14ac:dyDescent="0.3">
      <c r="A104" s="1" t="s">
        <v>62</v>
      </c>
      <c r="B104" s="1" t="s">
        <v>63</v>
      </c>
      <c r="C104" s="1" t="s">
        <v>64</v>
      </c>
      <c r="D104" s="1" t="s">
        <v>65</v>
      </c>
      <c r="E104" s="1" t="s">
        <v>66</v>
      </c>
      <c r="F104" s="1" t="s">
        <v>518</v>
      </c>
      <c r="G104" s="1" t="s">
        <v>67</v>
      </c>
      <c r="H104" s="1" t="s">
        <v>281</v>
      </c>
      <c r="I104" s="1" t="s">
        <v>68</v>
      </c>
      <c r="J104" s="1" t="s">
        <v>519</v>
      </c>
      <c r="K104" s="1" t="s">
        <v>96</v>
      </c>
      <c r="L104" s="1" t="s">
        <v>70</v>
      </c>
      <c r="M104" s="1" t="s">
        <v>68</v>
      </c>
      <c r="N104" s="1" t="s">
        <v>71</v>
      </c>
      <c r="O104" s="1" t="s">
        <v>68</v>
      </c>
      <c r="P104" s="1" t="s">
        <v>72</v>
      </c>
      <c r="Q104" s="1" t="s">
        <v>68</v>
      </c>
      <c r="R104" s="1" t="s">
        <v>68</v>
      </c>
      <c r="S104" s="1" t="s">
        <v>68</v>
      </c>
      <c r="T104" s="1" t="s">
        <v>73</v>
      </c>
      <c r="U104" s="1" t="s">
        <v>68</v>
      </c>
      <c r="V104" s="1" t="s">
        <v>68</v>
      </c>
      <c r="W104" s="1" t="s">
        <v>68</v>
      </c>
      <c r="X104" s="1" t="s">
        <v>520</v>
      </c>
      <c r="Y104" s="73"/>
      <c r="Z104" s="2" t="s">
        <v>74</v>
      </c>
      <c r="AA104" s="3">
        <v>-2</v>
      </c>
      <c r="AB104" s="4">
        <v>-338.72</v>
      </c>
      <c r="AC104" s="73">
        <v>46209</v>
      </c>
      <c r="AD104" s="73">
        <v>46209</v>
      </c>
      <c r="AE104" s="73"/>
      <c r="AF104" s="73">
        <v>46209</v>
      </c>
      <c r="AG104" s="3">
        <v>-1000</v>
      </c>
      <c r="AH104" s="353" t="str">
        <f t="shared" si="3"/>
        <v/>
      </c>
      <c r="AI104" s="3" t="str">
        <f t="shared" si="4"/>
        <v>59</v>
      </c>
      <c r="AJ104" s="64" t="str">
        <f>VLOOKUP(T104,'GL Name'!A:B,2,0)</f>
        <v>ต้นทุนขาย</v>
      </c>
      <c r="AL104" s="13">
        <f t="shared" si="5"/>
        <v>169.36</v>
      </c>
      <c r="AM104" s="13" t="e">
        <f>VLOOKUP(I104,'Order 301-305 (เรียง)'!A:B,2,0)</f>
        <v>#N/A</v>
      </c>
      <c r="AN104" t="e">
        <f>VLOOKUP(I104,'Order 301-305 (เรียง)'!A:C,3,0)</f>
        <v>#N/A</v>
      </c>
    </row>
    <row r="105" spans="1:40" x14ac:dyDescent="0.3">
      <c r="A105" s="1" t="s">
        <v>62</v>
      </c>
      <c r="B105" s="1" t="s">
        <v>63</v>
      </c>
      <c r="C105" s="1" t="s">
        <v>64</v>
      </c>
      <c r="D105" s="1" t="s">
        <v>65</v>
      </c>
      <c r="E105" s="1" t="s">
        <v>66</v>
      </c>
      <c r="F105" s="1" t="s">
        <v>521</v>
      </c>
      <c r="G105" s="1" t="s">
        <v>67</v>
      </c>
      <c r="H105" s="1" t="s">
        <v>281</v>
      </c>
      <c r="I105" s="1" t="s">
        <v>68</v>
      </c>
      <c r="J105" s="1" t="s">
        <v>522</v>
      </c>
      <c r="K105" s="1" t="s">
        <v>96</v>
      </c>
      <c r="L105" s="1" t="s">
        <v>70</v>
      </c>
      <c r="M105" s="1" t="s">
        <v>68</v>
      </c>
      <c r="N105" s="1" t="s">
        <v>71</v>
      </c>
      <c r="O105" s="1" t="s">
        <v>68</v>
      </c>
      <c r="P105" s="1" t="s">
        <v>72</v>
      </c>
      <c r="Q105" s="1" t="s">
        <v>68</v>
      </c>
      <c r="R105" s="1" t="s">
        <v>68</v>
      </c>
      <c r="S105" s="1" t="s">
        <v>68</v>
      </c>
      <c r="T105" s="1" t="s">
        <v>73</v>
      </c>
      <c r="U105" s="1" t="s">
        <v>68</v>
      </c>
      <c r="V105" s="1" t="s">
        <v>68</v>
      </c>
      <c r="W105" s="1" t="s">
        <v>68</v>
      </c>
      <c r="X105" s="1" t="s">
        <v>523</v>
      </c>
      <c r="Y105" s="73"/>
      <c r="Z105" s="2" t="s">
        <v>74</v>
      </c>
      <c r="AA105" s="3">
        <v>-2</v>
      </c>
      <c r="AB105" s="4">
        <v>-338.72</v>
      </c>
      <c r="AC105" s="73">
        <v>46209</v>
      </c>
      <c r="AD105" s="73">
        <v>46209</v>
      </c>
      <c r="AE105" s="73"/>
      <c r="AF105" s="73">
        <v>46209</v>
      </c>
      <c r="AG105" s="3">
        <v>-1000</v>
      </c>
      <c r="AH105" s="353" t="str">
        <f t="shared" si="3"/>
        <v/>
      </c>
      <c r="AI105" s="3" t="str">
        <f t="shared" si="4"/>
        <v>59</v>
      </c>
      <c r="AJ105" s="64" t="str">
        <f>VLOOKUP(T105,'GL Name'!A:B,2,0)</f>
        <v>ต้นทุนขาย</v>
      </c>
      <c r="AL105" s="13">
        <f t="shared" si="5"/>
        <v>169.36</v>
      </c>
      <c r="AM105" s="13" t="e">
        <f>VLOOKUP(I105,'Order 301-305 (เรียง)'!A:B,2,0)</f>
        <v>#N/A</v>
      </c>
      <c r="AN105" t="e">
        <f>VLOOKUP(I105,'Order 301-305 (เรียง)'!A:C,3,0)</f>
        <v>#N/A</v>
      </c>
    </row>
    <row r="106" spans="1:40" x14ac:dyDescent="0.3">
      <c r="A106" s="1" t="s">
        <v>106</v>
      </c>
      <c r="B106" s="1" t="s">
        <v>107</v>
      </c>
      <c r="C106" s="1" t="s">
        <v>64</v>
      </c>
      <c r="D106" s="1" t="s">
        <v>125</v>
      </c>
      <c r="E106" s="1" t="s">
        <v>289</v>
      </c>
      <c r="F106" s="1" t="s">
        <v>524</v>
      </c>
      <c r="G106" s="1" t="s">
        <v>103</v>
      </c>
      <c r="H106" s="1" t="s">
        <v>286</v>
      </c>
      <c r="I106" s="1" t="s">
        <v>68</v>
      </c>
      <c r="J106" s="1" t="s">
        <v>525</v>
      </c>
      <c r="K106" s="1" t="s">
        <v>294</v>
      </c>
      <c r="L106" s="1" t="s">
        <v>86</v>
      </c>
      <c r="M106" s="1" t="s">
        <v>68</v>
      </c>
      <c r="N106" s="1" t="s">
        <v>71</v>
      </c>
      <c r="O106" s="1" t="s">
        <v>68</v>
      </c>
      <c r="P106" s="1" t="s">
        <v>72</v>
      </c>
      <c r="Q106" s="1" t="s">
        <v>68</v>
      </c>
      <c r="R106" s="1" t="s">
        <v>68</v>
      </c>
      <c r="S106" s="1" t="s">
        <v>68</v>
      </c>
      <c r="T106" s="1" t="s">
        <v>68</v>
      </c>
      <c r="U106" s="1" t="s">
        <v>68</v>
      </c>
      <c r="V106" s="1" t="s">
        <v>68</v>
      </c>
      <c r="W106" s="1" t="s">
        <v>68</v>
      </c>
      <c r="X106" s="1" t="s">
        <v>68</v>
      </c>
      <c r="Y106" s="73"/>
      <c r="Z106" s="2" t="s">
        <v>102</v>
      </c>
      <c r="AA106" s="3">
        <v>20000</v>
      </c>
      <c r="AB106" s="4">
        <v>0</v>
      </c>
      <c r="AC106" s="73">
        <v>46209</v>
      </c>
      <c r="AD106" s="73">
        <v>46209</v>
      </c>
      <c r="AE106" s="73"/>
      <c r="AF106" s="73">
        <v>46209</v>
      </c>
      <c r="AG106" s="3">
        <v>20000</v>
      </c>
      <c r="AH106" s="353" t="str">
        <f t="shared" si="3"/>
        <v/>
      </c>
      <c r="AI106" s="3" t="str">
        <f t="shared" si="4"/>
        <v>58</v>
      </c>
      <c r="AJ106" s="64" t="e">
        <f>VLOOKUP(T106,'GL Name'!A:B,2,0)</f>
        <v>#N/A</v>
      </c>
      <c r="AL106" s="13">
        <f t="shared" si="5"/>
        <v>0</v>
      </c>
      <c r="AM106" s="13" t="e">
        <f>VLOOKUP(I106,'Order 301-305 (เรียง)'!A:B,2,0)</f>
        <v>#N/A</v>
      </c>
      <c r="AN106" t="e">
        <f>VLOOKUP(I106,'Order 301-305 (เรียง)'!A:C,3,0)</f>
        <v>#N/A</v>
      </c>
    </row>
    <row r="107" spans="1:40" x14ac:dyDescent="0.3">
      <c r="A107" s="1" t="s">
        <v>106</v>
      </c>
      <c r="B107" s="1" t="s">
        <v>107</v>
      </c>
      <c r="C107" s="1" t="s">
        <v>64</v>
      </c>
      <c r="D107" s="1" t="s">
        <v>125</v>
      </c>
      <c r="E107" s="1" t="s">
        <v>289</v>
      </c>
      <c r="F107" s="1" t="s">
        <v>524</v>
      </c>
      <c r="G107" s="1" t="s">
        <v>101</v>
      </c>
      <c r="H107" s="1" t="s">
        <v>286</v>
      </c>
      <c r="I107" s="1" t="s">
        <v>68</v>
      </c>
      <c r="J107" s="1" t="s">
        <v>525</v>
      </c>
      <c r="K107" s="1" t="s">
        <v>294</v>
      </c>
      <c r="L107" s="1" t="s">
        <v>70</v>
      </c>
      <c r="M107" s="1" t="s">
        <v>68</v>
      </c>
      <c r="N107" s="1" t="s">
        <v>71</v>
      </c>
      <c r="O107" s="1" t="s">
        <v>68</v>
      </c>
      <c r="P107" s="1" t="s">
        <v>72</v>
      </c>
      <c r="Q107" s="1" t="s">
        <v>68</v>
      </c>
      <c r="R107" s="1" t="s">
        <v>68</v>
      </c>
      <c r="S107" s="1" t="s">
        <v>68</v>
      </c>
      <c r="T107" s="1" t="s">
        <v>68</v>
      </c>
      <c r="U107" s="1" t="s">
        <v>68</v>
      </c>
      <c r="V107" s="1" t="s">
        <v>68</v>
      </c>
      <c r="W107" s="1" t="s">
        <v>68</v>
      </c>
      <c r="X107" s="1" t="s">
        <v>68</v>
      </c>
      <c r="Y107" s="73"/>
      <c r="Z107" s="2" t="s">
        <v>102</v>
      </c>
      <c r="AA107" s="3">
        <v>-20000</v>
      </c>
      <c r="AB107" s="4">
        <v>0</v>
      </c>
      <c r="AC107" s="73">
        <v>46209</v>
      </c>
      <c r="AD107" s="73">
        <v>46209</v>
      </c>
      <c r="AE107" s="73"/>
      <c r="AF107" s="73">
        <v>46209</v>
      </c>
      <c r="AG107" s="3">
        <v>-20000</v>
      </c>
      <c r="AH107" s="353" t="str">
        <f t="shared" si="3"/>
        <v/>
      </c>
      <c r="AI107" s="3" t="str">
        <f t="shared" si="4"/>
        <v>58</v>
      </c>
      <c r="AJ107" s="64" t="e">
        <f>VLOOKUP(T107,'GL Name'!A:B,2,0)</f>
        <v>#N/A</v>
      </c>
      <c r="AL107" s="13">
        <f t="shared" si="5"/>
        <v>0</v>
      </c>
      <c r="AM107" s="13" t="e">
        <f>VLOOKUP(I107,'Order 301-305 (เรียง)'!A:B,2,0)</f>
        <v>#N/A</v>
      </c>
      <c r="AN107" t="e">
        <f>VLOOKUP(I107,'Order 301-305 (เรียง)'!A:C,3,0)</f>
        <v>#N/A</v>
      </c>
    </row>
    <row r="108" spans="1:40" x14ac:dyDescent="0.3">
      <c r="A108" s="1" t="s">
        <v>119</v>
      </c>
      <c r="B108" s="1" t="s">
        <v>120</v>
      </c>
      <c r="C108" s="1" t="s">
        <v>64</v>
      </c>
      <c r="D108" s="1" t="s">
        <v>125</v>
      </c>
      <c r="E108" s="1" t="s">
        <v>289</v>
      </c>
      <c r="F108" s="1" t="s">
        <v>524</v>
      </c>
      <c r="G108" s="1" t="s">
        <v>101</v>
      </c>
      <c r="H108" s="1" t="s">
        <v>302</v>
      </c>
      <c r="I108" s="1" t="s">
        <v>68</v>
      </c>
      <c r="J108" s="1" t="s">
        <v>525</v>
      </c>
      <c r="K108" s="1" t="s">
        <v>294</v>
      </c>
      <c r="L108" s="1" t="s">
        <v>92</v>
      </c>
      <c r="M108" s="1" t="s">
        <v>68</v>
      </c>
      <c r="N108" s="1" t="s">
        <v>71</v>
      </c>
      <c r="O108" s="1" t="s">
        <v>68</v>
      </c>
      <c r="P108" s="1" t="s">
        <v>72</v>
      </c>
      <c r="Q108" s="1" t="s">
        <v>68</v>
      </c>
      <c r="R108" s="1" t="s">
        <v>68</v>
      </c>
      <c r="S108" s="1" t="s">
        <v>68</v>
      </c>
      <c r="T108" s="1" t="s">
        <v>68</v>
      </c>
      <c r="U108" s="1" t="s">
        <v>68</v>
      </c>
      <c r="V108" s="1" t="s">
        <v>68</v>
      </c>
      <c r="W108" s="1" t="s">
        <v>68</v>
      </c>
      <c r="X108" s="1" t="s">
        <v>68</v>
      </c>
      <c r="Y108" s="73"/>
      <c r="Z108" s="2" t="s">
        <v>102</v>
      </c>
      <c r="AA108" s="3">
        <v>-24000</v>
      </c>
      <c r="AB108" s="4">
        <v>0</v>
      </c>
      <c r="AC108" s="73">
        <v>46209</v>
      </c>
      <c r="AD108" s="73">
        <v>46209</v>
      </c>
      <c r="AE108" s="73"/>
      <c r="AF108" s="73">
        <v>46209</v>
      </c>
      <c r="AG108" s="3">
        <v>-24000</v>
      </c>
      <c r="AH108" s="353" t="str">
        <f t="shared" si="3"/>
        <v/>
      </c>
      <c r="AI108" s="3" t="str">
        <f t="shared" si="4"/>
        <v>58</v>
      </c>
      <c r="AJ108" s="64" t="e">
        <f>VLOOKUP(T108,'GL Name'!A:B,2,0)</f>
        <v>#N/A</v>
      </c>
      <c r="AL108" s="13">
        <f t="shared" si="5"/>
        <v>0</v>
      </c>
      <c r="AM108" s="13" t="e">
        <f>VLOOKUP(I108,'Order 301-305 (เรียง)'!A:B,2,0)</f>
        <v>#N/A</v>
      </c>
      <c r="AN108" t="e">
        <f>VLOOKUP(I108,'Order 301-305 (เรียง)'!A:C,3,0)</f>
        <v>#N/A</v>
      </c>
    </row>
    <row r="109" spans="1:40" x14ac:dyDescent="0.3">
      <c r="A109" s="1" t="s">
        <v>119</v>
      </c>
      <c r="B109" s="1" t="s">
        <v>120</v>
      </c>
      <c r="C109" s="1" t="s">
        <v>64</v>
      </c>
      <c r="D109" s="1" t="s">
        <v>125</v>
      </c>
      <c r="E109" s="1" t="s">
        <v>289</v>
      </c>
      <c r="F109" s="1" t="s">
        <v>524</v>
      </c>
      <c r="G109" s="1" t="s">
        <v>103</v>
      </c>
      <c r="H109" s="1" t="s">
        <v>302</v>
      </c>
      <c r="I109" s="1" t="s">
        <v>68</v>
      </c>
      <c r="J109" s="1" t="s">
        <v>525</v>
      </c>
      <c r="K109" s="1" t="s">
        <v>294</v>
      </c>
      <c r="L109" s="1" t="s">
        <v>89</v>
      </c>
      <c r="M109" s="1" t="s">
        <v>68</v>
      </c>
      <c r="N109" s="1" t="s">
        <v>71</v>
      </c>
      <c r="O109" s="1" t="s">
        <v>68</v>
      </c>
      <c r="P109" s="1" t="s">
        <v>72</v>
      </c>
      <c r="Q109" s="1" t="s">
        <v>68</v>
      </c>
      <c r="R109" s="1" t="s">
        <v>68</v>
      </c>
      <c r="S109" s="1" t="s">
        <v>68</v>
      </c>
      <c r="T109" s="1" t="s">
        <v>68</v>
      </c>
      <c r="U109" s="1" t="s">
        <v>68</v>
      </c>
      <c r="V109" s="1" t="s">
        <v>68</v>
      </c>
      <c r="W109" s="1" t="s">
        <v>68</v>
      </c>
      <c r="X109" s="1" t="s">
        <v>68</v>
      </c>
      <c r="Y109" s="73"/>
      <c r="Z109" s="2" t="s">
        <v>102</v>
      </c>
      <c r="AA109" s="3">
        <v>24000</v>
      </c>
      <c r="AB109" s="4">
        <v>0</v>
      </c>
      <c r="AC109" s="73">
        <v>46209</v>
      </c>
      <c r="AD109" s="73">
        <v>46209</v>
      </c>
      <c r="AE109" s="73"/>
      <c r="AF109" s="73">
        <v>46209</v>
      </c>
      <c r="AG109" s="3">
        <v>24000</v>
      </c>
      <c r="AH109" s="353" t="str">
        <f t="shared" si="3"/>
        <v/>
      </c>
      <c r="AI109" s="3" t="str">
        <f t="shared" si="4"/>
        <v>58</v>
      </c>
      <c r="AJ109" s="64" t="e">
        <f>VLOOKUP(T109,'GL Name'!A:B,2,0)</f>
        <v>#N/A</v>
      </c>
      <c r="AL109" s="13">
        <f t="shared" si="5"/>
        <v>0</v>
      </c>
      <c r="AM109" s="13" t="e">
        <f>VLOOKUP(I109,'Order 301-305 (เรียง)'!A:B,2,0)</f>
        <v>#N/A</v>
      </c>
      <c r="AN109" t="e">
        <f>VLOOKUP(I109,'Order 301-305 (เรียง)'!A:C,3,0)</f>
        <v>#N/A</v>
      </c>
    </row>
    <row r="110" spans="1:40" x14ac:dyDescent="0.3">
      <c r="A110" s="1" t="s">
        <v>121</v>
      </c>
      <c r="B110" s="1" t="s">
        <v>122</v>
      </c>
      <c r="C110" s="1" t="s">
        <v>64</v>
      </c>
      <c r="D110" s="1" t="s">
        <v>125</v>
      </c>
      <c r="E110" s="1" t="s">
        <v>289</v>
      </c>
      <c r="F110" s="1" t="s">
        <v>524</v>
      </c>
      <c r="G110" s="1" t="s">
        <v>101</v>
      </c>
      <c r="H110" s="1" t="s">
        <v>316</v>
      </c>
      <c r="I110" s="1" t="s">
        <v>68</v>
      </c>
      <c r="J110" s="1" t="s">
        <v>525</v>
      </c>
      <c r="K110" s="1" t="s">
        <v>294</v>
      </c>
      <c r="L110" s="1" t="s">
        <v>95</v>
      </c>
      <c r="M110" s="1" t="s">
        <v>68</v>
      </c>
      <c r="N110" s="1" t="s">
        <v>71</v>
      </c>
      <c r="O110" s="1" t="s">
        <v>68</v>
      </c>
      <c r="P110" s="1" t="s">
        <v>72</v>
      </c>
      <c r="Q110" s="1" t="s">
        <v>68</v>
      </c>
      <c r="R110" s="1" t="s">
        <v>68</v>
      </c>
      <c r="S110" s="1" t="s">
        <v>68</v>
      </c>
      <c r="T110" s="1" t="s">
        <v>68</v>
      </c>
      <c r="U110" s="1" t="s">
        <v>68</v>
      </c>
      <c r="V110" s="1" t="s">
        <v>68</v>
      </c>
      <c r="W110" s="1" t="s">
        <v>68</v>
      </c>
      <c r="X110" s="1" t="s">
        <v>68</v>
      </c>
      <c r="Y110" s="73"/>
      <c r="Z110" s="2" t="s">
        <v>102</v>
      </c>
      <c r="AA110" s="3">
        <v>-3000</v>
      </c>
      <c r="AB110" s="4">
        <v>0</v>
      </c>
      <c r="AC110" s="73">
        <v>46209</v>
      </c>
      <c r="AD110" s="73">
        <v>46209</v>
      </c>
      <c r="AE110" s="73"/>
      <c r="AF110" s="73">
        <v>46209</v>
      </c>
      <c r="AG110" s="3">
        <v>-3000</v>
      </c>
      <c r="AH110" s="353" t="str">
        <f t="shared" si="3"/>
        <v/>
      </c>
      <c r="AI110" s="3" t="str">
        <f t="shared" si="4"/>
        <v>58</v>
      </c>
      <c r="AJ110" s="64" t="e">
        <f>VLOOKUP(T110,'GL Name'!A:B,2,0)</f>
        <v>#N/A</v>
      </c>
      <c r="AL110" s="13">
        <f t="shared" si="5"/>
        <v>0</v>
      </c>
      <c r="AM110" s="13" t="e">
        <f>VLOOKUP(I110,'Order 301-305 (เรียง)'!A:B,2,0)</f>
        <v>#N/A</v>
      </c>
      <c r="AN110" t="e">
        <f>VLOOKUP(I110,'Order 301-305 (เรียง)'!A:C,3,0)</f>
        <v>#N/A</v>
      </c>
    </row>
    <row r="111" spans="1:40" x14ac:dyDescent="0.3">
      <c r="A111" s="1" t="s">
        <v>121</v>
      </c>
      <c r="B111" s="1" t="s">
        <v>122</v>
      </c>
      <c r="C111" s="1" t="s">
        <v>64</v>
      </c>
      <c r="D111" s="1" t="s">
        <v>125</v>
      </c>
      <c r="E111" s="1" t="s">
        <v>289</v>
      </c>
      <c r="F111" s="1" t="s">
        <v>524</v>
      </c>
      <c r="G111" s="1" t="s">
        <v>103</v>
      </c>
      <c r="H111" s="1" t="s">
        <v>316</v>
      </c>
      <c r="I111" s="1" t="s">
        <v>68</v>
      </c>
      <c r="J111" s="1" t="s">
        <v>525</v>
      </c>
      <c r="K111" s="1" t="s">
        <v>294</v>
      </c>
      <c r="L111" s="1" t="s">
        <v>111</v>
      </c>
      <c r="M111" s="1" t="s">
        <v>68</v>
      </c>
      <c r="N111" s="1" t="s">
        <v>71</v>
      </c>
      <c r="O111" s="1" t="s">
        <v>68</v>
      </c>
      <c r="P111" s="1" t="s">
        <v>72</v>
      </c>
      <c r="Q111" s="1" t="s">
        <v>68</v>
      </c>
      <c r="R111" s="1" t="s">
        <v>68</v>
      </c>
      <c r="S111" s="1" t="s">
        <v>68</v>
      </c>
      <c r="T111" s="1" t="s">
        <v>68</v>
      </c>
      <c r="U111" s="1" t="s">
        <v>68</v>
      </c>
      <c r="V111" s="1" t="s">
        <v>68</v>
      </c>
      <c r="W111" s="1" t="s">
        <v>68</v>
      </c>
      <c r="X111" s="1" t="s">
        <v>68</v>
      </c>
      <c r="Y111" s="73"/>
      <c r="Z111" s="2" t="s">
        <v>102</v>
      </c>
      <c r="AA111" s="3">
        <v>3000</v>
      </c>
      <c r="AB111" s="4">
        <v>0</v>
      </c>
      <c r="AC111" s="73">
        <v>46209</v>
      </c>
      <c r="AD111" s="73">
        <v>46209</v>
      </c>
      <c r="AE111" s="73"/>
      <c r="AF111" s="73">
        <v>46209</v>
      </c>
      <c r="AG111" s="3">
        <v>3000</v>
      </c>
      <c r="AH111" s="353" t="str">
        <f t="shared" si="3"/>
        <v/>
      </c>
      <c r="AI111" s="3" t="str">
        <f t="shared" si="4"/>
        <v>58</v>
      </c>
      <c r="AJ111" s="64" t="e">
        <f>VLOOKUP(T111,'GL Name'!A:B,2,0)</f>
        <v>#N/A</v>
      </c>
      <c r="AL111" s="13">
        <f t="shared" si="5"/>
        <v>0</v>
      </c>
      <c r="AM111" s="13" t="e">
        <f>VLOOKUP(I111,'Order 301-305 (เรียง)'!A:B,2,0)</f>
        <v>#N/A</v>
      </c>
      <c r="AN111" t="e">
        <f>VLOOKUP(I111,'Order 301-305 (เรียง)'!A:C,3,0)</f>
        <v>#N/A</v>
      </c>
    </row>
    <row r="112" spans="1:40" x14ac:dyDescent="0.3">
      <c r="A112" s="1" t="s">
        <v>62</v>
      </c>
      <c r="B112" s="1" t="s">
        <v>63</v>
      </c>
      <c r="C112" s="1" t="s">
        <v>64</v>
      </c>
      <c r="D112" s="1" t="s">
        <v>65</v>
      </c>
      <c r="E112" s="1" t="s">
        <v>66</v>
      </c>
      <c r="F112" s="1" t="s">
        <v>526</v>
      </c>
      <c r="G112" s="1" t="s">
        <v>67</v>
      </c>
      <c r="H112" s="1" t="s">
        <v>281</v>
      </c>
      <c r="I112" s="1" t="s">
        <v>68</v>
      </c>
      <c r="J112" s="1" t="s">
        <v>527</v>
      </c>
      <c r="K112" s="1" t="s">
        <v>231</v>
      </c>
      <c r="L112" s="1" t="s">
        <v>70</v>
      </c>
      <c r="M112" s="1" t="s">
        <v>68</v>
      </c>
      <c r="N112" s="1" t="s">
        <v>71</v>
      </c>
      <c r="O112" s="1" t="s">
        <v>68</v>
      </c>
      <c r="P112" s="1" t="s">
        <v>72</v>
      </c>
      <c r="Q112" s="1" t="s">
        <v>68</v>
      </c>
      <c r="R112" s="1" t="s">
        <v>68</v>
      </c>
      <c r="S112" s="1" t="s">
        <v>68</v>
      </c>
      <c r="T112" s="1" t="s">
        <v>73</v>
      </c>
      <c r="U112" s="1" t="s">
        <v>68</v>
      </c>
      <c r="V112" s="1" t="s">
        <v>68</v>
      </c>
      <c r="W112" s="1" t="s">
        <v>68</v>
      </c>
      <c r="X112" s="1" t="s">
        <v>528</v>
      </c>
      <c r="Y112" s="73"/>
      <c r="Z112" s="2" t="s">
        <v>74</v>
      </c>
      <c r="AA112" s="3">
        <v>-40</v>
      </c>
      <c r="AB112" s="4">
        <v>-6774.4</v>
      </c>
      <c r="AC112" s="73">
        <v>46209</v>
      </c>
      <c r="AD112" s="73">
        <v>46209</v>
      </c>
      <c r="AE112" s="73"/>
      <c r="AF112" s="73">
        <v>46209</v>
      </c>
      <c r="AG112" s="3">
        <v>-20000</v>
      </c>
      <c r="AH112" s="353" t="str">
        <f t="shared" si="3"/>
        <v/>
      </c>
      <c r="AI112" s="3" t="str">
        <f t="shared" si="4"/>
        <v>59</v>
      </c>
      <c r="AJ112" s="64" t="str">
        <f>VLOOKUP(T112,'GL Name'!A:B,2,0)</f>
        <v>ต้นทุนขาย</v>
      </c>
      <c r="AL112" s="13">
        <f t="shared" si="5"/>
        <v>169.35999999999999</v>
      </c>
      <c r="AM112" s="13" t="e">
        <f>VLOOKUP(I112,'Order 301-305 (เรียง)'!A:B,2,0)</f>
        <v>#N/A</v>
      </c>
      <c r="AN112" t="e">
        <f>VLOOKUP(I112,'Order 301-305 (เรียง)'!A:C,3,0)</f>
        <v>#N/A</v>
      </c>
    </row>
    <row r="113" spans="1:40" x14ac:dyDescent="0.3">
      <c r="A113" s="1" t="s">
        <v>62</v>
      </c>
      <c r="B113" s="1" t="s">
        <v>63</v>
      </c>
      <c r="C113" s="1" t="s">
        <v>64</v>
      </c>
      <c r="D113" s="1" t="s">
        <v>65</v>
      </c>
      <c r="E113" s="1" t="s">
        <v>66</v>
      </c>
      <c r="F113" s="1" t="s">
        <v>529</v>
      </c>
      <c r="G113" s="1" t="s">
        <v>67</v>
      </c>
      <c r="H113" s="1" t="s">
        <v>281</v>
      </c>
      <c r="I113" s="1" t="s">
        <v>68</v>
      </c>
      <c r="J113" s="1" t="s">
        <v>530</v>
      </c>
      <c r="K113" s="1" t="s">
        <v>231</v>
      </c>
      <c r="L113" s="1" t="s">
        <v>70</v>
      </c>
      <c r="M113" s="1" t="s">
        <v>68</v>
      </c>
      <c r="N113" s="1" t="s">
        <v>71</v>
      </c>
      <c r="O113" s="1" t="s">
        <v>68</v>
      </c>
      <c r="P113" s="1" t="s">
        <v>72</v>
      </c>
      <c r="Q113" s="1" t="s">
        <v>68</v>
      </c>
      <c r="R113" s="1" t="s">
        <v>68</v>
      </c>
      <c r="S113" s="1" t="s">
        <v>68</v>
      </c>
      <c r="T113" s="1" t="s">
        <v>73</v>
      </c>
      <c r="U113" s="1" t="s">
        <v>68</v>
      </c>
      <c r="V113" s="1" t="s">
        <v>68</v>
      </c>
      <c r="W113" s="1" t="s">
        <v>68</v>
      </c>
      <c r="X113" s="1" t="s">
        <v>531</v>
      </c>
      <c r="Y113" s="73"/>
      <c r="Z113" s="2" t="s">
        <v>74</v>
      </c>
      <c r="AA113" s="3">
        <v>-60</v>
      </c>
      <c r="AB113" s="4">
        <v>-10161.6</v>
      </c>
      <c r="AC113" s="73">
        <v>46209</v>
      </c>
      <c r="AD113" s="73">
        <v>46209</v>
      </c>
      <c r="AE113" s="73"/>
      <c r="AF113" s="73">
        <v>46209</v>
      </c>
      <c r="AG113" s="3">
        <v>-30000</v>
      </c>
      <c r="AH113" s="353" t="str">
        <f t="shared" si="3"/>
        <v/>
      </c>
      <c r="AI113" s="3" t="str">
        <f t="shared" si="4"/>
        <v>59</v>
      </c>
      <c r="AJ113" s="64" t="str">
        <f>VLOOKUP(T113,'GL Name'!A:B,2,0)</f>
        <v>ต้นทุนขาย</v>
      </c>
      <c r="AL113" s="13">
        <f t="shared" si="5"/>
        <v>169.36</v>
      </c>
      <c r="AM113" s="13" t="e">
        <f>VLOOKUP(I113,'Order 301-305 (เรียง)'!A:B,2,0)</f>
        <v>#N/A</v>
      </c>
      <c r="AN113" t="e">
        <f>VLOOKUP(I113,'Order 301-305 (เรียง)'!A:C,3,0)</f>
        <v>#N/A</v>
      </c>
    </row>
    <row r="114" spans="1:40" x14ac:dyDescent="0.3">
      <c r="A114" s="1" t="s">
        <v>81</v>
      </c>
      <c r="B114" s="1" t="s">
        <v>82</v>
      </c>
      <c r="C114" s="1" t="s">
        <v>64</v>
      </c>
      <c r="D114" s="1" t="s">
        <v>65</v>
      </c>
      <c r="E114" s="1" t="s">
        <v>66</v>
      </c>
      <c r="F114" s="1" t="s">
        <v>532</v>
      </c>
      <c r="G114" s="1" t="s">
        <v>83</v>
      </c>
      <c r="H114" s="1" t="s">
        <v>320</v>
      </c>
      <c r="I114" s="1" t="s">
        <v>68</v>
      </c>
      <c r="J114" s="1" t="s">
        <v>533</v>
      </c>
      <c r="K114" s="1" t="s">
        <v>118</v>
      </c>
      <c r="L114" s="1" t="s">
        <v>70</v>
      </c>
      <c r="M114" s="1" t="s">
        <v>68</v>
      </c>
      <c r="N114" s="1" t="s">
        <v>71</v>
      </c>
      <c r="O114" s="1" t="s">
        <v>68</v>
      </c>
      <c r="P114" s="1" t="s">
        <v>72</v>
      </c>
      <c r="Q114" s="1" t="s">
        <v>68</v>
      </c>
      <c r="R114" s="1" t="s">
        <v>68</v>
      </c>
      <c r="S114" s="1" t="s">
        <v>68</v>
      </c>
      <c r="T114" s="1" t="s">
        <v>73</v>
      </c>
      <c r="U114" s="1" t="s">
        <v>68</v>
      </c>
      <c r="V114" s="1" t="s">
        <v>68</v>
      </c>
      <c r="W114" s="1" t="s">
        <v>68</v>
      </c>
      <c r="X114" s="1" t="s">
        <v>534</v>
      </c>
      <c r="Y114" s="73"/>
      <c r="Z114" s="2" t="s">
        <v>85</v>
      </c>
      <c r="AA114" s="3">
        <v>-960</v>
      </c>
      <c r="AB114" s="4">
        <v>-975628.80000000005</v>
      </c>
      <c r="AC114" s="73">
        <v>46209</v>
      </c>
      <c r="AD114" s="73">
        <v>46209</v>
      </c>
      <c r="AE114" s="73"/>
      <c r="AF114" s="73">
        <v>46209</v>
      </c>
      <c r="AG114" s="3">
        <v>-2880000</v>
      </c>
      <c r="AH114" s="353" t="str">
        <f t="shared" si="3"/>
        <v/>
      </c>
      <c r="AI114" s="3" t="str">
        <f t="shared" si="4"/>
        <v>59</v>
      </c>
      <c r="AJ114" s="64" t="str">
        <f>VLOOKUP(T114,'GL Name'!A:B,2,0)</f>
        <v>ต้นทุนขาย</v>
      </c>
      <c r="AL114" s="13">
        <f t="shared" si="5"/>
        <v>1016.2800000000001</v>
      </c>
      <c r="AM114" s="13" t="e">
        <f>VLOOKUP(I114,'Order 301-305 (เรียง)'!A:B,2,0)</f>
        <v>#N/A</v>
      </c>
      <c r="AN114" t="e">
        <f>VLOOKUP(I114,'Order 301-305 (เรียง)'!A:C,3,0)</f>
        <v>#N/A</v>
      </c>
    </row>
    <row r="115" spans="1:40" x14ac:dyDescent="0.3">
      <c r="A115" s="1" t="s">
        <v>81</v>
      </c>
      <c r="B115" s="1" t="s">
        <v>82</v>
      </c>
      <c r="C115" s="1" t="s">
        <v>64</v>
      </c>
      <c r="D115" s="1" t="s">
        <v>87</v>
      </c>
      <c r="E115" s="1" t="s">
        <v>88</v>
      </c>
      <c r="F115" s="1" t="s">
        <v>535</v>
      </c>
      <c r="G115" s="1" t="s">
        <v>83</v>
      </c>
      <c r="H115" s="1" t="s">
        <v>320</v>
      </c>
      <c r="I115" s="1" t="s">
        <v>68</v>
      </c>
      <c r="J115" s="1" t="s">
        <v>536</v>
      </c>
      <c r="K115" s="1" t="s">
        <v>118</v>
      </c>
      <c r="L115" s="1" t="s">
        <v>70</v>
      </c>
      <c r="M115" s="1" t="s">
        <v>68</v>
      </c>
      <c r="N115" s="1" t="s">
        <v>71</v>
      </c>
      <c r="O115" s="1" t="s">
        <v>68</v>
      </c>
      <c r="P115" s="1" t="s">
        <v>537</v>
      </c>
      <c r="Q115" s="1" t="s">
        <v>68</v>
      </c>
      <c r="R115" s="1" t="s">
        <v>308</v>
      </c>
      <c r="S115" s="1" t="s">
        <v>90</v>
      </c>
      <c r="T115" s="1" t="s">
        <v>91</v>
      </c>
      <c r="U115" s="1" t="s">
        <v>68</v>
      </c>
      <c r="V115" s="1" t="s">
        <v>68</v>
      </c>
      <c r="W115" s="1" t="s">
        <v>68</v>
      </c>
      <c r="X115" s="1" t="s">
        <v>68</v>
      </c>
      <c r="Y115" s="73"/>
      <c r="Z115" s="2" t="s">
        <v>74</v>
      </c>
      <c r="AA115" s="3">
        <v>-2</v>
      </c>
      <c r="AB115" s="4">
        <v>-338.76</v>
      </c>
      <c r="AC115" s="73">
        <v>46209</v>
      </c>
      <c r="AD115" s="73">
        <v>46209</v>
      </c>
      <c r="AE115" s="73"/>
      <c r="AF115" s="73">
        <v>46209</v>
      </c>
      <c r="AG115" s="3">
        <v>-1000</v>
      </c>
      <c r="AH115" s="353" t="str">
        <f t="shared" si="3"/>
        <v/>
      </c>
      <c r="AI115" s="3" t="str">
        <f t="shared" si="4"/>
        <v>59</v>
      </c>
      <c r="AJ115" s="64" t="str">
        <f>VLOOKUP(T115,'GL Name'!A:B,2,0)</f>
        <v>ค่าวิจัยคุณภาพสินค้า</v>
      </c>
      <c r="AL115" s="13">
        <f t="shared" si="5"/>
        <v>169.38</v>
      </c>
      <c r="AM115" s="13" t="e">
        <f>VLOOKUP(I115,'Order 301-305 (เรียง)'!A:B,2,0)</f>
        <v>#N/A</v>
      </c>
      <c r="AN115" t="e">
        <f>VLOOKUP(I115,'Order 301-305 (เรียง)'!A:C,3,0)</f>
        <v>#N/A</v>
      </c>
    </row>
    <row r="116" spans="1:40" x14ac:dyDescent="0.3">
      <c r="A116" s="1" t="s">
        <v>75</v>
      </c>
      <c r="B116" s="1" t="s">
        <v>76</v>
      </c>
      <c r="C116" s="1" t="s">
        <v>64</v>
      </c>
      <c r="D116" s="1" t="s">
        <v>87</v>
      </c>
      <c r="E116" s="1" t="s">
        <v>88</v>
      </c>
      <c r="F116" s="1" t="s">
        <v>538</v>
      </c>
      <c r="G116" s="1" t="s">
        <v>83</v>
      </c>
      <c r="H116" s="1" t="s">
        <v>383</v>
      </c>
      <c r="I116" s="1" t="s">
        <v>68</v>
      </c>
      <c r="J116" s="1" t="s">
        <v>539</v>
      </c>
      <c r="K116" s="1" t="s">
        <v>223</v>
      </c>
      <c r="L116" s="1" t="s">
        <v>86</v>
      </c>
      <c r="M116" s="1" t="s">
        <v>68</v>
      </c>
      <c r="N116" s="1" t="s">
        <v>71</v>
      </c>
      <c r="O116" s="1" t="s">
        <v>68</v>
      </c>
      <c r="P116" s="1" t="s">
        <v>540</v>
      </c>
      <c r="Q116" s="1" t="s">
        <v>68</v>
      </c>
      <c r="R116" s="1" t="s">
        <v>541</v>
      </c>
      <c r="S116" s="1" t="s">
        <v>90</v>
      </c>
      <c r="T116" s="1" t="s">
        <v>91</v>
      </c>
      <c r="U116" s="1" t="s">
        <v>68</v>
      </c>
      <c r="V116" s="1" t="s">
        <v>68</v>
      </c>
      <c r="W116" s="1" t="s">
        <v>68</v>
      </c>
      <c r="X116" s="1" t="s">
        <v>68</v>
      </c>
      <c r="Y116" s="73"/>
      <c r="Z116" s="2" t="s">
        <v>74</v>
      </c>
      <c r="AA116" s="3">
        <v>-1</v>
      </c>
      <c r="AB116" s="4">
        <v>-143.07</v>
      </c>
      <c r="AC116" s="73">
        <v>46204</v>
      </c>
      <c r="AD116" s="73">
        <v>46209</v>
      </c>
      <c r="AE116" s="73"/>
      <c r="AF116" s="73">
        <v>46209</v>
      </c>
      <c r="AG116" s="3">
        <v>-500</v>
      </c>
      <c r="AH116" s="353" t="str">
        <f t="shared" si="3"/>
        <v/>
      </c>
      <c r="AI116" s="3" t="str">
        <f t="shared" si="4"/>
        <v>59</v>
      </c>
      <c r="AJ116" s="64" t="str">
        <f>VLOOKUP(T116,'GL Name'!A:B,2,0)</f>
        <v>ค่าวิจัยคุณภาพสินค้า</v>
      </c>
      <c r="AL116" s="13">
        <f t="shared" si="5"/>
        <v>143.07</v>
      </c>
      <c r="AM116" s="13" t="e">
        <f>VLOOKUP(I116,'Order 301-305 (เรียง)'!A:B,2,0)</f>
        <v>#N/A</v>
      </c>
      <c r="AN116" t="e">
        <f>VLOOKUP(I116,'Order 301-305 (เรียง)'!A:C,3,0)</f>
        <v>#N/A</v>
      </c>
    </row>
    <row r="117" spans="1:40" x14ac:dyDescent="0.3">
      <c r="A117" s="1" t="s">
        <v>113</v>
      </c>
      <c r="B117" s="1" t="s">
        <v>114</v>
      </c>
      <c r="C117" s="1" t="s">
        <v>64</v>
      </c>
      <c r="D117" s="1" t="s">
        <v>87</v>
      </c>
      <c r="E117" s="1" t="s">
        <v>88</v>
      </c>
      <c r="F117" s="1" t="s">
        <v>538</v>
      </c>
      <c r="G117" s="1" t="s">
        <v>83</v>
      </c>
      <c r="H117" s="1" t="s">
        <v>287</v>
      </c>
      <c r="I117" s="1" t="s">
        <v>68</v>
      </c>
      <c r="J117" s="1" t="s">
        <v>539</v>
      </c>
      <c r="K117" s="1" t="s">
        <v>223</v>
      </c>
      <c r="L117" s="1" t="s">
        <v>70</v>
      </c>
      <c r="M117" s="1" t="s">
        <v>68</v>
      </c>
      <c r="N117" s="1" t="s">
        <v>71</v>
      </c>
      <c r="O117" s="1" t="s">
        <v>68</v>
      </c>
      <c r="P117" s="1" t="s">
        <v>540</v>
      </c>
      <c r="Q117" s="1" t="s">
        <v>68</v>
      </c>
      <c r="R117" s="1" t="s">
        <v>541</v>
      </c>
      <c r="S117" s="1" t="s">
        <v>90</v>
      </c>
      <c r="T117" s="1" t="s">
        <v>91</v>
      </c>
      <c r="U117" s="1" t="s">
        <v>68</v>
      </c>
      <c r="V117" s="1" t="s">
        <v>68</v>
      </c>
      <c r="W117" s="1" t="s">
        <v>68</v>
      </c>
      <c r="X117" s="1" t="s">
        <v>68</v>
      </c>
      <c r="Y117" s="73"/>
      <c r="Z117" s="2" t="s">
        <v>74</v>
      </c>
      <c r="AA117" s="3">
        <v>-2</v>
      </c>
      <c r="AB117" s="4">
        <v>-338.72</v>
      </c>
      <c r="AC117" s="73">
        <v>46204</v>
      </c>
      <c r="AD117" s="73">
        <v>46209</v>
      </c>
      <c r="AE117" s="73"/>
      <c r="AF117" s="73">
        <v>46209</v>
      </c>
      <c r="AG117" s="3">
        <v>-1000</v>
      </c>
      <c r="AH117" s="353" t="str">
        <f t="shared" si="3"/>
        <v/>
      </c>
      <c r="AI117" s="3" t="str">
        <f t="shared" si="4"/>
        <v>59</v>
      </c>
      <c r="AJ117" s="64" t="str">
        <f>VLOOKUP(T117,'GL Name'!A:B,2,0)</f>
        <v>ค่าวิจัยคุณภาพสินค้า</v>
      </c>
      <c r="AL117" s="13">
        <f t="shared" si="5"/>
        <v>169.36</v>
      </c>
      <c r="AM117" s="13" t="e">
        <f>VLOOKUP(I117,'Order 301-305 (เรียง)'!A:B,2,0)</f>
        <v>#N/A</v>
      </c>
      <c r="AN117" t="e">
        <f>VLOOKUP(I117,'Order 301-305 (เรียง)'!A:C,3,0)</f>
        <v>#N/A</v>
      </c>
    </row>
    <row r="118" spans="1:40" x14ac:dyDescent="0.3">
      <c r="A118" s="1" t="s">
        <v>81</v>
      </c>
      <c r="B118" s="1" t="s">
        <v>82</v>
      </c>
      <c r="C118" s="1" t="s">
        <v>64</v>
      </c>
      <c r="D118" s="1" t="s">
        <v>87</v>
      </c>
      <c r="E118" s="1" t="s">
        <v>88</v>
      </c>
      <c r="F118" s="1" t="s">
        <v>542</v>
      </c>
      <c r="G118" s="1" t="s">
        <v>83</v>
      </c>
      <c r="H118" s="1" t="s">
        <v>320</v>
      </c>
      <c r="I118" s="1" t="s">
        <v>68</v>
      </c>
      <c r="J118" s="1" t="s">
        <v>543</v>
      </c>
      <c r="K118" s="1" t="s">
        <v>118</v>
      </c>
      <c r="L118" s="1" t="s">
        <v>70</v>
      </c>
      <c r="M118" s="1" t="s">
        <v>68</v>
      </c>
      <c r="N118" s="1" t="s">
        <v>71</v>
      </c>
      <c r="O118" s="1" t="s">
        <v>68</v>
      </c>
      <c r="P118" s="1" t="s">
        <v>544</v>
      </c>
      <c r="Q118" s="1" t="s">
        <v>68</v>
      </c>
      <c r="R118" s="1" t="s">
        <v>546</v>
      </c>
      <c r="S118" s="1" t="s">
        <v>90</v>
      </c>
      <c r="T118" s="1" t="s">
        <v>91</v>
      </c>
      <c r="U118" s="1" t="s">
        <v>68</v>
      </c>
      <c r="V118" s="1" t="s">
        <v>68</v>
      </c>
      <c r="W118" s="1" t="s">
        <v>68</v>
      </c>
      <c r="X118" s="1" t="s">
        <v>68</v>
      </c>
      <c r="Y118" s="73"/>
      <c r="Z118" s="2" t="s">
        <v>74</v>
      </c>
      <c r="AA118" s="3">
        <v>-8</v>
      </c>
      <c r="AB118" s="4">
        <v>-1355.04</v>
      </c>
      <c r="AC118" s="73">
        <v>46209</v>
      </c>
      <c r="AD118" s="73">
        <v>46209</v>
      </c>
      <c r="AE118" s="73"/>
      <c r="AF118" s="73">
        <v>46209</v>
      </c>
      <c r="AG118" s="3">
        <v>-4000</v>
      </c>
      <c r="AH118" s="353" t="str">
        <f t="shared" si="3"/>
        <v/>
      </c>
      <c r="AI118" s="3" t="str">
        <f t="shared" si="4"/>
        <v>59</v>
      </c>
      <c r="AJ118" s="64" t="str">
        <f>VLOOKUP(T118,'GL Name'!A:B,2,0)</f>
        <v>ค่าวิจัยคุณภาพสินค้า</v>
      </c>
      <c r="AL118" s="13">
        <f t="shared" si="5"/>
        <v>169.38</v>
      </c>
      <c r="AM118" s="13" t="e">
        <f>VLOOKUP(I118,'Order 301-305 (เรียง)'!A:B,2,0)</f>
        <v>#N/A</v>
      </c>
      <c r="AN118" t="e">
        <f>VLOOKUP(I118,'Order 301-305 (เรียง)'!A:C,3,0)</f>
        <v>#N/A</v>
      </c>
    </row>
    <row r="119" spans="1:40" x14ac:dyDescent="0.3">
      <c r="A119" s="1" t="s">
        <v>81</v>
      </c>
      <c r="B119" s="1" t="s">
        <v>82</v>
      </c>
      <c r="C119" s="1" t="s">
        <v>64</v>
      </c>
      <c r="D119" s="1" t="s">
        <v>87</v>
      </c>
      <c r="E119" s="1" t="s">
        <v>88</v>
      </c>
      <c r="F119" s="1" t="s">
        <v>542</v>
      </c>
      <c r="G119" s="1" t="s">
        <v>83</v>
      </c>
      <c r="H119" s="1" t="s">
        <v>320</v>
      </c>
      <c r="I119" s="1" t="s">
        <v>68</v>
      </c>
      <c r="J119" s="1" t="s">
        <v>543</v>
      </c>
      <c r="K119" s="1" t="s">
        <v>118</v>
      </c>
      <c r="L119" s="1" t="s">
        <v>86</v>
      </c>
      <c r="M119" s="1" t="s">
        <v>68</v>
      </c>
      <c r="N119" s="1" t="s">
        <v>71</v>
      </c>
      <c r="O119" s="1" t="s">
        <v>68</v>
      </c>
      <c r="P119" s="1" t="s">
        <v>544</v>
      </c>
      <c r="Q119" s="1" t="s">
        <v>68</v>
      </c>
      <c r="R119" s="1" t="s">
        <v>545</v>
      </c>
      <c r="S119" s="1" t="s">
        <v>90</v>
      </c>
      <c r="T119" s="1" t="s">
        <v>91</v>
      </c>
      <c r="U119" s="1" t="s">
        <v>68</v>
      </c>
      <c r="V119" s="1" t="s">
        <v>68</v>
      </c>
      <c r="W119" s="1" t="s">
        <v>68</v>
      </c>
      <c r="X119" s="1" t="s">
        <v>68</v>
      </c>
      <c r="Y119" s="73"/>
      <c r="Z119" s="2" t="s">
        <v>74</v>
      </c>
      <c r="AA119" s="3">
        <v>-4</v>
      </c>
      <c r="AB119" s="4">
        <v>-677.52</v>
      </c>
      <c r="AC119" s="73">
        <v>46209</v>
      </c>
      <c r="AD119" s="73">
        <v>46209</v>
      </c>
      <c r="AE119" s="73"/>
      <c r="AF119" s="73">
        <v>46209</v>
      </c>
      <c r="AG119" s="3">
        <v>-2000</v>
      </c>
      <c r="AH119" s="353" t="str">
        <f t="shared" si="3"/>
        <v/>
      </c>
      <c r="AI119" s="3" t="str">
        <f t="shared" si="4"/>
        <v>59</v>
      </c>
      <c r="AJ119" s="64" t="str">
        <f>VLOOKUP(T119,'GL Name'!A:B,2,0)</f>
        <v>ค่าวิจัยคุณภาพสินค้า</v>
      </c>
      <c r="AL119" s="13">
        <f t="shared" si="5"/>
        <v>169.38</v>
      </c>
      <c r="AM119" s="13" t="e">
        <f>VLOOKUP(I119,'Order 301-305 (เรียง)'!A:B,2,0)</f>
        <v>#N/A</v>
      </c>
      <c r="AN119" t="e">
        <f>VLOOKUP(I119,'Order 301-305 (เรียง)'!A:C,3,0)</f>
        <v>#N/A</v>
      </c>
    </row>
    <row r="120" spans="1:40" x14ac:dyDescent="0.3">
      <c r="A120" s="1" t="s">
        <v>81</v>
      </c>
      <c r="B120" s="1" t="s">
        <v>82</v>
      </c>
      <c r="C120" s="1" t="s">
        <v>64</v>
      </c>
      <c r="D120" s="1" t="s">
        <v>87</v>
      </c>
      <c r="E120" s="1" t="s">
        <v>88</v>
      </c>
      <c r="F120" s="1" t="s">
        <v>547</v>
      </c>
      <c r="G120" s="1" t="s">
        <v>83</v>
      </c>
      <c r="H120" s="1" t="s">
        <v>320</v>
      </c>
      <c r="I120" s="1" t="s">
        <v>68</v>
      </c>
      <c r="J120" s="1" t="s">
        <v>548</v>
      </c>
      <c r="K120" s="1" t="s">
        <v>118</v>
      </c>
      <c r="L120" s="1" t="s">
        <v>70</v>
      </c>
      <c r="M120" s="1" t="s">
        <v>68</v>
      </c>
      <c r="N120" s="1" t="s">
        <v>71</v>
      </c>
      <c r="O120" s="1" t="s">
        <v>68</v>
      </c>
      <c r="P120" s="1" t="s">
        <v>549</v>
      </c>
      <c r="Q120" s="1" t="s">
        <v>68</v>
      </c>
      <c r="R120" s="1" t="s">
        <v>550</v>
      </c>
      <c r="S120" s="1" t="s">
        <v>90</v>
      </c>
      <c r="T120" s="1" t="s">
        <v>91</v>
      </c>
      <c r="U120" s="1" t="s">
        <v>68</v>
      </c>
      <c r="V120" s="1" t="s">
        <v>68</v>
      </c>
      <c r="W120" s="1" t="s">
        <v>68</v>
      </c>
      <c r="X120" s="1" t="s">
        <v>68</v>
      </c>
      <c r="Y120" s="73"/>
      <c r="Z120" s="2" t="s">
        <v>74</v>
      </c>
      <c r="AA120" s="3">
        <v>-1</v>
      </c>
      <c r="AB120" s="4">
        <v>-169.38</v>
      </c>
      <c r="AC120" s="73">
        <v>46209</v>
      </c>
      <c r="AD120" s="73">
        <v>46209</v>
      </c>
      <c r="AE120" s="73"/>
      <c r="AF120" s="73">
        <v>46209</v>
      </c>
      <c r="AG120" s="3">
        <v>-500</v>
      </c>
      <c r="AH120" s="353" t="str">
        <f t="shared" si="3"/>
        <v/>
      </c>
      <c r="AI120" s="3" t="str">
        <f t="shared" si="4"/>
        <v>59</v>
      </c>
      <c r="AJ120" s="64" t="str">
        <f>VLOOKUP(T120,'GL Name'!A:B,2,0)</f>
        <v>ค่าวิจัยคุณภาพสินค้า</v>
      </c>
      <c r="AL120" s="13">
        <f t="shared" si="5"/>
        <v>169.38</v>
      </c>
      <c r="AM120" s="13" t="e">
        <f>VLOOKUP(I120,'Order 301-305 (เรียง)'!A:B,2,0)</f>
        <v>#N/A</v>
      </c>
      <c r="AN120" t="e">
        <f>VLOOKUP(I120,'Order 301-305 (เรียง)'!A:C,3,0)</f>
        <v>#N/A</v>
      </c>
    </row>
    <row r="121" spans="1:40" x14ac:dyDescent="0.3">
      <c r="A121" s="1" t="s">
        <v>81</v>
      </c>
      <c r="B121" s="1" t="s">
        <v>82</v>
      </c>
      <c r="C121" s="1" t="s">
        <v>64</v>
      </c>
      <c r="D121" s="1" t="s">
        <v>65</v>
      </c>
      <c r="E121" s="1" t="s">
        <v>66</v>
      </c>
      <c r="F121" s="1" t="s">
        <v>551</v>
      </c>
      <c r="G121" s="1" t="s">
        <v>83</v>
      </c>
      <c r="H121" s="1" t="s">
        <v>321</v>
      </c>
      <c r="I121" s="1" t="s">
        <v>68</v>
      </c>
      <c r="J121" s="1" t="s">
        <v>552</v>
      </c>
      <c r="K121" s="1" t="s">
        <v>118</v>
      </c>
      <c r="L121" s="1" t="s">
        <v>86</v>
      </c>
      <c r="M121" s="1" t="s">
        <v>68</v>
      </c>
      <c r="N121" s="1" t="s">
        <v>71</v>
      </c>
      <c r="O121" s="1" t="s">
        <v>68</v>
      </c>
      <c r="P121" s="1" t="s">
        <v>72</v>
      </c>
      <c r="Q121" s="1" t="s">
        <v>68</v>
      </c>
      <c r="R121" s="1" t="s">
        <v>68</v>
      </c>
      <c r="S121" s="1" t="s">
        <v>68</v>
      </c>
      <c r="T121" s="1" t="s">
        <v>73</v>
      </c>
      <c r="U121" s="1" t="s">
        <v>68</v>
      </c>
      <c r="V121" s="1" t="s">
        <v>68</v>
      </c>
      <c r="W121" s="1" t="s">
        <v>68</v>
      </c>
      <c r="X121" s="1" t="s">
        <v>553</v>
      </c>
      <c r="Y121" s="73"/>
      <c r="Z121" s="2" t="s">
        <v>85</v>
      </c>
      <c r="AA121" s="3">
        <v>-901</v>
      </c>
      <c r="AB121" s="4">
        <v>-915668.28</v>
      </c>
      <c r="AC121" s="73">
        <v>46209</v>
      </c>
      <c r="AD121" s="73">
        <v>46209</v>
      </c>
      <c r="AE121" s="73"/>
      <c r="AF121" s="73">
        <v>46209</v>
      </c>
      <c r="AG121" s="3">
        <v>-2703000</v>
      </c>
      <c r="AH121" s="353" t="str">
        <f t="shared" si="3"/>
        <v/>
      </c>
      <c r="AI121" s="3" t="str">
        <f t="shared" si="4"/>
        <v>59</v>
      </c>
      <c r="AJ121" s="64" t="str">
        <f>VLOOKUP(T121,'GL Name'!A:B,2,0)</f>
        <v>ต้นทุนขาย</v>
      </c>
      <c r="AL121" s="13">
        <f t="shared" si="5"/>
        <v>1016.2800000000001</v>
      </c>
      <c r="AM121" s="13" t="e">
        <f>VLOOKUP(I121,'Order 301-305 (เรียง)'!A:B,2,0)</f>
        <v>#N/A</v>
      </c>
      <c r="AN121" t="e">
        <f>VLOOKUP(I121,'Order 301-305 (เรียง)'!A:C,3,0)</f>
        <v>#N/A</v>
      </c>
    </row>
    <row r="122" spans="1:40" x14ac:dyDescent="0.3">
      <c r="A122" s="1" t="s">
        <v>81</v>
      </c>
      <c r="B122" s="1" t="s">
        <v>82</v>
      </c>
      <c r="C122" s="1" t="s">
        <v>64</v>
      </c>
      <c r="D122" s="1" t="s">
        <v>65</v>
      </c>
      <c r="E122" s="1" t="s">
        <v>66</v>
      </c>
      <c r="F122" s="1" t="s">
        <v>551</v>
      </c>
      <c r="G122" s="1" t="s">
        <v>83</v>
      </c>
      <c r="H122" s="1" t="s">
        <v>320</v>
      </c>
      <c r="I122" s="1" t="s">
        <v>68</v>
      </c>
      <c r="J122" s="1" t="s">
        <v>552</v>
      </c>
      <c r="K122" s="1" t="s">
        <v>118</v>
      </c>
      <c r="L122" s="1" t="s">
        <v>70</v>
      </c>
      <c r="M122" s="1" t="s">
        <v>68</v>
      </c>
      <c r="N122" s="1" t="s">
        <v>71</v>
      </c>
      <c r="O122" s="1" t="s">
        <v>68</v>
      </c>
      <c r="P122" s="1" t="s">
        <v>72</v>
      </c>
      <c r="Q122" s="1" t="s">
        <v>68</v>
      </c>
      <c r="R122" s="1" t="s">
        <v>68</v>
      </c>
      <c r="S122" s="1" t="s">
        <v>68</v>
      </c>
      <c r="T122" s="1" t="s">
        <v>73</v>
      </c>
      <c r="U122" s="1" t="s">
        <v>68</v>
      </c>
      <c r="V122" s="1" t="s">
        <v>68</v>
      </c>
      <c r="W122" s="1" t="s">
        <v>68</v>
      </c>
      <c r="X122" s="1" t="s">
        <v>553</v>
      </c>
      <c r="Y122" s="73"/>
      <c r="Z122" s="2" t="s">
        <v>85</v>
      </c>
      <c r="AA122" s="3">
        <v>-1019</v>
      </c>
      <c r="AB122" s="4">
        <v>-1035589.32</v>
      </c>
      <c r="AC122" s="73">
        <v>46209</v>
      </c>
      <c r="AD122" s="73">
        <v>46209</v>
      </c>
      <c r="AE122" s="73"/>
      <c r="AF122" s="73">
        <v>46209</v>
      </c>
      <c r="AG122" s="3">
        <v>-3057000</v>
      </c>
      <c r="AH122" s="353" t="str">
        <f t="shared" si="3"/>
        <v/>
      </c>
      <c r="AI122" s="3" t="str">
        <f t="shared" si="4"/>
        <v>59</v>
      </c>
      <c r="AJ122" s="64" t="str">
        <f>VLOOKUP(T122,'GL Name'!A:B,2,0)</f>
        <v>ต้นทุนขาย</v>
      </c>
      <c r="AL122" s="13">
        <f t="shared" si="5"/>
        <v>1016.28</v>
      </c>
      <c r="AM122" s="13" t="e">
        <f>VLOOKUP(I122,'Order 301-305 (เรียง)'!A:B,2,0)</f>
        <v>#N/A</v>
      </c>
      <c r="AN122" t="e">
        <f>VLOOKUP(I122,'Order 301-305 (เรียง)'!A:C,3,0)</f>
        <v>#N/A</v>
      </c>
    </row>
    <row r="123" spans="1:40" x14ac:dyDescent="0.3">
      <c r="A123" s="1" t="s">
        <v>81</v>
      </c>
      <c r="B123" s="1" t="s">
        <v>82</v>
      </c>
      <c r="C123" s="1" t="s">
        <v>64</v>
      </c>
      <c r="D123" s="1" t="s">
        <v>65</v>
      </c>
      <c r="E123" s="1" t="s">
        <v>66</v>
      </c>
      <c r="F123" s="1" t="s">
        <v>554</v>
      </c>
      <c r="G123" s="1" t="s">
        <v>83</v>
      </c>
      <c r="H123" s="1" t="s">
        <v>321</v>
      </c>
      <c r="I123" s="1" t="s">
        <v>68</v>
      </c>
      <c r="J123" s="1" t="s">
        <v>555</v>
      </c>
      <c r="K123" s="1" t="s">
        <v>118</v>
      </c>
      <c r="L123" s="1" t="s">
        <v>70</v>
      </c>
      <c r="M123" s="1" t="s">
        <v>68</v>
      </c>
      <c r="N123" s="1" t="s">
        <v>71</v>
      </c>
      <c r="O123" s="1" t="s">
        <v>68</v>
      </c>
      <c r="P123" s="1" t="s">
        <v>72</v>
      </c>
      <c r="Q123" s="1" t="s">
        <v>68</v>
      </c>
      <c r="R123" s="1" t="s">
        <v>68</v>
      </c>
      <c r="S123" s="1" t="s">
        <v>68</v>
      </c>
      <c r="T123" s="1" t="s">
        <v>73</v>
      </c>
      <c r="U123" s="1" t="s">
        <v>68</v>
      </c>
      <c r="V123" s="1" t="s">
        <v>68</v>
      </c>
      <c r="W123" s="1" t="s">
        <v>68</v>
      </c>
      <c r="X123" s="1" t="s">
        <v>556</v>
      </c>
      <c r="Y123" s="73"/>
      <c r="Z123" s="2" t="s">
        <v>85</v>
      </c>
      <c r="AA123" s="3">
        <v>-1920</v>
      </c>
      <c r="AB123" s="4">
        <v>-1951257.6000000001</v>
      </c>
      <c r="AC123" s="73">
        <v>46209</v>
      </c>
      <c r="AD123" s="73">
        <v>46209</v>
      </c>
      <c r="AE123" s="73"/>
      <c r="AF123" s="73">
        <v>46209</v>
      </c>
      <c r="AG123" s="3">
        <v>-5760000</v>
      </c>
      <c r="AH123" s="353" t="str">
        <f t="shared" si="3"/>
        <v/>
      </c>
      <c r="AI123" s="3" t="str">
        <f t="shared" si="4"/>
        <v>59</v>
      </c>
      <c r="AJ123" s="64" t="str">
        <f>VLOOKUP(T123,'GL Name'!A:B,2,0)</f>
        <v>ต้นทุนขาย</v>
      </c>
      <c r="AL123" s="13">
        <f t="shared" si="5"/>
        <v>1016.2800000000001</v>
      </c>
      <c r="AM123" s="13" t="e">
        <f>VLOOKUP(I123,'Order 301-305 (เรียง)'!A:B,2,0)</f>
        <v>#N/A</v>
      </c>
      <c r="AN123" t="e">
        <f>VLOOKUP(I123,'Order 301-305 (เรียง)'!A:C,3,0)</f>
        <v>#N/A</v>
      </c>
    </row>
    <row r="124" spans="1:40" x14ac:dyDescent="0.3">
      <c r="A124" s="1" t="s">
        <v>81</v>
      </c>
      <c r="B124" s="1" t="s">
        <v>82</v>
      </c>
      <c r="C124" s="1" t="s">
        <v>64</v>
      </c>
      <c r="D124" s="1" t="s">
        <v>87</v>
      </c>
      <c r="E124" s="1" t="s">
        <v>88</v>
      </c>
      <c r="F124" s="1" t="s">
        <v>557</v>
      </c>
      <c r="G124" s="1" t="s">
        <v>83</v>
      </c>
      <c r="H124" s="1" t="s">
        <v>321</v>
      </c>
      <c r="I124" s="1" t="s">
        <v>68</v>
      </c>
      <c r="J124" s="1" t="s">
        <v>558</v>
      </c>
      <c r="K124" s="1" t="s">
        <v>118</v>
      </c>
      <c r="L124" s="1" t="s">
        <v>70</v>
      </c>
      <c r="M124" s="1" t="s">
        <v>68</v>
      </c>
      <c r="N124" s="1" t="s">
        <v>71</v>
      </c>
      <c r="O124" s="1" t="s">
        <v>68</v>
      </c>
      <c r="P124" s="1" t="s">
        <v>559</v>
      </c>
      <c r="Q124" s="1" t="s">
        <v>68</v>
      </c>
      <c r="R124" s="1" t="s">
        <v>308</v>
      </c>
      <c r="S124" s="1" t="s">
        <v>90</v>
      </c>
      <c r="T124" s="1" t="s">
        <v>91</v>
      </c>
      <c r="U124" s="1" t="s">
        <v>68</v>
      </c>
      <c r="V124" s="1" t="s">
        <v>68</v>
      </c>
      <c r="W124" s="1" t="s">
        <v>68</v>
      </c>
      <c r="X124" s="1" t="s">
        <v>68</v>
      </c>
      <c r="Y124" s="73"/>
      <c r="Z124" s="2" t="s">
        <v>74</v>
      </c>
      <c r="AA124" s="3">
        <v>-4</v>
      </c>
      <c r="AB124" s="4">
        <v>-677.52</v>
      </c>
      <c r="AC124" s="73">
        <v>46209</v>
      </c>
      <c r="AD124" s="73">
        <v>46209</v>
      </c>
      <c r="AE124" s="73"/>
      <c r="AF124" s="73">
        <v>46209</v>
      </c>
      <c r="AG124" s="3">
        <v>-2000</v>
      </c>
      <c r="AH124" s="353" t="str">
        <f t="shared" si="3"/>
        <v/>
      </c>
      <c r="AI124" s="3" t="str">
        <f t="shared" si="4"/>
        <v>59</v>
      </c>
      <c r="AJ124" s="64" t="str">
        <f>VLOOKUP(T124,'GL Name'!A:B,2,0)</f>
        <v>ค่าวิจัยคุณภาพสินค้า</v>
      </c>
      <c r="AL124" s="13">
        <f t="shared" si="5"/>
        <v>169.38</v>
      </c>
      <c r="AM124" s="13" t="e">
        <f>VLOOKUP(I124,'Order 301-305 (เรียง)'!A:B,2,0)</f>
        <v>#N/A</v>
      </c>
      <c r="AN124" t="e">
        <f>VLOOKUP(I124,'Order 301-305 (เรียง)'!A:C,3,0)</f>
        <v>#N/A</v>
      </c>
    </row>
    <row r="125" spans="1:40" x14ac:dyDescent="0.3">
      <c r="A125" s="1" t="s">
        <v>9</v>
      </c>
      <c r="B125" s="1" t="s">
        <v>10</v>
      </c>
      <c r="C125" s="1" t="s">
        <v>64</v>
      </c>
      <c r="D125" s="1" t="s">
        <v>93</v>
      </c>
      <c r="E125" s="1" t="s">
        <v>94</v>
      </c>
      <c r="F125" s="1" t="s">
        <v>560</v>
      </c>
      <c r="G125" s="1" t="s">
        <v>278</v>
      </c>
      <c r="H125" s="1" t="s">
        <v>561</v>
      </c>
      <c r="I125" s="1" t="s">
        <v>68</v>
      </c>
      <c r="J125" s="1" t="s">
        <v>562</v>
      </c>
      <c r="K125" s="1" t="s">
        <v>223</v>
      </c>
      <c r="L125" s="1" t="s">
        <v>86</v>
      </c>
      <c r="M125" s="1" t="s">
        <v>68</v>
      </c>
      <c r="N125" s="1" t="s">
        <v>71</v>
      </c>
      <c r="O125" s="1" t="s">
        <v>68</v>
      </c>
      <c r="P125" s="1" t="s">
        <v>72</v>
      </c>
      <c r="Q125" s="1" t="s">
        <v>68</v>
      </c>
      <c r="R125" s="1" t="s">
        <v>68</v>
      </c>
      <c r="S125" s="1" t="s">
        <v>68</v>
      </c>
      <c r="T125" s="1" t="s">
        <v>68</v>
      </c>
      <c r="U125" s="1" t="s">
        <v>68</v>
      </c>
      <c r="V125" s="1" t="s">
        <v>68</v>
      </c>
      <c r="W125" s="1" t="s">
        <v>68</v>
      </c>
      <c r="X125" s="1" t="s">
        <v>68</v>
      </c>
      <c r="Y125" s="73"/>
      <c r="Z125" s="2" t="s">
        <v>80</v>
      </c>
      <c r="AA125" s="3">
        <v>14936.9</v>
      </c>
      <c r="AB125" s="4">
        <v>0</v>
      </c>
      <c r="AC125" s="73">
        <v>46210</v>
      </c>
      <c r="AD125" s="73">
        <v>46210</v>
      </c>
      <c r="AE125" s="73"/>
      <c r="AF125" s="73">
        <v>46210</v>
      </c>
      <c r="AG125" s="3">
        <v>14936900</v>
      </c>
      <c r="AH125" s="353" t="str">
        <f t="shared" si="3"/>
        <v/>
      </c>
      <c r="AI125" s="3" t="str">
        <f t="shared" si="4"/>
        <v>54</v>
      </c>
      <c r="AJ125" s="64" t="e">
        <f>VLOOKUP(T125,'GL Name'!A:B,2,0)</f>
        <v>#N/A</v>
      </c>
      <c r="AL125" s="13">
        <f t="shared" si="5"/>
        <v>0</v>
      </c>
      <c r="AM125" s="13" t="e">
        <f>VLOOKUP(I125,'Order 301-305 (เรียง)'!A:B,2,0)</f>
        <v>#N/A</v>
      </c>
      <c r="AN125" t="e">
        <f>VLOOKUP(I125,'Order 301-305 (เรียง)'!A:C,3,0)</f>
        <v>#N/A</v>
      </c>
    </row>
    <row r="126" spans="1:40" x14ac:dyDescent="0.3">
      <c r="A126" s="1" t="s">
        <v>9</v>
      </c>
      <c r="B126" s="1" t="s">
        <v>10</v>
      </c>
      <c r="C126" s="1" t="s">
        <v>64</v>
      </c>
      <c r="D126" s="1" t="s">
        <v>93</v>
      </c>
      <c r="E126" s="1" t="s">
        <v>94</v>
      </c>
      <c r="F126" s="1" t="s">
        <v>560</v>
      </c>
      <c r="G126" s="1" t="s">
        <v>232</v>
      </c>
      <c r="H126" s="1" t="s">
        <v>561</v>
      </c>
      <c r="I126" s="1" t="s">
        <v>68</v>
      </c>
      <c r="J126" s="1" t="s">
        <v>562</v>
      </c>
      <c r="K126" s="1" t="s">
        <v>223</v>
      </c>
      <c r="L126" s="1" t="s">
        <v>70</v>
      </c>
      <c r="M126" s="1" t="s">
        <v>68</v>
      </c>
      <c r="N126" s="1" t="s">
        <v>71</v>
      </c>
      <c r="O126" s="1" t="s">
        <v>68</v>
      </c>
      <c r="P126" s="1" t="s">
        <v>72</v>
      </c>
      <c r="Q126" s="1" t="s">
        <v>68</v>
      </c>
      <c r="R126" s="1" t="s">
        <v>68</v>
      </c>
      <c r="S126" s="1" t="s">
        <v>68</v>
      </c>
      <c r="T126" s="1" t="s">
        <v>68</v>
      </c>
      <c r="U126" s="1" t="s">
        <v>68</v>
      </c>
      <c r="V126" s="1" t="s">
        <v>68</v>
      </c>
      <c r="W126" s="1" t="s">
        <v>68</v>
      </c>
      <c r="X126" s="1" t="s">
        <v>68</v>
      </c>
      <c r="Y126" s="73"/>
      <c r="Z126" s="2" t="s">
        <v>80</v>
      </c>
      <c r="AA126" s="3">
        <v>-14936.9</v>
      </c>
      <c r="AB126" s="4">
        <v>0</v>
      </c>
      <c r="AC126" s="73">
        <v>46210</v>
      </c>
      <c r="AD126" s="73">
        <v>46210</v>
      </c>
      <c r="AE126" s="73"/>
      <c r="AF126" s="73">
        <v>46210</v>
      </c>
      <c r="AG126" s="3">
        <v>-14936900</v>
      </c>
      <c r="AH126" s="353" t="str">
        <f t="shared" ref="AH126:AH173" si="6">LEFT(I126,3)</f>
        <v/>
      </c>
      <c r="AI126" s="3" t="str">
        <f t="shared" ref="AI126:AI173" si="7">LEFT(A126,2)</f>
        <v>54</v>
      </c>
      <c r="AJ126" s="64" t="e">
        <f>VLOOKUP(T126,'GL Name'!A:B,2,0)</f>
        <v>#N/A</v>
      </c>
      <c r="AL126" s="13">
        <f t="shared" ref="AL126:AL173" si="8">AB126/AA126</f>
        <v>0</v>
      </c>
      <c r="AM126" s="13" t="e">
        <f>VLOOKUP(I126,'Order 301-305 (เรียง)'!A:B,2,0)</f>
        <v>#N/A</v>
      </c>
      <c r="AN126" t="e">
        <f>VLOOKUP(I126,'Order 301-305 (เรียง)'!A:C,3,0)</f>
        <v>#N/A</v>
      </c>
    </row>
    <row r="127" spans="1:40" x14ac:dyDescent="0.3">
      <c r="A127" s="1" t="s">
        <v>17</v>
      </c>
      <c r="B127" s="1" t="s">
        <v>18</v>
      </c>
      <c r="C127" s="1" t="s">
        <v>64</v>
      </c>
      <c r="D127" s="1" t="s">
        <v>93</v>
      </c>
      <c r="E127" s="1" t="s">
        <v>94</v>
      </c>
      <c r="F127" s="1" t="s">
        <v>560</v>
      </c>
      <c r="G127" s="1" t="s">
        <v>232</v>
      </c>
      <c r="H127" s="1" t="s">
        <v>304</v>
      </c>
      <c r="I127" s="1" t="s">
        <v>68</v>
      </c>
      <c r="J127" s="1" t="s">
        <v>562</v>
      </c>
      <c r="K127" s="1" t="s">
        <v>223</v>
      </c>
      <c r="L127" s="1" t="s">
        <v>92</v>
      </c>
      <c r="M127" s="1" t="s">
        <v>68</v>
      </c>
      <c r="N127" s="1" t="s">
        <v>71</v>
      </c>
      <c r="O127" s="1" t="s">
        <v>68</v>
      </c>
      <c r="P127" s="1" t="s">
        <v>72</v>
      </c>
      <c r="Q127" s="1" t="s">
        <v>68</v>
      </c>
      <c r="R127" s="1" t="s">
        <v>68</v>
      </c>
      <c r="S127" s="1" t="s">
        <v>68</v>
      </c>
      <c r="T127" s="1" t="s">
        <v>68</v>
      </c>
      <c r="U127" s="1" t="s">
        <v>68</v>
      </c>
      <c r="V127" s="1" t="s">
        <v>68</v>
      </c>
      <c r="W127" s="1" t="s">
        <v>68</v>
      </c>
      <c r="X127" s="1" t="s">
        <v>68</v>
      </c>
      <c r="Y127" s="73"/>
      <c r="Z127" s="2" t="s">
        <v>80</v>
      </c>
      <c r="AA127" s="3">
        <v>-9988.2000000000007</v>
      </c>
      <c r="AB127" s="4">
        <v>0</v>
      </c>
      <c r="AC127" s="73">
        <v>46210</v>
      </c>
      <c r="AD127" s="73">
        <v>46210</v>
      </c>
      <c r="AE127" s="73"/>
      <c r="AF127" s="73">
        <v>46210</v>
      </c>
      <c r="AG127" s="3">
        <v>-9988200</v>
      </c>
      <c r="AH127" s="353" t="str">
        <f t="shared" si="6"/>
        <v/>
      </c>
      <c r="AI127" s="3" t="str">
        <f t="shared" si="7"/>
        <v>54</v>
      </c>
      <c r="AJ127" s="64" t="e">
        <f>VLOOKUP(T127,'GL Name'!A:B,2,0)</f>
        <v>#N/A</v>
      </c>
      <c r="AL127" s="13">
        <f t="shared" si="8"/>
        <v>0</v>
      </c>
      <c r="AM127" s="13" t="e">
        <f>VLOOKUP(I127,'Order 301-305 (เรียง)'!A:B,2,0)</f>
        <v>#N/A</v>
      </c>
      <c r="AN127" t="e">
        <f>VLOOKUP(I127,'Order 301-305 (เรียง)'!A:C,3,0)</f>
        <v>#N/A</v>
      </c>
    </row>
    <row r="128" spans="1:40" x14ac:dyDescent="0.3">
      <c r="A128" s="1" t="s">
        <v>17</v>
      </c>
      <c r="B128" s="1" t="s">
        <v>18</v>
      </c>
      <c r="C128" s="1" t="s">
        <v>64</v>
      </c>
      <c r="D128" s="1" t="s">
        <v>93</v>
      </c>
      <c r="E128" s="1" t="s">
        <v>94</v>
      </c>
      <c r="F128" s="1" t="s">
        <v>560</v>
      </c>
      <c r="G128" s="1" t="s">
        <v>278</v>
      </c>
      <c r="H128" s="1" t="s">
        <v>304</v>
      </c>
      <c r="I128" s="1" t="s">
        <v>68</v>
      </c>
      <c r="J128" s="1" t="s">
        <v>562</v>
      </c>
      <c r="K128" s="1" t="s">
        <v>223</v>
      </c>
      <c r="L128" s="1" t="s">
        <v>89</v>
      </c>
      <c r="M128" s="1" t="s">
        <v>68</v>
      </c>
      <c r="N128" s="1" t="s">
        <v>71</v>
      </c>
      <c r="O128" s="1" t="s">
        <v>68</v>
      </c>
      <c r="P128" s="1" t="s">
        <v>72</v>
      </c>
      <c r="Q128" s="1" t="s">
        <v>68</v>
      </c>
      <c r="R128" s="1" t="s">
        <v>68</v>
      </c>
      <c r="S128" s="1" t="s">
        <v>68</v>
      </c>
      <c r="T128" s="1" t="s">
        <v>68</v>
      </c>
      <c r="U128" s="1" t="s">
        <v>68</v>
      </c>
      <c r="V128" s="1" t="s">
        <v>68</v>
      </c>
      <c r="W128" s="1" t="s">
        <v>68</v>
      </c>
      <c r="X128" s="1" t="s">
        <v>68</v>
      </c>
      <c r="Y128" s="73"/>
      <c r="Z128" s="2" t="s">
        <v>80</v>
      </c>
      <c r="AA128" s="3">
        <v>9988.2000000000007</v>
      </c>
      <c r="AB128" s="4">
        <v>0</v>
      </c>
      <c r="AC128" s="73">
        <v>46210</v>
      </c>
      <c r="AD128" s="73">
        <v>46210</v>
      </c>
      <c r="AE128" s="73"/>
      <c r="AF128" s="73">
        <v>46210</v>
      </c>
      <c r="AG128" s="3">
        <v>9988200</v>
      </c>
      <c r="AH128" s="353" t="str">
        <f t="shared" si="6"/>
        <v/>
      </c>
      <c r="AI128" s="3" t="str">
        <f t="shared" si="7"/>
        <v>54</v>
      </c>
      <c r="AJ128" s="64" t="e">
        <f>VLOOKUP(T128,'GL Name'!A:B,2,0)</f>
        <v>#N/A</v>
      </c>
      <c r="AL128" s="13">
        <f t="shared" si="8"/>
        <v>0</v>
      </c>
      <c r="AM128" s="13" t="e">
        <f>VLOOKUP(I128,'Order 301-305 (เรียง)'!A:B,2,0)</f>
        <v>#N/A</v>
      </c>
      <c r="AN128" t="e">
        <f>VLOOKUP(I128,'Order 301-305 (เรียง)'!A:C,3,0)</f>
        <v>#N/A</v>
      </c>
    </row>
    <row r="129" spans="1:40" x14ac:dyDescent="0.3">
      <c r="A129" s="1" t="s">
        <v>106</v>
      </c>
      <c r="B129" s="1" t="s">
        <v>107</v>
      </c>
      <c r="C129" s="1" t="s">
        <v>64</v>
      </c>
      <c r="D129" s="1" t="s">
        <v>563</v>
      </c>
      <c r="E129" s="1" t="s">
        <v>564</v>
      </c>
      <c r="F129" s="1" t="s">
        <v>565</v>
      </c>
      <c r="G129" s="1" t="s">
        <v>101</v>
      </c>
      <c r="H129" s="1" t="s">
        <v>220</v>
      </c>
      <c r="I129" s="1" t="s">
        <v>68</v>
      </c>
      <c r="J129" s="1" t="s">
        <v>566</v>
      </c>
      <c r="K129" s="1" t="s">
        <v>567</v>
      </c>
      <c r="L129" s="1" t="s">
        <v>70</v>
      </c>
      <c r="M129" s="1" t="s">
        <v>68</v>
      </c>
      <c r="N129" s="1" t="s">
        <v>71</v>
      </c>
      <c r="O129" s="1" t="s">
        <v>68</v>
      </c>
      <c r="P129" s="1" t="s">
        <v>72</v>
      </c>
      <c r="Q129" s="1" t="s">
        <v>68</v>
      </c>
      <c r="R129" s="1" t="s">
        <v>68</v>
      </c>
      <c r="S129" s="1" t="s">
        <v>68</v>
      </c>
      <c r="T129" s="1" t="s">
        <v>568</v>
      </c>
      <c r="U129" s="1" t="s">
        <v>68</v>
      </c>
      <c r="V129" s="1" t="s">
        <v>68</v>
      </c>
      <c r="W129" s="1" t="s">
        <v>68</v>
      </c>
      <c r="X129" s="1" t="s">
        <v>68</v>
      </c>
      <c r="Y129" s="73"/>
      <c r="Z129" s="2" t="s">
        <v>102</v>
      </c>
      <c r="AA129" s="3">
        <v>12579</v>
      </c>
      <c r="AB129" s="4">
        <v>10638.91</v>
      </c>
      <c r="AC129" s="73">
        <v>46210</v>
      </c>
      <c r="AD129" s="73">
        <v>46210</v>
      </c>
      <c r="AE129" s="73"/>
      <c r="AF129" s="73">
        <v>46210</v>
      </c>
      <c r="AG129" s="3">
        <v>12579</v>
      </c>
      <c r="AH129" s="353" t="str">
        <f t="shared" si="6"/>
        <v/>
      </c>
      <c r="AI129" s="3" t="str">
        <f t="shared" si="7"/>
        <v>58</v>
      </c>
      <c r="AJ129" s="64" t="str">
        <f>VLOOKUP(T129,'GL Name'!A:B,2,0)</f>
        <v>สินค้าขาด(เกิน)บัญชี</v>
      </c>
      <c r="AL129" s="13">
        <f t="shared" si="8"/>
        <v>0.84576754908975271</v>
      </c>
      <c r="AM129" s="13" t="e">
        <f>VLOOKUP(I129,'Order 301-305 (เรียง)'!A:B,2,0)</f>
        <v>#N/A</v>
      </c>
      <c r="AN129" t="e">
        <f>VLOOKUP(I129,'Order 301-305 (เรียง)'!A:C,3,0)</f>
        <v>#N/A</v>
      </c>
    </row>
    <row r="130" spans="1:40" x14ac:dyDescent="0.3">
      <c r="A130" s="1" t="s">
        <v>196</v>
      </c>
      <c r="B130" s="1" t="s">
        <v>197</v>
      </c>
      <c r="C130" s="1" t="s">
        <v>64</v>
      </c>
      <c r="D130" s="1" t="s">
        <v>563</v>
      </c>
      <c r="E130" s="1" t="s">
        <v>564</v>
      </c>
      <c r="F130" s="1" t="s">
        <v>565</v>
      </c>
      <c r="G130" s="1" t="s">
        <v>101</v>
      </c>
      <c r="H130" s="1" t="s">
        <v>316</v>
      </c>
      <c r="I130" s="1" t="s">
        <v>68</v>
      </c>
      <c r="J130" s="1" t="s">
        <v>566</v>
      </c>
      <c r="K130" s="1" t="s">
        <v>567</v>
      </c>
      <c r="L130" s="1" t="s">
        <v>86</v>
      </c>
      <c r="M130" s="1" t="s">
        <v>68</v>
      </c>
      <c r="N130" s="1" t="s">
        <v>71</v>
      </c>
      <c r="O130" s="1" t="s">
        <v>68</v>
      </c>
      <c r="P130" s="1" t="s">
        <v>72</v>
      </c>
      <c r="Q130" s="1" t="s">
        <v>68</v>
      </c>
      <c r="R130" s="1" t="s">
        <v>68</v>
      </c>
      <c r="S130" s="1" t="s">
        <v>68</v>
      </c>
      <c r="T130" s="1" t="s">
        <v>568</v>
      </c>
      <c r="U130" s="1" t="s">
        <v>68</v>
      </c>
      <c r="V130" s="1" t="s">
        <v>68</v>
      </c>
      <c r="W130" s="1" t="s">
        <v>68</v>
      </c>
      <c r="X130" s="1" t="s">
        <v>68</v>
      </c>
      <c r="Y130" s="73"/>
      <c r="Z130" s="2" t="s">
        <v>102</v>
      </c>
      <c r="AA130" s="3">
        <v>2</v>
      </c>
      <c r="AB130" s="4">
        <v>4.12</v>
      </c>
      <c r="AC130" s="73">
        <v>46210</v>
      </c>
      <c r="AD130" s="73">
        <v>46210</v>
      </c>
      <c r="AE130" s="73"/>
      <c r="AF130" s="73">
        <v>46210</v>
      </c>
      <c r="AG130" s="3">
        <v>2</v>
      </c>
      <c r="AH130" s="353" t="str">
        <f t="shared" si="6"/>
        <v/>
      </c>
      <c r="AI130" s="3" t="str">
        <f t="shared" si="7"/>
        <v>58</v>
      </c>
      <c r="AJ130" s="64" t="str">
        <f>VLOOKUP(T130,'GL Name'!A:B,2,0)</f>
        <v>สินค้าขาด(เกิน)บัญชี</v>
      </c>
      <c r="AL130" s="13">
        <f t="shared" si="8"/>
        <v>2.06</v>
      </c>
      <c r="AM130" s="13" t="e">
        <f>VLOOKUP(I130,'Order 301-305 (เรียง)'!A:B,2,0)</f>
        <v>#N/A</v>
      </c>
      <c r="AN130" t="e">
        <f>VLOOKUP(I130,'Order 301-305 (เรียง)'!A:C,3,0)</f>
        <v>#N/A</v>
      </c>
    </row>
    <row r="131" spans="1:40" x14ac:dyDescent="0.3">
      <c r="A131" s="1" t="s">
        <v>333</v>
      </c>
      <c r="B131" s="1" t="s">
        <v>334</v>
      </c>
      <c r="C131" s="1" t="s">
        <v>64</v>
      </c>
      <c r="D131" s="1" t="s">
        <v>563</v>
      </c>
      <c r="E131" s="1" t="s">
        <v>564</v>
      </c>
      <c r="F131" s="1" t="s">
        <v>565</v>
      </c>
      <c r="G131" s="1" t="s">
        <v>101</v>
      </c>
      <c r="H131" s="1" t="s">
        <v>335</v>
      </c>
      <c r="I131" s="1" t="s">
        <v>68</v>
      </c>
      <c r="J131" s="1" t="s">
        <v>566</v>
      </c>
      <c r="K131" s="1" t="s">
        <v>567</v>
      </c>
      <c r="L131" s="1" t="s">
        <v>92</v>
      </c>
      <c r="M131" s="1" t="s">
        <v>68</v>
      </c>
      <c r="N131" s="1" t="s">
        <v>71</v>
      </c>
      <c r="O131" s="1" t="s">
        <v>68</v>
      </c>
      <c r="P131" s="1" t="s">
        <v>72</v>
      </c>
      <c r="Q131" s="1" t="s">
        <v>68</v>
      </c>
      <c r="R131" s="1" t="s">
        <v>68</v>
      </c>
      <c r="S131" s="1" t="s">
        <v>68</v>
      </c>
      <c r="T131" s="1" t="s">
        <v>568</v>
      </c>
      <c r="U131" s="1" t="s">
        <v>68</v>
      </c>
      <c r="V131" s="1" t="s">
        <v>68</v>
      </c>
      <c r="W131" s="1" t="s">
        <v>68</v>
      </c>
      <c r="X131" s="1" t="s">
        <v>68</v>
      </c>
      <c r="Y131" s="73"/>
      <c r="Z131" s="2" t="s">
        <v>241</v>
      </c>
      <c r="AA131" s="3">
        <v>8</v>
      </c>
      <c r="AB131" s="4">
        <v>9.2799999999999994</v>
      </c>
      <c r="AC131" s="73">
        <v>46210</v>
      </c>
      <c r="AD131" s="73">
        <v>46210</v>
      </c>
      <c r="AE131" s="73"/>
      <c r="AF131" s="73">
        <v>46210</v>
      </c>
      <c r="AG131" s="3">
        <v>8</v>
      </c>
      <c r="AH131" s="353" t="str">
        <f t="shared" si="6"/>
        <v/>
      </c>
      <c r="AI131" s="3" t="str">
        <f t="shared" si="7"/>
        <v>58</v>
      </c>
      <c r="AJ131" s="64" t="str">
        <f>VLOOKUP(T131,'GL Name'!A:B,2,0)</f>
        <v>สินค้าขาด(เกิน)บัญชี</v>
      </c>
      <c r="AL131" s="13">
        <f t="shared" si="8"/>
        <v>1.1599999999999999</v>
      </c>
      <c r="AM131" s="13" t="e">
        <f>VLOOKUP(I131,'Order 301-305 (เรียง)'!A:B,2,0)</f>
        <v>#N/A</v>
      </c>
      <c r="AN131" t="e">
        <f>VLOOKUP(I131,'Order 301-305 (เรียง)'!A:C,3,0)</f>
        <v>#N/A</v>
      </c>
    </row>
    <row r="132" spans="1:40" x14ac:dyDescent="0.3">
      <c r="A132" s="1" t="s">
        <v>569</v>
      </c>
      <c r="B132" s="1" t="s">
        <v>570</v>
      </c>
      <c r="C132" s="1" t="s">
        <v>64</v>
      </c>
      <c r="D132" s="1" t="s">
        <v>563</v>
      </c>
      <c r="E132" s="1" t="s">
        <v>564</v>
      </c>
      <c r="F132" s="1" t="s">
        <v>565</v>
      </c>
      <c r="G132" s="1" t="s">
        <v>101</v>
      </c>
      <c r="H132" s="1" t="s">
        <v>571</v>
      </c>
      <c r="I132" s="1" t="s">
        <v>68</v>
      </c>
      <c r="J132" s="1" t="s">
        <v>566</v>
      </c>
      <c r="K132" s="1" t="s">
        <v>567</v>
      </c>
      <c r="L132" s="1" t="s">
        <v>89</v>
      </c>
      <c r="M132" s="1" t="s">
        <v>68</v>
      </c>
      <c r="N132" s="1" t="s">
        <v>71</v>
      </c>
      <c r="O132" s="1" t="s">
        <v>68</v>
      </c>
      <c r="P132" s="1" t="s">
        <v>72</v>
      </c>
      <c r="Q132" s="1" t="s">
        <v>68</v>
      </c>
      <c r="R132" s="1" t="s">
        <v>68</v>
      </c>
      <c r="S132" s="1" t="s">
        <v>68</v>
      </c>
      <c r="T132" s="1" t="s">
        <v>568</v>
      </c>
      <c r="U132" s="1" t="s">
        <v>68</v>
      </c>
      <c r="V132" s="1" t="s">
        <v>68</v>
      </c>
      <c r="W132" s="1" t="s">
        <v>68</v>
      </c>
      <c r="X132" s="1" t="s">
        <v>68</v>
      </c>
      <c r="Y132" s="73"/>
      <c r="Z132" s="2" t="s">
        <v>241</v>
      </c>
      <c r="AA132" s="3">
        <v>160</v>
      </c>
      <c r="AB132" s="4">
        <v>304</v>
      </c>
      <c r="AC132" s="73">
        <v>46210</v>
      </c>
      <c r="AD132" s="73">
        <v>46210</v>
      </c>
      <c r="AE132" s="73"/>
      <c r="AF132" s="73">
        <v>46210</v>
      </c>
      <c r="AG132" s="3">
        <v>160</v>
      </c>
      <c r="AH132" s="353" t="str">
        <f t="shared" si="6"/>
        <v/>
      </c>
      <c r="AI132" s="3" t="str">
        <f t="shared" si="7"/>
        <v>58</v>
      </c>
      <c r="AJ132" s="64" t="str">
        <f>VLOOKUP(T132,'GL Name'!A:B,2,0)</f>
        <v>สินค้าขาด(เกิน)บัญชี</v>
      </c>
      <c r="AL132" s="13">
        <f t="shared" si="8"/>
        <v>1.9</v>
      </c>
      <c r="AM132" s="13" t="e">
        <f>VLOOKUP(I132,'Order 301-305 (เรียง)'!A:B,2,0)</f>
        <v>#N/A</v>
      </c>
      <c r="AN132" t="e">
        <f>VLOOKUP(I132,'Order 301-305 (เรียง)'!A:C,3,0)</f>
        <v>#N/A</v>
      </c>
    </row>
    <row r="133" spans="1:40" x14ac:dyDescent="0.3">
      <c r="A133" s="1" t="s">
        <v>572</v>
      </c>
      <c r="B133" s="1" t="s">
        <v>235</v>
      </c>
      <c r="C133" s="1" t="s">
        <v>64</v>
      </c>
      <c r="D133" s="1" t="s">
        <v>563</v>
      </c>
      <c r="E133" s="1" t="s">
        <v>564</v>
      </c>
      <c r="F133" s="1" t="s">
        <v>565</v>
      </c>
      <c r="G133" s="1" t="s">
        <v>101</v>
      </c>
      <c r="H133" s="1" t="s">
        <v>323</v>
      </c>
      <c r="I133" s="1" t="s">
        <v>68</v>
      </c>
      <c r="J133" s="1" t="s">
        <v>566</v>
      </c>
      <c r="K133" s="1" t="s">
        <v>567</v>
      </c>
      <c r="L133" s="1" t="s">
        <v>95</v>
      </c>
      <c r="M133" s="1" t="s">
        <v>68</v>
      </c>
      <c r="N133" s="1" t="s">
        <v>71</v>
      </c>
      <c r="O133" s="1" t="s">
        <v>68</v>
      </c>
      <c r="P133" s="1" t="s">
        <v>72</v>
      </c>
      <c r="Q133" s="1" t="s">
        <v>68</v>
      </c>
      <c r="R133" s="1" t="s">
        <v>68</v>
      </c>
      <c r="S133" s="1" t="s">
        <v>68</v>
      </c>
      <c r="T133" s="1" t="s">
        <v>568</v>
      </c>
      <c r="U133" s="1" t="s">
        <v>68</v>
      </c>
      <c r="V133" s="1" t="s">
        <v>68</v>
      </c>
      <c r="W133" s="1" t="s">
        <v>68</v>
      </c>
      <c r="X133" s="1" t="s">
        <v>68</v>
      </c>
      <c r="Y133" s="73"/>
      <c r="Z133" s="2" t="s">
        <v>102</v>
      </c>
      <c r="AA133" s="3">
        <v>1</v>
      </c>
      <c r="AB133" s="4">
        <v>4.4000000000000004</v>
      </c>
      <c r="AC133" s="73">
        <v>46210</v>
      </c>
      <c r="AD133" s="73">
        <v>46210</v>
      </c>
      <c r="AE133" s="73"/>
      <c r="AF133" s="73">
        <v>46210</v>
      </c>
      <c r="AG133" s="3">
        <v>1</v>
      </c>
      <c r="AH133" s="353" t="str">
        <f t="shared" si="6"/>
        <v/>
      </c>
      <c r="AI133" s="3" t="str">
        <f t="shared" si="7"/>
        <v>58</v>
      </c>
      <c r="AJ133" s="64" t="str">
        <f>VLOOKUP(T133,'GL Name'!A:B,2,0)</f>
        <v>สินค้าขาด(เกิน)บัญชี</v>
      </c>
      <c r="AL133" s="13">
        <f t="shared" si="8"/>
        <v>4.4000000000000004</v>
      </c>
      <c r="AM133" s="13" t="e">
        <f>VLOOKUP(I133,'Order 301-305 (เรียง)'!A:B,2,0)</f>
        <v>#N/A</v>
      </c>
      <c r="AN133" t="e">
        <f>VLOOKUP(I133,'Order 301-305 (เรียง)'!A:C,3,0)</f>
        <v>#N/A</v>
      </c>
    </row>
    <row r="134" spans="1:40" x14ac:dyDescent="0.3">
      <c r="A134" s="1" t="s">
        <v>9</v>
      </c>
      <c r="B134" s="1" t="s">
        <v>10</v>
      </c>
      <c r="C134" s="1" t="s">
        <v>64</v>
      </c>
      <c r="D134" s="1" t="s">
        <v>563</v>
      </c>
      <c r="E134" s="1" t="s">
        <v>564</v>
      </c>
      <c r="F134" s="1" t="s">
        <v>573</v>
      </c>
      <c r="G134" s="1" t="s">
        <v>232</v>
      </c>
      <c r="H134" s="1" t="s">
        <v>305</v>
      </c>
      <c r="I134" s="1" t="s">
        <v>68</v>
      </c>
      <c r="J134" s="1" t="s">
        <v>574</v>
      </c>
      <c r="K134" s="1" t="s">
        <v>567</v>
      </c>
      <c r="L134" s="1" t="s">
        <v>70</v>
      </c>
      <c r="M134" s="1" t="s">
        <v>68</v>
      </c>
      <c r="N134" s="1" t="s">
        <v>71</v>
      </c>
      <c r="O134" s="1" t="s">
        <v>68</v>
      </c>
      <c r="P134" s="1" t="s">
        <v>72</v>
      </c>
      <c r="Q134" s="1" t="s">
        <v>68</v>
      </c>
      <c r="R134" s="1" t="s">
        <v>68</v>
      </c>
      <c r="S134" s="1" t="s">
        <v>68</v>
      </c>
      <c r="T134" s="1" t="s">
        <v>568</v>
      </c>
      <c r="U134" s="1" t="s">
        <v>68</v>
      </c>
      <c r="V134" s="1" t="s">
        <v>68</v>
      </c>
      <c r="W134" s="1" t="s">
        <v>68</v>
      </c>
      <c r="X134" s="1" t="s">
        <v>68</v>
      </c>
      <c r="Y134" s="73"/>
      <c r="Z134" s="2" t="s">
        <v>265</v>
      </c>
      <c r="AA134" s="3">
        <v>38840</v>
      </c>
      <c r="AB134" s="4">
        <v>10248.719999999999</v>
      </c>
      <c r="AC134" s="73">
        <v>46210</v>
      </c>
      <c r="AD134" s="73">
        <v>46210</v>
      </c>
      <c r="AE134" s="73"/>
      <c r="AF134" s="73">
        <v>46210</v>
      </c>
      <c r="AG134" s="3">
        <v>38840</v>
      </c>
      <c r="AH134" s="353" t="str">
        <f t="shared" si="6"/>
        <v/>
      </c>
      <c r="AI134" s="3" t="str">
        <f t="shared" si="7"/>
        <v>54</v>
      </c>
      <c r="AJ134" s="64" t="str">
        <f>VLOOKUP(T134,'GL Name'!A:B,2,0)</f>
        <v>สินค้าขาด(เกิน)บัญชี</v>
      </c>
      <c r="AL134" s="13">
        <f t="shared" si="8"/>
        <v>0.26387023686920696</v>
      </c>
      <c r="AM134" s="13" t="e">
        <f>VLOOKUP(I134,'Order 301-305 (เรียง)'!A:B,2,0)</f>
        <v>#N/A</v>
      </c>
      <c r="AN134" t="e">
        <f>VLOOKUP(I134,'Order 301-305 (เรียง)'!A:C,3,0)</f>
        <v>#N/A</v>
      </c>
    </row>
    <row r="135" spans="1:40" x14ac:dyDescent="0.3">
      <c r="A135" s="1" t="s">
        <v>17</v>
      </c>
      <c r="B135" s="1" t="s">
        <v>18</v>
      </c>
      <c r="C135" s="1" t="s">
        <v>64</v>
      </c>
      <c r="D135" s="1" t="s">
        <v>563</v>
      </c>
      <c r="E135" s="1" t="s">
        <v>564</v>
      </c>
      <c r="F135" s="1" t="s">
        <v>573</v>
      </c>
      <c r="G135" s="1" t="s">
        <v>232</v>
      </c>
      <c r="H135" s="1" t="s">
        <v>304</v>
      </c>
      <c r="I135" s="1" t="s">
        <v>68</v>
      </c>
      <c r="J135" s="1" t="s">
        <v>574</v>
      </c>
      <c r="K135" s="1" t="s">
        <v>567</v>
      </c>
      <c r="L135" s="1" t="s">
        <v>86</v>
      </c>
      <c r="M135" s="1" t="s">
        <v>68</v>
      </c>
      <c r="N135" s="1" t="s">
        <v>71</v>
      </c>
      <c r="O135" s="1" t="s">
        <v>68</v>
      </c>
      <c r="P135" s="1" t="s">
        <v>72</v>
      </c>
      <c r="Q135" s="1" t="s">
        <v>68</v>
      </c>
      <c r="R135" s="1" t="s">
        <v>68</v>
      </c>
      <c r="S135" s="1" t="s">
        <v>68</v>
      </c>
      <c r="T135" s="1" t="s">
        <v>568</v>
      </c>
      <c r="U135" s="1" t="s">
        <v>68</v>
      </c>
      <c r="V135" s="1" t="s">
        <v>68</v>
      </c>
      <c r="W135" s="1" t="s">
        <v>68</v>
      </c>
      <c r="X135" s="1" t="s">
        <v>68</v>
      </c>
      <c r="Y135" s="73"/>
      <c r="Z135" s="2" t="s">
        <v>265</v>
      </c>
      <c r="AA135" s="3">
        <v>1390</v>
      </c>
      <c r="AB135" s="4">
        <v>216.56</v>
      </c>
      <c r="AC135" s="73">
        <v>46210</v>
      </c>
      <c r="AD135" s="73">
        <v>46210</v>
      </c>
      <c r="AE135" s="73"/>
      <c r="AF135" s="73">
        <v>46210</v>
      </c>
      <c r="AG135" s="3">
        <v>1390</v>
      </c>
      <c r="AH135" s="353" t="str">
        <f t="shared" si="6"/>
        <v/>
      </c>
      <c r="AI135" s="3" t="str">
        <f t="shared" si="7"/>
        <v>54</v>
      </c>
      <c r="AJ135" s="64" t="str">
        <f>VLOOKUP(T135,'GL Name'!A:B,2,0)</f>
        <v>สินค้าขาด(เกิน)บัญชี</v>
      </c>
      <c r="AL135" s="13">
        <f t="shared" si="8"/>
        <v>0.15579856115107915</v>
      </c>
      <c r="AM135" s="13" t="e">
        <f>VLOOKUP(I135,'Order 301-305 (เรียง)'!A:B,2,0)</f>
        <v>#N/A</v>
      </c>
      <c r="AN135" t="e">
        <f>VLOOKUP(I135,'Order 301-305 (เรียง)'!A:C,3,0)</f>
        <v>#N/A</v>
      </c>
    </row>
    <row r="136" spans="1:40" x14ac:dyDescent="0.3">
      <c r="A136" s="1" t="s">
        <v>15</v>
      </c>
      <c r="B136" s="1" t="s">
        <v>233</v>
      </c>
      <c r="C136" s="1" t="s">
        <v>64</v>
      </c>
      <c r="D136" s="1" t="s">
        <v>563</v>
      </c>
      <c r="E136" s="1" t="s">
        <v>564</v>
      </c>
      <c r="F136" s="1" t="s">
        <v>575</v>
      </c>
      <c r="G136" s="1" t="s">
        <v>279</v>
      </c>
      <c r="H136" s="1" t="s">
        <v>576</v>
      </c>
      <c r="I136" s="1" t="s">
        <v>68</v>
      </c>
      <c r="J136" s="1" t="s">
        <v>577</v>
      </c>
      <c r="K136" s="1" t="s">
        <v>567</v>
      </c>
      <c r="L136" s="1" t="s">
        <v>70</v>
      </c>
      <c r="M136" s="1" t="s">
        <v>68</v>
      </c>
      <c r="N136" s="1" t="s">
        <v>71</v>
      </c>
      <c r="O136" s="1" t="s">
        <v>68</v>
      </c>
      <c r="P136" s="1" t="s">
        <v>72</v>
      </c>
      <c r="Q136" s="1" t="s">
        <v>68</v>
      </c>
      <c r="R136" s="1" t="s">
        <v>68</v>
      </c>
      <c r="S136" s="1" t="s">
        <v>68</v>
      </c>
      <c r="T136" s="1" t="s">
        <v>568</v>
      </c>
      <c r="U136" s="1" t="s">
        <v>68</v>
      </c>
      <c r="V136" s="1" t="s">
        <v>68</v>
      </c>
      <c r="W136" s="1" t="s">
        <v>68</v>
      </c>
      <c r="X136" s="1" t="s">
        <v>68</v>
      </c>
      <c r="Y136" s="73"/>
      <c r="Z136" s="2" t="s">
        <v>265</v>
      </c>
      <c r="AA136" s="3">
        <v>45200</v>
      </c>
      <c r="AB136" s="4">
        <v>12194.51</v>
      </c>
      <c r="AC136" s="73">
        <v>46210</v>
      </c>
      <c r="AD136" s="73">
        <v>46210</v>
      </c>
      <c r="AE136" s="73"/>
      <c r="AF136" s="73">
        <v>46210</v>
      </c>
      <c r="AG136" s="3">
        <v>45200</v>
      </c>
      <c r="AH136" s="353" t="str">
        <f t="shared" si="6"/>
        <v/>
      </c>
      <c r="AI136" s="3" t="str">
        <f t="shared" si="7"/>
        <v>57</v>
      </c>
      <c r="AJ136" s="64" t="str">
        <f>VLOOKUP(T136,'GL Name'!A:B,2,0)</f>
        <v>สินค้าขาด(เกิน)บัญชี</v>
      </c>
      <c r="AL136" s="13">
        <f t="shared" si="8"/>
        <v>0.26979004424778763</v>
      </c>
      <c r="AM136" s="13" t="e">
        <f>VLOOKUP(I136,'Order 301-305 (เรียง)'!A:B,2,0)</f>
        <v>#N/A</v>
      </c>
      <c r="AN136" t="e">
        <f>VLOOKUP(I136,'Order 301-305 (เรียง)'!A:C,3,0)</f>
        <v>#N/A</v>
      </c>
    </row>
    <row r="137" spans="1:40" x14ac:dyDescent="0.3">
      <c r="A137" s="1" t="s">
        <v>13</v>
      </c>
      <c r="B137" s="1" t="s">
        <v>14</v>
      </c>
      <c r="C137" s="1" t="s">
        <v>64</v>
      </c>
      <c r="D137" s="1" t="s">
        <v>578</v>
      </c>
      <c r="E137" s="1" t="s">
        <v>579</v>
      </c>
      <c r="F137" s="1" t="s">
        <v>580</v>
      </c>
      <c r="G137" s="1" t="s">
        <v>279</v>
      </c>
      <c r="H137" s="1" t="s">
        <v>319</v>
      </c>
      <c r="I137" s="1" t="s">
        <v>68</v>
      </c>
      <c r="J137" s="1" t="s">
        <v>581</v>
      </c>
      <c r="K137" s="1" t="s">
        <v>567</v>
      </c>
      <c r="L137" s="1" t="s">
        <v>70</v>
      </c>
      <c r="M137" s="1" t="s">
        <v>68</v>
      </c>
      <c r="N137" s="1" t="s">
        <v>71</v>
      </c>
      <c r="O137" s="1" t="s">
        <v>68</v>
      </c>
      <c r="P137" s="1" t="s">
        <v>72</v>
      </c>
      <c r="Q137" s="1" t="s">
        <v>68</v>
      </c>
      <c r="R137" s="1" t="s">
        <v>68</v>
      </c>
      <c r="S137" s="1" t="s">
        <v>68</v>
      </c>
      <c r="T137" s="1" t="s">
        <v>568</v>
      </c>
      <c r="U137" s="1" t="s">
        <v>68</v>
      </c>
      <c r="V137" s="1" t="s">
        <v>68</v>
      </c>
      <c r="W137" s="1" t="s">
        <v>68</v>
      </c>
      <c r="X137" s="1" t="s">
        <v>68</v>
      </c>
      <c r="Y137" s="73"/>
      <c r="Z137" s="2" t="s">
        <v>265</v>
      </c>
      <c r="AA137" s="3">
        <v>-70</v>
      </c>
      <c r="AB137" s="4">
        <v>-18.89</v>
      </c>
      <c r="AC137" s="73">
        <v>46210</v>
      </c>
      <c r="AD137" s="73">
        <v>46210</v>
      </c>
      <c r="AE137" s="73"/>
      <c r="AF137" s="73">
        <v>46210</v>
      </c>
      <c r="AG137" s="3">
        <v>-70</v>
      </c>
      <c r="AH137" s="353" t="str">
        <f t="shared" si="6"/>
        <v/>
      </c>
      <c r="AI137" s="3" t="str">
        <f t="shared" si="7"/>
        <v>57</v>
      </c>
      <c r="AJ137" s="64" t="str">
        <f>VLOOKUP(T137,'GL Name'!A:B,2,0)</f>
        <v>สินค้าขาด(เกิน)บัญชี</v>
      </c>
      <c r="AL137" s="13">
        <f t="shared" si="8"/>
        <v>0.26985714285714285</v>
      </c>
      <c r="AM137" s="13" t="e">
        <f>VLOOKUP(I137,'Order 301-305 (เรียง)'!A:B,2,0)</f>
        <v>#N/A</v>
      </c>
      <c r="AN137" t="e">
        <f>VLOOKUP(I137,'Order 301-305 (เรียง)'!A:C,3,0)</f>
        <v>#N/A</v>
      </c>
    </row>
    <row r="138" spans="1:40" x14ac:dyDescent="0.3">
      <c r="A138" s="1" t="s">
        <v>19</v>
      </c>
      <c r="B138" s="1" t="s">
        <v>20</v>
      </c>
      <c r="C138" s="1" t="s">
        <v>64</v>
      </c>
      <c r="D138" s="1" t="s">
        <v>578</v>
      </c>
      <c r="E138" s="1" t="s">
        <v>579</v>
      </c>
      <c r="F138" s="1" t="s">
        <v>580</v>
      </c>
      <c r="G138" s="1" t="s">
        <v>279</v>
      </c>
      <c r="H138" s="1" t="s">
        <v>296</v>
      </c>
      <c r="I138" s="1" t="s">
        <v>68</v>
      </c>
      <c r="J138" s="1" t="s">
        <v>581</v>
      </c>
      <c r="K138" s="1" t="s">
        <v>567</v>
      </c>
      <c r="L138" s="1" t="s">
        <v>86</v>
      </c>
      <c r="M138" s="1" t="s">
        <v>68</v>
      </c>
      <c r="N138" s="1" t="s">
        <v>71</v>
      </c>
      <c r="O138" s="1" t="s">
        <v>68</v>
      </c>
      <c r="P138" s="1" t="s">
        <v>72</v>
      </c>
      <c r="Q138" s="1" t="s">
        <v>68</v>
      </c>
      <c r="R138" s="1" t="s">
        <v>68</v>
      </c>
      <c r="S138" s="1" t="s">
        <v>68</v>
      </c>
      <c r="T138" s="1" t="s">
        <v>568</v>
      </c>
      <c r="U138" s="1" t="s">
        <v>68</v>
      </c>
      <c r="V138" s="1" t="s">
        <v>68</v>
      </c>
      <c r="W138" s="1" t="s">
        <v>68</v>
      </c>
      <c r="X138" s="1" t="s">
        <v>68</v>
      </c>
      <c r="Y138" s="73"/>
      <c r="Z138" s="2" t="s">
        <v>265</v>
      </c>
      <c r="AA138" s="3">
        <v>-60</v>
      </c>
      <c r="AB138" s="4">
        <v>-9.64</v>
      </c>
      <c r="AC138" s="73">
        <v>46210</v>
      </c>
      <c r="AD138" s="73">
        <v>46210</v>
      </c>
      <c r="AE138" s="73"/>
      <c r="AF138" s="73">
        <v>46210</v>
      </c>
      <c r="AG138" s="3">
        <v>-60</v>
      </c>
      <c r="AH138" s="353" t="str">
        <f t="shared" si="6"/>
        <v/>
      </c>
      <c r="AI138" s="3" t="str">
        <f t="shared" si="7"/>
        <v>57</v>
      </c>
      <c r="AJ138" s="64" t="str">
        <f>VLOOKUP(T138,'GL Name'!A:B,2,0)</f>
        <v>สินค้าขาด(เกิน)บัญชี</v>
      </c>
      <c r="AL138" s="13">
        <f t="shared" si="8"/>
        <v>0.16066666666666668</v>
      </c>
      <c r="AM138" s="13" t="e">
        <f>VLOOKUP(I138,'Order 301-305 (เรียง)'!A:B,2,0)</f>
        <v>#N/A</v>
      </c>
      <c r="AN138" t="e">
        <f>VLOOKUP(I138,'Order 301-305 (เรียง)'!A:C,3,0)</f>
        <v>#N/A</v>
      </c>
    </row>
    <row r="139" spans="1:40" x14ac:dyDescent="0.3">
      <c r="A139" s="1" t="s">
        <v>21</v>
      </c>
      <c r="B139" s="1" t="s">
        <v>234</v>
      </c>
      <c r="C139" s="1" t="s">
        <v>64</v>
      </c>
      <c r="D139" s="1" t="s">
        <v>578</v>
      </c>
      <c r="E139" s="1" t="s">
        <v>579</v>
      </c>
      <c r="F139" s="1" t="s">
        <v>580</v>
      </c>
      <c r="G139" s="1" t="s">
        <v>279</v>
      </c>
      <c r="H139" s="1" t="s">
        <v>284</v>
      </c>
      <c r="I139" s="1" t="s">
        <v>68</v>
      </c>
      <c r="J139" s="1" t="s">
        <v>581</v>
      </c>
      <c r="K139" s="1" t="s">
        <v>567</v>
      </c>
      <c r="L139" s="1" t="s">
        <v>92</v>
      </c>
      <c r="M139" s="1" t="s">
        <v>68</v>
      </c>
      <c r="N139" s="1" t="s">
        <v>71</v>
      </c>
      <c r="O139" s="1" t="s">
        <v>68</v>
      </c>
      <c r="P139" s="1" t="s">
        <v>72</v>
      </c>
      <c r="Q139" s="1" t="s">
        <v>68</v>
      </c>
      <c r="R139" s="1" t="s">
        <v>68</v>
      </c>
      <c r="S139" s="1" t="s">
        <v>68</v>
      </c>
      <c r="T139" s="1" t="s">
        <v>568</v>
      </c>
      <c r="U139" s="1" t="s">
        <v>68</v>
      </c>
      <c r="V139" s="1" t="s">
        <v>68</v>
      </c>
      <c r="W139" s="1" t="s">
        <v>68</v>
      </c>
      <c r="X139" s="1" t="s">
        <v>68</v>
      </c>
      <c r="Y139" s="73"/>
      <c r="Z139" s="2" t="s">
        <v>265</v>
      </c>
      <c r="AA139" s="3">
        <v>-199810</v>
      </c>
      <c r="AB139" s="4">
        <v>-32093.48</v>
      </c>
      <c r="AC139" s="73">
        <v>46210</v>
      </c>
      <c r="AD139" s="73">
        <v>46210</v>
      </c>
      <c r="AE139" s="73"/>
      <c r="AF139" s="73">
        <v>46210</v>
      </c>
      <c r="AG139" s="3">
        <v>-199810</v>
      </c>
      <c r="AH139" s="353" t="str">
        <f t="shared" si="6"/>
        <v/>
      </c>
      <c r="AI139" s="3" t="str">
        <f t="shared" si="7"/>
        <v>57</v>
      </c>
      <c r="AJ139" s="64" t="str">
        <f>VLOOKUP(T139,'GL Name'!A:B,2,0)</f>
        <v>สินค้าขาด(เกิน)บัญชี</v>
      </c>
      <c r="AL139" s="13">
        <f t="shared" si="8"/>
        <v>0.16061998898954005</v>
      </c>
      <c r="AM139" s="13" t="e">
        <f>VLOOKUP(I139,'Order 301-305 (เรียง)'!A:B,2,0)</f>
        <v>#N/A</v>
      </c>
      <c r="AN139" t="e">
        <f>VLOOKUP(I139,'Order 301-305 (เรียง)'!A:C,3,0)</f>
        <v>#N/A</v>
      </c>
    </row>
    <row r="140" spans="1:40" x14ac:dyDescent="0.3">
      <c r="A140" s="1" t="s">
        <v>9</v>
      </c>
      <c r="B140" s="1" t="s">
        <v>10</v>
      </c>
      <c r="C140" s="1" t="s">
        <v>64</v>
      </c>
      <c r="D140" s="1" t="s">
        <v>87</v>
      </c>
      <c r="E140" s="1" t="s">
        <v>88</v>
      </c>
      <c r="F140" s="1" t="s">
        <v>582</v>
      </c>
      <c r="G140" s="1" t="s">
        <v>278</v>
      </c>
      <c r="H140" s="1" t="s">
        <v>327</v>
      </c>
      <c r="I140" s="1" t="s">
        <v>68</v>
      </c>
      <c r="J140" s="1" t="s">
        <v>583</v>
      </c>
      <c r="K140" s="1" t="s">
        <v>290</v>
      </c>
      <c r="L140" s="1" t="s">
        <v>70</v>
      </c>
      <c r="M140" s="1" t="s">
        <v>68</v>
      </c>
      <c r="N140" s="1" t="s">
        <v>71</v>
      </c>
      <c r="O140" s="1" t="s">
        <v>68</v>
      </c>
      <c r="P140" s="1" t="s">
        <v>584</v>
      </c>
      <c r="Q140" s="1" t="s">
        <v>68</v>
      </c>
      <c r="R140" s="1" t="s">
        <v>585</v>
      </c>
      <c r="S140" s="1" t="s">
        <v>90</v>
      </c>
      <c r="T140" s="1" t="s">
        <v>91</v>
      </c>
      <c r="U140" s="1" t="s">
        <v>68</v>
      </c>
      <c r="V140" s="1" t="s">
        <v>68</v>
      </c>
      <c r="W140" s="1" t="s">
        <v>68</v>
      </c>
      <c r="X140" s="1" t="s">
        <v>68</v>
      </c>
      <c r="Y140" s="73"/>
      <c r="Z140" s="2" t="s">
        <v>265</v>
      </c>
      <c r="AA140" s="3">
        <v>-500</v>
      </c>
      <c r="AB140" s="4">
        <v>-131.94</v>
      </c>
      <c r="AC140" s="73">
        <v>46210</v>
      </c>
      <c r="AD140" s="73">
        <v>46210</v>
      </c>
      <c r="AE140" s="73"/>
      <c r="AF140" s="73">
        <v>46210</v>
      </c>
      <c r="AG140" s="3">
        <v>-500</v>
      </c>
      <c r="AH140" s="353" t="str">
        <f t="shared" si="6"/>
        <v/>
      </c>
      <c r="AI140" s="3" t="str">
        <f t="shared" si="7"/>
        <v>54</v>
      </c>
      <c r="AJ140" s="64" t="str">
        <f>VLOOKUP(T140,'GL Name'!A:B,2,0)</f>
        <v>ค่าวิจัยคุณภาพสินค้า</v>
      </c>
      <c r="AL140" s="13">
        <f t="shared" si="8"/>
        <v>0.26388</v>
      </c>
      <c r="AM140" s="13" t="e">
        <f>VLOOKUP(I140,'Order 301-305 (เรียง)'!A:B,2,0)</f>
        <v>#N/A</v>
      </c>
      <c r="AN140" t="e">
        <f>VLOOKUP(I140,'Order 301-305 (เรียง)'!A:C,3,0)</f>
        <v>#N/A</v>
      </c>
    </row>
    <row r="141" spans="1:40" x14ac:dyDescent="0.3">
      <c r="A141" s="1" t="s">
        <v>119</v>
      </c>
      <c r="B141" s="1" t="s">
        <v>120</v>
      </c>
      <c r="C141" s="1" t="s">
        <v>64</v>
      </c>
      <c r="D141" s="1" t="s">
        <v>578</v>
      </c>
      <c r="E141" s="1" t="s">
        <v>579</v>
      </c>
      <c r="F141" s="1" t="s">
        <v>586</v>
      </c>
      <c r="G141" s="1" t="s">
        <v>101</v>
      </c>
      <c r="H141" s="1" t="s">
        <v>302</v>
      </c>
      <c r="I141" s="1" t="s">
        <v>68</v>
      </c>
      <c r="J141" s="1" t="s">
        <v>587</v>
      </c>
      <c r="K141" s="1" t="s">
        <v>567</v>
      </c>
      <c r="L141" s="1" t="s">
        <v>70</v>
      </c>
      <c r="M141" s="1" t="s">
        <v>68</v>
      </c>
      <c r="N141" s="1" t="s">
        <v>71</v>
      </c>
      <c r="O141" s="1" t="s">
        <v>68</v>
      </c>
      <c r="P141" s="1" t="s">
        <v>72</v>
      </c>
      <c r="Q141" s="1" t="s">
        <v>68</v>
      </c>
      <c r="R141" s="1" t="s">
        <v>68</v>
      </c>
      <c r="S141" s="1" t="s">
        <v>68</v>
      </c>
      <c r="T141" s="1" t="s">
        <v>568</v>
      </c>
      <c r="U141" s="1" t="s">
        <v>68</v>
      </c>
      <c r="V141" s="1" t="s">
        <v>68</v>
      </c>
      <c r="W141" s="1" t="s">
        <v>68</v>
      </c>
      <c r="X141" s="1" t="s">
        <v>68</v>
      </c>
      <c r="Y141" s="73"/>
      <c r="Z141" s="2" t="s">
        <v>102</v>
      </c>
      <c r="AA141" s="3">
        <v>-51</v>
      </c>
      <c r="AB141" s="4">
        <v>-106.26</v>
      </c>
      <c r="AC141" s="73">
        <v>46210</v>
      </c>
      <c r="AD141" s="73">
        <v>46210</v>
      </c>
      <c r="AE141" s="73"/>
      <c r="AF141" s="73">
        <v>46210</v>
      </c>
      <c r="AG141" s="3">
        <v>-51</v>
      </c>
      <c r="AH141" s="353" t="str">
        <f t="shared" si="6"/>
        <v/>
      </c>
      <c r="AI141" s="3" t="str">
        <f t="shared" si="7"/>
        <v>58</v>
      </c>
      <c r="AJ141" s="64" t="str">
        <f>VLOOKUP(T141,'GL Name'!A:B,2,0)</f>
        <v>สินค้าขาด(เกิน)บัญชี</v>
      </c>
      <c r="AL141" s="13">
        <f t="shared" si="8"/>
        <v>2.0835294117647059</v>
      </c>
      <c r="AM141" s="13" t="e">
        <f>VLOOKUP(I141,'Order 301-305 (เรียง)'!A:B,2,0)</f>
        <v>#N/A</v>
      </c>
      <c r="AN141" t="e">
        <f>VLOOKUP(I141,'Order 301-305 (เรียง)'!A:C,3,0)</f>
        <v>#N/A</v>
      </c>
    </row>
    <row r="142" spans="1:40" x14ac:dyDescent="0.3">
      <c r="A142" s="1" t="s">
        <v>9</v>
      </c>
      <c r="B142" s="1" t="s">
        <v>10</v>
      </c>
      <c r="C142" s="1" t="s">
        <v>64</v>
      </c>
      <c r="D142" s="1" t="s">
        <v>77</v>
      </c>
      <c r="E142" s="1" t="s">
        <v>78</v>
      </c>
      <c r="F142" s="1" t="s">
        <v>588</v>
      </c>
      <c r="G142" s="1" t="s">
        <v>278</v>
      </c>
      <c r="H142" s="1" t="s">
        <v>561</v>
      </c>
      <c r="I142" s="1" t="s">
        <v>589</v>
      </c>
      <c r="J142" s="1" t="s">
        <v>590</v>
      </c>
      <c r="K142" s="1" t="s">
        <v>290</v>
      </c>
      <c r="L142" s="1" t="s">
        <v>70</v>
      </c>
      <c r="M142" s="1" t="s">
        <v>68</v>
      </c>
      <c r="N142" s="1" t="s">
        <v>71</v>
      </c>
      <c r="O142" s="1" t="s">
        <v>68</v>
      </c>
      <c r="P142" s="1" t="s">
        <v>591</v>
      </c>
      <c r="Q142" s="1" t="s">
        <v>68</v>
      </c>
      <c r="R142" s="1" t="s">
        <v>68</v>
      </c>
      <c r="S142" s="1" t="s">
        <v>68</v>
      </c>
      <c r="T142" s="1" t="s">
        <v>79</v>
      </c>
      <c r="U142" s="1" t="s">
        <v>68</v>
      </c>
      <c r="V142" s="1" t="s">
        <v>68</v>
      </c>
      <c r="W142" s="1" t="s">
        <v>68</v>
      </c>
      <c r="X142" s="1" t="s">
        <v>68</v>
      </c>
      <c r="Y142" s="73"/>
      <c r="Z142" s="2" t="s">
        <v>80</v>
      </c>
      <c r="AA142" s="3">
        <v>-14936.9</v>
      </c>
      <c r="AB142" s="4">
        <v>-3941403.08</v>
      </c>
      <c r="AC142" s="73">
        <v>46210</v>
      </c>
      <c r="AD142" s="73">
        <v>46209</v>
      </c>
      <c r="AE142" s="73"/>
      <c r="AF142" s="73">
        <v>46210</v>
      </c>
      <c r="AG142" s="3">
        <v>-14936900</v>
      </c>
      <c r="AH142" s="353" t="str">
        <f t="shared" si="6"/>
        <v>301</v>
      </c>
      <c r="AI142" s="3" t="str">
        <f t="shared" si="7"/>
        <v>54</v>
      </c>
      <c r="AJ142" s="64" t="str">
        <f>VLOOKUP(T142,'GL Name'!A:B,2,0)</f>
        <v>ต้นทุนผลิต-วัตถุดิบ</v>
      </c>
      <c r="AL142" s="13">
        <f t="shared" si="8"/>
        <v>263.87021938956548</v>
      </c>
      <c r="AM142" s="13" t="str">
        <f>VLOOKUP(I142,'Order 301-305 (เรียง)'!A:B,2,0)</f>
        <v>Semi</v>
      </c>
      <c r="AN142" t="str">
        <f>VLOOKUP(I142,'Order 301-305 (เรียง)'!A:C,3,0)</f>
        <v>Semi เมล็ดกาแฟ</v>
      </c>
    </row>
    <row r="143" spans="1:40" x14ac:dyDescent="0.3">
      <c r="A143" s="1" t="s">
        <v>62</v>
      </c>
      <c r="B143" s="1" t="s">
        <v>63</v>
      </c>
      <c r="C143" s="1" t="s">
        <v>64</v>
      </c>
      <c r="D143" s="1" t="s">
        <v>65</v>
      </c>
      <c r="E143" s="1" t="s">
        <v>66</v>
      </c>
      <c r="F143" s="1" t="s">
        <v>592</v>
      </c>
      <c r="G143" s="1" t="s">
        <v>67</v>
      </c>
      <c r="H143" s="1" t="s">
        <v>281</v>
      </c>
      <c r="I143" s="1" t="s">
        <v>68</v>
      </c>
      <c r="J143" s="1" t="s">
        <v>593</v>
      </c>
      <c r="K143" s="1" t="s">
        <v>96</v>
      </c>
      <c r="L143" s="1" t="s">
        <v>70</v>
      </c>
      <c r="M143" s="1" t="s">
        <v>68</v>
      </c>
      <c r="N143" s="1" t="s">
        <v>71</v>
      </c>
      <c r="O143" s="1" t="s">
        <v>68</v>
      </c>
      <c r="P143" s="1" t="s">
        <v>72</v>
      </c>
      <c r="Q143" s="1" t="s">
        <v>68</v>
      </c>
      <c r="R143" s="1" t="s">
        <v>68</v>
      </c>
      <c r="S143" s="1" t="s">
        <v>68</v>
      </c>
      <c r="T143" s="1" t="s">
        <v>73</v>
      </c>
      <c r="U143" s="1" t="s">
        <v>68</v>
      </c>
      <c r="V143" s="1" t="s">
        <v>68</v>
      </c>
      <c r="W143" s="1" t="s">
        <v>68</v>
      </c>
      <c r="X143" s="1" t="s">
        <v>594</v>
      </c>
      <c r="Y143" s="73"/>
      <c r="Z143" s="2" t="s">
        <v>74</v>
      </c>
      <c r="AA143" s="3">
        <v>-2</v>
      </c>
      <c r="AB143" s="4">
        <v>-338.72</v>
      </c>
      <c r="AC143" s="73">
        <v>46210</v>
      </c>
      <c r="AD143" s="73">
        <v>46210</v>
      </c>
      <c r="AE143" s="73"/>
      <c r="AF143" s="73">
        <v>46210</v>
      </c>
      <c r="AG143" s="3">
        <v>-1000</v>
      </c>
      <c r="AH143" s="353" t="str">
        <f t="shared" si="6"/>
        <v/>
      </c>
      <c r="AI143" s="3" t="str">
        <f t="shared" si="7"/>
        <v>59</v>
      </c>
      <c r="AJ143" s="64" t="str">
        <f>VLOOKUP(T143,'GL Name'!A:B,2,0)</f>
        <v>ต้นทุนขาย</v>
      </c>
      <c r="AL143" s="13">
        <f t="shared" si="8"/>
        <v>169.36</v>
      </c>
      <c r="AM143" s="13" t="e">
        <f>VLOOKUP(I143,'Order 301-305 (เรียง)'!A:B,2,0)</f>
        <v>#N/A</v>
      </c>
      <c r="AN143" t="e">
        <f>VLOOKUP(I143,'Order 301-305 (เรียง)'!A:C,3,0)</f>
        <v>#N/A</v>
      </c>
    </row>
    <row r="144" spans="1:40" x14ac:dyDescent="0.3">
      <c r="A144" s="1" t="s">
        <v>242</v>
      </c>
      <c r="B144" s="1" t="s">
        <v>243</v>
      </c>
      <c r="C144" s="1" t="s">
        <v>64</v>
      </c>
      <c r="D144" s="1" t="s">
        <v>65</v>
      </c>
      <c r="E144" s="1" t="s">
        <v>66</v>
      </c>
      <c r="F144" s="1" t="s">
        <v>592</v>
      </c>
      <c r="G144" s="1" t="s">
        <v>67</v>
      </c>
      <c r="H144" s="1" t="s">
        <v>595</v>
      </c>
      <c r="I144" s="1" t="s">
        <v>68</v>
      </c>
      <c r="J144" s="1" t="s">
        <v>593</v>
      </c>
      <c r="K144" s="1" t="s">
        <v>96</v>
      </c>
      <c r="L144" s="1" t="s">
        <v>92</v>
      </c>
      <c r="M144" s="1" t="s">
        <v>68</v>
      </c>
      <c r="N144" s="1" t="s">
        <v>71</v>
      </c>
      <c r="O144" s="1" t="s">
        <v>68</v>
      </c>
      <c r="P144" s="1" t="s">
        <v>72</v>
      </c>
      <c r="Q144" s="1" t="s">
        <v>68</v>
      </c>
      <c r="R144" s="1" t="s">
        <v>68</v>
      </c>
      <c r="S144" s="1" t="s">
        <v>68</v>
      </c>
      <c r="T144" s="1" t="s">
        <v>73</v>
      </c>
      <c r="U144" s="1" t="s">
        <v>68</v>
      </c>
      <c r="V144" s="1" t="s">
        <v>68</v>
      </c>
      <c r="W144" s="1" t="s">
        <v>68</v>
      </c>
      <c r="X144" s="1" t="s">
        <v>594</v>
      </c>
      <c r="Y144" s="73"/>
      <c r="Z144" s="2" t="s">
        <v>74</v>
      </c>
      <c r="AA144" s="3">
        <v>-4</v>
      </c>
      <c r="AB144" s="4">
        <v>-318.44</v>
      </c>
      <c r="AC144" s="73">
        <v>46210</v>
      </c>
      <c r="AD144" s="73">
        <v>46210</v>
      </c>
      <c r="AE144" s="73"/>
      <c r="AF144" s="73">
        <v>46210</v>
      </c>
      <c r="AG144" s="3">
        <v>-1000</v>
      </c>
      <c r="AH144" s="353" t="str">
        <f t="shared" si="6"/>
        <v/>
      </c>
      <c r="AI144" s="3" t="str">
        <f t="shared" si="7"/>
        <v>59</v>
      </c>
      <c r="AJ144" s="64" t="str">
        <f>VLOOKUP(T144,'GL Name'!A:B,2,0)</f>
        <v>ต้นทุนขาย</v>
      </c>
      <c r="AL144" s="13">
        <f t="shared" si="8"/>
        <v>79.61</v>
      </c>
      <c r="AM144" s="13" t="e">
        <f>VLOOKUP(I144,'Order 301-305 (เรียง)'!A:B,2,0)</f>
        <v>#N/A</v>
      </c>
      <c r="AN144" t="e">
        <f>VLOOKUP(I144,'Order 301-305 (เรียง)'!A:C,3,0)</f>
        <v>#N/A</v>
      </c>
    </row>
    <row r="145" spans="1:40" x14ac:dyDescent="0.3">
      <c r="A145" s="1" t="s">
        <v>262</v>
      </c>
      <c r="B145" s="1" t="s">
        <v>263</v>
      </c>
      <c r="C145" s="1" t="s">
        <v>64</v>
      </c>
      <c r="D145" s="1" t="s">
        <v>65</v>
      </c>
      <c r="E145" s="1" t="s">
        <v>66</v>
      </c>
      <c r="F145" s="1" t="s">
        <v>592</v>
      </c>
      <c r="G145" s="1" t="s">
        <v>67</v>
      </c>
      <c r="H145" s="1" t="s">
        <v>264</v>
      </c>
      <c r="I145" s="1" t="s">
        <v>68</v>
      </c>
      <c r="J145" s="1" t="s">
        <v>593</v>
      </c>
      <c r="K145" s="1" t="s">
        <v>96</v>
      </c>
      <c r="L145" s="1" t="s">
        <v>86</v>
      </c>
      <c r="M145" s="1" t="s">
        <v>68</v>
      </c>
      <c r="N145" s="1" t="s">
        <v>71</v>
      </c>
      <c r="O145" s="1" t="s">
        <v>68</v>
      </c>
      <c r="P145" s="1" t="s">
        <v>72</v>
      </c>
      <c r="Q145" s="1" t="s">
        <v>68</v>
      </c>
      <c r="R145" s="1" t="s">
        <v>68</v>
      </c>
      <c r="S145" s="1" t="s">
        <v>68</v>
      </c>
      <c r="T145" s="1" t="s">
        <v>73</v>
      </c>
      <c r="U145" s="1" t="s">
        <v>68</v>
      </c>
      <c r="V145" s="1" t="s">
        <v>68</v>
      </c>
      <c r="W145" s="1" t="s">
        <v>68</v>
      </c>
      <c r="X145" s="1" t="s">
        <v>594</v>
      </c>
      <c r="Y145" s="73"/>
      <c r="Z145" s="2" t="s">
        <v>74</v>
      </c>
      <c r="AA145" s="3">
        <v>-2</v>
      </c>
      <c r="AB145" s="4">
        <v>-350.94</v>
      </c>
      <c r="AC145" s="73">
        <v>46210</v>
      </c>
      <c r="AD145" s="73">
        <v>46210</v>
      </c>
      <c r="AE145" s="73"/>
      <c r="AF145" s="73">
        <v>46210</v>
      </c>
      <c r="AG145" s="3">
        <v>-1000</v>
      </c>
      <c r="AH145" s="353" t="str">
        <f t="shared" si="6"/>
        <v/>
      </c>
      <c r="AI145" s="3" t="str">
        <f t="shared" si="7"/>
        <v>59</v>
      </c>
      <c r="AJ145" s="64" t="str">
        <f>VLOOKUP(T145,'GL Name'!A:B,2,0)</f>
        <v>ต้นทุนขาย</v>
      </c>
      <c r="AL145" s="13">
        <f t="shared" si="8"/>
        <v>175.47</v>
      </c>
      <c r="AM145" s="13" t="e">
        <f>VLOOKUP(I145,'Order 301-305 (เรียง)'!A:B,2,0)</f>
        <v>#N/A</v>
      </c>
      <c r="AN145" t="e">
        <f>VLOOKUP(I145,'Order 301-305 (เรียง)'!A:C,3,0)</f>
        <v>#N/A</v>
      </c>
    </row>
    <row r="146" spans="1:40" x14ac:dyDescent="0.3">
      <c r="A146" s="1" t="s">
        <v>106</v>
      </c>
      <c r="B146" s="1" t="s">
        <v>107</v>
      </c>
      <c r="C146" s="1" t="s">
        <v>64</v>
      </c>
      <c r="D146" s="1" t="s">
        <v>125</v>
      </c>
      <c r="E146" s="1" t="s">
        <v>289</v>
      </c>
      <c r="F146" s="1" t="s">
        <v>596</v>
      </c>
      <c r="G146" s="1" t="s">
        <v>103</v>
      </c>
      <c r="H146" s="1" t="s">
        <v>286</v>
      </c>
      <c r="I146" s="1" t="s">
        <v>68</v>
      </c>
      <c r="J146" s="1" t="s">
        <v>597</v>
      </c>
      <c r="K146" s="1" t="s">
        <v>294</v>
      </c>
      <c r="L146" s="1" t="s">
        <v>109</v>
      </c>
      <c r="M146" s="1" t="s">
        <v>68</v>
      </c>
      <c r="N146" s="1" t="s">
        <v>71</v>
      </c>
      <c r="O146" s="1" t="s">
        <v>68</v>
      </c>
      <c r="P146" s="1" t="s">
        <v>72</v>
      </c>
      <c r="Q146" s="1" t="s">
        <v>68</v>
      </c>
      <c r="R146" s="1" t="s">
        <v>68</v>
      </c>
      <c r="S146" s="1" t="s">
        <v>68</v>
      </c>
      <c r="T146" s="1" t="s">
        <v>68</v>
      </c>
      <c r="U146" s="1" t="s">
        <v>68</v>
      </c>
      <c r="V146" s="1" t="s">
        <v>68</v>
      </c>
      <c r="W146" s="1" t="s">
        <v>68</v>
      </c>
      <c r="X146" s="1" t="s">
        <v>68</v>
      </c>
      <c r="Y146" s="73"/>
      <c r="Z146" s="2" t="s">
        <v>102</v>
      </c>
      <c r="AA146" s="3">
        <v>20000</v>
      </c>
      <c r="AB146" s="4">
        <v>0</v>
      </c>
      <c r="AC146" s="73">
        <v>46210</v>
      </c>
      <c r="AD146" s="73">
        <v>46210</v>
      </c>
      <c r="AE146" s="73"/>
      <c r="AF146" s="73">
        <v>46210</v>
      </c>
      <c r="AG146" s="3">
        <v>20000</v>
      </c>
      <c r="AH146" s="353" t="str">
        <f t="shared" si="6"/>
        <v/>
      </c>
      <c r="AI146" s="3" t="str">
        <f t="shared" si="7"/>
        <v>58</v>
      </c>
      <c r="AJ146" s="64" t="e">
        <f>VLOOKUP(T146,'GL Name'!A:B,2,0)</f>
        <v>#N/A</v>
      </c>
      <c r="AL146" s="13">
        <f t="shared" si="8"/>
        <v>0</v>
      </c>
      <c r="AM146" s="13" t="e">
        <f>VLOOKUP(I146,'Order 301-305 (เรียง)'!A:B,2,0)</f>
        <v>#N/A</v>
      </c>
      <c r="AN146" t="e">
        <f>VLOOKUP(I146,'Order 301-305 (เรียง)'!A:C,3,0)</f>
        <v>#N/A</v>
      </c>
    </row>
    <row r="147" spans="1:40" x14ac:dyDescent="0.3">
      <c r="A147" s="1" t="s">
        <v>106</v>
      </c>
      <c r="B147" s="1" t="s">
        <v>107</v>
      </c>
      <c r="C147" s="1" t="s">
        <v>64</v>
      </c>
      <c r="D147" s="1" t="s">
        <v>125</v>
      </c>
      <c r="E147" s="1" t="s">
        <v>289</v>
      </c>
      <c r="F147" s="1" t="s">
        <v>596</v>
      </c>
      <c r="G147" s="1" t="s">
        <v>101</v>
      </c>
      <c r="H147" s="1" t="s">
        <v>286</v>
      </c>
      <c r="I147" s="1" t="s">
        <v>68</v>
      </c>
      <c r="J147" s="1" t="s">
        <v>597</v>
      </c>
      <c r="K147" s="1" t="s">
        <v>294</v>
      </c>
      <c r="L147" s="1" t="s">
        <v>112</v>
      </c>
      <c r="M147" s="1" t="s">
        <v>68</v>
      </c>
      <c r="N147" s="1" t="s">
        <v>71</v>
      </c>
      <c r="O147" s="1" t="s">
        <v>68</v>
      </c>
      <c r="P147" s="1" t="s">
        <v>72</v>
      </c>
      <c r="Q147" s="1" t="s">
        <v>68</v>
      </c>
      <c r="R147" s="1" t="s">
        <v>68</v>
      </c>
      <c r="S147" s="1" t="s">
        <v>68</v>
      </c>
      <c r="T147" s="1" t="s">
        <v>68</v>
      </c>
      <c r="U147" s="1" t="s">
        <v>68</v>
      </c>
      <c r="V147" s="1" t="s">
        <v>68</v>
      </c>
      <c r="W147" s="1" t="s">
        <v>68</v>
      </c>
      <c r="X147" s="1" t="s">
        <v>68</v>
      </c>
      <c r="Y147" s="73"/>
      <c r="Z147" s="2" t="s">
        <v>102</v>
      </c>
      <c r="AA147" s="3">
        <v>-20000</v>
      </c>
      <c r="AB147" s="4">
        <v>0</v>
      </c>
      <c r="AC147" s="73">
        <v>46210</v>
      </c>
      <c r="AD147" s="73">
        <v>46210</v>
      </c>
      <c r="AE147" s="73"/>
      <c r="AF147" s="73">
        <v>46210</v>
      </c>
      <c r="AG147" s="3">
        <v>-20000</v>
      </c>
      <c r="AH147" s="353" t="str">
        <f t="shared" si="6"/>
        <v/>
      </c>
      <c r="AI147" s="3" t="str">
        <f t="shared" si="7"/>
        <v>58</v>
      </c>
      <c r="AJ147" s="64" t="e">
        <f>VLOOKUP(T147,'GL Name'!A:B,2,0)</f>
        <v>#N/A</v>
      </c>
      <c r="AL147" s="13">
        <f t="shared" si="8"/>
        <v>0</v>
      </c>
      <c r="AM147" s="13" t="e">
        <f>VLOOKUP(I147,'Order 301-305 (เรียง)'!A:B,2,0)</f>
        <v>#N/A</v>
      </c>
      <c r="AN147" t="e">
        <f>VLOOKUP(I147,'Order 301-305 (เรียง)'!A:C,3,0)</f>
        <v>#N/A</v>
      </c>
    </row>
    <row r="148" spans="1:40" x14ac:dyDescent="0.3">
      <c r="A148" s="1" t="s">
        <v>119</v>
      </c>
      <c r="B148" s="1" t="s">
        <v>120</v>
      </c>
      <c r="C148" s="1" t="s">
        <v>64</v>
      </c>
      <c r="D148" s="1" t="s">
        <v>125</v>
      </c>
      <c r="E148" s="1" t="s">
        <v>289</v>
      </c>
      <c r="F148" s="1" t="s">
        <v>596</v>
      </c>
      <c r="G148" s="1" t="s">
        <v>103</v>
      </c>
      <c r="H148" s="1" t="s">
        <v>307</v>
      </c>
      <c r="I148" s="1" t="s">
        <v>68</v>
      </c>
      <c r="J148" s="1" t="s">
        <v>597</v>
      </c>
      <c r="K148" s="1" t="s">
        <v>294</v>
      </c>
      <c r="L148" s="1" t="s">
        <v>111</v>
      </c>
      <c r="M148" s="1" t="s">
        <v>68</v>
      </c>
      <c r="N148" s="1" t="s">
        <v>71</v>
      </c>
      <c r="O148" s="1" t="s">
        <v>68</v>
      </c>
      <c r="P148" s="1" t="s">
        <v>72</v>
      </c>
      <c r="Q148" s="1" t="s">
        <v>68</v>
      </c>
      <c r="R148" s="1" t="s">
        <v>68</v>
      </c>
      <c r="S148" s="1" t="s">
        <v>68</v>
      </c>
      <c r="T148" s="1" t="s">
        <v>68</v>
      </c>
      <c r="U148" s="1" t="s">
        <v>68</v>
      </c>
      <c r="V148" s="1" t="s">
        <v>68</v>
      </c>
      <c r="W148" s="1" t="s">
        <v>68</v>
      </c>
      <c r="X148" s="1" t="s">
        <v>68</v>
      </c>
      <c r="Y148" s="73"/>
      <c r="Z148" s="2" t="s">
        <v>102</v>
      </c>
      <c r="AA148" s="3">
        <v>38168</v>
      </c>
      <c r="AB148" s="4">
        <v>0</v>
      </c>
      <c r="AC148" s="73">
        <v>46210</v>
      </c>
      <c r="AD148" s="73">
        <v>46210</v>
      </c>
      <c r="AE148" s="73"/>
      <c r="AF148" s="73">
        <v>46210</v>
      </c>
      <c r="AG148" s="3">
        <v>38168</v>
      </c>
      <c r="AH148" s="353" t="str">
        <f t="shared" si="6"/>
        <v/>
      </c>
      <c r="AI148" s="3" t="str">
        <f t="shared" si="7"/>
        <v>58</v>
      </c>
      <c r="AJ148" s="64" t="e">
        <f>VLOOKUP(T148,'GL Name'!A:B,2,0)</f>
        <v>#N/A</v>
      </c>
      <c r="AL148" s="13">
        <f t="shared" si="8"/>
        <v>0</v>
      </c>
      <c r="AM148" s="13" t="e">
        <f>VLOOKUP(I148,'Order 301-305 (เรียง)'!A:B,2,0)</f>
        <v>#N/A</v>
      </c>
      <c r="AN148" t="e">
        <f>VLOOKUP(I148,'Order 301-305 (เรียง)'!A:C,3,0)</f>
        <v>#N/A</v>
      </c>
    </row>
    <row r="149" spans="1:40" x14ac:dyDescent="0.3">
      <c r="A149" s="1" t="s">
        <v>119</v>
      </c>
      <c r="B149" s="1" t="s">
        <v>120</v>
      </c>
      <c r="C149" s="1" t="s">
        <v>64</v>
      </c>
      <c r="D149" s="1" t="s">
        <v>125</v>
      </c>
      <c r="E149" s="1" t="s">
        <v>289</v>
      </c>
      <c r="F149" s="1" t="s">
        <v>596</v>
      </c>
      <c r="G149" s="1" t="s">
        <v>101</v>
      </c>
      <c r="H149" s="1" t="s">
        <v>307</v>
      </c>
      <c r="I149" s="1" t="s">
        <v>68</v>
      </c>
      <c r="J149" s="1" t="s">
        <v>597</v>
      </c>
      <c r="K149" s="1" t="s">
        <v>294</v>
      </c>
      <c r="L149" s="1" t="s">
        <v>95</v>
      </c>
      <c r="M149" s="1" t="s">
        <v>68</v>
      </c>
      <c r="N149" s="1" t="s">
        <v>71</v>
      </c>
      <c r="O149" s="1" t="s">
        <v>68</v>
      </c>
      <c r="P149" s="1" t="s">
        <v>72</v>
      </c>
      <c r="Q149" s="1" t="s">
        <v>68</v>
      </c>
      <c r="R149" s="1" t="s">
        <v>68</v>
      </c>
      <c r="S149" s="1" t="s">
        <v>68</v>
      </c>
      <c r="T149" s="1" t="s">
        <v>68</v>
      </c>
      <c r="U149" s="1" t="s">
        <v>68</v>
      </c>
      <c r="V149" s="1" t="s">
        <v>68</v>
      </c>
      <c r="W149" s="1" t="s">
        <v>68</v>
      </c>
      <c r="X149" s="1" t="s">
        <v>68</v>
      </c>
      <c r="Y149" s="73"/>
      <c r="Z149" s="2" t="s">
        <v>102</v>
      </c>
      <c r="AA149" s="3">
        <v>-38168</v>
      </c>
      <c r="AB149" s="4">
        <v>0</v>
      </c>
      <c r="AC149" s="73">
        <v>46210</v>
      </c>
      <c r="AD149" s="73">
        <v>46210</v>
      </c>
      <c r="AE149" s="73"/>
      <c r="AF149" s="73">
        <v>46210</v>
      </c>
      <c r="AG149" s="3">
        <v>-38168</v>
      </c>
      <c r="AH149" s="353" t="str">
        <f t="shared" si="6"/>
        <v/>
      </c>
      <c r="AI149" s="3" t="str">
        <f t="shared" si="7"/>
        <v>58</v>
      </c>
      <c r="AJ149" s="64" t="e">
        <f>VLOOKUP(T149,'GL Name'!A:B,2,0)</f>
        <v>#N/A</v>
      </c>
      <c r="AL149" s="13">
        <f t="shared" si="8"/>
        <v>0</v>
      </c>
      <c r="AM149" s="13" t="e">
        <f>VLOOKUP(I149,'Order 301-305 (เรียง)'!A:B,2,0)</f>
        <v>#N/A</v>
      </c>
      <c r="AN149" t="e">
        <f>VLOOKUP(I149,'Order 301-305 (เรียง)'!A:C,3,0)</f>
        <v>#N/A</v>
      </c>
    </row>
    <row r="150" spans="1:40" x14ac:dyDescent="0.3">
      <c r="A150" s="1" t="s">
        <v>119</v>
      </c>
      <c r="B150" s="1" t="s">
        <v>120</v>
      </c>
      <c r="C150" s="1" t="s">
        <v>64</v>
      </c>
      <c r="D150" s="1" t="s">
        <v>125</v>
      </c>
      <c r="E150" s="1" t="s">
        <v>289</v>
      </c>
      <c r="F150" s="1" t="s">
        <v>596</v>
      </c>
      <c r="G150" s="1" t="s">
        <v>103</v>
      </c>
      <c r="H150" s="1" t="s">
        <v>302</v>
      </c>
      <c r="I150" s="1" t="s">
        <v>68</v>
      </c>
      <c r="J150" s="1" t="s">
        <v>597</v>
      </c>
      <c r="K150" s="1" t="s">
        <v>294</v>
      </c>
      <c r="L150" s="1" t="s">
        <v>89</v>
      </c>
      <c r="M150" s="1" t="s">
        <v>68</v>
      </c>
      <c r="N150" s="1" t="s">
        <v>71</v>
      </c>
      <c r="O150" s="1" t="s">
        <v>68</v>
      </c>
      <c r="P150" s="1" t="s">
        <v>72</v>
      </c>
      <c r="Q150" s="1" t="s">
        <v>68</v>
      </c>
      <c r="R150" s="1" t="s">
        <v>68</v>
      </c>
      <c r="S150" s="1" t="s">
        <v>68</v>
      </c>
      <c r="T150" s="1" t="s">
        <v>68</v>
      </c>
      <c r="U150" s="1" t="s">
        <v>68</v>
      </c>
      <c r="V150" s="1" t="s">
        <v>68</v>
      </c>
      <c r="W150" s="1" t="s">
        <v>68</v>
      </c>
      <c r="X150" s="1" t="s">
        <v>68</v>
      </c>
      <c r="Y150" s="73"/>
      <c r="Z150" s="2" t="s">
        <v>102</v>
      </c>
      <c r="AA150" s="3">
        <v>832</v>
      </c>
      <c r="AB150" s="4">
        <v>0</v>
      </c>
      <c r="AC150" s="73">
        <v>46210</v>
      </c>
      <c r="AD150" s="73">
        <v>46210</v>
      </c>
      <c r="AE150" s="73"/>
      <c r="AF150" s="73">
        <v>46210</v>
      </c>
      <c r="AG150" s="3">
        <v>832</v>
      </c>
      <c r="AH150" s="353" t="str">
        <f t="shared" si="6"/>
        <v/>
      </c>
      <c r="AI150" s="3" t="str">
        <f t="shared" si="7"/>
        <v>58</v>
      </c>
      <c r="AJ150" s="64" t="e">
        <f>VLOOKUP(T150,'GL Name'!A:B,2,0)</f>
        <v>#N/A</v>
      </c>
      <c r="AL150" s="13">
        <f t="shared" si="8"/>
        <v>0</v>
      </c>
      <c r="AM150" s="13" t="e">
        <f>VLOOKUP(I150,'Order 301-305 (เรียง)'!A:B,2,0)</f>
        <v>#N/A</v>
      </c>
      <c r="AN150" t="e">
        <f>VLOOKUP(I150,'Order 301-305 (เรียง)'!A:C,3,0)</f>
        <v>#N/A</v>
      </c>
    </row>
    <row r="151" spans="1:40" x14ac:dyDescent="0.3">
      <c r="A151" s="1" t="s">
        <v>119</v>
      </c>
      <c r="B151" s="1" t="s">
        <v>120</v>
      </c>
      <c r="C151" s="1" t="s">
        <v>64</v>
      </c>
      <c r="D151" s="1" t="s">
        <v>125</v>
      </c>
      <c r="E151" s="1" t="s">
        <v>289</v>
      </c>
      <c r="F151" s="1" t="s">
        <v>596</v>
      </c>
      <c r="G151" s="1" t="s">
        <v>101</v>
      </c>
      <c r="H151" s="1" t="s">
        <v>302</v>
      </c>
      <c r="I151" s="1" t="s">
        <v>68</v>
      </c>
      <c r="J151" s="1" t="s">
        <v>597</v>
      </c>
      <c r="K151" s="1" t="s">
        <v>294</v>
      </c>
      <c r="L151" s="1" t="s">
        <v>92</v>
      </c>
      <c r="M151" s="1" t="s">
        <v>68</v>
      </c>
      <c r="N151" s="1" t="s">
        <v>71</v>
      </c>
      <c r="O151" s="1" t="s">
        <v>68</v>
      </c>
      <c r="P151" s="1" t="s">
        <v>72</v>
      </c>
      <c r="Q151" s="1" t="s">
        <v>68</v>
      </c>
      <c r="R151" s="1" t="s">
        <v>68</v>
      </c>
      <c r="S151" s="1" t="s">
        <v>68</v>
      </c>
      <c r="T151" s="1" t="s">
        <v>68</v>
      </c>
      <c r="U151" s="1" t="s">
        <v>68</v>
      </c>
      <c r="V151" s="1" t="s">
        <v>68</v>
      </c>
      <c r="W151" s="1" t="s">
        <v>68</v>
      </c>
      <c r="X151" s="1" t="s">
        <v>68</v>
      </c>
      <c r="Y151" s="73"/>
      <c r="Z151" s="2" t="s">
        <v>102</v>
      </c>
      <c r="AA151" s="3">
        <v>-832</v>
      </c>
      <c r="AB151" s="4">
        <v>0</v>
      </c>
      <c r="AC151" s="73">
        <v>46210</v>
      </c>
      <c r="AD151" s="73">
        <v>46210</v>
      </c>
      <c r="AE151" s="73"/>
      <c r="AF151" s="73">
        <v>46210</v>
      </c>
      <c r="AG151" s="3">
        <v>-832</v>
      </c>
      <c r="AH151" s="353" t="str">
        <f t="shared" si="6"/>
        <v/>
      </c>
      <c r="AI151" s="3" t="str">
        <f t="shared" si="7"/>
        <v>58</v>
      </c>
      <c r="AJ151" s="64" t="e">
        <f>VLOOKUP(T151,'GL Name'!A:B,2,0)</f>
        <v>#N/A</v>
      </c>
      <c r="AL151" s="13">
        <f t="shared" si="8"/>
        <v>0</v>
      </c>
      <c r="AM151" s="13" t="e">
        <f>VLOOKUP(I151,'Order 301-305 (เรียง)'!A:B,2,0)</f>
        <v>#N/A</v>
      </c>
      <c r="AN151" t="e">
        <f>VLOOKUP(I151,'Order 301-305 (เรียง)'!A:C,3,0)</f>
        <v>#N/A</v>
      </c>
    </row>
    <row r="152" spans="1:40" x14ac:dyDescent="0.3">
      <c r="A152" s="1" t="s">
        <v>121</v>
      </c>
      <c r="B152" s="1" t="s">
        <v>122</v>
      </c>
      <c r="C152" s="1" t="s">
        <v>64</v>
      </c>
      <c r="D152" s="1" t="s">
        <v>125</v>
      </c>
      <c r="E152" s="1" t="s">
        <v>289</v>
      </c>
      <c r="F152" s="1" t="s">
        <v>596</v>
      </c>
      <c r="G152" s="1" t="s">
        <v>103</v>
      </c>
      <c r="H152" s="1" t="s">
        <v>316</v>
      </c>
      <c r="I152" s="1" t="s">
        <v>68</v>
      </c>
      <c r="J152" s="1" t="s">
        <v>597</v>
      </c>
      <c r="K152" s="1" t="s">
        <v>294</v>
      </c>
      <c r="L152" s="1" t="s">
        <v>86</v>
      </c>
      <c r="M152" s="1" t="s">
        <v>68</v>
      </c>
      <c r="N152" s="1" t="s">
        <v>71</v>
      </c>
      <c r="O152" s="1" t="s">
        <v>68</v>
      </c>
      <c r="P152" s="1" t="s">
        <v>72</v>
      </c>
      <c r="Q152" s="1" t="s">
        <v>68</v>
      </c>
      <c r="R152" s="1" t="s">
        <v>68</v>
      </c>
      <c r="S152" s="1" t="s">
        <v>68</v>
      </c>
      <c r="T152" s="1" t="s">
        <v>68</v>
      </c>
      <c r="U152" s="1" t="s">
        <v>68</v>
      </c>
      <c r="V152" s="1" t="s">
        <v>68</v>
      </c>
      <c r="W152" s="1" t="s">
        <v>68</v>
      </c>
      <c r="X152" s="1" t="s">
        <v>68</v>
      </c>
      <c r="Y152" s="73"/>
      <c r="Z152" s="2" t="s">
        <v>102</v>
      </c>
      <c r="AA152" s="3">
        <v>2000</v>
      </c>
      <c r="AB152" s="4">
        <v>0</v>
      </c>
      <c r="AC152" s="73">
        <v>46210</v>
      </c>
      <c r="AD152" s="73">
        <v>46210</v>
      </c>
      <c r="AE152" s="73"/>
      <c r="AF152" s="73">
        <v>46210</v>
      </c>
      <c r="AG152" s="3">
        <v>2000</v>
      </c>
      <c r="AH152" s="353" t="str">
        <f t="shared" si="6"/>
        <v/>
      </c>
      <c r="AI152" s="3" t="str">
        <f t="shared" si="7"/>
        <v>58</v>
      </c>
      <c r="AJ152" s="64" t="e">
        <f>VLOOKUP(T152,'GL Name'!A:B,2,0)</f>
        <v>#N/A</v>
      </c>
      <c r="AL152" s="13">
        <f t="shared" si="8"/>
        <v>0</v>
      </c>
      <c r="AM152" s="13" t="e">
        <f>VLOOKUP(I152,'Order 301-305 (เรียง)'!A:B,2,0)</f>
        <v>#N/A</v>
      </c>
      <c r="AN152" t="e">
        <f>VLOOKUP(I152,'Order 301-305 (เรียง)'!A:C,3,0)</f>
        <v>#N/A</v>
      </c>
    </row>
    <row r="153" spans="1:40" x14ac:dyDescent="0.3">
      <c r="A153" s="1" t="s">
        <v>121</v>
      </c>
      <c r="B153" s="1" t="s">
        <v>122</v>
      </c>
      <c r="C153" s="1" t="s">
        <v>64</v>
      </c>
      <c r="D153" s="1" t="s">
        <v>125</v>
      </c>
      <c r="E153" s="1" t="s">
        <v>289</v>
      </c>
      <c r="F153" s="1" t="s">
        <v>596</v>
      </c>
      <c r="G153" s="1" t="s">
        <v>101</v>
      </c>
      <c r="H153" s="1" t="s">
        <v>316</v>
      </c>
      <c r="I153" s="1" t="s">
        <v>68</v>
      </c>
      <c r="J153" s="1" t="s">
        <v>597</v>
      </c>
      <c r="K153" s="1" t="s">
        <v>294</v>
      </c>
      <c r="L153" s="1" t="s">
        <v>70</v>
      </c>
      <c r="M153" s="1" t="s">
        <v>68</v>
      </c>
      <c r="N153" s="1" t="s">
        <v>71</v>
      </c>
      <c r="O153" s="1" t="s">
        <v>68</v>
      </c>
      <c r="P153" s="1" t="s">
        <v>72</v>
      </c>
      <c r="Q153" s="1" t="s">
        <v>68</v>
      </c>
      <c r="R153" s="1" t="s">
        <v>68</v>
      </c>
      <c r="S153" s="1" t="s">
        <v>68</v>
      </c>
      <c r="T153" s="1" t="s">
        <v>68</v>
      </c>
      <c r="U153" s="1" t="s">
        <v>68</v>
      </c>
      <c r="V153" s="1" t="s">
        <v>68</v>
      </c>
      <c r="W153" s="1" t="s">
        <v>68</v>
      </c>
      <c r="X153" s="1" t="s">
        <v>68</v>
      </c>
      <c r="Y153" s="73"/>
      <c r="Z153" s="2" t="s">
        <v>102</v>
      </c>
      <c r="AA153" s="3">
        <v>-2000</v>
      </c>
      <c r="AB153" s="4">
        <v>0</v>
      </c>
      <c r="AC153" s="73">
        <v>46210</v>
      </c>
      <c r="AD153" s="73">
        <v>46210</v>
      </c>
      <c r="AE153" s="73"/>
      <c r="AF153" s="73">
        <v>46210</v>
      </c>
      <c r="AG153" s="3">
        <v>-2000</v>
      </c>
      <c r="AH153" s="353" t="str">
        <f t="shared" si="6"/>
        <v/>
      </c>
      <c r="AI153" s="3" t="str">
        <f t="shared" si="7"/>
        <v>58</v>
      </c>
      <c r="AJ153" s="64" t="e">
        <f>VLOOKUP(T153,'GL Name'!A:B,2,0)</f>
        <v>#N/A</v>
      </c>
      <c r="AL153" s="13">
        <f t="shared" si="8"/>
        <v>0</v>
      </c>
      <c r="AM153" s="13" t="e">
        <f>VLOOKUP(I153,'Order 301-305 (เรียง)'!A:B,2,0)</f>
        <v>#N/A</v>
      </c>
      <c r="AN153" t="e">
        <f>VLOOKUP(I153,'Order 301-305 (เรียง)'!A:C,3,0)</f>
        <v>#N/A</v>
      </c>
    </row>
    <row r="154" spans="1:40" x14ac:dyDescent="0.3">
      <c r="A154" s="1" t="s">
        <v>13</v>
      </c>
      <c r="B154" s="1" t="s">
        <v>14</v>
      </c>
      <c r="C154" s="1" t="s">
        <v>64</v>
      </c>
      <c r="D154" s="1" t="s">
        <v>77</v>
      </c>
      <c r="E154" s="1" t="s">
        <v>78</v>
      </c>
      <c r="F154" s="1" t="s">
        <v>598</v>
      </c>
      <c r="G154" s="1" t="s">
        <v>279</v>
      </c>
      <c r="H154" s="1" t="s">
        <v>327</v>
      </c>
      <c r="I154" s="1" t="s">
        <v>599</v>
      </c>
      <c r="J154" s="1" t="s">
        <v>600</v>
      </c>
      <c r="K154" s="1" t="s">
        <v>84</v>
      </c>
      <c r="L154" s="1" t="s">
        <v>92</v>
      </c>
      <c r="M154" s="1" t="s">
        <v>68</v>
      </c>
      <c r="N154" s="1" t="s">
        <v>71</v>
      </c>
      <c r="O154" s="1" t="s">
        <v>68</v>
      </c>
      <c r="P154" s="1" t="s">
        <v>72</v>
      </c>
      <c r="Q154" s="1" t="s">
        <v>68</v>
      </c>
      <c r="R154" s="1" t="s">
        <v>14</v>
      </c>
      <c r="S154" s="1" t="s">
        <v>68</v>
      </c>
      <c r="T154" s="1" t="s">
        <v>123</v>
      </c>
      <c r="U154" s="1" t="s">
        <v>68</v>
      </c>
      <c r="V154" s="1" t="s">
        <v>68</v>
      </c>
      <c r="W154" s="1" t="s">
        <v>68</v>
      </c>
      <c r="X154" s="1" t="s">
        <v>68</v>
      </c>
      <c r="Y154" s="73"/>
      <c r="Z154" s="2" t="s">
        <v>80</v>
      </c>
      <c r="AA154" s="3">
        <v>-2244.1999999999998</v>
      </c>
      <c r="AB154" s="4">
        <v>-605462.72</v>
      </c>
      <c r="AC154" s="73">
        <v>46210</v>
      </c>
      <c r="AD154" s="73">
        <v>46204</v>
      </c>
      <c r="AE154" s="73"/>
      <c r="AF154" s="73">
        <v>46210</v>
      </c>
      <c r="AG154" s="3">
        <v>-2244200</v>
      </c>
      <c r="AH154" s="353" t="str">
        <f t="shared" si="6"/>
        <v>302</v>
      </c>
      <c r="AI154" s="3" t="str">
        <f t="shared" si="7"/>
        <v>57</v>
      </c>
      <c r="AJ154" s="64" t="str">
        <f>VLOOKUP(T154,'GL Name'!A:B,2,0)</f>
        <v>ต้นทุนผลิตกึ่งสำเร็จ</v>
      </c>
      <c r="AL154" s="13">
        <f t="shared" si="8"/>
        <v>269.7900008911862</v>
      </c>
      <c r="AM154" s="13" t="str">
        <f>VLOOKUP(I154,'Order 301-305 (เรียง)'!A:B,2,0)</f>
        <v>59000001</v>
      </c>
      <c r="AN154" t="str">
        <f>VLOOKUP(I154,'Order 301-305 (เรียง)'!A:C,3,0)</f>
        <v>เมล็ดกาแฟ CPR Coffee Bean  MF. 500 G.</v>
      </c>
    </row>
    <row r="155" spans="1:40" x14ac:dyDescent="0.3">
      <c r="A155" s="1" t="s">
        <v>15</v>
      </c>
      <c r="B155" s="1" t="s">
        <v>233</v>
      </c>
      <c r="C155" s="1" t="s">
        <v>64</v>
      </c>
      <c r="D155" s="1" t="s">
        <v>77</v>
      </c>
      <c r="E155" s="1" t="s">
        <v>78</v>
      </c>
      <c r="F155" s="1" t="s">
        <v>598</v>
      </c>
      <c r="G155" s="1" t="s">
        <v>279</v>
      </c>
      <c r="H155" s="1" t="s">
        <v>293</v>
      </c>
      <c r="I155" s="1" t="s">
        <v>599</v>
      </c>
      <c r="J155" s="1" t="s">
        <v>600</v>
      </c>
      <c r="K155" s="1" t="s">
        <v>84</v>
      </c>
      <c r="L155" s="1" t="s">
        <v>89</v>
      </c>
      <c r="M155" s="1" t="s">
        <v>68</v>
      </c>
      <c r="N155" s="1" t="s">
        <v>71</v>
      </c>
      <c r="O155" s="1" t="s">
        <v>68</v>
      </c>
      <c r="P155" s="1" t="s">
        <v>72</v>
      </c>
      <c r="Q155" s="1" t="s">
        <v>68</v>
      </c>
      <c r="R155" s="1" t="s">
        <v>233</v>
      </c>
      <c r="S155" s="1" t="s">
        <v>68</v>
      </c>
      <c r="T155" s="1" t="s">
        <v>123</v>
      </c>
      <c r="U155" s="1" t="s">
        <v>68</v>
      </c>
      <c r="V155" s="1" t="s">
        <v>68</v>
      </c>
      <c r="W155" s="1" t="s">
        <v>68</v>
      </c>
      <c r="X155" s="1" t="s">
        <v>68</v>
      </c>
      <c r="Y155" s="73"/>
      <c r="Z155" s="2" t="s">
        <v>80</v>
      </c>
      <c r="AA155" s="3">
        <v>-60.04</v>
      </c>
      <c r="AB155" s="4">
        <v>-16198.19</v>
      </c>
      <c r="AC155" s="73">
        <v>46210</v>
      </c>
      <c r="AD155" s="73">
        <v>46204</v>
      </c>
      <c r="AE155" s="73"/>
      <c r="AF155" s="73">
        <v>46210</v>
      </c>
      <c r="AG155" s="3">
        <v>-60040</v>
      </c>
      <c r="AH155" s="353" t="str">
        <f t="shared" si="6"/>
        <v>302</v>
      </c>
      <c r="AI155" s="3" t="str">
        <f t="shared" si="7"/>
        <v>57</v>
      </c>
      <c r="AJ155" s="64" t="str">
        <f>VLOOKUP(T155,'GL Name'!A:B,2,0)</f>
        <v>ต้นทุนผลิตกึ่งสำเร็จ</v>
      </c>
      <c r="AL155" s="13">
        <f t="shared" si="8"/>
        <v>269.78997335109926</v>
      </c>
      <c r="AM155" s="13" t="str">
        <f>VLOOKUP(I155,'Order 301-305 (เรียง)'!A:B,2,0)</f>
        <v>59000001</v>
      </c>
      <c r="AN155" t="str">
        <f>VLOOKUP(I155,'Order 301-305 (เรียง)'!A:C,3,0)</f>
        <v>เมล็ดกาแฟ CPR Coffee Bean  MF. 500 G.</v>
      </c>
    </row>
    <row r="156" spans="1:40" x14ac:dyDescent="0.3">
      <c r="A156" s="1" t="s">
        <v>19</v>
      </c>
      <c r="B156" s="1" t="s">
        <v>20</v>
      </c>
      <c r="C156" s="1" t="s">
        <v>64</v>
      </c>
      <c r="D156" s="1" t="s">
        <v>77</v>
      </c>
      <c r="E156" s="1" t="s">
        <v>78</v>
      </c>
      <c r="F156" s="1" t="s">
        <v>598</v>
      </c>
      <c r="G156" s="1" t="s">
        <v>279</v>
      </c>
      <c r="H156" s="1" t="s">
        <v>296</v>
      </c>
      <c r="I156" s="1" t="s">
        <v>599</v>
      </c>
      <c r="J156" s="1" t="s">
        <v>600</v>
      </c>
      <c r="K156" s="1" t="s">
        <v>84</v>
      </c>
      <c r="L156" s="1" t="s">
        <v>86</v>
      </c>
      <c r="M156" s="1" t="s">
        <v>68</v>
      </c>
      <c r="N156" s="1" t="s">
        <v>71</v>
      </c>
      <c r="O156" s="1" t="s">
        <v>68</v>
      </c>
      <c r="P156" s="1" t="s">
        <v>601</v>
      </c>
      <c r="Q156" s="1" t="s">
        <v>68</v>
      </c>
      <c r="R156" s="1" t="s">
        <v>68</v>
      </c>
      <c r="S156" s="1" t="s">
        <v>68</v>
      </c>
      <c r="T156" s="1" t="s">
        <v>123</v>
      </c>
      <c r="U156" s="1" t="s">
        <v>68</v>
      </c>
      <c r="V156" s="1" t="s">
        <v>68</v>
      </c>
      <c r="W156" s="1" t="s">
        <v>68</v>
      </c>
      <c r="X156" s="1" t="s">
        <v>68</v>
      </c>
      <c r="Y156" s="73"/>
      <c r="Z156" s="2" t="s">
        <v>80</v>
      </c>
      <c r="AA156" s="3">
        <v>-580.84</v>
      </c>
      <c r="AB156" s="4">
        <v>-93294.52</v>
      </c>
      <c r="AC156" s="73">
        <v>46210</v>
      </c>
      <c r="AD156" s="73">
        <v>46204</v>
      </c>
      <c r="AE156" s="73"/>
      <c r="AF156" s="73">
        <v>46210</v>
      </c>
      <c r="AG156" s="3">
        <v>-580840</v>
      </c>
      <c r="AH156" s="353" t="str">
        <f t="shared" si="6"/>
        <v>302</v>
      </c>
      <c r="AI156" s="3" t="str">
        <f t="shared" si="7"/>
        <v>57</v>
      </c>
      <c r="AJ156" s="64" t="str">
        <f>VLOOKUP(T156,'GL Name'!A:B,2,0)</f>
        <v>ต้นทุนผลิตกึ่งสำเร็จ</v>
      </c>
      <c r="AL156" s="13">
        <f t="shared" si="8"/>
        <v>160.61999862268439</v>
      </c>
      <c r="AM156" s="13" t="str">
        <f>VLOOKUP(I156,'Order 301-305 (เรียง)'!A:B,2,0)</f>
        <v>59000001</v>
      </c>
      <c r="AN156" t="str">
        <f>VLOOKUP(I156,'Order 301-305 (เรียง)'!A:C,3,0)</f>
        <v>เมล็ดกาแฟ CPR Coffee Bean  MF. 500 G.</v>
      </c>
    </row>
    <row r="157" spans="1:40" x14ac:dyDescent="0.3">
      <c r="A157" s="1" t="s">
        <v>207</v>
      </c>
      <c r="B157" s="1" t="s">
        <v>208</v>
      </c>
      <c r="C157" s="1" t="s">
        <v>64</v>
      </c>
      <c r="D157" s="1" t="s">
        <v>115</v>
      </c>
      <c r="E157" s="1" t="s">
        <v>116</v>
      </c>
      <c r="F157" s="1" t="s">
        <v>598</v>
      </c>
      <c r="G157" s="1" t="s">
        <v>103</v>
      </c>
      <c r="H157" s="1" t="s">
        <v>602</v>
      </c>
      <c r="I157" s="1" t="s">
        <v>599</v>
      </c>
      <c r="J157" s="1" t="s">
        <v>600</v>
      </c>
      <c r="K157" s="1" t="s">
        <v>84</v>
      </c>
      <c r="L157" s="1" t="s">
        <v>70</v>
      </c>
      <c r="M157" s="1" t="s">
        <v>68</v>
      </c>
      <c r="N157" s="1" t="s">
        <v>71</v>
      </c>
      <c r="O157" s="1" t="s">
        <v>68</v>
      </c>
      <c r="P157" s="1" t="s">
        <v>72</v>
      </c>
      <c r="Q157" s="1" t="s">
        <v>68</v>
      </c>
      <c r="R157" s="1" t="s">
        <v>68</v>
      </c>
      <c r="S157" s="1" t="s">
        <v>68</v>
      </c>
      <c r="T157" s="1" t="s">
        <v>124</v>
      </c>
      <c r="U157" s="1" t="s">
        <v>68</v>
      </c>
      <c r="V157" s="1" t="s">
        <v>68</v>
      </c>
      <c r="W157" s="1" t="s">
        <v>68</v>
      </c>
      <c r="X157" s="1" t="s">
        <v>68</v>
      </c>
      <c r="Y157" s="73"/>
      <c r="Z157" s="2" t="s">
        <v>80</v>
      </c>
      <c r="AA157" s="3">
        <v>2349.65</v>
      </c>
      <c r="AB157" s="4">
        <v>761921.01</v>
      </c>
      <c r="AC157" s="73">
        <v>46210</v>
      </c>
      <c r="AD157" s="73">
        <v>46204</v>
      </c>
      <c r="AE157" s="73"/>
      <c r="AF157" s="73">
        <v>46210</v>
      </c>
      <c r="AG157" s="3">
        <v>2349650</v>
      </c>
      <c r="AH157" s="353" t="str">
        <f t="shared" si="6"/>
        <v>302</v>
      </c>
      <c r="AI157" s="3" t="str">
        <f t="shared" si="7"/>
        <v>57</v>
      </c>
      <c r="AJ157" s="64" t="str">
        <f>VLOOKUP(T157,'GL Name'!A:B,2,0)</f>
        <v>ต้นทุนผลิตโอน Semi</v>
      </c>
      <c r="AL157" s="13">
        <f t="shared" si="8"/>
        <v>324.27000191517885</v>
      </c>
      <c r="AM157" s="13" t="str">
        <f>VLOOKUP(I157,'Order 301-305 (เรียง)'!A:B,2,0)</f>
        <v>59000001</v>
      </c>
      <c r="AN157" t="str">
        <f>VLOOKUP(I157,'Order 301-305 (เรียง)'!A:C,3,0)</f>
        <v>เมล็ดกาแฟ CPR Coffee Bean  MF. 500 G.</v>
      </c>
    </row>
    <row r="158" spans="1:40" x14ac:dyDescent="0.3">
      <c r="A158" s="1" t="s">
        <v>207</v>
      </c>
      <c r="B158" s="1" t="s">
        <v>208</v>
      </c>
      <c r="C158" s="1" t="s">
        <v>64</v>
      </c>
      <c r="D158" s="1" t="s">
        <v>77</v>
      </c>
      <c r="E158" s="1" t="s">
        <v>78</v>
      </c>
      <c r="F158" s="1" t="s">
        <v>603</v>
      </c>
      <c r="G158" s="1" t="s">
        <v>103</v>
      </c>
      <c r="H158" s="1" t="s">
        <v>602</v>
      </c>
      <c r="I158" s="1" t="s">
        <v>604</v>
      </c>
      <c r="J158" s="1" t="s">
        <v>605</v>
      </c>
      <c r="K158" s="1" t="s">
        <v>84</v>
      </c>
      <c r="L158" s="1" t="s">
        <v>86</v>
      </c>
      <c r="M158" s="1" t="s">
        <v>68</v>
      </c>
      <c r="N158" s="1" t="s">
        <v>71</v>
      </c>
      <c r="O158" s="1" t="s">
        <v>68</v>
      </c>
      <c r="P158" s="1" t="s">
        <v>606</v>
      </c>
      <c r="Q158" s="1" t="s">
        <v>68</v>
      </c>
      <c r="R158" s="1" t="s">
        <v>68</v>
      </c>
      <c r="S158" s="1" t="s">
        <v>68</v>
      </c>
      <c r="T158" s="1" t="s">
        <v>123</v>
      </c>
      <c r="U158" s="1" t="s">
        <v>68</v>
      </c>
      <c r="V158" s="1" t="s">
        <v>68</v>
      </c>
      <c r="W158" s="1" t="s">
        <v>68</v>
      </c>
      <c r="X158" s="1" t="s">
        <v>68</v>
      </c>
      <c r="Y158" s="73"/>
      <c r="Z158" s="2" t="s">
        <v>80</v>
      </c>
      <c r="AA158" s="3">
        <v>-2349.65</v>
      </c>
      <c r="AB158" s="4">
        <v>-761921.01</v>
      </c>
      <c r="AC158" s="73">
        <v>46210</v>
      </c>
      <c r="AD158" s="73">
        <v>46204</v>
      </c>
      <c r="AE158" s="73"/>
      <c r="AF158" s="73">
        <v>46210</v>
      </c>
      <c r="AG158" s="3">
        <v>-2349650</v>
      </c>
      <c r="AH158" s="353" t="str">
        <f t="shared" si="6"/>
        <v>303</v>
      </c>
      <c r="AI158" s="3" t="str">
        <f t="shared" si="7"/>
        <v>57</v>
      </c>
      <c r="AJ158" s="64" t="str">
        <f>VLOOKUP(T158,'GL Name'!A:B,2,0)</f>
        <v>ต้นทุนผลิตกึ่งสำเร็จ</v>
      </c>
      <c r="AL158" s="13">
        <f t="shared" si="8"/>
        <v>324.27000191517885</v>
      </c>
      <c r="AM158" s="13" t="str">
        <f>VLOOKUP(I158,'Order 301-305 (เรียง)'!A:B,2,0)</f>
        <v>59000001</v>
      </c>
      <c r="AN158" t="str">
        <f>VLOOKUP(I158,'Order 301-305 (เรียง)'!A:C,3,0)</f>
        <v>เมล็ดกาแฟ CPR Coffee Bean  MF. 500 G.</v>
      </c>
    </row>
    <row r="159" spans="1:40" x14ac:dyDescent="0.3">
      <c r="A159" s="1" t="s">
        <v>106</v>
      </c>
      <c r="B159" s="1" t="s">
        <v>107</v>
      </c>
      <c r="C159" s="1" t="s">
        <v>64</v>
      </c>
      <c r="D159" s="1" t="s">
        <v>77</v>
      </c>
      <c r="E159" s="1" t="s">
        <v>78</v>
      </c>
      <c r="F159" s="1" t="s">
        <v>603</v>
      </c>
      <c r="G159" s="1" t="s">
        <v>103</v>
      </c>
      <c r="H159" s="1" t="s">
        <v>286</v>
      </c>
      <c r="I159" s="1" t="s">
        <v>604</v>
      </c>
      <c r="J159" s="1" t="s">
        <v>605</v>
      </c>
      <c r="K159" s="1" t="s">
        <v>84</v>
      </c>
      <c r="L159" s="1" t="s">
        <v>92</v>
      </c>
      <c r="M159" s="1" t="s">
        <v>68</v>
      </c>
      <c r="N159" s="1" t="s">
        <v>71</v>
      </c>
      <c r="O159" s="1" t="s">
        <v>68</v>
      </c>
      <c r="P159" s="1" t="s">
        <v>606</v>
      </c>
      <c r="Q159" s="1" t="s">
        <v>68</v>
      </c>
      <c r="R159" s="1" t="s">
        <v>68</v>
      </c>
      <c r="S159" s="1" t="s">
        <v>68</v>
      </c>
      <c r="T159" s="1" t="s">
        <v>108</v>
      </c>
      <c r="U159" s="1" t="s">
        <v>68</v>
      </c>
      <c r="V159" s="1" t="s">
        <v>68</v>
      </c>
      <c r="W159" s="1" t="s">
        <v>68</v>
      </c>
      <c r="X159" s="1" t="s">
        <v>68</v>
      </c>
      <c r="Y159" s="73"/>
      <c r="Z159" s="2" t="s">
        <v>102</v>
      </c>
      <c r="AA159" s="3">
        <v>-4994</v>
      </c>
      <c r="AB159" s="4">
        <v>-4223.76</v>
      </c>
      <c r="AC159" s="73">
        <v>46210</v>
      </c>
      <c r="AD159" s="73">
        <v>46204</v>
      </c>
      <c r="AE159" s="73"/>
      <c r="AF159" s="73">
        <v>46210</v>
      </c>
      <c r="AG159" s="3">
        <v>-4994</v>
      </c>
      <c r="AH159" s="353" t="str">
        <f t="shared" si="6"/>
        <v>303</v>
      </c>
      <c r="AI159" s="3" t="str">
        <f t="shared" si="7"/>
        <v>58</v>
      </c>
      <c r="AJ159" s="64" t="str">
        <f>VLOOKUP(T159,'GL Name'!A:B,2,0)</f>
        <v>ต้นทุนผลิตหีบห่อ</v>
      </c>
      <c r="AL159" s="13">
        <f t="shared" si="8"/>
        <v>0.84576692030436529</v>
      </c>
      <c r="AM159" s="13" t="str">
        <f>VLOOKUP(I159,'Order 301-305 (เรียง)'!A:B,2,0)</f>
        <v>59000001</v>
      </c>
      <c r="AN159" t="str">
        <f>VLOOKUP(I159,'Order 301-305 (เรียง)'!A:C,3,0)</f>
        <v>เมล็ดกาแฟ CPR Coffee Bean  MF. 500 G.</v>
      </c>
    </row>
    <row r="160" spans="1:40" x14ac:dyDescent="0.3">
      <c r="A160" s="1" t="s">
        <v>196</v>
      </c>
      <c r="B160" s="1" t="s">
        <v>197</v>
      </c>
      <c r="C160" s="1" t="s">
        <v>64</v>
      </c>
      <c r="D160" s="1" t="s">
        <v>77</v>
      </c>
      <c r="E160" s="1" t="s">
        <v>78</v>
      </c>
      <c r="F160" s="1" t="s">
        <v>603</v>
      </c>
      <c r="G160" s="1" t="s">
        <v>103</v>
      </c>
      <c r="H160" s="1" t="s">
        <v>316</v>
      </c>
      <c r="I160" s="1" t="s">
        <v>604</v>
      </c>
      <c r="J160" s="1" t="s">
        <v>605</v>
      </c>
      <c r="K160" s="1" t="s">
        <v>84</v>
      </c>
      <c r="L160" s="1" t="s">
        <v>111</v>
      </c>
      <c r="M160" s="1" t="s">
        <v>68</v>
      </c>
      <c r="N160" s="1" t="s">
        <v>71</v>
      </c>
      <c r="O160" s="1" t="s">
        <v>68</v>
      </c>
      <c r="P160" s="1" t="s">
        <v>72</v>
      </c>
      <c r="Q160" s="1" t="s">
        <v>68</v>
      </c>
      <c r="R160" s="1" t="s">
        <v>197</v>
      </c>
      <c r="S160" s="1" t="s">
        <v>68</v>
      </c>
      <c r="T160" s="1" t="s">
        <v>108</v>
      </c>
      <c r="U160" s="1" t="s">
        <v>68</v>
      </c>
      <c r="V160" s="1" t="s">
        <v>68</v>
      </c>
      <c r="W160" s="1" t="s">
        <v>68</v>
      </c>
      <c r="X160" s="1" t="s">
        <v>68</v>
      </c>
      <c r="Y160" s="73"/>
      <c r="Z160" s="2" t="s">
        <v>102</v>
      </c>
      <c r="AA160" s="3">
        <v>-3517</v>
      </c>
      <c r="AB160" s="4">
        <v>-7240.26</v>
      </c>
      <c r="AC160" s="73">
        <v>46210</v>
      </c>
      <c r="AD160" s="73">
        <v>46204</v>
      </c>
      <c r="AE160" s="73"/>
      <c r="AF160" s="73">
        <v>46210</v>
      </c>
      <c r="AG160" s="3">
        <v>-3517</v>
      </c>
      <c r="AH160" s="353" t="str">
        <f t="shared" si="6"/>
        <v>303</v>
      </c>
      <c r="AI160" s="3" t="str">
        <f t="shared" si="7"/>
        <v>58</v>
      </c>
      <c r="AJ160" s="64" t="str">
        <f>VLOOKUP(T160,'GL Name'!A:B,2,0)</f>
        <v>ต้นทุนผลิตหีบห่อ</v>
      </c>
      <c r="AL160" s="13">
        <f t="shared" si="8"/>
        <v>2.0586465737844755</v>
      </c>
      <c r="AM160" s="13" t="str">
        <f>VLOOKUP(I160,'Order 301-305 (เรียง)'!A:B,2,0)</f>
        <v>59000001</v>
      </c>
      <c r="AN160" t="str">
        <f>VLOOKUP(I160,'Order 301-305 (เรียง)'!A:C,3,0)</f>
        <v>เมล็ดกาแฟ CPR Coffee Bean  MF. 500 G.</v>
      </c>
    </row>
    <row r="161" spans="1:40" x14ac:dyDescent="0.3">
      <c r="A161" s="1" t="s">
        <v>196</v>
      </c>
      <c r="B161" s="1" t="s">
        <v>197</v>
      </c>
      <c r="C161" s="1" t="s">
        <v>64</v>
      </c>
      <c r="D161" s="1" t="s">
        <v>77</v>
      </c>
      <c r="E161" s="1" t="s">
        <v>78</v>
      </c>
      <c r="F161" s="1" t="s">
        <v>603</v>
      </c>
      <c r="G161" s="1" t="s">
        <v>103</v>
      </c>
      <c r="H161" s="1" t="s">
        <v>302</v>
      </c>
      <c r="I161" s="1" t="s">
        <v>604</v>
      </c>
      <c r="J161" s="1" t="s">
        <v>605</v>
      </c>
      <c r="K161" s="1" t="s">
        <v>84</v>
      </c>
      <c r="L161" s="1" t="s">
        <v>95</v>
      </c>
      <c r="M161" s="1" t="s">
        <v>68</v>
      </c>
      <c r="N161" s="1" t="s">
        <v>71</v>
      </c>
      <c r="O161" s="1" t="s">
        <v>68</v>
      </c>
      <c r="P161" s="1" t="s">
        <v>72</v>
      </c>
      <c r="Q161" s="1" t="s">
        <v>68</v>
      </c>
      <c r="R161" s="1" t="s">
        <v>197</v>
      </c>
      <c r="S161" s="1" t="s">
        <v>68</v>
      </c>
      <c r="T161" s="1" t="s">
        <v>108</v>
      </c>
      <c r="U161" s="1" t="s">
        <v>68</v>
      </c>
      <c r="V161" s="1" t="s">
        <v>68</v>
      </c>
      <c r="W161" s="1" t="s">
        <v>68</v>
      </c>
      <c r="X161" s="1" t="s">
        <v>68</v>
      </c>
      <c r="Y161" s="73"/>
      <c r="Z161" s="2" t="s">
        <v>102</v>
      </c>
      <c r="AA161" s="3">
        <v>-1477</v>
      </c>
      <c r="AB161" s="4">
        <v>-3040.62</v>
      </c>
      <c r="AC161" s="73">
        <v>46210</v>
      </c>
      <c r="AD161" s="73">
        <v>46204</v>
      </c>
      <c r="AE161" s="73"/>
      <c r="AF161" s="73">
        <v>46210</v>
      </c>
      <c r="AG161" s="3">
        <v>-1477</v>
      </c>
      <c r="AH161" s="353" t="str">
        <f t="shared" si="6"/>
        <v>303</v>
      </c>
      <c r="AI161" s="3" t="str">
        <f t="shared" si="7"/>
        <v>58</v>
      </c>
      <c r="AJ161" s="64" t="str">
        <f>VLOOKUP(T161,'GL Name'!A:B,2,0)</f>
        <v>ต้นทุนผลิตหีบห่อ</v>
      </c>
      <c r="AL161" s="13">
        <f t="shared" si="8"/>
        <v>2.058645903859174</v>
      </c>
      <c r="AM161" s="13" t="str">
        <f>VLOOKUP(I161,'Order 301-305 (เรียง)'!A:B,2,0)</f>
        <v>59000001</v>
      </c>
      <c r="AN161" t="str">
        <f>VLOOKUP(I161,'Order 301-305 (เรียง)'!A:C,3,0)</f>
        <v>เมล็ดกาแฟ CPR Coffee Bean  MF. 500 G.</v>
      </c>
    </row>
    <row r="162" spans="1:40" x14ac:dyDescent="0.3">
      <c r="A162" s="1" t="s">
        <v>104</v>
      </c>
      <c r="B162" s="1" t="s">
        <v>105</v>
      </c>
      <c r="C162" s="1" t="s">
        <v>64</v>
      </c>
      <c r="D162" s="1" t="s">
        <v>77</v>
      </c>
      <c r="E162" s="1" t="s">
        <v>78</v>
      </c>
      <c r="F162" s="1" t="s">
        <v>603</v>
      </c>
      <c r="G162" s="1" t="s">
        <v>103</v>
      </c>
      <c r="H162" s="1" t="s">
        <v>303</v>
      </c>
      <c r="I162" s="1" t="s">
        <v>604</v>
      </c>
      <c r="J162" s="1" t="s">
        <v>605</v>
      </c>
      <c r="K162" s="1" t="s">
        <v>84</v>
      </c>
      <c r="L162" s="1" t="s">
        <v>112</v>
      </c>
      <c r="M162" s="1" t="s">
        <v>68</v>
      </c>
      <c r="N162" s="1" t="s">
        <v>71</v>
      </c>
      <c r="O162" s="1" t="s">
        <v>68</v>
      </c>
      <c r="P162" s="1" t="s">
        <v>72</v>
      </c>
      <c r="Q162" s="1" t="s">
        <v>68</v>
      </c>
      <c r="R162" s="1" t="s">
        <v>105</v>
      </c>
      <c r="S162" s="1" t="s">
        <v>68</v>
      </c>
      <c r="T162" s="1" t="s">
        <v>108</v>
      </c>
      <c r="U162" s="1" t="s">
        <v>68</v>
      </c>
      <c r="V162" s="1" t="s">
        <v>68</v>
      </c>
      <c r="W162" s="1" t="s">
        <v>68</v>
      </c>
      <c r="X162" s="1" t="s">
        <v>68</v>
      </c>
      <c r="Y162" s="73"/>
      <c r="Z162" s="2" t="s">
        <v>102</v>
      </c>
      <c r="AA162" s="3">
        <v>-515</v>
      </c>
      <c r="AB162" s="4">
        <v>-2575</v>
      </c>
      <c r="AC162" s="73">
        <v>46210</v>
      </c>
      <c r="AD162" s="73">
        <v>46204</v>
      </c>
      <c r="AE162" s="73"/>
      <c r="AF162" s="73">
        <v>46210</v>
      </c>
      <c r="AG162" s="3">
        <v>-515</v>
      </c>
      <c r="AH162" s="353" t="str">
        <f t="shared" si="6"/>
        <v>303</v>
      </c>
      <c r="AI162" s="3" t="str">
        <f t="shared" si="7"/>
        <v>58</v>
      </c>
      <c r="AJ162" s="64" t="str">
        <f>VLOOKUP(T162,'GL Name'!A:B,2,0)</f>
        <v>ต้นทุนผลิตหีบห่อ</v>
      </c>
      <c r="AL162" s="13">
        <f t="shared" si="8"/>
        <v>5</v>
      </c>
      <c r="AM162" s="13" t="str">
        <f>VLOOKUP(I162,'Order 301-305 (เรียง)'!A:B,2,0)</f>
        <v>59000001</v>
      </c>
      <c r="AN162" t="str">
        <f>VLOOKUP(I162,'Order 301-305 (เรียง)'!A:C,3,0)</f>
        <v>เมล็ดกาแฟ CPR Coffee Bean  MF. 500 G.</v>
      </c>
    </row>
    <row r="163" spans="1:40" x14ac:dyDescent="0.3">
      <c r="A163" s="1" t="s">
        <v>104</v>
      </c>
      <c r="B163" s="1" t="s">
        <v>105</v>
      </c>
      <c r="C163" s="1" t="s">
        <v>64</v>
      </c>
      <c r="D163" s="1" t="s">
        <v>77</v>
      </c>
      <c r="E163" s="1" t="s">
        <v>78</v>
      </c>
      <c r="F163" s="1" t="s">
        <v>603</v>
      </c>
      <c r="G163" s="1" t="s">
        <v>103</v>
      </c>
      <c r="H163" s="1" t="s">
        <v>277</v>
      </c>
      <c r="I163" s="1" t="s">
        <v>604</v>
      </c>
      <c r="J163" s="1" t="s">
        <v>605</v>
      </c>
      <c r="K163" s="1" t="s">
        <v>84</v>
      </c>
      <c r="L163" s="1" t="s">
        <v>89</v>
      </c>
      <c r="M163" s="1" t="s">
        <v>68</v>
      </c>
      <c r="N163" s="1" t="s">
        <v>71</v>
      </c>
      <c r="O163" s="1" t="s">
        <v>68</v>
      </c>
      <c r="P163" s="1" t="s">
        <v>606</v>
      </c>
      <c r="Q163" s="1" t="s">
        <v>68</v>
      </c>
      <c r="R163" s="1" t="s">
        <v>68</v>
      </c>
      <c r="S163" s="1" t="s">
        <v>68</v>
      </c>
      <c r="T163" s="1" t="s">
        <v>108</v>
      </c>
      <c r="U163" s="1" t="s">
        <v>68</v>
      </c>
      <c r="V163" s="1" t="s">
        <v>68</v>
      </c>
      <c r="W163" s="1" t="s">
        <v>68</v>
      </c>
      <c r="X163" s="1" t="s">
        <v>68</v>
      </c>
      <c r="Y163" s="73"/>
      <c r="Z163" s="2" t="s">
        <v>102</v>
      </c>
      <c r="AA163" s="3">
        <v>-269</v>
      </c>
      <c r="AB163" s="4">
        <v>-1345</v>
      </c>
      <c r="AC163" s="73">
        <v>46210</v>
      </c>
      <c r="AD163" s="73">
        <v>46204</v>
      </c>
      <c r="AE163" s="73"/>
      <c r="AF163" s="73">
        <v>46210</v>
      </c>
      <c r="AG163" s="3">
        <v>-269</v>
      </c>
      <c r="AH163" s="353" t="str">
        <f t="shared" si="6"/>
        <v>303</v>
      </c>
      <c r="AI163" s="3" t="str">
        <f t="shared" si="7"/>
        <v>58</v>
      </c>
      <c r="AJ163" s="64" t="str">
        <f>VLOOKUP(T163,'GL Name'!A:B,2,0)</f>
        <v>ต้นทุนผลิตหีบห่อ</v>
      </c>
      <c r="AL163" s="13">
        <f t="shared" si="8"/>
        <v>5</v>
      </c>
      <c r="AM163" s="13" t="str">
        <f>VLOOKUP(I163,'Order 301-305 (เรียง)'!A:B,2,0)</f>
        <v>59000001</v>
      </c>
      <c r="AN163" t="str">
        <f>VLOOKUP(I163,'Order 301-305 (เรียง)'!A:C,3,0)</f>
        <v>เมล็ดกาแฟ CPR Coffee Bean  MF. 500 G.</v>
      </c>
    </row>
    <row r="164" spans="1:40" x14ac:dyDescent="0.3">
      <c r="A164" s="1" t="s">
        <v>62</v>
      </c>
      <c r="B164" s="1" t="s">
        <v>63</v>
      </c>
      <c r="C164" s="1" t="s">
        <v>64</v>
      </c>
      <c r="D164" s="1" t="s">
        <v>115</v>
      </c>
      <c r="E164" s="1" t="s">
        <v>116</v>
      </c>
      <c r="F164" s="1" t="s">
        <v>603</v>
      </c>
      <c r="G164" s="1" t="s">
        <v>83</v>
      </c>
      <c r="H164" s="1" t="s">
        <v>602</v>
      </c>
      <c r="I164" s="1" t="s">
        <v>604</v>
      </c>
      <c r="J164" s="1" t="s">
        <v>605</v>
      </c>
      <c r="K164" s="1" t="s">
        <v>84</v>
      </c>
      <c r="L164" s="1" t="s">
        <v>70</v>
      </c>
      <c r="M164" s="1" t="s">
        <v>68</v>
      </c>
      <c r="N164" s="1" t="s">
        <v>71</v>
      </c>
      <c r="O164" s="1" t="s">
        <v>68</v>
      </c>
      <c r="P164" s="1" t="s">
        <v>72</v>
      </c>
      <c r="Q164" s="1" t="s">
        <v>68</v>
      </c>
      <c r="R164" s="1" t="s">
        <v>68</v>
      </c>
      <c r="S164" s="1" t="s">
        <v>68</v>
      </c>
      <c r="T164" s="1" t="s">
        <v>117</v>
      </c>
      <c r="U164" s="1" t="s">
        <v>68</v>
      </c>
      <c r="V164" s="1" t="s">
        <v>68</v>
      </c>
      <c r="W164" s="1" t="s">
        <v>68</v>
      </c>
      <c r="X164" s="1" t="s">
        <v>68</v>
      </c>
      <c r="Y164" s="73"/>
      <c r="Z164" s="2" t="s">
        <v>74</v>
      </c>
      <c r="AA164" s="3">
        <v>4697</v>
      </c>
      <c r="AB164" s="4">
        <v>795483.92</v>
      </c>
      <c r="AC164" s="73">
        <v>46210</v>
      </c>
      <c r="AD164" s="73">
        <v>46204</v>
      </c>
      <c r="AE164" s="73"/>
      <c r="AF164" s="73">
        <v>46210</v>
      </c>
      <c r="AG164" s="3">
        <v>2348500</v>
      </c>
      <c r="AH164" s="353" t="str">
        <f t="shared" si="6"/>
        <v>303</v>
      </c>
      <c r="AI164" s="3" t="str">
        <f t="shared" si="7"/>
        <v>59</v>
      </c>
      <c r="AJ164" s="64" t="str">
        <f>VLOOKUP(T164,'GL Name'!A:B,2,0)</f>
        <v>ต้นทุนผลิตโอน F/G</v>
      </c>
      <c r="AL164" s="13">
        <f t="shared" si="8"/>
        <v>169.36</v>
      </c>
      <c r="AM164" s="13" t="str">
        <f>VLOOKUP(I164,'Order 301-305 (เรียง)'!A:B,2,0)</f>
        <v>59000001</v>
      </c>
      <c r="AN164" t="str">
        <f>VLOOKUP(I164,'Order 301-305 (เรียง)'!A:C,3,0)</f>
        <v>เมล็ดกาแฟ CPR Coffee Bean  MF. 500 G.</v>
      </c>
    </row>
    <row r="165" spans="1:40" x14ac:dyDescent="0.3">
      <c r="A165" s="1" t="s">
        <v>62</v>
      </c>
      <c r="B165" s="1" t="s">
        <v>63</v>
      </c>
      <c r="C165" s="1" t="s">
        <v>64</v>
      </c>
      <c r="D165" s="1" t="s">
        <v>77</v>
      </c>
      <c r="E165" s="1" t="s">
        <v>78</v>
      </c>
      <c r="F165" s="1" t="s">
        <v>607</v>
      </c>
      <c r="G165" s="1" t="s">
        <v>83</v>
      </c>
      <c r="H165" s="1" t="s">
        <v>602</v>
      </c>
      <c r="I165" s="1" t="s">
        <v>608</v>
      </c>
      <c r="J165" s="1" t="s">
        <v>609</v>
      </c>
      <c r="K165" s="1" t="s">
        <v>84</v>
      </c>
      <c r="L165" s="1" t="s">
        <v>86</v>
      </c>
      <c r="M165" s="1" t="s">
        <v>68</v>
      </c>
      <c r="N165" s="1" t="s">
        <v>71</v>
      </c>
      <c r="O165" s="1" t="s">
        <v>68</v>
      </c>
      <c r="P165" s="1" t="s">
        <v>72</v>
      </c>
      <c r="Q165" s="1" t="s">
        <v>68</v>
      </c>
      <c r="R165" s="1" t="s">
        <v>63</v>
      </c>
      <c r="S165" s="1" t="s">
        <v>68</v>
      </c>
      <c r="T165" s="1" t="s">
        <v>110</v>
      </c>
      <c r="U165" s="1" t="s">
        <v>68</v>
      </c>
      <c r="V165" s="1" t="s">
        <v>68</v>
      </c>
      <c r="W165" s="1" t="s">
        <v>68</v>
      </c>
      <c r="X165" s="1" t="s">
        <v>68</v>
      </c>
      <c r="Y165" s="73"/>
      <c r="Z165" s="2" t="s">
        <v>74</v>
      </c>
      <c r="AA165" s="3">
        <v>-4200</v>
      </c>
      <c r="AB165" s="4">
        <v>-711312</v>
      </c>
      <c r="AC165" s="73">
        <v>46210</v>
      </c>
      <c r="AD165" s="73">
        <v>46209</v>
      </c>
      <c r="AE165" s="73"/>
      <c r="AF165" s="73">
        <v>46210</v>
      </c>
      <c r="AG165" s="3">
        <v>-2100000</v>
      </c>
      <c r="AH165" s="353" t="str">
        <f t="shared" si="6"/>
        <v>305</v>
      </c>
      <c r="AI165" s="3" t="str">
        <f t="shared" si="7"/>
        <v>59</v>
      </c>
      <c r="AJ165" s="64" t="str">
        <f>VLOOKUP(T165,'GL Name'!A:B,2,0)</f>
        <v>ต้นทุนผลิต-สินค้าสำเร็จรูป</v>
      </c>
      <c r="AL165" s="13">
        <f t="shared" si="8"/>
        <v>169.36</v>
      </c>
      <c r="AM165" s="13" t="str">
        <f>VLOOKUP(I165,'Order 301-305 (เรียง)'!A:B,2,0)</f>
        <v>59100000</v>
      </c>
      <c r="AN165" t="str">
        <f>VLOOKUP(I165,'Order 301-305 (เรียง)'!A:C,3,0)</f>
        <v>เมล็ดกาแฟ CPR Calibrate MF. 500 G.</v>
      </c>
    </row>
    <row r="166" spans="1:40" x14ac:dyDescent="0.3">
      <c r="A166" s="1" t="s">
        <v>113</v>
      </c>
      <c r="B166" s="1" t="s">
        <v>114</v>
      </c>
      <c r="C166" s="1" t="s">
        <v>64</v>
      </c>
      <c r="D166" s="1" t="s">
        <v>115</v>
      </c>
      <c r="E166" s="1" t="s">
        <v>116</v>
      </c>
      <c r="F166" s="1" t="s">
        <v>607</v>
      </c>
      <c r="G166" s="1" t="s">
        <v>83</v>
      </c>
      <c r="H166" s="1" t="s">
        <v>287</v>
      </c>
      <c r="I166" s="1" t="s">
        <v>608</v>
      </c>
      <c r="J166" s="1" t="s">
        <v>609</v>
      </c>
      <c r="K166" s="1" t="s">
        <v>84</v>
      </c>
      <c r="L166" s="1" t="s">
        <v>70</v>
      </c>
      <c r="M166" s="1" t="s">
        <v>68</v>
      </c>
      <c r="N166" s="1" t="s">
        <v>71</v>
      </c>
      <c r="O166" s="1" t="s">
        <v>68</v>
      </c>
      <c r="P166" s="1" t="s">
        <v>72</v>
      </c>
      <c r="Q166" s="1" t="s">
        <v>68</v>
      </c>
      <c r="R166" s="1" t="s">
        <v>68</v>
      </c>
      <c r="S166" s="1" t="s">
        <v>68</v>
      </c>
      <c r="T166" s="1" t="s">
        <v>117</v>
      </c>
      <c r="U166" s="1" t="s">
        <v>68</v>
      </c>
      <c r="V166" s="1" t="s">
        <v>68</v>
      </c>
      <c r="W166" s="1" t="s">
        <v>68</v>
      </c>
      <c r="X166" s="1" t="s">
        <v>68</v>
      </c>
      <c r="Y166" s="73"/>
      <c r="Z166" s="2" t="s">
        <v>74</v>
      </c>
      <c r="AA166" s="3">
        <v>4200</v>
      </c>
      <c r="AB166" s="4">
        <v>711312</v>
      </c>
      <c r="AC166" s="73">
        <v>46210</v>
      </c>
      <c r="AD166" s="73">
        <v>46209</v>
      </c>
      <c r="AE166" s="73"/>
      <c r="AF166" s="73">
        <v>46210</v>
      </c>
      <c r="AG166" s="3">
        <v>2100000</v>
      </c>
      <c r="AH166" s="353" t="str">
        <f t="shared" si="6"/>
        <v>305</v>
      </c>
      <c r="AI166" s="3" t="str">
        <f t="shared" si="7"/>
        <v>59</v>
      </c>
      <c r="AJ166" s="64" t="str">
        <f>VLOOKUP(T166,'GL Name'!A:B,2,0)</f>
        <v>ต้นทุนผลิตโอน F/G</v>
      </c>
      <c r="AL166" s="13">
        <f t="shared" si="8"/>
        <v>169.36</v>
      </c>
      <c r="AM166" s="13" t="str">
        <f>VLOOKUP(I166,'Order 301-305 (เรียง)'!A:B,2,0)</f>
        <v>59100000</v>
      </c>
      <c r="AN166" t="str">
        <f>VLOOKUP(I166,'Order 301-305 (เรียง)'!A:C,3,0)</f>
        <v>เมล็ดกาแฟ CPR Calibrate MF. 500 G.</v>
      </c>
    </row>
    <row r="167" spans="1:40" x14ac:dyDescent="0.3">
      <c r="A167" s="1" t="s">
        <v>113</v>
      </c>
      <c r="B167" s="1" t="s">
        <v>114</v>
      </c>
      <c r="C167" s="1" t="s">
        <v>64</v>
      </c>
      <c r="D167" s="1" t="s">
        <v>125</v>
      </c>
      <c r="E167" s="1" t="s">
        <v>289</v>
      </c>
      <c r="F167" s="1" t="s">
        <v>610</v>
      </c>
      <c r="G167" s="1" t="s">
        <v>83</v>
      </c>
      <c r="H167" s="1" t="s">
        <v>287</v>
      </c>
      <c r="I167" s="1" t="s">
        <v>68</v>
      </c>
      <c r="J167" s="1" t="s">
        <v>611</v>
      </c>
      <c r="K167" s="1" t="s">
        <v>84</v>
      </c>
      <c r="L167" s="1" t="s">
        <v>70</v>
      </c>
      <c r="M167" s="1" t="s">
        <v>68</v>
      </c>
      <c r="N167" s="1" t="s">
        <v>71</v>
      </c>
      <c r="O167" s="1" t="s">
        <v>68</v>
      </c>
      <c r="P167" s="1" t="s">
        <v>612</v>
      </c>
      <c r="Q167" s="1" t="s">
        <v>68</v>
      </c>
      <c r="R167" s="1" t="s">
        <v>68</v>
      </c>
      <c r="S167" s="1" t="s">
        <v>68</v>
      </c>
      <c r="T167" s="1" t="s">
        <v>68</v>
      </c>
      <c r="U167" s="1" t="s">
        <v>68</v>
      </c>
      <c r="V167" s="1" t="s">
        <v>68</v>
      </c>
      <c r="W167" s="1" t="s">
        <v>68</v>
      </c>
      <c r="X167" s="1" t="s">
        <v>68</v>
      </c>
      <c r="Y167" s="73"/>
      <c r="Z167" s="2" t="s">
        <v>74</v>
      </c>
      <c r="AA167" s="3">
        <v>-4200</v>
      </c>
      <c r="AB167" s="4">
        <v>-711312</v>
      </c>
      <c r="AC167" s="73">
        <v>46210</v>
      </c>
      <c r="AD167" s="73">
        <v>46210</v>
      </c>
      <c r="AE167" s="73"/>
      <c r="AF167" s="73">
        <v>46210</v>
      </c>
      <c r="AG167" s="3">
        <v>-2100000</v>
      </c>
      <c r="AH167" s="353" t="str">
        <f t="shared" si="6"/>
        <v/>
      </c>
      <c r="AI167" s="3" t="str">
        <f t="shared" si="7"/>
        <v>59</v>
      </c>
      <c r="AJ167" s="64" t="e">
        <f>VLOOKUP(T167,'GL Name'!A:B,2,0)</f>
        <v>#N/A</v>
      </c>
      <c r="AL167" s="13">
        <f t="shared" si="8"/>
        <v>169.36</v>
      </c>
      <c r="AM167" s="13" t="e">
        <f>VLOOKUP(I167,'Order 301-305 (เรียง)'!A:B,2,0)</f>
        <v>#N/A</v>
      </c>
      <c r="AN167" t="e">
        <f>VLOOKUP(I167,'Order 301-305 (เรียง)'!A:C,3,0)</f>
        <v>#N/A</v>
      </c>
    </row>
    <row r="168" spans="1:40" x14ac:dyDescent="0.3">
      <c r="A168" s="1" t="s">
        <v>13</v>
      </c>
      <c r="B168" s="1" t="s">
        <v>14</v>
      </c>
      <c r="C168" s="1" t="s">
        <v>64</v>
      </c>
      <c r="D168" s="1" t="s">
        <v>77</v>
      </c>
      <c r="E168" s="1" t="s">
        <v>78</v>
      </c>
      <c r="F168" s="1" t="s">
        <v>613</v>
      </c>
      <c r="G168" s="1" t="s">
        <v>279</v>
      </c>
      <c r="H168" s="1" t="s">
        <v>327</v>
      </c>
      <c r="I168" s="1" t="s">
        <v>614</v>
      </c>
      <c r="J168" s="1" t="s">
        <v>615</v>
      </c>
      <c r="K168" s="1" t="s">
        <v>84</v>
      </c>
      <c r="L168" s="1" t="s">
        <v>86</v>
      </c>
      <c r="M168" s="1" t="s">
        <v>68</v>
      </c>
      <c r="N168" s="1" t="s">
        <v>71</v>
      </c>
      <c r="O168" s="1" t="s">
        <v>68</v>
      </c>
      <c r="P168" s="1" t="s">
        <v>616</v>
      </c>
      <c r="Q168" s="1" t="s">
        <v>68</v>
      </c>
      <c r="R168" s="1" t="s">
        <v>68</v>
      </c>
      <c r="S168" s="1" t="s">
        <v>68</v>
      </c>
      <c r="T168" s="1" t="s">
        <v>123</v>
      </c>
      <c r="U168" s="1" t="s">
        <v>68</v>
      </c>
      <c r="V168" s="1" t="s">
        <v>68</v>
      </c>
      <c r="W168" s="1" t="s">
        <v>68</v>
      </c>
      <c r="X168" s="1" t="s">
        <v>68</v>
      </c>
      <c r="Y168" s="73"/>
      <c r="Z168" s="2" t="s">
        <v>80</v>
      </c>
      <c r="AA168" s="3">
        <v>-5184.8</v>
      </c>
      <c r="AB168" s="4">
        <v>-1398807.19</v>
      </c>
      <c r="AC168" s="73">
        <v>46210</v>
      </c>
      <c r="AD168" s="73">
        <v>46204</v>
      </c>
      <c r="AE168" s="73"/>
      <c r="AF168" s="73">
        <v>46210</v>
      </c>
      <c r="AG168" s="3">
        <v>-5184800</v>
      </c>
      <c r="AH168" s="353" t="str">
        <f t="shared" si="6"/>
        <v>302</v>
      </c>
      <c r="AI168" s="3" t="str">
        <f t="shared" si="7"/>
        <v>57</v>
      </c>
      <c r="AJ168" s="64" t="str">
        <f>VLOOKUP(T168,'GL Name'!A:B,2,0)</f>
        <v>ต้นทุนผลิตกึ่งสำเร็จ</v>
      </c>
      <c r="AL168" s="13">
        <f t="shared" si="8"/>
        <v>269.78999961425706</v>
      </c>
      <c r="AM168" s="13" t="str">
        <f>VLOOKUP(I168,'Order 301-305 (เรียง)'!A:B,2,0)</f>
        <v>59000002</v>
      </c>
      <c r="AN168" t="str">
        <f>VLOOKUP(I168,'Order 301-305 (เรียง)'!A:C,3,0)</f>
        <v>GOLD BLEND ALL CAFE'  ขนาด 500 G.</v>
      </c>
    </row>
    <row r="169" spans="1:40" x14ac:dyDescent="0.3">
      <c r="A169" s="1" t="s">
        <v>19</v>
      </c>
      <c r="B169" s="1" t="s">
        <v>20</v>
      </c>
      <c r="C169" s="1" t="s">
        <v>64</v>
      </c>
      <c r="D169" s="1" t="s">
        <v>77</v>
      </c>
      <c r="E169" s="1" t="s">
        <v>78</v>
      </c>
      <c r="F169" s="1" t="s">
        <v>613</v>
      </c>
      <c r="G169" s="1" t="s">
        <v>279</v>
      </c>
      <c r="H169" s="1" t="s">
        <v>304</v>
      </c>
      <c r="I169" s="1" t="s">
        <v>614</v>
      </c>
      <c r="J169" s="1" t="s">
        <v>615</v>
      </c>
      <c r="K169" s="1" t="s">
        <v>84</v>
      </c>
      <c r="L169" s="1" t="s">
        <v>89</v>
      </c>
      <c r="M169" s="1" t="s">
        <v>68</v>
      </c>
      <c r="N169" s="1" t="s">
        <v>71</v>
      </c>
      <c r="O169" s="1" t="s">
        <v>68</v>
      </c>
      <c r="P169" s="1" t="s">
        <v>72</v>
      </c>
      <c r="Q169" s="1" t="s">
        <v>68</v>
      </c>
      <c r="R169" s="1" t="s">
        <v>20</v>
      </c>
      <c r="S169" s="1" t="s">
        <v>68</v>
      </c>
      <c r="T169" s="1" t="s">
        <v>123</v>
      </c>
      <c r="U169" s="1" t="s">
        <v>68</v>
      </c>
      <c r="V169" s="1" t="s">
        <v>68</v>
      </c>
      <c r="W169" s="1" t="s">
        <v>68</v>
      </c>
      <c r="X169" s="1" t="s">
        <v>68</v>
      </c>
      <c r="Y169" s="73"/>
      <c r="Z169" s="2" t="s">
        <v>80</v>
      </c>
      <c r="AA169" s="3">
        <v>-856.89</v>
      </c>
      <c r="AB169" s="4">
        <v>-137633.67000000001</v>
      </c>
      <c r="AC169" s="73">
        <v>46210</v>
      </c>
      <c r="AD169" s="73">
        <v>46204</v>
      </c>
      <c r="AE169" s="73"/>
      <c r="AF169" s="73">
        <v>46210</v>
      </c>
      <c r="AG169" s="3">
        <v>-856890</v>
      </c>
      <c r="AH169" s="353" t="str">
        <f t="shared" si="6"/>
        <v>302</v>
      </c>
      <c r="AI169" s="3" t="str">
        <f t="shared" si="7"/>
        <v>57</v>
      </c>
      <c r="AJ169" s="64" t="str">
        <f>VLOOKUP(T169,'GL Name'!A:B,2,0)</f>
        <v>ต้นทุนผลิตกึ่งสำเร็จ</v>
      </c>
      <c r="AL169" s="13">
        <f t="shared" si="8"/>
        <v>160.61999789938034</v>
      </c>
      <c r="AM169" s="13" t="str">
        <f>VLOOKUP(I169,'Order 301-305 (เรียง)'!A:B,2,0)</f>
        <v>59000002</v>
      </c>
      <c r="AN169" t="str">
        <f>VLOOKUP(I169,'Order 301-305 (เรียง)'!A:C,3,0)</f>
        <v>GOLD BLEND ALL CAFE'  ขนาด 500 G.</v>
      </c>
    </row>
    <row r="170" spans="1:40" x14ac:dyDescent="0.3">
      <c r="A170" s="1" t="s">
        <v>19</v>
      </c>
      <c r="B170" s="1" t="s">
        <v>20</v>
      </c>
      <c r="C170" s="1" t="s">
        <v>64</v>
      </c>
      <c r="D170" s="1" t="s">
        <v>77</v>
      </c>
      <c r="E170" s="1" t="s">
        <v>78</v>
      </c>
      <c r="F170" s="1" t="s">
        <v>613</v>
      </c>
      <c r="G170" s="1" t="s">
        <v>279</v>
      </c>
      <c r="H170" s="1" t="s">
        <v>296</v>
      </c>
      <c r="I170" s="1" t="s">
        <v>614</v>
      </c>
      <c r="J170" s="1" t="s">
        <v>615</v>
      </c>
      <c r="K170" s="1" t="s">
        <v>84</v>
      </c>
      <c r="L170" s="1" t="s">
        <v>92</v>
      </c>
      <c r="M170" s="1" t="s">
        <v>68</v>
      </c>
      <c r="N170" s="1" t="s">
        <v>71</v>
      </c>
      <c r="O170" s="1" t="s">
        <v>68</v>
      </c>
      <c r="P170" s="1" t="s">
        <v>616</v>
      </c>
      <c r="Q170" s="1" t="s">
        <v>68</v>
      </c>
      <c r="R170" s="1" t="s">
        <v>68</v>
      </c>
      <c r="S170" s="1" t="s">
        <v>68</v>
      </c>
      <c r="T170" s="1" t="s">
        <v>123</v>
      </c>
      <c r="U170" s="1" t="s">
        <v>68</v>
      </c>
      <c r="V170" s="1" t="s">
        <v>68</v>
      </c>
      <c r="W170" s="1" t="s">
        <v>68</v>
      </c>
      <c r="X170" s="1" t="s">
        <v>68</v>
      </c>
      <c r="Y170" s="73"/>
      <c r="Z170" s="2" t="s">
        <v>80</v>
      </c>
      <c r="AA170" s="3">
        <v>-440.38</v>
      </c>
      <c r="AB170" s="4">
        <v>-70733.84</v>
      </c>
      <c r="AC170" s="73">
        <v>46210</v>
      </c>
      <c r="AD170" s="73">
        <v>46204</v>
      </c>
      <c r="AE170" s="73"/>
      <c r="AF170" s="73">
        <v>46210</v>
      </c>
      <c r="AG170" s="3">
        <v>-440380</v>
      </c>
      <c r="AH170" s="353" t="str">
        <f t="shared" si="6"/>
        <v>302</v>
      </c>
      <c r="AI170" s="3" t="str">
        <f t="shared" si="7"/>
        <v>57</v>
      </c>
      <c r="AJ170" s="64" t="str">
        <f>VLOOKUP(T170,'GL Name'!A:B,2,0)</f>
        <v>ต้นทุนผลิตกึ่งสำเร็จ</v>
      </c>
      <c r="AL170" s="13">
        <f t="shared" si="8"/>
        <v>160.62000999137109</v>
      </c>
      <c r="AM170" s="13" t="str">
        <f>VLOOKUP(I170,'Order 301-305 (เรียง)'!A:B,2,0)</f>
        <v>59000002</v>
      </c>
      <c r="AN170" t="str">
        <f>VLOOKUP(I170,'Order 301-305 (เรียง)'!A:C,3,0)</f>
        <v>GOLD BLEND ALL CAFE'  ขนาด 500 G.</v>
      </c>
    </row>
    <row r="171" spans="1:40" x14ac:dyDescent="0.3">
      <c r="A171" s="1" t="s">
        <v>23</v>
      </c>
      <c r="B171" s="1" t="s">
        <v>24</v>
      </c>
      <c r="C171" s="1" t="s">
        <v>64</v>
      </c>
      <c r="D171" s="1" t="s">
        <v>115</v>
      </c>
      <c r="E171" s="1" t="s">
        <v>116</v>
      </c>
      <c r="F171" s="1" t="s">
        <v>613</v>
      </c>
      <c r="G171" s="1" t="s">
        <v>103</v>
      </c>
      <c r="H171" s="1" t="s">
        <v>617</v>
      </c>
      <c r="I171" s="1" t="s">
        <v>614</v>
      </c>
      <c r="J171" s="1" t="s">
        <v>615</v>
      </c>
      <c r="K171" s="1" t="s">
        <v>84</v>
      </c>
      <c r="L171" s="1" t="s">
        <v>70</v>
      </c>
      <c r="M171" s="1" t="s">
        <v>68</v>
      </c>
      <c r="N171" s="1" t="s">
        <v>71</v>
      </c>
      <c r="O171" s="1" t="s">
        <v>68</v>
      </c>
      <c r="P171" s="1" t="s">
        <v>72</v>
      </c>
      <c r="Q171" s="1" t="s">
        <v>68</v>
      </c>
      <c r="R171" s="1" t="s">
        <v>68</v>
      </c>
      <c r="S171" s="1" t="s">
        <v>68</v>
      </c>
      <c r="T171" s="1" t="s">
        <v>124</v>
      </c>
      <c r="U171" s="1" t="s">
        <v>68</v>
      </c>
      <c r="V171" s="1" t="s">
        <v>68</v>
      </c>
      <c r="W171" s="1" t="s">
        <v>68</v>
      </c>
      <c r="X171" s="1" t="s">
        <v>68</v>
      </c>
      <c r="Y171" s="73"/>
      <c r="Z171" s="2" t="s">
        <v>80</v>
      </c>
      <c r="AA171" s="3">
        <v>5211.9799999999996</v>
      </c>
      <c r="AB171" s="4">
        <v>1690088.75</v>
      </c>
      <c r="AC171" s="73">
        <v>46210</v>
      </c>
      <c r="AD171" s="73">
        <v>46204</v>
      </c>
      <c r="AE171" s="73"/>
      <c r="AF171" s="73">
        <v>46210</v>
      </c>
      <c r="AG171" s="3">
        <v>5211980</v>
      </c>
      <c r="AH171" s="353" t="str">
        <f t="shared" si="6"/>
        <v>302</v>
      </c>
      <c r="AI171" s="3" t="str">
        <f t="shared" si="7"/>
        <v>57</v>
      </c>
      <c r="AJ171" s="64" t="str">
        <f>VLOOKUP(T171,'GL Name'!A:B,2,0)</f>
        <v>ต้นทุนผลิตโอน Semi</v>
      </c>
      <c r="AL171" s="13">
        <f t="shared" si="8"/>
        <v>324.26999911741797</v>
      </c>
      <c r="AM171" s="13" t="str">
        <f>VLOOKUP(I171,'Order 301-305 (เรียง)'!A:B,2,0)</f>
        <v>59000002</v>
      </c>
      <c r="AN171" t="str">
        <f>VLOOKUP(I171,'Order 301-305 (เรียง)'!A:C,3,0)</f>
        <v>GOLD BLEND ALL CAFE'  ขนาด 500 G.</v>
      </c>
    </row>
    <row r="172" spans="1:40" x14ac:dyDescent="0.3">
      <c r="A172" s="1" t="s">
        <v>81</v>
      </c>
      <c r="B172" s="1" t="s">
        <v>82</v>
      </c>
      <c r="C172" s="1" t="s">
        <v>64</v>
      </c>
      <c r="D172" s="1" t="s">
        <v>65</v>
      </c>
      <c r="E172" s="1" t="s">
        <v>66</v>
      </c>
      <c r="F172" s="1" t="s">
        <v>618</v>
      </c>
      <c r="G172" s="1" t="s">
        <v>83</v>
      </c>
      <c r="H172" s="1" t="s">
        <v>322</v>
      </c>
      <c r="I172" s="1" t="s">
        <v>68</v>
      </c>
      <c r="J172" s="1" t="s">
        <v>619</v>
      </c>
      <c r="K172" s="1" t="s">
        <v>118</v>
      </c>
      <c r="L172" s="1" t="s">
        <v>86</v>
      </c>
      <c r="M172" s="1" t="s">
        <v>68</v>
      </c>
      <c r="N172" s="1" t="s">
        <v>71</v>
      </c>
      <c r="O172" s="1" t="s">
        <v>68</v>
      </c>
      <c r="P172" s="1" t="s">
        <v>72</v>
      </c>
      <c r="Q172" s="1" t="s">
        <v>68</v>
      </c>
      <c r="R172" s="1" t="s">
        <v>68</v>
      </c>
      <c r="S172" s="1" t="s">
        <v>68</v>
      </c>
      <c r="T172" s="1" t="s">
        <v>73</v>
      </c>
      <c r="U172" s="1" t="s">
        <v>68</v>
      </c>
      <c r="V172" s="1" t="s">
        <v>68</v>
      </c>
      <c r="W172" s="1" t="s">
        <v>68</v>
      </c>
      <c r="X172" s="1" t="s">
        <v>620</v>
      </c>
      <c r="Y172" s="73"/>
      <c r="Z172" s="2" t="s">
        <v>85</v>
      </c>
      <c r="AA172" s="3">
        <v>-1729</v>
      </c>
      <c r="AB172" s="4">
        <v>-1757148.12</v>
      </c>
      <c r="AC172" s="73">
        <v>46210</v>
      </c>
      <c r="AD172" s="73">
        <v>46210</v>
      </c>
      <c r="AE172" s="73"/>
      <c r="AF172" s="73">
        <v>46210</v>
      </c>
      <c r="AG172" s="3">
        <v>-5187000</v>
      </c>
      <c r="AH172" s="353" t="str">
        <f t="shared" si="6"/>
        <v/>
      </c>
      <c r="AI172" s="3" t="str">
        <f t="shared" si="7"/>
        <v>59</v>
      </c>
      <c r="AJ172" s="64" t="str">
        <f>VLOOKUP(T172,'GL Name'!A:B,2,0)</f>
        <v>ต้นทุนขาย</v>
      </c>
      <c r="AL172" s="13">
        <f t="shared" si="8"/>
        <v>1016.2800000000001</v>
      </c>
      <c r="AM172" s="13" t="e">
        <f>VLOOKUP(I172,'Order 301-305 (เรียง)'!A:B,2,0)</f>
        <v>#N/A</v>
      </c>
      <c r="AN172" t="e">
        <f>VLOOKUP(I172,'Order 301-305 (เรียง)'!A:C,3,0)</f>
        <v>#N/A</v>
      </c>
    </row>
    <row r="173" spans="1:40" x14ac:dyDescent="0.3">
      <c r="A173" s="1" t="s">
        <v>81</v>
      </c>
      <c r="B173" s="1" t="s">
        <v>82</v>
      </c>
      <c r="C173" s="1" t="s">
        <v>64</v>
      </c>
      <c r="D173" s="1" t="s">
        <v>65</v>
      </c>
      <c r="E173" s="1" t="s">
        <v>66</v>
      </c>
      <c r="F173" s="1" t="s">
        <v>618</v>
      </c>
      <c r="G173" s="1" t="s">
        <v>83</v>
      </c>
      <c r="H173" s="1" t="s">
        <v>321</v>
      </c>
      <c r="I173" s="1" t="s">
        <v>68</v>
      </c>
      <c r="J173" s="1" t="s">
        <v>619</v>
      </c>
      <c r="K173" s="1" t="s">
        <v>118</v>
      </c>
      <c r="L173" s="1" t="s">
        <v>70</v>
      </c>
      <c r="M173" s="1" t="s">
        <v>68</v>
      </c>
      <c r="N173" s="1" t="s">
        <v>71</v>
      </c>
      <c r="O173" s="1" t="s">
        <v>68</v>
      </c>
      <c r="P173" s="1" t="s">
        <v>72</v>
      </c>
      <c r="Q173" s="1" t="s">
        <v>68</v>
      </c>
      <c r="R173" s="1" t="s">
        <v>68</v>
      </c>
      <c r="S173" s="1" t="s">
        <v>68</v>
      </c>
      <c r="T173" s="1" t="s">
        <v>73</v>
      </c>
      <c r="U173" s="1" t="s">
        <v>68</v>
      </c>
      <c r="V173" s="1" t="s">
        <v>68</v>
      </c>
      <c r="W173" s="1" t="s">
        <v>68</v>
      </c>
      <c r="X173" s="1" t="s">
        <v>620</v>
      </c>
      <c r="Y173" s="73"/>
      <c r="Z173" s="2" t="s">
        <v>85</v>
      </c>
      <c r="AA173" s="3">
        <v>-191</v>
      </c>
      <c r="AB173" s="4">
        <v>-194109.48</v>
      </c>
      <c r="AC173" s="73">
        <v>46210</v>
      </c>
      <c r="AD173" s="73">
        <v>46210</v>
      </c>
      <c r="AE173" s="73"/>
      <c r="AF173" s="73">
        <v>46210</v>
      </c>
      <c r="AG173" s="3">
        <v>-573000</v>
      </c>
      <c r="AH173" s="353" t="str">
        <f t="shared" si="6"/>
        <v/>
      </c>
      <c r="AI173" s="3" t="str">
        <f t="shared" si="7"/>
        <v>59</v>
      </c>
      <c r="AJ173" s="64" t="str">
        <f>VLOOKUP(T173,'GL Name'!A:B,2,0)</f>
        <v>ต้นทุนขาย</v>
      </c>
      <c r="AL173" s="13">
        <f t="shared" si="8"/>
        <v>1016.2800000000001</v>
      </c>
      <c r="AM173" s="13" t="e">
        <f>VLOOKUP(I173,'Order 301-305 (เรียง)'!A:B,2,0)</f>
        <v>#N/A</v>
      </c>
      <c r="AN173" t="e">
        <f>VLOOKUP(I173,'Order 301-305 (เรียง)'!A:C,3,0)</f>
        <v>#N/A</v>
      </c>
    </row>
    <row r="174" spans="1:40" x14ac:dyDescent="0.3">
      <c r="A174" s="1" t="s">
        <v>81</v>
      </c>
      <c r="B174" s="1" t="s">
        <v>82</v>
      </c>
      <c r="C174" s="1" t="s">
        <v>64</v>
      </c>
      <c r="D174" s="1" t="s">
        <v>87</v>
      </c>
      <c r="E174" s="1" t="s">
        <v>88</v>
      </c>
      <c r="F174" s="1" t="s">
        <v>621</v>
      </c>
      <c r="G174" s="1" t="s">
        <v>83</v>
      </c>
      <c r="H174" s="1" t="s">
        <v>320</v>
      </c>
      <c r="I174" s="1" t="s">
        <v>68</v>
      </c>
      <c r="J174" s="1" t="s">
        <v>622</v>
      </c>
      <c r="K174" s="1" t="s">
        <v>118</v>
      </c>
      <c r="L174" s="1" t="s">
        <v>70</v>
      </c>
      <c r="M174" s="1" t="s">
        <v>68</v>
      </c>
      <c r="N174" s="1" t="s">
        <v>71</v>
      </c>
      <c r="O174" s="1" t="s">
        <v>68</v>
      </c>
      <c r="P174" s="1" t="s">
        <v>623</v>
      </c>
      <c r="Q174" s="1" t="s">
        <v>68</v>
      </c>
      <c r="R174" s="1" t="s">
        <v>308</v>
      </c>
      <c r="S174" s="1" t="s">
        <v>90</v>
      </c>
      <c r="T174" s="1" t="s">
        <v>91</v>
      </c>
      <c r="U174" s="1" t="s">
        <v>68</v>
      </c>
      <c r="V174" s="1" t="s">
        <v>68</v>
      </c>
      <c r="W174" s="1" t="s">
        <v>68</v>
      </c>
      <c r="X174" s="1" t="s">
        <v>68</v>
      </c>
      <c r="Y174" s="73"/>
      <c r="Z174" s="2" t="s">
        <v>74</v>
      </c>
      <c r="AA174" s="3">
        <v>-1</v>
      </c>
      <c r="AB174" s="4">
        <v>-169.38</v>
      </c>
      <c r="AC174" s="73">
        <v>46210</v>
      </c>
      <c r="AD174" s="73">
        <v>46210</v>
      </c>
      <c r="AE174" s="73"/>
      <c r="AF174" s="73">
        <v>46210</v>
      </c>
      <c r="AG174" s="3">
        <v>-500</v>
      </c>
      <c r="AH174" s="353" t="str">
        <f t="shared" ref="AH174:AH190" si="9">LEFT(I174,3)</f>
        <v/>
      </c>
      <c r="AI174" s="3" t="str">
        <f t="shared" ref="AI174:AI190" si="10">LEFT(A174,2)</f>
        <v>59</v>
      </c>
      <c r="AJ174" s="64" t="str">
        <f>VLOOKUP(T174,'GL Name'!A:B,2,0)</f>
        <v>ค่าวิจัยคุณภาพสินค้า</v>
      </c>
      <c r="AL174" s="13">
        <f t="shared" ref="AL174:AL190" si="11">AB174/AA174</f>
        <v>169.38</v>
      </c>
      <c r="AM174" s="13" t="e">
        <f>VLOOKUP(I174,'Order 301-305 (เรียง)'!A:B,2,0)</f>
        <v>#N/A</v>
      </c>
      <c r="AN174" t="e">
        <f>VLOOKUP(I174,'Order 301-305 (เรียง)'!A:C,3,0)</f>
        <v>#N/A</v>
      </c>
    </row>
    <row r="175" spans="1:40" x14ac:dyDescent="0.3">
      <c r="A175" s="1" t="s">
        <v>81</v>
      </c>
      <c r="B175" s="1" t="s">
        <v>82</v>
      </c>
      <c r="C175" s="1" t="s">
        <v>64</v>
      </c>
      <c r="D175" s="1" t="s">
        <v>87</v>
      </c>
      <c r="E175" s="1" t="s">
        <v>88</v>
      </c>
      <c r="F175" s="1" t="s">
        <v>621</v>
      </c>
      <c r="G175" s="1" t="s">
        <v>83</v>
      </c>
      <c r="H175" s="1" t="s">
        <v>321</v>
      </c>
      <c r="I175" s="1" t="s">
        <v>68</v>
      </c>
      <c r="J175" s="1" t="s">
        <v>622</v>
      </c>
      <c r="K175" s="1" t="s">
        <v>118</v>
      </c>
      <c r="L175" s="1" t="s">
        <v>86</v>
      </c>
      <c r="M175" s="1" t="s">
        <v>68</v>
      </c>
      <c r="N175" s="1" t="s">
        <v>71</v>
      </c>
      <c r="O175" s="1" t="s">
        <v>68</v>
      </c>
      <c r="P175" s="1" t="s">
        <v>623</v>
      </c>
      <c r="Q175" s="1" t="s">
        <v>68</v>
      </c>
      <c r="R175" s="1" t="s">
        <v>308</v>
      </c>
      <c r="S175" s="1" t="s">
        <v>90</v>
      </c>
      <c r="T175" s="1" t="s">
        <v>91</v>
      </c>
      <c r="U175" s="1" t="s">
        <v>68</v>
      </c>
      <c r="V175" s="1" t="s">
        <v>68</v>
      </c>
      <c r="W175" s="1" t="s">
        <v>68</v>
      </c>
      <c r="X175" s="1" t="s">
        <v>68</v>
      </c>
      <c r="Y175" s="73"/>
      <c r="Z175" s="2" t="s">
        <v>74</v>
      </c>
      <c r="AA175" s="3">
        <v>-2</v>
      </c>
      <c r="AB175" s="4">
        <v>-338.76</v>
      </c>
      <c r="AC175" s="73">
        <v>46210</v>
      </c>
      <c r="AD175" s="73">
        <v>46210</v>
      </c>
      <c r="AE175" s="73"/>
      <c r="AF175" s="73">
        <v>46210</v>
      </c>
      <c r="AG175" s="3">
        <v>-1000</v>
      </c>
      <c r="AH175" s="353" t="str">
        <f t="shared" si="9"/>
        <v/>
      </c>
      <c r="AI175" s="3" t="str">
        <f t="shared" si="10"/>
        <v>59</v>
      </c>
      <c r="AJ175" s="64" t="str">
        <f>VLOOKUP(T175,'GL Name'!A:B,2,0)</f>
        <v>ค่าวิจัยคุณภาพสินค้า</v>
      </c>
      <c r="AL175" s="13">
        <f t="shared" si="11"/>
        <v>169.38</v>
      </c>
      <c r="AM175" s="13" t="e">
        <f>VLOOKUP(I175,'Order 301-305 (เรียง)'!A:B,2,0)</f>
        <v>#N/A</v>
      </c>
      <c r="AN175" t="e">
        <f>VLOOKUP(I175,'Order 301-305 (เรียง)'!A:C,3,0)</f>
        <v>#N/A</v>
      </c>
    </row>
    <row r="176" spans="1:40" x14ac:dyDescent="0.3">
      <c r="A176" s="1" t="s">
        <v>81</v>
      </c>
      <c r="B176" s="1" t="s">
        <v>82</v>
      </c>
      <c r="C176" s="1" t="s">
        <v>64</v>
      </c>
      <c r="D176" s="1" t="s">
        <v>87</v>
      </c>
      <c r="E176" s="1" t="s">
        <v>88</v>
      </c>
      <c r="F176" s="1" t="s">
        <v>621</v>
      </c>
      <c r="G176" s="1" t="s">
        <v>83</v>
      </c>
      <c r="H176" s="1" t="s">
        <v>322</v>
      </c>
      <c r="I176" s="1" t="s">
        <v>68</v>
      </c>
      <c r="J176" s="1" t="s">
        <v>622</v>
      </c>
      <c r="K176" s="1" t="s">
        <v>118</v>
      </c>
      <c r="L176" s="1" t="s">
        <v>92</v>
      </c>
      <c r="M176" s="1" t="s">
        <v>68</v>
      </c>
      <c r="N176" s="1" t="s">
        <v>71</v>
      </c>
      <c r="O176" s="1" t="s">
        <v>68</v>
      </c>
      <c r="P176" s="1" t="s">
        <v>623</v>
      </c>
      <c r="Q176" s="1" t="s">
        <v>68</v>
      </c>
      <c r="R176" s="1" t="s">
        <v>308</v>
      </c>
      <c r="S176" s="1" t="s">
        <v>90</v>
      </c>
      <c r="T176" s="1" t="s">
        <v>91</v>
      </c>
      <c r="U176" s="1" t="s">
        <v>68</v>
      </c>
      <c r="V176" s="1" t="s">
        <v>68</v>
      </c>
      <c r="W176" s="1" t="s">
        <v>68</v>
      </c>
      <c r="X176" s="1" t="s">
        <v>68</v>
      </c>
      <c r="Y176" s="73"/>
      <c r="Z176" s="2" t="s">
        <v>74</v>
      </c>
      <c r="AA176" s="3">
        <v>-1</v>
      </c>
      <c r="AB176" s="4">
        <v>-169.38</v>
      </c>
      <c r="AC176" s="73">
        <v>46210</v>
      </c>
      <c r="AD176" s="73">
        <v>46210</v>
      </c>
      <c r="AE176" s="73"/>
      <c r="AF176" s="73">
        <v>46210</v>
      </c>
      <c r="AG176" s="3">
        <v>-500</v>
      </c>
      <c r="AH176" s="353" t="str">
        <f t="shared" si="9"/>
        <v/>
      </c>
      <c r="AI176" s="3" t="str">
        <f t="shared" si="10"/>
        <v>59</v>
      </c>
      <c r="AJ176" s="64" t="str">
        <f>VLOOKUP(T176,'GL Name'!A:B,2,0)</f>
        <v>ค่าวิจัยคุณภาพสินค้า</v>
      </c>
      <c r="AL176" s="13">
        <f t="shared" si="11"/>
        <v>169.38</v>
      </c>
      <c r="AM176" s="13" t="e">
        <f>VLOOKUP(I176,'Order 301-305 (เรียง)'!A:B,2,0)</f>
        <v>#N/A</v>
      </c>
      <c r="AN176" t="e">
        <f>VLOOKUP(I176,'Order 301-305 (เรียง)'!A:C,3,0)</f>
        <v>#N/A</v>
      </c>
    </row>
    <row r="177" spans="1:40" x14ac:dyDescent="0.3">
      <c r="A177" s="1" t="s">
        <v>23</v>
      </c>
      <c r="B177" s="1" t="s">
        <v>24</v>
      </c>
      <c r="C177" s="1" t="s">
        <v>64</v>
      </c>
      <c r="D177" s="1" t="s">
        <v>77</v>
      </c>
      <c r="E177" s="1" t="s">
        <v>78</v>
      </c>
      <c r="F177" s="1" t="s">
        <v>624</v>
      </c>
      <c r="G177" s="1" t="s">
        <v>103</v>
      </c>
      <c r="H177" s="1" t="s">
        <v>617</v>
      </c>
      <c r="I177" s="1" t="s">
        <v>625</v>
      </c>
      <c r="J177" s="1" t="s">
        <v>626</v>
      </c>
      <c r="K177" s="1" t="s">
        <v>84</v>
      </c>
      <c r="L177" s="1" t="s">
        <v>86</v>
      </c>
      <c r="M177" s="1" t="s">
        <v>68</v>
      </c>
      <c r="N177" s="1" t="s">
        <v>71</v>
      </c>
      <c r="O177" s="1" t="s">
        <v>68</v>
      </c>
      <c r="P177" s="1" t="s">
        <v>627</v>
      </c>
      <c r="Q177" s="1" t="s">
        <v>68</v>
      </c>
      <c r="R177" s="1" t="s">
        <v>68</v>
      </c>
      <c r="S177" s="1" t="s">
        <v>68</v>
      </c>
      <c r="T177" s="1" t="s">
        <v>123</v>
      </c>
      <c r="U177" s="1" t="s">
        <v>68</v>
      </c>
      <c r="V177" s="1" t="s">
        <v>68</v>
      </c>
      <c r="W177" s="1" t="s">
        <v>68</v>
      </c>
      <c r="X177" s="1" t="s">
        <v>68</v>
      </c>
      <c r="Y177" s="73"/>
      <c r="Z177" s="2" t="s">
        <v>80</v>
      </c>
      <c r="AA177" s="3">
        <v>-5211.9799999999996</v>
      </c>
      <c r="AB177" s="4">
        <v>-1690088.75</v>
      </c>
      <c r="AC177" s="73">
        <v>46210</v>
      </c>
      <c r="AD177" s="73">
        <v>46204</v>
      </c>
      <c r="AE177" s="73"/>
      <c r="AF177" s="73">
        <v>46210</v>
      </c>
      <c r="AG177" s="3">
        <v>-5211980</v>
      </c>
      <c r="AH177" s="353" t="str">
        <f t="shared" si="9"/>
        <v>303</v>
      </c>
      <c r="AI177" s="3" t="str">
        <f t="shared" si="10"/>
        <v>57</v>
      </c>
      <c r="AJ177" s="64" t="str">
        <f>VLOOKUP(T177,'GL Name'!A:B,2,0)</f>
        <v>ต้นทุนผลิตกึ่งสำเร็จ</v>
      </c>
      <c r="AL177" s="13">
        <f t="shared" si="11"/>
        <v>324.26999911741797</v>
      </c>
      <c r="AM177" s="13" t="str">
        <f>VLOOKUP(I177,'Order 301-305 (เรียง)'!A:B,2,0)</f>
        <v>59000002</v>
      </c>
      <c r="AN177" t="str">
        <f>VLOOKUP(I177,'Order 301-305 (เรียง)'!A:C,3,0)</f>
        <v>GOLD BLEND ALL CAFE'  ขนาด 500 G.</v>
      </c>
    </row>
    <row r="178" spans="1:40" x14ac:dyDescent="0.3">
      <c r="A178" s="1" t="s">
        <v>106</v>
      </c>
      <c r="B178" s="1" t="s">
        <v>107</v>
      </c>
      <c r="C178" s="1" t="s">
        <v>64</v>
      </c>
      <c r="D178" s="1" t="s">
        <v>77</v>
      </c>
      <c r="E178" s="1" t="s">
        <v>78</v>
      </c>
      <c r="F178" s="1" t="s">
        <v>624</v>
      </c>
      <c r="G178" s="1" t="s">
        <v>103</v>
      </c>
      <c r="H178" s="1" t="s">
        <v>286</v>
      </c>
      <c r="I178" s="1" t="s">
        <v>625</v>
      </c>
      <c r="J178" s="1" t="s">
        <v>626</v>
      </c>
      <c r="K178" s="1" t="s">
        <v>84</v>
      </c>
      <c r="L178" s="1" t="s">
        <v>92</v>
      </c>
      <c r="M178" s="1" t="s">
        <v>68</v>
      </c>
      <c r="N178" s="1" t="s">
        <v>71</v>
      </c>
      <c r="O178" s="1" t="s">
        <v>68</v>
      </c>
      <c r="P178" s="1" t="s">
        <v>627</v>
      </c>
      <c r="Q178" s="1" t="s">
        <v>68</v>
      </c>
      <c r="R178" s="1" t="s">
        <v>68</v>
      </c>
      <c r="S178" s="1" t="s">
        <v>68</v>
      </c>
      <c r="T178" s="1" t="s">
        <v>108</v>
      </c>
      <c r="U178" s="1" t="s">
        <v>68</v>
      </c>
      <c r="V178" s="1" t="s">
        <v>68</v>
      </c>
      <c r="W178" s="1" t="s">
        <v>68</v>
      </c>
      <c r="X178" s="1" t="s">
        <v>68</v>
      </c>
      <c r="Y178" s="73"/>
      <c r="Z178" s="2" t="s">
        <v>102</v>
      </c>
      <c r="AA178" s="3">
        <v>-10573</v>
      </c>
      <c r="AB178" s="4">
        <v>-8942.2999999999993</v>
      </c>
      <c r="AC178" s="73">
        <v>46210</v>
      </c>
      <c r="AD178" s="73">
        <v>46204</v>
      </c>
      <c r="AE178" s="73"/>
      <c r="AF178" s="73">
        <v>46210</v>
      </c>
      <c r="AG178" s="3">
        <v>-10573</v>
      </c>
      <c r="AH178" s="353" t="str">
        <f t="shared" si="9"/>
        <v>303</v>
      </c>
      <c r="AI178" s="3" t="str">
        <f t="shared" si="10"/>
        <v>58</v>
      </c>
      <c r="AJ178" s="64" t="str">
        <f>VLOOKUP(T178,'GL Name'!A:B,2,0)</f>
        <v>ต้นทุนผลิตหีบห่อ</v>
      </c>
      <c r="AL178" s="13">
        <f t="shared" si="11"/>
        <v>0.84576752104416908</v>
      </c>
      <c r="AM178" s="13" t="str">
        <f>VLOOKUP(I178,'Order 301-305 (เรียง)'!A:B,2,0)</f>
        <v>59000002</v>
      </c>
      <c r="AN178" t="str">
        <f>VLOOKUP(I178,'Order 301-305 (เรียง)'!A:C,3,0)</f>
        <v>GOLD BLEND ALL CAFE'  ขนาด 500 G.</v>
      </c>
    </row>
    <row r="179" spans="1:40" x14ac:dyDescent="0.3">
      <c r="A179" s="1" t="s">
        <v>119</v>
      </c>
      <c r="B179" s="1" t="s">
        <v>120</v>
      </c>
      <c r="C179" s="1" t="s">
        <v>64</v>
      </c>
      <c r="D179" s="1" t="s">
        <v>77</v>
      </c>
      <c r="E179" s="1" t="s">
        <v>78</v>
      </c>
      <c r="F179" s="1" t="s">
        <v>624</v>
      </c>
      <c r="G179" s="1" t="s">
        <v>103</v>
      </c>
      <c r="H179" s="1" t="s">
        <v>302</v>
      </c>
      <c r="I179" s="1" t="s">
        <v>625</v>
      </c>
      <c r="J179" s="1" t="s">
        <v>626</v>
      </c>
      <c r="K179" s="1" t="s">
        <v>84</v>
      </c>
      <c r="L179" s="1" t="s">
        <v>89</v>
      </c>
      <c r="M179" s="1" t="s">
        <v>68</v>
      </c>
      <c r="N179" s="1" t="s">
        <v>71</v>
      </c>
      <c r="O179" s="1" t="s">
        <v>68</v>
      </c>
      <c r="P179" s="1" t="s">
        <v>627</v>
      </c>
      <c r="Q179" s="1" t="s">
        <v>68</v>
      </c>
      <c r="R179" s="1" t="s">
        <v>68</v>
      </c>
      <c r="S179" s="1" t="s">
        <v>68</v>
      </c>
      <c r="T179" s="1" t="s">
        <v>108</v>
      </c>
      <c r="U179" s="1" t="s">
        <v>68</v>
      </c>
      <c r="V179" s="1" t="s">
        <v>68</v>
      </c>
      <c r="W179" s="1" t="s">
        <v>68</v>
      </c>
      <c r="X179" s="1" t="s">
        <v>68</v>
      </c>
      <c r="Y179" s="73"/>
      <c r="Z179" s="2" t="s">
        <v>102</v>
      </c>
      <c r="AA179" s="3">
        <v>-10573</v>
      </c>
      <c r="AB179" s="4">
        <v>-22029.68</v>
      </c>
      <c r="AC179" s="73">
        <v>46210</v>
      </c>
      <c r="AD179" s="73">
        <v>46204</v>
      </c>
      <c r="AE179" s="73"/>
      <c r="AF179" s="73">
        <v>46210</v>
      </c>
      <c r="AG179" s="3">
        <v>-10573</v>
      </c>
      <c r="AH179" s="353" t="str">
        <f t="shared" si="9"/>
        <v>303</v>
      </c>
      <c r="AI179" s="3" t="str">
        <f t="shared" si="10"/>
        <v>58</v>
      </c>
      <c r="AJ179" s="64" t="str">
        <f>VLOOKUP(T179,'GL Name'!A:B,2,0)</f>
        <v>ต้นทุนผลิตหีบห่อ</v>
      </c>
      <c r="AL179" s="13">
        <f t="shared" si="11"/>
        <v>2.0835789274567293</v>
      </c>
      <c r="AM179" s="13" t="str">
        <f>VLOOKUP(I179,'Order 301-305 (เรียง)'!A:B,2,0)</f>
        <v>59000002</v>
      </c>
      <c r="AN179" t="str">
        <f>VLOOKUP(I179,'Order 301-305 (เรียง)'!A:C,3,0)</f>
        <v>GOLD BLEND ALL CAFE'  ขนาด 500 G.</v>
      </c>
    </row>
    <row r="180" spans="1:40" x14ac:dyDescent="0.3">
      <c r="A180" s="1" t="s">
        <v>121</v>
      </c>
      <c r="B180" s="1" t="s">
        <v>122</v>
      </c>
      <c r="C180" s="1" t="s">
        <v>64</v>
      </c>
      <c r="D180" s="1" t="s">
        <v>77</v>
      </c>
      <c r="E180" s="1" t="s">
        <v>78</v>
      </c>
      <c r="F180" s="1" t="s">
        <v>624</v>
      </c>
      <c r="G180" s="1" t="s">
        <v>103</v>
      </c>
      <c r="H180" s="1" t="s">
        <v>314</v>
      </c>
      <c r="I180" s="1" t="s">
        <v>625</v>
      </c>
      <c r="J180" s="1" t="s">
        <v>626</v>
      </c>
      <c r="K180" s="1" t="s">
        <v>84</v>
      </c>
      <c r="L180" s="1" t="s">
        <v>95</v>
      </c>
      <c r="M180" s="1" t="s">
        <v>68</v>
      </c>
      <c r="N180" s="1" t="s">
        <v>71</v>
      </c>
      <c r="O180" s="1" t="s">
        <v>68</v>
      </c>
      <c r="P180" s="1" t="s">
        <v>627</v>
      </c>
      <c r="Q180" s="1" t="s">
        <v>68</v>
      </c>
      <c r="R180" s="1" t="s">
        <v>68</v>
      </c>
      <c r="S180" s="1" t="s">
        <v>68</v>
      </c>
      <c r="T180" s="1" t="s">
        <v>108</v>
      </c>
      <c r="U180" s="1" t="s">
        <v>68</v>
      </c>
      <c r="V180" s="1" t="s">
        <v>68</v>
      </c>
      <c r="W180" s="1" t="s">
        <v>68</v>
      </c>
      <c r="X180" s="1" t="s">
        <v>68</v>
      </c>
      <c r="Y180" s="73"/>
      <c r="Z180" s="2" t="s">
        <v>102</v>
      </c>
      <c r="AA180" s="3">
        <v>-1744</v>
      </c>
      <c r="AB180" s="4">
        <v>-8720</v>
      </c>
      <c r="AC180" s="73">
        <v>46210</v>
      </c>
      <c r="AD180" s="73">
        <v>46204</v>
      </c>
      <c r="AE180" s="73"/>
      <c r="AF180" s="73">
        <v>46210</v>
      </c>
      <c r="AG180" s="3">
        <v>-1744</v>
      </c>
      <c r="AH180" s="353" t="str">
        <f t="shared" si="9"/>
        <v>303</v>
      </c>
      <c r="AI180" s="3" t="str">
        <f t="shared" si="10"/>
        <v>58</v>
      </c>
      <c r="AJ180" s="64" t="str">
        <f>VLOOKUP(T180,'GL Name'!A:B,2,0)</f>
        <v>ต้นทุนผลิตหีบห่อ</v>
      </c>
      <c r="AL180" s="13">
        <f t="shared" si="11"/>
        <v>5</v>
      </c>
      <c r="AM180" s="13" t="str">
        <f>VLOOKUP(I180,'Order 301-305 (เรียง)'!A:B,2,0)</f>
        <v>59000002</v>
      </c>
      <c r="AN180" t="str">
        <f>VLOOKUP(I180,'Order 301-305 (เรียง)'!A:C,3,0)</f>
        <v>GOLD BLEND ALL CAFE'  ขนาด 500 G.</v>
      </c>
    </row>
    <row r="181" spans="1:40" x14ac:dyDescent="0.3">
      <c r="A181" s="1" t="s">
        <v>81</v>
      </c>
      <c r="B181" s="1" t="s">
        <v>82</v>
      </c>
      <c r="C181" s="1" t="s">
        <v>64</v>
      </c>
      <c r="D181" s="1" t="s">
        <v>115</v>
      </c>
      <c r="E181" s="1" t="s">
        <v>116</v>
      </c>
      <c r="F181" s="1" t="s">
        <v>624</v>
      </c>
      <c r="G181" s="1" t="s">
        <v>83</v>
      </c>
      <c r="H181" s="1" t="s">
        <v>617</v>
      </c>
      <c r="I181" s="1" t="s">
        <v>625</v>
      </c>
      <c r="J181" s="1" t="s">
        <v>626</v>
      </c>
      <c r="K181" s="1" t="s">
        <v>84</v>
      </c>
      <c r="L181" s="1" t="s">
        <v>70</v>
      </c>
      <c r="M181" s="1" t="s">
        <v>68</v>
      </c>
      <c r="N181" s="1" t="s">
        <v>71</v>
      </c>
      <c r="O181" s="1" t="s">
        <v>68</v>
      </c>
      <c r="P181" s="1" t="s">
        <v>72</v>
      </c>
      <c r="Q181" s="1" t="s">
        <v>68</v>
      </c>
      <c r="R181" s="1" t="s">
        <v>68</v>
      </c>
      <c r="S181" s="1" t="s">
        <v>68</v>
      </c>
      <c r="T181" s="1" t="s">
        <v>117</v>
      </c>
      <c r="U181" s="1" t="s">
        <v>68</v>
      </c>
      <c r="V181" s="1" t="s">
        <v>68</v>
      </c>
      <c r="W181" s="1" t="s">
        <v>68</v>
      </c>
      <c r="X181" s="1" t="s">
        <v>68</v>
      </c>
      <c r="Y181" s="73"/>
      <c r="Z181" s="2" t="s">
        <v>74</v>
      </c>
      <c r="AA181" s="3">
        <v>10418</v>
      </c>
      <c r="AB181" s="4">
        <v>1764600.84</v>
      </c>
      <c r="AC181" s="73">
        <v>46210</v>
      </c>
      <c r="AD181" s="73">
        <v>46204</v>
      </c>
      <c r="AE181" s="73"/>
      <c r="AF181" s="73">
        <v>46210</v>
      </c>
      <c r="AG181" s="3">
        <v>5209000</v>
      </c>
      <c r="AH181" s="353" t="str">
        <f t="shared" si="9"/>
        <v>303</v>
      </c>
      <c r="AI181" s="3" t="str">
        <f t="shared" si="10"/>
        <v>59</v>
      </c>
      <c r="AJ181" s="64" t="str">
        <f>VLOOKUP(T181,'GL Name'!A:B,2,0)</f>
        <v>ต้นทุนผลิตโอน F/G</v>
      </c>
      <c r="AL181" s="13">
        <f t="shared" si="11"/>
        <v>169.38</v>
      </c>
      <c r="AM181" s="13" t="str">
        <f>VLOOKUP(I181,'Order 301-305 (เรียง)'!A:B,2,0)</f>
        <v>59000002</v>
      </c>
      <c r="AN181" t="str">
        <f>VLOOKUP(I181,'Order 301-305 (เรียง)'!A:C,3,0)</f>
        <v>GOLD BLEND ALL CAFE'  ขนาด 500 G.</v>
      </c>
    </row>
    <row r="182" spans="1:40" x14ac:dyDescent="0.3">
      <c r="A182" s="1" t="s">
        <v>9</v>
      </c>
      <c r="B182" s="1" t="s">
        <v>10</v>
      </c>
      <c r="C182" s="1" t="s">
        <v>64</v>
      </c>
      <c r="D182" s="1" t="s">
        <v>77</v>
      </c>
      <c r="E182" s="1" t="s">
        <v>78</v>
      </c>
      <c r="F182" s="1" t="s">
        <v>628</v>
      </c>
      <c r="G182" s="1" t="s">
        <v>278</v>
      </c>
      <c r="H182" s="1" t="s">
        <v>327</v>
      </c>
      <c r="I182" s="1" t="s">
        <v>629</v>
      </c>
      <c r="J182" s="1" t="s">
        <v>630</v>
      </c>
      <c r="K182" s="1" t="s">
        <v>290</v>
      </c>
      <c r="L182" s="1" t="s">
        <v>70</v>
      </c>
      <c r="M182" s="1" t="s">
        <v>68</v>
      </c>
      <c r="N182" s="1" t="s">
        <v>71</v>
      </c>
      <c r="O182" s="1" t="s">
        <v>68</v>
      </c>
      <c r="P182" s="1" t="s">
        <v>631</v>
      </c>
      <c r="Q182" s="1" t="s">
        <v>68</v>
      </c>
      <c r="R182" s="1" t="s">
        <v>68</v>
      </c>
      <c r="S182" s="1" t="s">
        <v>68</v>
      </c>
      <c r="T182" s="1" t="s">
        <v>79</v>
      </c>
      <c r="U182" s="1" t="s">
        <v>68</v>
      </c>
      <c r="V182" s="1" t="s">
        <v>68</v>
      </c>
      <c r="W182" s="1" t="s">
        <v>68</v>
      </c>
      <c r="X182" s="1" t="s">
        <v>68</v>
      </c>
      <c r="Y182" s="73"/>
      <c r="Z182" s="2" t="s">
        <v>80</v>
      </c>
      <c r="AA182" s="3">
        <v>-4012.2</v>
      </c>
      <c r="AB182" s="4">
        <v>-1058700.0900000001</v>
      </c>
      <c r="AC182" s="73">
        <v>46210</v>
      </c>
      <c r="AD182" s="73">
        <v>46209</v>
      </c>
      <c r="AE182" s="73"/>
      <c r="AF182" s="73">
        <v>46210</v>
      </c>
      <c r="AG182" s="3">
        <v>-4012200</v>
      </c>
      <c r="AH182" s="353" t="str">
        <f t="shared" si="9"/>
        <v>301</v>
      </c>
      <c r="AI182" s="3" t="str">
        <f t="shared" si="10"/>
        <v>54</v>
      </c>
      <c r="AJ182" s="64" t="str">
        <f>VLOOKUP(T182,'GL Name'!A:B,2,0)</f>
        <v>ต้นทุนผลิต-วัตถุดิบ</v>
      </c>
      <c r="AL182" s="13">
        <f t="shared" si="11"/>
        <v>263.87021833408107</v>
      </c>
      <c r="AM182" s="13" t="str">
        <f>VLOOKUP(I182,'Order 301-305 (เรียง)'!A:B,2,0)</f>
        <v>Semi</v>
      </c>
      <c r="AN182" t="str">
        <f>VLOOKUP(I182,'Order 301-305 (เรียง)'!A:C,3,0)</f>
        <v>Semi เมล็ดกาแฟ</v>
      </c>
    </row>
    <row r="183" spans="1:40" x14ac:dyDescent="0.3">
      <c r="A183" s="1" t="s">
        <v>13</v>
      </c>
      <c r="B183" s="1" t="s">
        <v>14</v>
      </c>
      <c r="C183" s="1" t="s">
        <v>64</v>
      </c>
      <c r="D183" s="1" t="s">
        <v>77</v>
      </c>
      <c r="E183" s="1" t="s">
        <v>78</v>
      </c>
      <c r="F183" s="1" t="s">
        <v>632</v>
      </c>
      <c r="G183" s="1" t="s">
        <v>279</v>
      </c>
      <c r="H183" s="1" t="s">
        <v>327</v>
      </c>
      <c r="I183" s="1" t="s">
        <v>633</v>
      </c>
      <c r="J183" s="1" t="s">
        <v>634</v>
      </c>
      <c r="K183" s="1" t="s">
        <v>84</v>
      </c>
      <c r="L183" s="1" t="s">
        <v>86</v>
      </c>
      <c r="M183" s="1" t="s">
        <v>68</v>
      </c>
      <c r="N183" s="1" t="s">
        <v>71</v>
      </c>
      <c r="O183" s="1" t="s">
        <v>68</v>
      </c>
      <c r="P183" s="1" t="s">
        <v>635</v>
      </c>
      <c r="Q183" s="1" t="s">
        <v>68</v>
      </c>
      <c r="R183" s="1" t="s">
        <v>68</v>
      </c>
      <c r="S183" s="1" t="s">
        <v>68</v>
      </c>
      <c r="T183" s="1" t="s">
        <v>123</v>
      </c>
      <c r="U183" s="1" t="s">
        <v>68</v>
      </c>
      <c r="V183" s="1" t="s">
        <v>68</v>
      </c>
      <c r="W183" s="1" t="s">
        <v>68</v>
      </c>
      <c r="X183" s="1" t="s">
        <v>68</v>
      </c>
      <c r="Y183" s="73"/>
      <c r="Z183" s="2" t="s">
        <v>80</v>
      </c>
      <c r="AA183" s="3">
        <v>-120</v>
      </c>
      <c r="AB183" s="4">
        <v>-32374.799999999999</v>
      </c>
      <c r="AC183" s="73">
        <v>46210</v>
      </c>
      <c r="AD183" s="73">
        <v>46204</v>
      </c>
      <c r="AE183" s="73"/>
      <c r="AF183" s="73">
        <v>46210</v>
      </c>
      <c r="AG183" s="3">
        <v>-120000</v>
      </c>
      <c r="AH183" s="353" t="str">
        <f t="shared" si="9"/>
        <v>302</v>
      </c>
      <c r="AI183" s="3" t="str">
        <f t="shared" si="10"/>
        <v>57</v>
      </c>
      <c r="AJ183" s="64" t="str">
        <f>VLOOKUP(T183,'GL Name'!A:B,2,0)</f>
        <v>ต้นทุนผลิตกึ่งสำเร็จ</v>
      </c>
      <c r="AL183" s="13">
        <f t="shared" si="11"/>
        <v>269.79000000000002</v>
      </c>
      <c r="AM183" s="13" t="str">
        <f>VLOOKUP(I183,'Order 301-305 (เรียง)'!A:B,2,0)</f>
        <v>59000003</v>
      </c>
      <c r="AN183" t="str">
        <f>VLOOKUP(I183,'Order 301-305 (เรียง)'!A:C,3,0)</f>
        <v>เมล็ดกาแฟคั่ว Classic 1 bag ขนาด 500 G.</v>
      </c>
    </row>
    <row r="184" spans="1:40" x14ac:dyDescent="0.3">
      <c r="A184" s="1" t="s">
        <v>15</v>
      </c>
      <c r="B184" s="1" t="s">
        <v>233</v>
      </c>
      <c r="C184" s="1" t="s">
        <v>64</v>
      </c>
      <c r="D184" s="1" t="s">
        <v>77</v>
      </c>
      <c r="E184" s="1" t="s">
        <v>78</v>
      </c>
      <c r="F184" s="1" t="s">
        <v>632</v>
      </c>
      <c r="G184" s="1" t="s">
        <v>279</v>
      </c>
      <c r="H184" s="1" t="s">
        <v>636</v>
      </c>
      <c r="I184" s="1" t="s">
        <v>633</v>
      </c>
      <c r="J184" s="1" t="s">
        <v>634</v>
      </c>
      <c r="K184" s="1" t="s">
        <v>84</v>
      </c>
      <c r="L184" s="1" t="s">
        <v>89</v>
      </c>
      <c r="M184" s="1" t="s">
        <v>68</v>
      </c>
      <c r="N184" s="1" t="s">
        <v>71</v>
      </c>
      <c r="O184" s="1" t="s">
        <v>68</v>
      </c>
      <c r="P184" s="1" t="s">
        <v>72</v>
      </c>
      <c r="Q184" s="1" t="s">
        <v>68</v>
      </c>
      <c r="R184" s="1" t="s">
        <v>233</v>
      </c>
      <c r="S184" s="1" t="s">
        <v>68</v>
      </c>
      <c r="T184" s="1" t="s">
        <v>123</v>
      </c>
      <c r="U184" s="1" t="s">
        <v>68</v>
      </c>
      <c r="V184" s="1" t="s">
        <v>68</v>
      </c>
      <c r="W184" s="1" t="s">
        <v>68</v>
      </c>
      <c r="X184" s="1" t="s">
        <v>68</v>
      </c>
      <c r="Y184" s="73"/>
      <c r="Z184" s="2" t="s">
        <v>80</v>
      </c>
      <c r="AA184" s="3">
        <v>-15.6</v>
      </c>
      <c r="AB184" s="4">
        <v>-4208.72</v>
      </c>
      <c r="AC184" s="73">
        <v>46210</v>
      </c>
      <c r="AD184" s="73">
        <v>46204</v>
      </c>
      <c r="AE184" s="73"/>
      <c r="AF184" s="73">
        <v>46210</v>
      </c>
      <c r="AG184" s="3">
        <v>-15600</v>
      </c>
      <c r="AH184" s="353" t="str">
        <f t="shared" si="9"/>
        <v>302</v>
      </c>
      <c r="AI184" s="3" t="str">
        <f t="shared" si="10"/>
        <v>57</v>
      </c>
      <c r="AJ184" s="64" t="str">
        <f>VLOOKUP(T184,'GL Name'!A:B,2,0)</f>
        <v>ต้นทุนผลิตกึ่งสำเร็จ</v>
      </c>
      <c r="AL184" s="13">
        <f t="shared" si="11"/>
        <v>269.78974358974364</v>
      </c>
      <c r="AM184" s="13" t="str">
        <f>VLOOKUP(I184,'Order 301-305 (เรียง)'!A:B,2,0)</f>
        <v>59000003</v>
      </c>
      <c r="AN184" t="str">
        <f>VLOOKUP(I184,'Order 301-305 (เรียง)'!A:C,3,0)</f>
        <v>เมล็ดกาแฟคั่ว Classic 1 bag ขนาด 500 G.</v>
      </c>
    </row>
    <row r="185" spans="1:40" x14ac:dyDescent="0.3">
      <c r="A185" s="1" t="s">
        <v>15</v>
      </c>
      <c r="B185" s="1" t="s">
        <v>233</v>
      </c>
      <c r="C185" s="1" t="s">
        <v>64</v>
      </c>
      <c r="D185" s="1" t="s">
        <v>77</v>
      </c>
      <c r="E185" s="1" t="s">
        <v>78</v>
      </c>
      <c r="F185" s="1" t="s">
        <v>632</v>
      </c>
      <c r="G185" s="1" t="s">
        <v>279</v>
      </c>
      <c r="H185" s="1" t="s">
        <v>293</v>
      </c>
      <c r="I185" s="1" t="s">
        <v>633</v>
      </c>
      <c r="J185" s="1" t="s">
        <v>634</v>
      </c>
      <c r="K185" s="1" t="s">
        <v>84</v>
      </c>
      <c r="L185" s="1" t="s">
        <v>92</v>
      </c>
      <c r="M185" s="1" t="s">
        <v>68</v>
      </c>
      <c r="N185" s="1" t="s">
        <v>71</v>
      </c>
      <c r="O185" s="1" t="s">
        <v>68</v>
      </c>
      <c r="P185" s="1" t="s">
        <v>72</v>
      </c>
      <c r="Q185" s="1" t="s">
        <v>68</v>
      </c>
      <c r="R185" s="1" t="s">
        <v>233</v>
      </c>
      <c r="S185" s="1" t="s">
        <v>68</v>
      </c>
      <c r="T185" s="1" t="s">
        <v>123</v>
      </c>
      <c r="U185" s="1" t="s">
        <v>68</v>
      </c>
      <c r="V185" s="1" t="s">
        <v>68</v>
      </c>
      <c r="W185" s="1" t="s">
        <v>68</v>
      </c>
      <c r="X185" s="1" t="s">
        <v>68</v>
      </c>
      <c r="Y185" s="73"/>
      <c r="Z185" s="2" t="s">
        <v>80</v>
      </c>
      <c r="AA185" s="3">
        <v>-104.4</v>
      </c>
      <c r="AB185" s="4">
        <v>-28166.080000000002</v>
      </c>
      <c r="AC185" s="73">
        <v>46210</v>
      </c>
      <c r="AD185" s="73">
        <v>46204</v>
      </c>
      <c r="AE185" s="73"/>
      <c r="AF185" s="73">
        <v>46210</v>
      </c>
      <c r="AG185" s="3">
        <v>-104400</v>
      </c>
      <c r="AH185" s="353" t="str">
        <f t="shared" si="9"/>
        <v>302</v>
      </c>
      <c r="AI185" s="3" t="str">
        <f t="shared" si="10"/>
        <v>57</v>
      </c>
      <c r="AJ185" s="64" t="str">
        <f>VLOOKUP(T185,'GL Name'!A:B,2,0)</f>
        <v>ต้นทุนผลิตกึ่งสำเร็จ</v>
      </c>
      <c r="AL185" s="13">
        <f t="shared" si="11"/>
        <v>269.79003831417623</v>
      </c>
      <c r="AM185" s="13" t="str">
        <f>VLOOKUP(I185,'Order 301-305 (เรียง)'!A:B,2,0)</f>
        <v>59000003</v>
      </c>
      <c r="AN185" t="str">
        <f>VLOOKUP(I185,'Order 301-305 (เรียง)'!A:C,3,0)</f>
        <v>เมล็ดกาแฟคั่ว Classic 1 bag ขนาด 500 G.</v>
      </c>
    </row>
    <row r="186" spans="1:40" x14ac:dyDescent="0.3">
      <c r="A186" s="1" t="s">
        <v>637</v>
      </c>
      <c r="B186" s="1" t="s">
        <v>259</v>
      </c>
      <c r="C186" s="1" t="s">
        <v>64</v>
      </c>
      <c r="D186" s="1" t="s">
        <v>115</v>
      </c>
      <c r="E186" s="1" t="s">
        <v>116</v>
      </c>
      <c r="F186" s="1" t="s">
        <v>632</v>
      </c>
      <c r="G186" s="1" t="s">
        <v>103</v>
      </c>
      <c r="H186" s="1" t="s">
        <v>638</v>
      </c>
      <c r="I186" s="1" t="s">
        <v>633</v>
      </c>
      <c r="J186" s="1" t="s">
        <v>634</v>
      </c>
      <c r="K186" s="1" t="s">
        <v>84</v>
      </c>
      <c r="L186" s="1" t="s">
        <v>70</v>
      </c>
      <c r="M186" s="1" t="s">
        <v>68</v>
      </c>
      <c r="N186" s="1" t="s">
        <v>71</v>
      </c>
      <c r="O186" s="1" t="s">
        <v>68</v>
      </c>
      <c r="P186" s="1" t="s">
        <v>72</v>
      </c>
      <c r="Q186" s="1" t="s">
        <v>68</v>
      </c>
      <c r="R186" s="1" t="s">
        <v>68</v>
      </c>
      <c r="S186" s="1" t="s">
        <v>68</v>
      </c>
      <c r="T186" s="1" t="s">
        <v>124</v>
      </c>
      <c r="U186" s="1" t="s">
        <v>68</v>
      </c>
      <c r="V186" s="1" t="s">
        <v>68</v>
      </c>
      <c r="W186" s="1" t="s">
        <v>68</v>
      </c>
      <c r="X186" s="1" t="s">
        <v>68</v>
      </c>
      <c r="Y186" s="73"/>
      <c r="Z186" s="2" t="s">
        <v>80</v>
      </c>
      <c r="AA186" s="3">
        <v>206</v>
      </c>
      <c r="AB186" s="4">
        <v>72423.42</v>
      </c>
      <c r="AC186" s="73">
        <v>46210</v>
      </c>
      <c r="AD186" s="73">
        <v>46204</v>
      </c>
      <c r="AE186" s="73"/>
      <c r="AF186" s="73">
        <v>46210</v>
      </c>
      <c r="AG186" s="3">
        <v>206000</v>
      </c>
      <c r="AH186" s="353" t="str">
        <f t="shared" si="9"/>
        <v>302</v>
      </c>
      <c r="AI186" s="3" t="str">
        <f t="shared" si="10"/>
        <v>57</v>
      </c>
      <c r="AJ186" s="64" t="str">
        <f>VLOOKUP(T186,'GL Name'!A:B,2,0)</f>
        <v>ต้นทุนผลิตโอน Semi</v>
      </c>
      <c r="AL186" s="13">
        <f t="shared" si="11"/>
        <v>351.57</v>
      </c>
      <c r="AM186" s="13" t="str">
        <f>VLOOKUP(I186,'Order 301-305 (เรียง)'!A:B,2,0)</f>
        <v>59000003</v>
      </c>
      <c r="AN186" t="str">
        <f>VLOOKUP(I186,'Order 301-305 (เรียง)'!A:C,3,0)</f>
        <v>เมล็ดกาแฟคั่ว Classic 1 bag ขนาด 500 G.</v>
      </c>
    </row>
    <row r="187" spans="1:40" x14ac:dyDescent="0.3">
      <c r="A187" s="1" t="s">
        <v>637</v>
      </c>
      <c r="B187" s="1" t="s">
        <v>259</v>
      </c>
      <c r="C187" s="1" t="s">
        <v>64</v>
      </c>
      <c r="D187" s="1" t="s">
        <v>77</v>
      </c>
      <c r="E187" s="1" t="s">
        <v>78</v>
      </c>
      <c r="F187" s="1" t="s">
        <v>639</v>
      </c>
      <c r="G187" s="1" t="s">
        <v>103</v>
      </c>
      <c r="H187" s="1" t="s">
        <v>638</v>
      </c>
      <c r="I187" s="1" t="s">
        <v>640</v>
      </c>
      <c r="J187" s="1" t="s">
        <v>641</v>
      </c>
      <c r="K187" s="1" t="s">
        <v>84</v>
      </c>
      <c r="L187" s="1" t="s">
        <v>86</v>
      </c>
      <c r="M187" s="1" t="s">
        <v>68</v>
      </c>
      <c r="N187" s="1" t="s">
        <v>71</v>
      </c>
      <c r="O187" s="1" t="s">
        <v>68</v>
      </c>
      <c r="P187" s="1" t="s">
        <v>642</v>
      </c>
      <c r="Q187" s="1" t="s">
        <v>68</v>
      </c>
      <c r="R187" s="1" t="s">
        <v>68</v>
      </c>
      <c r="S187" s="1" t="s">
        <v>68</v>
      </c>
      <c r="T187" s="1" t="s">
        <v>123</v>
      </c>
      <c r="U187" s="1" t="s">
        <v>68</v>
      </c>
      <c r="V187" s="1" t="s">
        <v>68</v>
      </c>
      <c r="W187" s="1" t="s">
        <v>68</v>
      </c>
      <c r="X187" s="1" t="s">
        <v>68</v>
      </c>
      <c r="Y187" s="73"/>
      <c r="Z187" s="2" t="s">
        <v>80</v>
      </c>
      <c r="AA187" s="3">
        <v>-206</v>
      </c>
      <c r="AB187" s="4">
        <v>-72423.42</v>
      </c>
      <c r="AC187" s="73">
        <v>46210</v>
      </c>
      <c r="AD187" s="73">
        <v>46204</v>
      </c>
      <c r="AE187" s="73"/>
      <c r="AF187" s="73">
        <v>46210</v>
      </c>
      <c r="AG187" s="3">
        <v>-206000</v>
      </c>
      <c r="AH187" s="353" t="str">
        <f t="shared" si="9"/>
        <v>303</v>
      </c>
      <c r="AI187" s="3" t="str">
        <f t="shared" si="10"/>
        <v>57</v>
      </c>
      <c r="AJ187" s="64" t="str">
        <f>VLOOKUP(T187,'GL Name'!A:B,2,0)</f>
        <v>ต้นทุนผลิตกึ่งสำเร็จ</v>
      </c>
      <c r="AL187" s="13">
        <f t="shared" si="11"/>
        <v>351.57</v>
      </c>
      <c r="AM187" s="13" t="str">
        <f>VLOOKUP(I187,'Order 301-305 (เรียง)'!A:B,2,0)</f>
        <v>59000003</v>
      </c>
      <c r="AN187" t="str">
        <f>VLOOKUP(I187,'Order 301-305 (เรียง)'!A:C,3,0)</f>
        <v>เมล็ดกาแฟคั่ว Classic 1 bag ขนาด 500 G.</v>
      </c>
    </row>
    <row r="188" spans="1:40" x14ac:dyDescent="0.3">
      <c r="A188" s="1" t="s">
        <v>106</v>
      </c>
      <c r="B188" s="1" t="s">
        <v>107</v>
      </c>
      <c r="C188" s="1" t="s">
        <v>64</v>
      </c>
      <c r="D188" s="1" t="s">
        <v>77</v>
      </c>
      <c r="E188" s="1" t="s">
        <v>78</v>
      </c>
      <c r="F188" s="1" t="s">
        <v>639</v>
      </c>
      <c r="G188" s="1" t="s">
        <v>103</v>
      </c>
      <c r="H188" s="1" t="s">
        <v>286</v>
      </c>
      <c r="I188" s="1" t="s">
        <v>640</v>
      </c>
      <c r="J188" s="1" t="s">
        <v>641</v>
      </c>
      <c r="K188" s="1" t="s">
        <v>84</v>
      </c>
      <c r="L188" s="1" t="s">
        <v>92</v>
      </c>
      <c r="M188" s="1" t="s">
        <v>68</v>
      </c>
      <c r="N188" s="1" t="s">
        <v>71</v>
      </c>
      <c r="O188" s="1" t="s">
        <v>68</v>
      </c>
      <c r="P188" s="1" t="s">
        <v>642</v>
      </c>
      <c r="Q188" s="1" t="s">
        <v>68</v>
      </c>
      <c r="R188" s="1" t="s">
        <v>68</v>
      </c>
      <c r="S188" s="1" t="s">
        <v>68</v>
      </c>
      <c r="T188" s="1" t="s">
        <v>108</v>
      </c>
      <c r="U188" s="1" t="s">
        <v>68</v>
      </c>
      <c r="V188" s="1" t="s">
        <v>68</v>
      </c>
      <c r="W188" s="1" t="s">
        <v>68</v>
      </c>
      <c r="X188" s="1" t="s">
        <v>68</v>
      </c>
      <c r="Y188" s="73"/>
      <c r="Z188" s="2" t="s">
        <v>102</v>
      </c>
      <c r="AA188" s="3">
        <v>-495</v>
      </c>
      <c r="AB188" s="4">
        <v>-418.66</v>
      </c>
      <c r="AC188" s="73">
        <v>46210</v>
      </c>
      <c r="AD188" s="73">
        <v>46204</v>
      </c>
      <c r="AE188" s="73"/>
      <c r="AF188" s="73">
        <v>46210</v>
      </c>
      <c r="AG188" s="3">
        <v>-495</v>
      </c>
      <c r="AH188" s="353" t="str">
        <f t="shared" si="9"/>
        <v>303</v>
      </c>
      <c r="AI188" s="3" t="str">
        <f t="shared" si="10"/>
        <v>58</v>
      </c>
      <c r="AJ188" s="64" t="str">
        <f>VLOOKUP(T188,'GL Name'!A:B,2,0)</f>
        <v>ต้นทุนผลิตหีบห่อ</v>
      </c>
      <c r="AL188" s="13">
        <f t="shared" si="11"/>
        <v>0.84577777777777785</v>
      </c>
      <c r="AM188" s="13" t="str">
        <f>VLOOKUP(I188,'Order 301-305 (เรียง)'!A:B,2,0)</f>
        <v>59000003</v>
      </c>
      <c r="AN188" t="str">
        <f>VLOOKUP(I188,'Order 301-305 (เรียง)'!A:C,3,0)</f>
        <v>เมล็ดกาแฟคั่ว Classic 1 bag ขนาด 500 G.</v>
      </c>
    </row>
    <row r="189" spans="1:40" x14ac:dyDescent="0.3">
      <c r="A189" s="1" t="s">
        <v>333</v>
      </c>
      <c r="B189" s="1" t="s">
        <v>334</v>
      </c>
      <c r="C189" s="1" t="s">
        <v>64</v>
      </c>
      <c r="D189" s="1" t="s">
        <v>77</v>
      </c>
      <c r="E189" s="1" t="s">
        <v>78</v>
      </c>
      <c r="F189" s="1" t="s">
        <v>639</v>
      </c>
      <c r="G189" s="1" t="s">
        <v>103</v>
      </c>
      <c r="H189" s="1" t="s">
        <v>643</v>
      </c>
      <c r="I189" s="1" t="s">
        <v>640</v>
      </c>
      <c r="J189" s="1" t="s">
        <v>641</v>
      </c>
      <c r="K189" s="1" t="s">
        <v>84</v>
      </c>
      <c r="L189" s="1" t="s">
        <v>111</v>
      </c>
      <c r="M189" s="1" t="s">
        <v>68</v>
      </c>
      <c r="N189" s="1" t="s">
        <v>71</v>
      </c>
      <c r="O189" s="1" t="s">
        <v>68</v>
      </c>
      <c r="P189" s="1" t="s">
        <v>72</v>
      </c>
      <c r="Q189" s="1" t="s">
        <v>68</v>
      </c>
      <c r="R189" s="1" t="s">
        <v>334</v>
      </c>
      <c r="S189" s="1" t="s">
        <v>68</v>
      </c>
      <c r="T189" s="1" t="s">
        <v>108</v>
      </c>
      <c r="U189" s="1" t="s">
        <v>68</v>
      </c>
      <c r="V189" s="1" t="s">
        <v>68</v>
      </c>
      <c r="W189" s="1" t="s">
        <v>68</v>
      </c>
      <c r="X189" s="1" t="s">
        <v>68</v>
      </c>
      <c r="Y189" s="73"/>
      <c r="Z189" s="2" t="s">
        <v>241</v>
      </c>
      <c r="AA189" s="3">
        <v>-287</v>
      </c>
      <c r="AB189" s="4">
        <v>-332.92</v>
      </c>
      <c r="AC189" s="73">
        <v>46210</v>
      </c>
      <c r="AD189" s="73">
        <v>46204</v>
      </c>
      <c r="AE189" s="73"/>
      <c r="AF189" s="73">
        <v>46210</v>
      </c>
      <c r="AG189" s="3">
        <v>-287</v>
      </c>
      <c r="AH189" s="353" t="str">
        <f t="shared" si="9"/>
        <v>303</v>
      </c>
      <c r="AI189" s="3" t="str">
        <f t="shared" si="10"/>
        <v>58</v>
      </c>
      <c r="AJ189" s="64" t="str">
        <f>VLOOKUP(T189,'GL Name'!A:B,2,0)</f>
        <v>ต้นทุนผลิตหีบห่อ</v>
      </c>
      <c r="AL189" s="13">
        <f t="shared" si="11"/>
        <v>1.1600000000000001</v>
      </c>
      <c r="AM189" s="13" t="str">
        <f>VLOOKUP(I189,'Order 301-305 (เรียง)'!A:B,2,0)</f>
        <v>59000003</v>
      </c>
      <c r="AN189" t="str">
        <f>VLOOKUP(I189,'Order 301-305 (เรียง)'!A:C,3,0)</f>
        <v>เมล็ดกาแฟคั่ว Classic 1 bag ขนาด 500 G.</v>
      </c>
    </row>
    <row r="190" spans="1:40" x14ac:dyDescent="0.3">
      <c r="A190" s="1" t="s">
        <v>333</v>
      </c>
      <c r="B190" s="1" t="s">
        <v>334</v>
      </c>
      <c r="C190" s="1" t="s">
        <v>64</v>
      </c>
      <c r="D190" s="1" t="s">
        <v>77</v>
      </c>
      <c r="E190" s="1" t="s">
        <v>78</v>
      </c>
      <c r="F190" s="1" t="s">
        <v>639</v>
      </c>
      <c r="G190" s="1" t="s">
        <v>103</v>
      </c>
      <c r="H190" s="1" t="s">
        <v>335</v>
      </c>
      <c r="I190" s="1" t="s">
        <v>640</v>
      </c>
      <c r="J190" s="1" t="s">
        <v>641</v>
      </c>
      <c r="K190" s="1" t="s">
        <v>84</v>
      </c>
      <c r="L190" s="1" t="s">
        <v>95</v>
      </c>
      <c r="M190" s="1" t="s">
        <v>68</v>
      </c>
      <c r="N190" s="1" t="s">
        <v>71</v>
      </c>
      <c r="O190" s="1" t="s">
        <v>68</v>
      </c>
      <c r="P190" s="1" t="s">
        <v>642</v>
      </c>
      <c r="Q190" s="1" t="s">
        <v>68</v>
      </c>
      <c r="R190" s="1" t="s">
        <v>68</v>
      </c>
      <c r="S190" s="1" t="s">
        <v>68</v>
      </c>
      <c r="T190" s="1" t="s">
        <v>108</v>
      </c>
      <c r="U190" s="1" t="s">
        <v>68</v>
      </c>
      <c r="V190" s="1" t="s">
        <v>68</v>
      </c>
      <c r="W190" s="1" t="s">
        <v>68</v>
      </c>
      <c r="X190" s="1" t="s">
        <v>68</v>
      </c>
      <c r="Y190" s="73"/>
      <c r="Z190" s="2" t="s">
        <v>241</v>
      </c>
      <c r="AA190" s="3">
        <v>-125</v>
      </c>
      <c r="AB190" s="4">
        <v>-145</v>
      </c>
      <c r="AC190" s="73">
        <v>46210</v>
      </c>
      <c r="AD190" s="73">
        <v>46204</v>
      </c>
      <c r="AE190" s="73"/>
      <c r="AF190" s="73">
        <v>46210</v>
      </c>
      <c r="AG190" s="3">
        <v>-125</v>
      </c>
      <c r="AH190" s="353" t="str">
        <f t="shared" si="9"/>
        <v>303</v>
      </c>
      <c r="AI190" s="3" t="str">
        <f t="shared" si="10"/>
        <v>58</v>
      </c>
      <c r="AJ190" s="64" t="str">
        <f>VLOOKUP(T190,'GL Name'!A:B,2,0)</f>
        <v>ต้นทุนผลิตหีบห่อ</v>
      </c>
      <c r="AL190" s="13">
        <f t="shared" si="11"/>
        <v>1.1599999999999999</v>
      </c>
      <c r="AM190" s="13" t="str">
        <f>VLOOKUP(I190,'Order 301-305 (เรียง)'!A:B,2,0)</f>
        <v>59000003</v>
      </c>
      <c r="AN190" t="str">
        <f>VLOOKUP(I190,'Order 301-305 (เรียง)'!A:C,3,0)</f>
        <v>เมล็ดกาแฟคั่ว Classic 1 bag ขนาด 500 G.</v>
      </c>
    </row>
    <row r="191" spans="1:40" x14ac:dyDescent="0.3">
      <c r="A191" s="1" t="s">
        <v>126</v>
      </c>
      <c r="B191" s="1" t="s">
        <v>127</v>
      </c>
      <c r="C191" s="1" t="s">
        <v>64</v>
      </c>
      <c r="D191" s="1" t="s">
        <v>77</v>
      </c>
      <c r="E191" s="1" t="s">
        <v>78</v>
      </c>
      <c r="F191" s="1" t="s">
        <v>639</v>
      </c>
      <c r="G191" s="1" t="s">
        <v>103</v>
      </c>
      <c r="H191" s="1" t="s">
        <v>230</v>
      </c>
      <c r="I191" s="1" t="s">
        <v>640</v>
      </c>
      <c r="J191" s="1" t="s">
        <v>641</v>
      </c>
      <c r="K191" s="1" t="s">
        <v>84</v>
      </c>
      <c r="L191" s="1" t="s">
        <v>89</v>
      </c>
      <c r="M191" s="1" t="s">
        <v>68</v>
      </c>
      <c r="N191" s="1" t="s">
        <v>71</v>
      </c>
      <c r="O191" s="1" t="s">
        <v>68</v>
      </c>
      <c r="P191" s="1" t="s">
        <v>642</v>
      </c>
      <c r="Q191" s="1" t="s">
        <v>68</v>
      </c>
      <c r="R191" s="1" t="s">
        <v>68</v>
      </c>
      <c r="S191" s="1" t="s">
        <v>68</v>
      </c>
      <c r="T191" s="1" t="s">
        <v>108</v>
      </c>
      <c r="U191" s="1" t="s">
        <v>68</v>
      </c>
      <c r="V191" s="1" t="s">
        <v>68</v>
      </c>
      <c r="W191" s="1" t="s">
        <v>68</v>
      </c>
      <c r="X191" s="1" t="s">
        <v>68</v>
      </c>
      <c r="Y191" s="73"/>
      <c r="Z191" s="2" t="s">
        <v>102</v>
      </c>
      <c r="AA191" s="3">
        <v>-21</v>
      </c>
      <c r="AB191" s="4">
        <v>-462</v>
      </c>
      <c r="AC191" s="73">
        <v>46210</v>
      </c>
      <c r="AD191" s="73">
        <v>46204</v>
      </c>
      <c r="AE191" s="73"/>
      <c r="AF191" s="73">
        <v>46210</v>
      </c>
      <c r="AG191" s="3">
        <v>-21</v>
      </c>
      <c r="AH191" s="353" t="str">
        <f t="shared" ref="AH191:AH235" si="12">LEFT(I191,3)</f>
        <v>303</v>
      </c>
      <c r="AI191" s="3" t="str">
        <f t="shared" ref="AI191:AI235" si="13">LEFT(A191,2)</f>
        <v>58</v>
      </c>
      <c r="AJ191" s="64" t="str">
        <f>VLOOKUP(T191,'GL Name'!A:B,2,0)</f>
        <v>ต้นทุนผลิตหีบห่อ</v>
      </c>
      <c r="AL191" s="13">
        <f t="shared" ref="AL191:AL235" si="14">AB191/AA191</f>
        <v>22</v>
      </c>
      <c r="AM191" s="13" t="str">
        <f>VLOOKUP(I191,'Order 301-305 (เรียง)'!A:B,2,0)</f>
        <v>59000003</v>
      </c>
      <c r="AN191" t="str">
        <f>VLOOKUP(I191,'Order 301-305 (เรียง)'!A:C,3,0)</f>
        <v>เมล็ดกาแฟคั่ว Classic 1 bag ขนาด 500 G.</v>
      </c>
    </row>
    <row r="192" spans="1:40" x14ac:dyDescent="0.3">
      <c r="A192" s="1" t="s">
        <v>237</v>
      </c>
      <c r="B192" s="1" t="s">
        <v>238</v>
      </c>
      <c r="C192" s="1" t="s">
        <v>64</v>
      </c>
      <c r="D192" s="1" t="s">
        <v>77</v>
      </c>
      <c r="E192" s="1" t="s">
        <v>78</v>
      </c>
      <c r="F192" s="1" t="s">
        <v>639</v>
      </c>
      <c r="G192" s="1" t="s">
        <v>103</v>
      </c>
      <c r="H192" s="1" t="s">
        <v>295</v>
      </c>
      <c r="I192" s="1" t="s">
        <v>640</v>
      </c>
      <c r="J192" s="1" t="s">
        <v>641</v>
      </c>
      <c r="K192" s="1" t="s">
        <v>84</v>
      </c>
      <c r="L192" s="1" t="s">
        <v>112</v>
      </c>
      <c r="M192" s="1" t="s">
        <v>68</v>
      </c>
      <c r="N192" s="1" t="s">
        <v>71</v>
      </c>
      <c r="O192" s="1" t="s">
        <v>68</v>
      </c>
      <c r="P192" s="1" t="s">
        <v>72</v>
      </c>
      <c r="Q192" s="1" t="s">
        <v>68</v>
      </c>
      <c r="R192" s="1" t="s">
        <v>238</v>
      </c>
      <c r="S192" s="1" t="s">
        <v>68</v>
      </c>
      <c r="T192" s="1" t="s">
        <v>108</v>
      </c>
      <c r="U192" s="1" t="s">
        <v>68</v>
      </c>
      <c r="V192" s="1" t="s">
        <v>68</v>
      </c>
      <c r="W192" s="1" t="s">
        <v>68</v>
      </c>
      <c r="X192" s="1" t="s">
        <v>68</v>
      </c>
      <c r="Y192" s="73"/>
      <c r="Z192" s="2" t="s">
        <v>102</v>
      </c>
      <c r="AA192" s="3">
        <v>-495</v>
      </c>
      <c r="AB192" s="4">
        <v>-849.75</v>
      </c>
      <c r="AC192" s="73">
        <v>46210</v>
      </c>
      <c r="AD192" s="73">
        <v>46204</v>
      </c>
      <c r="AE192" s="73"/>
      <c r="AF192" s="73">
        <v>46210</v>
      </c>
      <c r="AG192" s="3">
        <v>-495</v>
      </c>
      <c r="AH192" s="353" t="str">
        <f t="shared" si="12"/>
        <v>303</v>
      </c>
      <c r="AI192" s="3" t="str">
        <f t="shared" si="13"/>
        <v>58</v>
      </c>
      <c r="AJ192" s="64" t="str">
        <f>VLOOKUP(T192,'GL Name'!A:B,2,0)</f>
        <v>ต้นทุนผลิตหีบห่อ</v>
      </c>
      <c r="AL192" s="13">
        <f t="shared" si="14"/>
        <v>1.7166666666666666</v>
      </c>
      <c r="AM192" s="13" t="str">
        <f>VLOOKUP(I192,'Order 301-305 (เรียง)'!A:B,2,0)</f>
        <v>59000003</v>
      </c>
      <c r="AN192" t="str">
        <f>VLOOKUP(I192,'Order 301-305 (เรียง)'!A:C,3,0)</f>
        <v>เมล็ดกาแฟคั่ว Classic 1 bag ขนาด 500 G.</v>
      </c>
    </row>
    <row r="193" spans="1:40" x14ac:dyDescent="0.3">
      <c r="A193" s="1" t="s">
        <v>644</v>
      </c>
      <c r="B193" s="1" t="s">
        <v>645</v>
      </c>
      <c r="C193" s="1" t="s">
        <v>64</v>
      </c>
      <c r="D193" s="1" t="s">
        <v>115</v>
      </c>
      <c r="E193" s="1" t="s">
        <v>116</v>
      </c>
      <c r="F193" s="1" t="s">
        <v>639</v>
      </c>
      <c r="G193" s="1" t="s">
        <v>83</v>
      </c>
      <c r="H193" s="1" t="s">
        <v>638</v>
      </c>
      <c r="I193" s="1" t="s">
        <v>640</v>
      </c>
      <c r="J193" s="1" t="s">
        <v>641</v>
      </c>
      <c r="K193" s="1" t="s">
        <v>84</v>
      </c>
      <c r="L193" s="1" t="s">
        <v>70</v>
      </c>
      <c r="M193" s="1" t="s">
        <v>68</v>
      </c>
      <c r="N193" s="1" t="s">
        <v>71</v>
      </c>
      <c r="O193" s="1" t="s">
        <v>68</v>
      </c>
      <c r="P193" s="1" t="s">
        <v>72</v>
      </c>
      <c r="Q193" s="1" t="s">
        <v>68</v>
      </c>
      <c r="R193" s="1" t="s">
        <v>68</v>
      </c>
      <c r="S193" s="1" t="s">
        <v>68</v>
      </c>
      <c r="T193" s="1" t="s">
        <v>117</v>
      </c>
      <c r="U193" s="1" t="s">
        <v>68</v>
      </c>
      <c r="V193" s="1" t="s">
        <v>68</v>
      </c>
      <c r="W193" s="1" t="s">
        <v>68</v>
      </c>
      <c r="X193" s="1" t="s">
        <v>68</v>
      </c>
      <c r="Y193" s="73"/>
      <c r="Z193" s="2" t="s">
        <v>74</v>
      </c>
      <c r="AA193" s="3">
        <v>412</v>
      </c>
      <c r="AB193" s="4">
        <v>75948.08</v>
      </c>
      <c r="AC193" s="73">
        <v>46210</v>
      </c>
      <c r="AD193" s="73">
        <v>46204</v>
      </c>
      <c r="AE193" s="73"/>
      <c r="AF193" s="73">
        <v>46210</v>
      </c>
      <c r="AG193" s="3">
        <v>206000</v>
      </c>
      <c r="AH193" s="353" t="str">
        <f t="shared" si="12"/>
        <v>303</v>
      </c>
      <c r="AI193" s="3" t="str">
        <f t="shared" si="13"/>
        <v>59</v>
      </c>
      <c r="AJ193" s="64" t="str">
        <f>VLOOKUP(T193,'GL Name'!A:B,2,0)</f>
        <v>ต้นทุนผลิตโอน F/G</v>
      </c>
      <c r="AL193" s="13">
        <f t="shared" si="14"/>
        <v>184.34</v>
      </c>
      <c r="AM193" s="13" t="str">
        <f>VLOOKUP(I193,'Order 301-305 (เรียง)'!A:B,2,0)</f>
        <v>59000003</v>
      </c>
      <c r="AN193" t="str">
        <f>VLOOKUP(I193,'Order 301-305 (เรียง)'!A:C,3,0)</f>
        <v>เมล็ดกาแฟคั่ว Classic 1 bag ขนาด 500 G.</v>
      </c>
    </row>
    <row r="194" spans="1:40" x14ac:dyDescent="0.3">
      <c r="A194" s="1" t="s">
        <v>13</v>
      </c>
      <c r="B194" s="1" t="s">
        <v>14</v>
      </c>
      <c r="C194" s="1" t="s">
        <v>64</v>
      </c>
      <c r="D194" s="1" t="s">
        <v>77</v>
      </c>
      <c r="E194" s="1" t="s">
        <v>78</v>
      </c>
      <c r="F194" s="1" t="s">
        <v>646</v>
      </c>
      <c r="G194" s="1" t="s">
        <v>279</v>
      </c>
      <c r="H194" s="1" t="s">
        <v>327</v>
      </c>
      <c r="I194" s="1" t="s">
        <v>647</v>
      </c>
      <c r="J194" s="1" t="s">
        <v>648</v>
      </c>
      <c r="K194" s="1" t="s">
        <v>84</v>
      </c>
      <c r="L194" s="1" t="s">
        <v>86</v>
      </c>
      <c r="M194" s="1" t="s">
        <v>68</v>
      </c>
      <c r="N194" s="1" t="s">
        <v>71</v>
      </c>
      <c r="O194" s="1" t="s">
        <v>68</v>
      </c>
      <c r="P194" s="1" t="s">
        <v>649</v>
      </c>
      <c r="Q194" s="1" t="s">
        <v>68</v>
      </c>
      <c r="R194" s="1" t="s">
        <v>68</v>
      </c>
      <c r="S194" s="1" t="s">
        <v>68</v>
      </c>
      <c r="T194" s="1" t="s">
        <v>123</v>
      </c>
      <c r="U194" s="1" t="s">
        <v>68</v>
      </c>
      <c r="V194" s="1" t="s">
        <v>68</v>
      </c>
      <c r="W194" s="1" t="s">
        <v>68</v>
      </c>
      <c r="X194" s="1" t="s">
        <v>68</v>
      </c>
      <c r="Y194" s="73"/>
      <c r="Z194" s="2" t="s">
        <v>80</v>
      </c>
      <c r="AA194" s="3">
        <v>-10176.200000000001</v>
      </c>
      <c r="AB194" s="4">
        <v>-2745437</v>
      </c>
      <c r="AC194" s="73">
        <v>46210</v>
      </c>
      <c r="AD194" s="73">
        <v>46205</v>
      </c>
      <c r="AE194" s="73"/>
      <c r="AF194" s="73">
        <v>46210</v>
      </c>
      <c r="AG194" s="3">
        <v>-10176200</v>
      </c>
      <c r="AH194" s="353" t="str">
        <f t="shared" si="12"/>
        <v>302</v>
      </c>
      <c r="AI194" s="3" t="str">
        <f t="shared" si="13"/>
        <v>57</v>
      </c>
      <c r="AJ194" s="64" t="str">
        <f>VLOOKUP(T194,'GL Name'!A:B,2,0)</f>
        <v>ต้นทุนผลิตกึ่งสำเร็จ</v>
      </c>
      <c r="AL194" s="13">
        <f t="shared" si="14"/>
        <v>269.79000019653699</v>
      </c>
      <c r="AM194" s="13" t="str">
        <f>VLOOKUP(I194,'Order 301-305 (เรียง)'!A:B,2,0)</f>
        <v>59000002</v>
      </c>
      <c r="AN194" t="str">
        <f>VLOOKUP(I194,'Order 301-305 (เรียง)'!A:C,3,0)</f>
        <v>GOLD BLEND ALL CAFE'  ขนาด 500 G.</v>
      </c>
    </row>
    <row r="195" spans="1:40" x14ac:dyDescent="0.3">
      <c r="A195" s="1" t="s">
        <v>19</v>
      </c>
      <c r="B195" s="1" t="s">
        <v>20</v>
      </c>
      <c r="C195" s="1" t="s">
        <v>64</v>
      </c>
      <c r="D195" s="1" t="s">
        <v>77</v>
      </c>
      <c r="E195" s="1" t="s">
        <v>78</v>
      </c>
      <c r="F195" s="1" t="s">
        <v>646</v>
      </c>
      <c r="G195" s="1" t="s">
        <v>279</v>
      </c>
      <c r="H195" s="1" t="s">
        <v>304</v>
      </c>
      <c r="I195" s="1" t="s">
        <v>647</v>
      </c>
      <c r="J195" s="1" t="s">
        <v>648</v>
      </c>
      <c r="K195" s="1" t="s">
        <v>84</v>
      </c>
      <c r="L195" s="1" t="s">
        <v>92</v>
      </c>
      <c r="M195" s="1" t="s">
        <v>68</v>
      </c>
      <c r="N195" s="1" t="s">
        <v>71</v>
      </c>
      <c r="O195" s="1" t="s">
        <v>68</v>
      </c>
      <c r="P195" s="1" t="s">
        <v>649</v>
      </c>
      <c r="Q195" s="1" t="s">
        <v>68</v>
      </c>
      <c r="R195" s="1" t="s">
        <v>68</v>
      </c>
      <c r="S195" s="1" t="s">
        <v>68</v>
      </c>
      <c r="T195" s="1" t="s">
        <v>123</v>
      </c>
      <c r="U195" s="1" t="s">
        <v>68</v>
      </c>
      <c r="V195" s="1" t="s">
        <v>68</v>
      </c>
      <c r="W195" s="1" t="s">
        <v>68</v>
      </c>
      <c r="X195" s="1" t="s">
        <v>68</v>
      </c>
      <c r="Y195" s="73"/>
      <c r="Z195" s="2" t="s">
        <v>80</v>
      </c>
      <c r="AA195" s="3">
        <v>-2548.4</v>
      </c>
      <c r="AB195" s="4">
        <v>-409324.01</v>
      </c>
      <c r="AC195" s="73">
        <v>46210</v>
      </c>
      <c r="AD195" s="73">
        <v>46205</v>
      </c>
      <c r="AE195" s="73"/>
      <c r="AF195" s="73">
        <v>46210</v>
      </c>
      <c r="AG195" s="3">
        <v>-2548400</v>
      </c>
      <c r="AH195" s="353" t="str">
        <f t="shared" si="12"/>
        <v>302</v>
      </c>
      <c r="AI195" s="3" t="str">
        <f t="shared" si="13"/>
        <v>57</v>
      </c>
      <c r="AJ195" s="64" t="str">
        <f>VLOOKUP(T195,'GL Name'!A:B,2,0)</f>
        <v>ต้นทุนผลิตกึ่งสำเร็จ</v>
      </c>
      <c r="AL195" s="13">
        <f t="shared" si="14"/>
        <v>160.62000078480614</v>
      </c>
      <c r="AM195" s="13" t="str">
        <f>VLOOKUP(I195,'Order 301-305 (เรียง)'!A:B,2,0)</f>
        <v>59000002</v>
      </c>
      <c r="AN195" t="str">
        <f>VLOOKUP(I195,'Order 301-305 (เรียง)'!A:C,3,0)</f>
        <v>GOLD BLEND ALL CAFE'  ขนาด 500 G.</v>
      </c>
    </row>
    <row r="196" spans="1:40" x14ac:dyDescent="0.3">
      <c r="A196" s="1" t="s">
        <v>23</v>
      </c>
      <c r="B196" s="1" t="s">
        <v>24</v>
      </c>
      <c r="C196" s="1" t="s">
        <v>64</v>
      </c>
      <c r="D196" s="1" t="s">
        <v>115</v>
      </c>
      <c r="E196" s="1" t="s">
        <v>116</v>
      </c>
      <c r="F196" s="1" t="s">
        <v>646</v>
      </c>
      <c r="G196" s="1" t="s">
        <v>103</v>
      </c>
      <c r="H196" s="1" t="s">
        <v>650</v>
      </c>
      <c r="I196" s="1" t="s">
        <v>647</v>
      </c>
      <c r="J196" s="1" t="s">
        <v>648</v>
      </c>
      <c r="K196" s="1" t="s">
        <v>84</v>
      </c>
      <c r="L196" s="1" t="s">
        <v>70</v>
      </c>
      <c r="M196" s="1" t="s">
        <v>68</v>
      </c>
      <c r="N196" s="1" t="s">
        <v>71</v>
      </c>
      <c r="O196" s="1" t="s">
        <v>68</v>
      </c>
      <c r="P196" s="1" t="s">
        <v>72</v>
      </c>
      <c r="Q196" s="1" t="s">
        <v>68</v>
      </c>
      <c r="R196" s="1" t="s">
        <v>68</v>
      </c>
      <c r="S196" s="1" t="s">
        <v>68</v>
      </c>
      <c r="T196" s="1" t="s">
        <v>124</v>
      </c>
      <c r="U196" s="1" t="s">
        <v>68</v>
      </c>
      <c r="V196" s="1" t="s">
        <v>68</v>
      </c>
      <c r="W196" s="1" t="s">
        <v>68</v>
      </c>
      <c r="X196" s="1" t="s">
        <v>68</v>
      </c>
      <c r="Y196" s="73"/>
      <c r="Z196" s="2" t="s">
        <v>80</v>
      </c>
      <c r="AA196" s="3">
        <v>10237.93</v>
      </c>
      <c r="AB196" s="4">
        <v>3319853.56</v>
      </c>
      <c r="AC196" s="73">
        <v>46210</v>
      </c>
      <c r="AD196" s="73">
        <v>46205</v>
      </c>
      <c r="AE196" s="73"/>
      <c r="AF196" s="73">
        <v>46210</v>
      </c>
      <c r="AG196" s="3">
        <v>10237930</v>
      </c>
      <c r="AH196" s="353" t="str">
        <f t="shared" si="12"/>
        <v>302</v>
      </c>
      <c r="AI196" s="3" t="str">
        <f t="shared" si="13"/>
        <v>57</v>
      </c>
      <c r="AJ196" s="64" t="str">
        <f>VLOOKUP(T196,'GL Name'!A:B,2,0)</f>
        <v>ต้นทุนผลิตโอน Semi</v>
      </c>
      <c r="AL196" s="13">
        <f t="shared" si="14"/>
        <v>324.26999989255643</v>
      </c>
      <c r="AM196" s="13" t="str">
        <f>VLOOKUP(I196,'Order 301-305 (เรียง)'!A:B,2,0)</f>
        <v>59000002</v>
      </c>
      <c r="AN196" t="str">
        <f>VLOOKUP(I196,'Order 301-305 (เรียง)'!A:C,3,0)</f>
        <v>GOLD BLEND ALL CAFE'  ขนาด 500 G.</v>
      </c>
    </row>
    <row r="197" spans="1:40" x14ac:dyDescent="0.3">
      <c r="A197" s="1" t="s">
        <v>23</v>
      </c>
      <c r="B197" s="1" t="s">
        <v>24</v>
      </c>
      <c r="C197" s="1" t="s">
        <v>64</v>
      </c>
      <c r="D197" s="1" t="s">
        <v>77</v>
      </c>
      <c r="E197" s="1" t="s">
        <v>78</v>
      </c>
      <c r="F197" s="1" t="s">
        <v>651</v>
      </c>
      <c r="G197" s="1" t="s">
        <v>103</v>
      </c>
      <c r="H197" s="1" t="s">
        <v>650</v>
      </c>
      <c r="I197" s="1" t="s">
        <v>652</v>
      </c>
      <c r="J197" s="1" t="s">
        <v>653</v>
      </c>
      <c r="K197" s="1" t="s">
        <v>84</v>
      </c>
      <c r="L197" s="1" t="s">
        <v>86</v>
      </c>
      <c r="M197" s="1" t="s">
        <v>68</v>
      </c>
      <c r="N197" s="1" t="s">
        <v>71</v>
      </c>
      <c r="O197" s="1" t="s">
        <v>68</v>
      </c>
      <c r="P197" s="1" t="s">
        <v>654</v>
      </c>
      <c r="Q197" s="1" t="s">
        <v>68</v>
      </c>
      <c r="R197" s="1" t="s">
        <v>68</v>
      </c>
      <c r="S197" s="1" t="s">
        <v>68</v>
      </c>
      <c r="T197" s="1" t="s">
        <v>123</v>
      </c>
      <c r="U197" s="1" t="s">
        <v>68</v>
      </c>
      <c r="V197" s="1" t="s">
        <v>68</v>
      </c>
      <c r="W197" s="1" t="s">
        <v>68</v>
      </c>
      <c r="X197" s="1" t="s">
        <v>68</v>
      </c>
      <c r="Y197" s="73"/>
      <c r="Z197" s="2" t="s">
        <v>80</v>
      </c>
      <c r="AA197" s="3">
        <v>-10237.93</v>
      </c>
      <c r="AB197" s="4">
        <v>-3319853.56</v>
      </c>
      <c r="AC197" s="73">
        <v>46210</v>
      </c>
      <c r="AD197" s="73">
        <v>46205</v>
      </c>
      <c r="AE197" s="73"/>
      <c r="AF197" s="73">
        <v>46210</v>
      </c>
      <c r="AG197" s="3">
        <v>-10237930</v>
      </c>
      <c r="AH197" s="353" t="str">
        <f t="shared" si="12"/>
        <v>303</v>
      </c>
      <c r="AI197" s="3" t="str">
        <f t="shared" si="13"/>
        <v>57</v>
      </c>
      <c r="AJ197" s="64" t="str">
        <f>VLOOKUP(T197,'GL Name'!A:B,2,0)</f>
        <v>ต้นทุนผลิตกึ่งสำเร็จ</v>
      </c>
      <c r="AL197" s="13">
        <f t="shared" si="14"/>
        <v>324.26999989255643</v>
      </c>
      <c r="AM197" s="13" t="str">
        <f>VLOOKUP(I197,'Order 301-305 (เรียง)'!A:B,2,0)</f>
        <v>59000002</v>
      </c>
      <c r="AN197" t="str">
        <f>VLOOKUP(I197,'Order 301-305 (เรียง)'!A:C,3,0)</f>
        <v>GOLD BLEND ALL CAFE'  ขนาด 500 G.</v>
      </c>
    </row>
    <row r="198" spans="1:40" x14ac:dyDescent="0.3">
      <c r="A198" s="1" t="s">
        <v>106</v>
      </c>
      <c r="B198" s="1" t="s">
        <v>107</v>
      </c>
      <c r="C198" s="1" t="s">
        <v>64</v>
      </c>
      <c r="D198" s="1" t="s">
        <v>77</v>
      </c>
      <c r="E198" s="1" t="s">
        <v>78</v>
      </c>
      <c r="F198" s="1" t="s">
        <v>651</v>
      </c>
      <c r="G198" s="1" t="s">
        <v>103</v>
      </c>
      <c r="H198" s="1" t="s">
        <v>286</v>
      </c>
      <c r="I198" s="1" t="s">
        <v>652</v>
      </c>
      <c r="J198" s="1" t="s">
        <v>653</v>
      </c>
      <c r="K198" s="1" t="s">
        <v>84</v>
      </c>
      <c r="L198" s="1" t="s">
        <v>92</v>
      </c>
      <c r="M198" s="1" t="s">
        <v>68</v>
      </c>
      <c r="N198" s="1" t="s">
        <v>71</v>
      </c>
      <c r="O198" s="1" t="s">
        <v>68</v>
      </c>
      <c r="P198" s="1" t="s">
        <v>654</v>
      </c>
      <c r="Q198" s="1" t="s">
        <v>68</v>
      </c>
      <c r="R198" s="1" t="s">
        <v>68</v>
      </c>
      <c r="S198" s="1" t="s">
        <v>68</v>
      </c>
      <c r="T198" s="1" t="s">
        <v>108</v>
      </c>
      <c r="U198" s="1" t="s">
        <v>68</v>
      </c>
      <c r="V198" s="1" t="s">
        <v>68</v>
      </c>
      <c r="W198" s="1" t="s">
        <v>68</v>
      </c>
      <c r="X198" s="1" t="s">
        <v>68</v>
      </c>
      <c r="Y198" s="73"/>
      <c r="Z198" s="2" t="s">
        <v>102</v>
      </c>
      <c r="AA198" s="3">
        <v>-20697</v>
      </c>
      <c r="AB198" s="4">
        <v>-17504.86</v>
      </c>
      <c r="AC198" s="73">
        <v>46210</v>
      </c>
      <c r="AD198" s="73">
        <v>46205</v>
      </c>
      <c r="AE198" s="73"/>
      <c r="AF198" s="73">
        <v>46210</v>
      </c>
      <c r="AG198" s="3">
        <v>-20697</v>
      </c>
      <c r="AH198" s="353" t="str">
        <f t="shared" si="12"/>
        <v>303</v>
      </c>
      <c r="AI198" s="3" t="str">
        <f t="shared" si="13"/>
        <v>58</v>
      </c>
      <c r="AJ198" s="64" t="str">
        <f>VLOOKUP(T198,'GL Name'!A:B,2,0)</f>
        <v>ต้นทุนผลิตหีบห่อ</v>
      </c>
      <c r="AL198" s="13">
        <f t="shared" si="14"/>
        <v>0.84576798569841038</v>
      </c>
      <c r="AM198" s="13" t="str">
        <f>VLOOKUP(I198,'Order 301-305 (เรียง)'!A:B,2,0)</f>
        <v>59000002</v>
      </c>
      <c r="AN198" t="str">
        <f>VLOOKUP(I198,'Order 301-305 (เรียง)'!A:C,3,0)</f>
        <v>GOLD BLEND ALL CAFE'  ขนาด 500 G.</v>
      </c>
    </row>
    <row r="199" spans="1:40" x14ac:dyDescent="0.3">
      <c r="A199" s="1" t="s">
        <v>119</v>
      </c>
      <c r="B199" s="1" t="s">
        <v>120</v>
      </c>
      <c r="C199" s="1" t="s">
        <v>64</v>
      </c>
      <c r="D199" s="1" t="s">
        <v>77</v>
      </c>
      <c r="E199" s="1" t="s">
        <v>78</v>
      </c>
      <c r="F199" s="1" t="s">
        <v>651</v>
      </c>
      <c r="G199" s="1" t="s">
        <v>103</v>
      </c>
      <c r="H199" s="1" t="s">
        <v>302</v>
      </c>
      <c r="I199" s="1" t="s">
        <v>652</v>
      </c>
      <c r="J199" s="1" t="s">
        <v>653</v>
      </c>
      <c r="K199" s="1" t="s">
        <v>84</v>
      </c>
      <c r="L199" s="1" t="s">
        <v>89</v>
      </c>
      <c r="M199" s="1" t="s">
        <v>68</v>
      </c>
      <c r="N199" s="1" t="s">
        <v>71</v>
      </c>
      <c r="O199" s="1" t="s">
        <v>68</v>
      </c>
      <c r="P199" s="1" t="s">
        <v>654</v>
      </c>
      <c r="Q199" s="1" t="s">
        <v>68</v>
      </c>
      <c r="R199" s="1" t="s">
        <v>68</v>
      </c>
      <c r="S199" s="1" t="s">
        <v>68</v>
      </c>
      <c r="T199" s="1" t="s">
        <v>108</v>
      </c>
      <c r="U199" s="1" t="s">
        <v>68</v>
      </c>
      <c r="V199" s="1" t="s">
        <v>68</v>
      </c>
      <c r="W199" s="1" t="s">
        <v>68</v>
      </c>
      <c r="X199" s="1" t="s">
        <v>68</v>
      </c>
      <c r="Y199" s="73"/>
      <c r="Z199" s="2" t="s">
        <v>102</v>
      </c>
      <c r="AA199" s="3">
        <v>-20697</v>
      </c>
      <c r="AB199" s="4">
        <v>-43123.82</v>
      </c>
      <c r="AC199" s="73">
        <v>46210</v>
      </c>
      <c r="AD199" s="73">
        <v>46205</v>
      </c>
      <c r="AE199" s="73"/>
      <c r="AF199" s="73">
        <v>46210</v>
      </c>
      <c r="AG199" s="3">
        <v>-20697</v>
      </c>
      <c r="AH199" s="353" t="str">
        <f t="shared" si="12"/>
        <v>303</v>
      </c>
      <c r="AI199" s="3" t="str">
        <f t="shared" si="13"/>
        <v>58</v>
      </c>
      <c r="AJ199" s="64" t="str">
        <f>VLOOKUP(T199,'GL Name'!A:B,2,0)</f>
        <v>ต้นทุนผลิตหีบห่อ</v>
      </c>
      <c r="AL199" s="13">
        <f t="shared" si="14"/>
        <v>2.0835782963714546</v>
      </c>
      <c r="AM199" s="13" t="str">
        <f>VLOOKUP(I199,'Order 301-305 (เรียง)'!A:B,2,0)</f>
        <v>59000002</v>
      </c>
      <c r="AN199" t="str">
        <f>VLOOKUP(I199,'Order 301-305 (เรียง)'!A:C,3,0)</f>
        <v>GOLD BLEND ALL CAFE'  ขนาด 500 G.</v>
      </c>
    </row>
    <row r="200" spans="1:40" x14ac:dyDescent="0.3">
      <c r="A200" s="1" t="s">
        <v>121</v>
      </c>
      <c r="B200" s="1" t="s">
        <v>122</v>
      </c>
      <c r="C200" s="1" t="s">
        <v>64</v>
      </c>
      <c r="D200" s="1" t="s">
        <v>77</v>
      </c>
      <c r="E200" s="1" t="s">
        <v>78</v>
      </c>
      <c r="F200" s="1" t="s">
        <v>651</v>
      </c>
      <c r="G200" s="1" t="s">
        <v>103</v>
      </c>
      <c r="H200" s="1" t="s">
        <v>314</v>
      </c>
      <c r="I200" s="1" t="s">
        <v>652</v>
      </c>
      <c r="J200" s="1" t="s">
        <v>653</v>
      </c>
      <c r="K200" s="1" t="s">
        <v>84</v>
      </c>
      <c r="L200" s="1" t="s">
        <v>95</v>
      </c>
      <c r="M200" s="1" t="s">
        <v>68</v>
      </c>
      <c r="N200" s="1" t="s">
        <v>71</v>
      </c>
      <c r="O200" s="1" t="s">
        <v>68</v>
      </c>
      <c r="P200" s="1" t="s">
        <v>654</v>
      </c>
      <c r="Q200" s="1" t="s">
        <v>68</v>
      </c>
      <c r="R200" s="1" t="s">
        <v>68</v>
      </c>
      <c r="S200" s="1" t="s">
        <v>68</v>
      </c>
      <c r="T200" s="1" t="s">
        <v>108</v>
      </c>
      <c r="U200" s="1" t="s">
        <v>68</v>
      </c>
      <c r="V200" s="1" t="s">
        <v>68</v>
      </c>
      <c r="W200" s="1" t="s">
        <v>68</v>
      </c>
      <c r="X200" s="1" t="s">
        <v>68</v>
      </c>
      <c r="Y200" s="73"/>
      <c r="Z200" s="2" t="s">
        <v>102</v>
      </c>
      <c r="AA200" s="3">
        <v>-3432</v>
      </c>
      <c r="AB200" s="4">
        <v>-17160</v>
      </c>
      <c r="AC200" s="73">
        <v>46210</v>
      </c>
      <c r="AD200" s="73">
        <v>46205</v>
      </c>
      <c r="AE200" s="73"/>
      <c r="AF200" s="73">
        <v>46210</v>
      </c>
      <c r="AG200" s="3">
        <v>-3432</v>
      </c>
      <c r="AH200" s="353" t="str">
        <f t="shared" si="12"/>
        <v>303</v>
      </c>
      <c r="AI200" s="3" t="str">
        <f t="shared" si="13"/>
        <v>58</v>
      </c>
      <c r="AJ200" s="64" t="str">
        <f>VLOOKUP(T200,'GL Name'!A:B,2,0)</f>
        <v>ต้นทุนผลิตหีบห่อ</v>
      </c>
      <c r="AL200" s="13">
        <f t="shared" si="14"/>
        <v>5</v>
      </c>
      <c r="AM200" s="13" t="str">
        <f>VLOOKUP(I200,'Order 301-305 (เรียง)'!A:B,2,0)</f>
        <v>59000002</v>
      </c>
      <c r="AN200" t="str">
        <f>VLOOKUP(I200,'Order 301-305 (เรียง)'!A:C,3,0)</f>
        <v>GOLD BLEND ALL CAFE'  ขนาด 500 G.</v>
      </c>
    </row>
    <row r="201" spans="1:40" x14ac:dyDescent="0.3">
      <c r="A201" s="1" t="s">
        <v>81</v>
      </c>
      <c r="B201" s="1" t="s">
        <v>82</v>
      </c>
      <c r="C201" s="1" t="s">
        <v>64</v>
      </c>
      <c r="D201" s="1" t="s">
        <v>115</v>
      </c>
      <c r="E201" s="1" t="s">
        <v>116</v>
      </c>
      <c r="F201" s="1" t="s">
        <v>651</v>
      </c>
      <c r="G201" s="1" t="s">
        <v>83</v>
      </c>
      <c r="H201" s="1" t="s">
        <v>655</v>
      </c>
      <c r="I201" s="1" t="s">
        <v>652</v>
      </c>
      <c r="J201" s="1" t="s">
        <v>653</v>
      </c>
      <c r="K201" s="1" t="s">
        <v>84</v>
      </c>
      <c r="L201" s="1" t="s">
        <v>70</v>
      </c>
      <c r="M201" s="1" t="s">
        <v>68</v>
      </c>
      <c r="N201" s="1" t="s">
        <v>71</v>
      </c>
      <c r="O201" s="1" t="s">
        <v>68</v>
      </c>
      <c r="P201" s="1" t="s">
        <v>72</v>
      </c>
      <c r="Q201" s="1" t="s">
        <v>68</v>
      </c>
      <c r="R201" s="1" t="s">
        <v>68</v>
      </c>
      <c r="S201" s="1" t="s">
        <v>68</v>
      </c>
      <c r="T201" s="1" t="s">
        <v>117</v>
      </c>
      <c r="U201" s="1" t="s">
        <v>68</v>
      </c>
      <c r="V201" s="1" t="s">
        <v>68</v>
      </c>
      <c r="W201" s="1" t="s">
        <v>68</v>
      </c>
      <c r="X201" s="1" t="s">
        <v>68</v>
      </c>
      <c r="Y201" s="73"/>
      <c r="Z201" s="2" t="s">
        <v>74</v>
      </c>
      <c r="AA201" s="3">
        <v>20466</v>
      </c>
      <c r="AB201" s="4">
        <v>3466531.08</v>
      </c>
      <c r="AC201" s="73">
        <v>46210</v>
      </c>
      <c r="AD201" s="73">
        <v>46205</v>
      </c>
      <c r="AE201" s="73"/>
      <c r="AF201" s="73">
        <v>46210</v>
      </c>
      <c r="AG201" s="3">
        <v>10233000</v>
      </c>
      <c r="AH201" s="353" t="str">
        <f t="shared" si="12"/>
        <v>303</v>
      </c>
      <c r="AI201" s="3" t="str">
        <f t="shared" si="13"/>
        <v>59</v>
      </c>
      <c r="AJ201" s="64" t="str">
        <f>VLOOKUP(T201,'GL Name'!A:B,2,0)</f>
        <v>ต้นทุนผลิตโอน F/G</v>
      </c>
      <c r="AL201" s="13">
        <f t="shared" si="14"/>
        <v>169.38</v>
      </c>
      <c r="AM201" s="13" t="str">
        <f>VLOOKUP(I201,'Order 301-305 (เรียง)'!A:B,2,0)</f>
        <v>59000002</v>
      </c>
      <c r="AN201" t="str">
        <f>VLOOKUP(I201,'Order 301-305 (เรียง)'!A:C,3,0)</f>
        <v>GOLD BLEND ALL CAFE'  ขนาด 500 G.</v>
      </c>
    </row>
    <row r="202" spans="1:40" x14ac:dyDescent="0.3">
      <c r="A202" s="1" t="s">
        <v>13</v>
      </c>
      <c r="B202" s="1" t="s">
        <v>14</v>
      </c>
      <c r="C202" s="1" t="s">
        <v>64</v>
      </c>
      <c r="D202" s="1" t="s">
        <v>77</v>
      </c>
      <c r="E202" s="1" t="s">
        <v>78</v>
      </c>
      <c r="F202" s="1" t="s">
        <v>656</v>
      </c>
      <c r="G202" s="1" t="s">
        <v>279</v>
      </c>
      <c r="H202" s="1" t="s">
        <v>327</v>
      </c>
      <c r="I202" s="1" t="s">
        <v>657</v>
      </c>
      <c r="J202" s="1" t="s">
        <v>658</v>
      </c>
      <c r="K202" s="1" t="s">
        <v>84</v>
      </c>
      <c r="L202" s="1" t="s">
        <v>86</v>
      </c>
      <c r="M202" s="1" t="s">
        <v>68</v>
      </c>
      <c r="N202" s="1" t="s">
        <v>71</v>
      </c>
      <c r="O202" s="1" t="s">
        <v>68</v>
      </c>
      <c r="P202" s="1" t="s">
        <v>659</v>
      </c>
      <c r="Q202" s="1" t="s">
        <v>68</v>
      </c>
      <c r="R202" s="1" t="s">
        <v>68</v>
      </c>
      <c r="S202" s="1" t="s">
        <v>68</v>
      </c>
      <c r="T202" s="1" t="s">
        <v>123</v>
      </c>
      <c r="U202" s="1" t="s">
        <v>68</v>
      </c>
      <c r="V202" s="1" t="s">
        <v>68</v>
      </c>
      <c r="W202" s="1" t="s">
        <v>68</v>
      </c>
      <c r="X202" s="1" t="s">
        <v>68</v>
      </c>
      <c r="Y202" s="73"/>
      <c r="Z202" s="2" t="s">
        <v>80</v>
      </c>
      <c r="AA202" s="3">
        <v>-8599.2000000000007</v>
      </c>
      <c r="AB202" s="4">
        <v>-2319978.17</v>
      </c>
      <c r="AC202" s="73">
        <v>46210</v>
      </c>
      <c r="AD202" s="73">
        <v>46206</v>
      </c>
      <c r="AE202" s="73"/>
      <c r="AF202" s="73">
        <v>46210</v>
      </c>
      <c r="AG202" s="3">
        <v>-8599200</v>
      </c>
      <c r="AH202" s="353" t="str">
        <f t="shared" si="12"/>
        <v>302</v>
      </c>
      <c r="AI202" s="3" t="str">
        <f t="shared" si="13"/>
        <v>57</v>
      </c>
      <c r="AJ202" s="64" t="str">
        <f>VLOOKUP(T202,'GL Name'!A:B,2,0)</f>
        <v>ต้นทุนผลิตกึ่งสำเร็จ</v>
      </c>
      <c r="AL202" s="13">
        <f t="shared" si="14"/>
        <v>269.79000023257976</v>
      </c>
      <c r="AM202" s="13" t="str">
        <f>VLOOKUP(I202,'Order 301-305 (เรียง)'!A:B,2,0)</f>
        <v>59000002</v>
      </c>
      <c r="AN202" t="str">
        <f>VLOOKUP(I202,'Order 301-305 (เรียง)'!A:C,3,0)</f>
        <v>GOLD BLEND ALL CAFE'  ขนาด 500 G.</v>
      </c>
    </row>
    <row r="203" spans="1:40" x14ac:dyDescent="0.3">
      <c r="A203" s="1" t="s">
        <v>15</v>
      </c>
      <c r="B203" s="1" t="s">
        <v>233</v>
      </c>
      <c r="C203" s="1" t="s">
        <v>64</v>
      </c>
      <c r="D203" s="1" t="s">
        <v>77</v>
      </c>
      <c r="E203" s="1" t="s">
        <v>78</v>
      </c>
      <c r="F203" s="1" t="s">
        <v>656</v>
      </c>
      <c r="G203" s="1" t="s">
        <v>279</v>
      </c>
      <c r="H203" s="1" t="s">
        <v>636</v>
      </c>
      <c r="I203" s="1" t="s">
        <v>657</v>
      </c>
      <c r="J203" s="1" t="s">
        <v>658</v>
      </c>
      <c r="K203" s="1" t="s">
        <v>84</v>
      </c>
      <c r="L203" s="1" t="s">
        <v>92</v>
      </c>
      <c r="M203" s="1" t="s">
        <v>68</v>
      </c>
      <c r="N203" s="1" t="s">
        <v>71</v>
      </c>
      <c r="O203" s="1" t="s">
        <v>68</v>
      </c>
      <c r="P203" s="1" t="s">
        <v>659</v>
      </c>
      <c r="Q203" s="1" t="s">
        <v>68</v>
      </c>
      <c r="R203" s="1" t="s">
        <v>68</v>
      </c>
      <c r="S203" s="1" t="s">
        <v>68</v>
      </c>
      <c r="T203" s="1" t="s">
        <v>123</v>
      </c>
      <c r="U203" s="1" t="s">
        <v>68</v>
      </c>
      <c r="V203" s="1" t="s">
        <v>68</v>
      </c>
      <c r="W203" s="1" t="s">
        <v>68</v>
      </c>
      <c r="X203" s="1" t="s">
        <v>68</v>
      </c>
      <c r="Y203" s="73"/>
      <c r="Z203" s="2" t="s">
        <v>80</v>
      </c>
      <c r="AA203" s="3">
        <v>-1001.7</v>
      </c>
      <c r="AB203" s="4">
        <v>-270248.64</v>
      </c>
      <c r="AC203" s="73">
        <v>46210</v>
      </c>
      <c r="AD203" s="73">
        <v>46206</v>
      </c>
      <c r="AE203" s="73"/>
      <c r="AF203" s="73">
        <v>46210</v>
      </c>
      <c r="AG203" s="3">
        <v>-1001700</v>
      </c>
      <c r="AH203" s="353" t="str">
        <f t="shared" si="12"/>
        <v>302</v>
      </c>
      <c r="AI203" s="3" t="str">
        <f t="shared" si="13"/>
        <v>57</v>
      </c>
      <c r="AJ203" s="64" t="str">
        <f>VLOOKUP(T203,'GL Name'!A:B,2,0)</f>
        <v>ต้นทุนผลิตกึ่งสำเร็จ</v>
      </c>
      <c r="AL203" s="13">
        <f t="shared" si="14"/>
        <v>269.78999700509132</v>
      </c>
      <c r="AM203" s="13" t="str">
        <f>VLOOKUP(I203,'Order 301-305 (เรียง)'!A:B,2,0)</f>
        <v>59000002</v>
      </c>
      <c r="AN203" t="str">
        <f>VLOOKUP(I203,'Order 301-305 (เรียง)'!A:C,3,0)</f>
        <v>GOLD BLEND ALL CAFE'  ขนาด 500 G.</v>
      </c>
    </row>
    <row r="204" spans="1:40" x14ac:dyDescent="0.3">
      <c r="A204" s="1" t="s">
        <v>19</v>
      </c>
      <c r="B204" s="1" t="s">
        <v>20</v>
      </c>
      <c r="C204" s="1" t="s">
        <v>64</v>
      </c>
      <c r="D204" s="1" t="s">
        <v>77</v>
      </c>
      <c r="E204" s="1" t="s">
        <v>78</v>
      </c>
      <c r="F204" s="1" t="s">
        <v>656</v>
      </c>
      <c r="G204" s="1" t="s">
        <v>279</v>
      </c>
      <c r="H204" s="1" t="s">
        <v>304</v>
      </c>
      <c r="I204" s="1" t="s">
        <v>657</v>
      </c>
      <c r="J204" s="1" t="s">
        <v>658</v>
      </c>
      <c r="K204" s="1" t="s">
        <v>84</v>
      </c>
      <c r="L204" s="1" t="s">
        <v>89</v>
      </c>
      <c r="M204" s="1" t="s">
        <v>68</v>
      </c>
      <c r="N204" s="1" t="s">
        <v>71</v>
      </c>
      <c r="O204" s="1" t="s">
        <v>68</v>
      </c>
      <c r="P204" s="1" t="s">
        <v>659</v>
      </c>
      <c r="Q204" s="1" t="s">
        <v>68</v>
      </c>
      <c r="R204" s="1" t="s">
        <v>68</v>
      </c>
      <c r="S204" s="1" t="s">
        <v>68</v>
      </c>
      <c r="T204" s="1" t="s">
        <v>123</v>
      </c>
      <c r="U204" s="1" t="s">
        <v>68</v>
      </c>
      <c r="V204" s="1" t="s">
        <v>68</v>
      </c>
      <c r="W204" s="1" t="s">
        <v>68</v>
      </c>
      <c r="X204" s="1" t="s">
        <v>68</v>
      </c>
      <c r="Y204" s="73"/>
      <c r="Z204" s="2" t="s">
        <v>80</v>
      </c>
      <c r="AA204" s="3">
        <v>-2404.08</v>
      </c>
      <c r="AB204" s="4">
        <v>-386143.33</v>
      </c>
      <c r="AC204" s="73">
        <v>46210</v>
      </c>
      <c r="AD204" s="73">
        <v>46206</v>
      </c>
      <c r="AE204" s="73"/>
      <c r="AF204" s="73">
        <v>46210</v>
      </c>
      <c r="AG204" s="3">
        <v>-2404080</v>
      </c>
      <c r="AH204" s="353" t="str">
        <f t="shared" si="12"/>
        <v>302</v>
      </c>
      <c r="AI204" s="3" t="str">
        <f t="shared" si="13"/>
        <v>57</v>
      </c>
      <c r="AJ204" s="64" t="str">
        <f>VLOOKUP(T204,'GL Name'!A:B,2,0)</f>
        <v>ต้นทุนผลิตกึ่งสำเร็จ</v>
      </c>
      <c r="AL204" s="13">
        <f t="shared" si="14"/>
        <v>160.62000016638382</v>
      </c>
      <c r="AM204" s="13" t="str">
        <f>VLOOKUP(I204,'Order 301-305 (เรียง)'!A:B,2,0)</f>
        <v>59000002</v>
      </c>
      <c r="AN204" t="str">
        <f>VLOOKUP(I204,'Order 301-305 (เรียง)'!A:C,3,0)</f>
        <v>GOLD BLEND ALL CAFE'  ขนาด 500 G.</v>
      </c>
    </row>
    <row r="205" spans="1:40" x14ac:dyDescent="0.3">
      <c r="A205" s="1" t="s">
        <v>23</v>
      </c>
      <c r="B205" s="1" t="s">
        <v>24</v>
      </c>
      <c r="C205" s="1" t="s">
        <v>64</v>
      </c>
      <c r="D205" s="1" t="s">
        <v>115</v>
      </c>
      <c r="E205" s="1" t="s">
        <v>116</v>
      </c>
      <c r="F205" s="1" t="s">
        <v>656</v>
      </c>
      <c r="G205" s="1" t="s">
        <v>103</v>
      </c>
      <c r="H205" s="1" t="s">
        <v>660</v>
      </c>
      <c r="I205" s="1" t="s">
        <v>657</v>
      </c>
      <c r="J205" s="1" t="s">
        <v>658</v>
      </c>
      <c r="K205" s="1" t="s">
        <v>84</v>
      </c>
      <c r="L205" s="1" t="s">
        <v>70</v>
      </c>
      <c r="M205" s="1" t="s">
        <v>68</v>
      </c>
      <c r="N205" s="1" t="s">
        <v>71</v>
      </c>
      <c r="O205" s="1" t="s">
        <v>68</v>
      </c>
      <c r="P205" s="1" t="s">
        <v>72</v>
      </c>
      <c r="Q205" s="1" t="s">
        <v>68</v>
      </c>
      <c r="R205" s="1" t="s">
        <v>68</v>
      </c>
      <c r="S205" s="1" t="s">
        <v>68</v>
      </c>
      <c r="T205" s="1" t="s">
        <v>124</v>
      </c>
      <c r="U205" s="1" t="s">
        <v>68</v>
      </c>
      <c r="V205" s="1" t="s">
        <v>68</v>
      </c>
      <c r="W205" s="1" t="s">
        <v>68</v>
      </c>
      <c r="X205" s="1" t="s">
        <v>68</v>
      </c>
      <c r="Y205" s="73"/>
      <c r="Z205" s="2" t="s">
        <v>80</v>
      </c>
      <c r="AA205" s="3">
        <v>9645.9599999999991</v>
      </c>
      <c r="AB205" s="4">
        <v>3127895.45</v>
      </c>
      <c r="AC205" s="73">
        <v>46210</v>
      </c>
      <c r="AD205" s="73">
        <v>46206</v>
      </c>
      <c r="AE205" s="73"/>
      <c r="AF205" s="73">
        <v>46210</v>
      </c>
      <c r="AG205" s="3">
        <v>9645960</v>
      </c>
      <c r="AH205" s="353" t="str">
        <f t="shared" si="12"/>
        <v>302</v>
      </c>
      <c r="AI205" s="3" t="str">
        <f t="shared" si="13"/>
        <v>57</v>
      </c>
      <c r="AJ205" s="64" t="str">
        <f>VLOOKUP(T205,'GL Name'!A:B,2,0)</f>
        <v>ต้นทุนผลิตโอน Semi</v>
      </c>
      <c r="AL205" s="13">
        <f t="shared" si="14"/>
        <v>324.27000008293635</v>
      </c>
      <c r="AM205" s="13" t="str">
        <f>VLOOKUP(I205,'Order 301-305 (เรียง)'!A:B,2,0)</f>
        <v>59000002</v>
      </c>
      <c r="AN205" t="str">
        <f>VLOOKUP(I205,'Order 301-305 (เรียง)'!A:C,3,0)</f>
        <v>GOLD BLEND ALL CAFE'  ขนาด 500 G.</v>
      </c>
    </row>
    <row r="206" spans="1:40" x14ac:dyDescent="0.3">
      <c r="A206" s="1" t="s">
        <v>13</v>
      </c>
      <c r="B206" s="1" t="s">
        <v>14</v>
      </c>
      <c r="C206" s="1" t="s">
        <v>64</v>
      </c>
      <c r="D206" s="1" t="s">
        <v>77</v>
      </c>
      <c r="E206" s="1" t="s">
        <v>78</v>
      </c>
      <c r="F206" s="1" t="s">
        <v>661</v>
      </c>
      <c r="G206" s="1" t="s">
        <v>279</v>
      </c>
      <c r="H206" s="1" t="s">
        <v>319</v>
      </c>
      <c r="I206" s="1" t="s">
        <v>663</v>
      </c>
      <c r="J206" s="1" t="s">
        <v>664</v>
      </c>
      <c r="K206" s="1" t="s">
        <v>84</v>
      </c>
      <c r="L206" s="1" t="s">
        <v>86</v>
      </c>
      <c r="M206" s="1" t="s">
        <v>68</v>
      </c>
      <c r="N206" s="1" t="s">
        <v>71</v>
      </c>
      <c r="O206" s="1" t="s">
        <v>68</v>
      </c>
      <c r="P206" s="1" t="s">
        <v>665</v>
      </c>
      <c r="Q206" s="1" t="s">
        <v>68</v>
      </c>
      <c r="R206" s="1" t="s">
        <v>68</v>
      </c>
      <c r="S206" s="1" t="s">
        <v>68</v>
      </c>
      <c r="T206" s="1" t="s">
        <v>123</v>
      </c>
      <c r="U206" s="1" t="s">
        <v>68</v>
      </c>
      <c r="V206" s="1" t="s">
        <v>68</v>
      </c>
      <c r="W206" s="1" t="s">
        <v>68</v>
      </c>
      <c r="X206" s="1" t="s">
        <v>68</v>
      </c>
      <c r="Y206" s="73"/>
      <c r="Z206" s="2" t="s">
        <v>80</v>
      </c>
      <c r="AA206" s="3">
        <v>-6859.22</v>
      </c>
      <c r="AB206" s="4">
        <v>-1850548.96</v>
      </c>
      <c r="AC206" s="73">
        <v>46210</v>
      </c>
      <c r="AD206" s="73">
        <v>46207</v>
      </c>
      <c r="AE206" s="73"/>
      <c r="AF206" s="73">
        <v>46210</v>
      </c>
      <c r="AG206" s="3">
        <v>-6859220</v>
      </c>
      <c r="AH206" s="353" t="str">
        <f t="shared" si="12"/>
        <v>302</v>
      </c>
      <c r="AI206" s="3" t="str">
        <f t="shared" si="13"/>
        <v>57</v>
      </c>
      <c r="AJ206" s="64" t="str">
        <f>VLOOKUP(T206,'GL Name'!A:B,2,0)</f>
        <v>ต้นทุนผลิตกึ่งสำเร็จ</v>
      </c>
      <c r="AL206" s="13">
        <f t="shared" si="14"/>
        <v>269.78999944600116</v>
      </c>
      <c r="AM206" s="13" t="str">
        <f>VLOOKUP(I206,'Order 301-305 (เรียง)'!A:B,2,0)</f>
        <v>59000002</v>
      </c>
      <c r="AN206" t="str">
        <f>VLOOKUP(I206,'Order 301-305 (เรียง)'!A:C,3,0)</f>
        <v>GOLD BLEND ALL CAFE'  ขนาด 500 G.</v>
      </c>
    </row>
    <row r="207" spans="1:40" x14ac:dyDescent="0.3">
      <c r="A207" s="1" t="s">
        <v>13</v>
      </c>
      <c r="B207" s="1" t="s">
        <v>14</v>
      </c>
      <c r="C207" s="1" t="s">
        <v>64</v>
      </c>
      <c r="D207" s="1" t="s">
        <v>77</v>
      </c>
      <c r="E207" s="1" t="s">
        <v>78</v>
      </c>
      <c r="F207" s="1" t="s">
        <v>661</v>
      </c>
      <c r="G207" s="1" t="s">
        <v>279</v>
      </c>
      <c r="H207" s="1" t="s">
        <v>662</v>
      </c>
      <c r="I207" s="1" t="s">
        <v>663</v>
      </c>
      <c r="J207" s="1" t="s">
        <v>664</v>
      </c>
      <c r="K207" s="1" t="s">
        <v>84</v>
      </c>
      <c r="L207" s="1" t="s">
        <v>89</v>
      </c>
      <c r="M207" s="1" t="s">
        <v>68</v>
      </c>
      <c r="N207" s="1" t="s">
        <v>71</v>
      </c>
      <c r="O207" s="1" t="s">
        <v>68</v>
      </c>
      <c r="P207" s="1" t="s">
        <v>72</v>
      </c>
      <c r="Q207" s="1" t="s">
        <v>68</v>
      </c>
      <c r="R207" s="1" t="s">
        <v>14</v>
      </c>
      <c r="S207" s="1" t="s">
        <v>68</v>
      </c>
      <c r="T207" s="1" t="s">
        <v>123</v>
      </c>
      <c r="U207" s="1" t="s">
        <v>68</v>
      </c>
      <c r="V207" s="1" t="s">
        <v>68</v>
      </c>
      <c r="W207" s="1" t="s">
        <v>68</v>
      </c>
      <c r="X207" s="1" t="s">
        <v>68</v>
      </c>
      <c r="Y207" s="73"/>
      <c r="Z207" s="2" t="s">
        <v>80</v>
      </c>
      <c r="AA207" s="3">
        <v>-822.68</v>
      </c>
      <c r="AB207" s="4">
        <v>-221950.84</v>
      </c>
      <c r="AC207" s="73">
        <v>46210</v>
      </c>
      <c r="AD207" s="73">
        <v>46207</v>
      </c>
      <c r="AE207" s="73"/>
      <c r="AF207" s="73">
        <v>46210</v>
      </c>
      <c r="AG207" s="3">
        <v>-822680</v>
      </c>
      <c r="AH207" s="353" t="str">
        <f t="shared" si="12"/>
        <v>302</v>
      </c>
      <c r="AI207" s="3" t="str">
        <f t="shared" si="13"/>
        <v>57</v>
      </c>
      <c r="AJ207" s="64" t="str">
        <f>VLOOKUP(T207,'GL Name'!A:B,2,0)</f>
        <v>ต้นทุนผลิตกึ่งสำเร็จ</v>
      </c>
      <c r="AL207" s="13">
        <f t="shared" si="14"/>
        <v>269.79000340351047</v>
      </c>
      <c r="AM207" s="13" t="str">
        <f>VLOOKUP(I207,'Order 301-305 (เรียง)'!A:B,2,0)</f>
        <v>59000002</v>
      </c>
      <c r="AN207" t="str">
        <f>VLOOKUP(I207,'Order 301-305 (เรียง)'!A:C,3,0)</f>
        <v>GOLD BLEND ALL CAFE'  ขนาด 500 G.</v>
      </c>
    </row>
    <row r="208" spans="1:40" x14ac:dyDescent="0.3">
      <c r="A208" s="1" t="s">
        <v>19</v>
      </c>
      <c r="B208" s="1" t="s">
        <v>20</v>
      </c>
      <c r="C208" s="1" t="s">
        <v>64</v>
      </c>
      <c r="D208" s="1" t="s">
        <v>77</v>
      </c>
      <c r="E208" s="1" t="s">
        <v>78</v>
      </c>
      <c r="F208" s="1" t="s">
        <v>661</v>
      </c>
      <c r="G208" s="1" t="s">
        <v>279</v>
      </c>
      <c r="H208" s="1" t="s">
        <v>304</v>
      </c>
      <c r="I208" s="1" t="s">
        <v>663</v>
      </c>
      <c r="J208" s="1" t="s">
        <v>664</v>
      </c>
      <c r="K208" s="1" t="s">
        <v>84</v>
      </c>
      <c r="L208" s="1" t="s">
        <v>92</v>
      </c>
      <c r="M208" s="1" t="s">
        <v>68</v>
      </c>
      <c r="N208" s="1" t="s">
        <v>71</v>
      </c>
      <c r="O208" s="1" t="s">
        <v>68</v>
      </c>
      <c r="P208" s="1" t="s">
        <v>665</v>
      </c>
      <c r="Q208" s="1" t="s">
        <v>68</v>
      </c>
      <c r="R208" s="1" t="s">
        <v>68</v>
      </c>
      <c r="S208" s="1" t="s">
        <v>68</v>
      </c>
      <c r="T208" s="1" t="s">
        <v>123</v>
      </c>
      <c r="U208" s="1" t="s">
        <v>68</v>
      </c>
      <c r="V208" s="1" t="s">
        <v>68</v>
      </c>
      <c r="W208" s="1" t="s">
        <v>68</v>
      </c>
      <c r="X208" s="1" t="s">
        <v>68</v>
      </c>
      <c r="Y208" s="73"/>
      <c r="Z208" s="2" t="s">
        <v>80</v>
      </c>
      <c r="AA208" s="3">
        <v>-1923.44</v>
      </c>
      <c r="AB208" s="4">
        <v>-308942.93</v>
      </c>
      <c r="AC208" s="73">
        <v>46210</v>
      </c>
      <c r="AD208" s="73">
        <v>46207</v>
      </c>
      <c r="AE208" s="73"/>
      <c r="AF208" s="73">
        <v>46210</v>
      </c>
      <c r="AG208" s="3">
        <v>-1923440</v>
      </c>
      <c r="AH208" s="353" t="str">
        <f t="shared" si="12"/>
        <v>302</v>
      </c>
      <c r="AI208" s="3" t="str">
        <f t="shared" si="13"/>
        <v>57</v>
      </c>
      <c r="AJ208" s="64" t="str">
        <f>VLOOKUP(T208,'GL Name'!A:B,2,0)</f>
        <v>ต้นทุนผลิตกึ่งสำเร็จ</v>
      </c>
      <c r="AL208" s="13">
        <f t="shared" si="14"/>
        <v>160.61999854427484</v>
      </c>
      <c r="AM208" s="13" t="str">
        <f>VLOOKUP(I208,'Order 301-305 (เรียง)'!A:B,2,0)</f>
        <v>59000002</v>
      </c>
      <c r="AN208" t="str">
        <f>VLOOKUP(I208,'Order 301-305 (เรียง)'!A:C,3,0)</f>
        <v>GOLD BLEND ALL CAFE'  ขนาด 500 G.</v>
      </c>
    </row>
    <row r="209" spans="1:40" x14ac:dyDescent="0.3">
      <c r="A209" s="1" t="s">
        <v>23</v>
      </c>
      <c r="B209" s="1" t="s">
        <v>24</v>
      </c>
      <c r="C209" s="1" t="s">
        <v>64</v>
      </c>
      <c r="D209" s="1" t="s">
        <v>115</v>
      </c>
      <c r="E209" s="1" t="s">
        <v>116</v>
      </c>
      <c r="F209" s="1" t="s">
        <v>661</v>
      </c>
      <c r="G209" s="1" t="s">
        <v>103</v>
      </c>
      <c r="H209" s="1" t="s">
        <v>666</v>
      </c>
      <c r="I209" s="1" t="s">
        <v>663</v>
      </c>
      <c r="J209" s="1" t="s">
        <v>664</v>
      </c>
      <c r="K209" s="1" t="s">
        <v>84</v>
      </c>
      <c r="L209" s="1" t="s">
        <v>70</v>
      </c>
      <c r="M209" s="1" t="s">
        <v>68</v>
      </c>
      <c r="N209" s="1" t="s">
        <v>71</v>
      </c>
      <c r="O209" s="1" t="s">
        <v>68</v>
      </c>
      <c r="P209" s="1" t="s">
        <v>72</v>
      </c>
      <c r="Q209" s="1" t="s">
        <v>68</v>
      </c>
      <c r="R209" s="1" t="s">
        <v>68</v>
      </c>
      <c r="S209" s="1" t="s">
        <v>68</v>
      </c>
      <c r="T209" s="1" t="s">
        <v>124</v>
      </c>
      <c r="U209" s="1" t="s">
        <v>68</v>
      </c>
      <c r="V209" s="1" t="s">
        <v>68</v>
      </c>
      <c r="W209" s="1" t="s">
        <v>68</v>
      </c>
      <c r="X209" s="1" t="s">
        <v>68</v>
      </c>
      <c r="Y209" s="73"/>
      <c r="Z209" s="2" t="s">
        <v>80</v>
      </c>
      <c r="AA209" s="3">
        <v>7753.17</v>
      </c>
      <c r="AB209" s="4">
        <v>2514120.44</v>
      </c>
      <c r="AC209" s="73">
        <v>46210</v>
      </c>
      <c r="AD209" s="73">
        <v>46207</v>
      </c>
      <c r="AE209" s="73"/>
      <c r="AF209" s="73">
        <v>46210</v>
      </c>
      <c r="AG209" s="3">
        <v>7753170</v>
      </c>
      <c r="AH209" s="353" t="str">
        <f t="shared" si="12"/>
        <v>302</v>
      </c>
      <c r="AI209" s="3" t="str">
        <f t="shared" si="13"/>
        <v>57</v>
      </c>
      <c r="AJ209" s="64" t="str">
        <f>VLOOKUP(T209,'GL Name'!A:B,2,0)</f>
        <v>ต้นทุนผลิตโอน Semi</v>
      </c>
      <c r="AL209" s="13">
        <f t="shared" si="14"/>
        <v>324.27000052881596</v>
      </c>
      <c r="AM209" s="13" t="str">
        <f>VLOOKUP(I209,'Order 301-305 (เรียง)'!A:B,2,0)</f>
        <v>59000002</v>
      </c>
      <c r="AN209" t="str">
        <f>VLOOKUP(I209,'Order 301-305 (เรียง)'!A:C,3,0)</f>
        <v>GOLD BLEND ALL CAFE'  ขนาด 500 G.</v>
      </c>
    </row>
    <row r="210" spans="1:40" x14ac:dyDescent="0.3">
      <c r="A210" s="1" t="s">
        <v>81</v>
      </c>
      <c r="B210" s="1" t="s">
        <v>82</v>
      </c>
      <c r="C210" s="1" t="s">
        <v>64</v>
      </c>
      <c r="D210" s="1" t="s">
        <v>87</v>
      </c>
      <c r="E210" s="1" t="s">
        <v>88</v>
      </c>
      <c r="F210" s="1" t="s">
        <v>667</v>
      </c>
      <c r="G210" s="1" t="s">
        <v>83</v>
      </c>
      <c r="H210" s="1" t="s">
        <v>655</v>
      </c>
      <c r="I210" s="1" t="s">
        <v>68</v>
      </c>
      <c r="J210" s="1" t="s">
        <v>668</v>
      </c>
      <c r="K210" s="1" t="s">
        <v>118</v>
      </c>
      <c r="L210" s="1" t="s">
        <v>70</v>
      </c>
      <c r="M210" s="1" t="s">
        <v>68</v>
      </c>
      <c r="N210" s="1" t="s">
        <v>71</v>
      </c>
      <c r="O210" s="1" t="s">
        <v>68</v>
      </c>
      <c r="P210" s="1" t="s">
        <v>669</v>
      </c>
      <c r="Q210" s="1" t="s">
        <v>68</v>
      </c>
      <c r="R210" s="1" t="s">
        <v>670</v>
      </c>
      <c r="S210" s="1" t="s">
        <v>90</v>
      </c>
      <c r="T210" s="1" t="s">
        <v>91</v>
      </c>
      <c r="U210" s="1" t="s">
        <v>68</v>
      </c>
      <c r="V210" s="1" t="s">
        <v>68</v>
      </c>
      <c r="W210" s="1" t="s">
        <v>68</v>
      </c>
      <c r="X210" s="1" t="s">
        <v>68</v>
      </c>
      <c r="Y210" s="73"/>
      <c r="Z210" s="2" t="s">
        <v>74</v>
      </c>
      <c r="AA210" s="3">
        <v>-6</v>
      </c>
      <c r="AB210" s="4">
        <v>-1016.28</v>
      </c>
      <c r="AC210" s="73">
        <v>46210</v>
      </c>
      <c r="AD210" s="73">
        <v>46210</v>
      </c>
      <c r="AE210" s="73"/>
      <c r="AF210" s="73">
        <v>46210</v>
      </c>
      <c r="AG210" s="3">
        <v>-3000</v>
      </c>
      <c r="AH210" s="353" t="str">
        <f t="shared" si="12"/>
        <v/>
      </c>
      <c r="AI210" s="3" t="str">
        <f t="shared" si="13"/>
        <v>59</v>
      </c>
      <c r="AJ210" s="64" t="str">
        <f>VLOOKUP(T210,'GL Name'!A:B,2,0)</f>
        <v>ค่าวิจัยคุณภาพสินค้า</v>
      </c>
      <c r="AL210" s="13">
        <f t="shared" si="14"/>
        <v>169.38</v>
      </c>
      <c r="AM210" s="13" t="e">
        <f>VLOOKUP(I210,'Order 301-305 (เรียง)'!A:B,2,0)</f>
        <v>#N/A</v>
      </c>
      <c r="AN210" t="e">
        <f>VLOOKUP(I210,'Order 301-305 (เรียง)'!A:C,3,0)</f>
        <v>#N/A</v>
      </c>
    </row>
    <row r="211" spans="1:40" x14ac:dyDescent="0.3">
      <c r="A211" s="1" t="s">
        <v>81</v>
      </c>
      <c r="B211" s="1" t="s">
        <v>82</v>
      </c>
      <c r="C211" s="1" t="s">
        <v>64</v>
      </c>
      <c r="D211" s="1" t="s">
        <v>87</v>
      </c>
      <c r="E211" s="1" t="s">
        <v>88</v>
      </c>
      <c r="F211" s="1" t="s">
        <v>671</v>
      </c>
      <c r="G211" s="1" t="s">
        <v>83</v>
      </c>
      <c r="H211" s="1" t="s">
        <v>655</v>
      </c>
      <c r="I211" s="1" t="s">
        <v>68</v>
      </c>
      <c r="J211" s="1" t="s">
        <v>672</v>
      </c>
      <c r="K211" s="1" t="s">
        <v>118</v>
      </c>
      <c r="L211" s="1" t="s">
        <v>86</v>
      </c>
      <c r="M211" s="1" t="s">
        <v>68</v>
      </c>
      <c r="N211" s="1" t="s">
        <v>71</v>
      </c>
      <c r="O211" s="1" t="s">
        <v>68</v>
      </c>
      <c r="P211" s="1" t="s">
        <v>673</v>
      </c>
      <c r="Q211" s="1" t="s">
        <v>68</v>
      </c>
      <c r="R211" s="1" t="s">
        <v>674</v>
      </c>
      <c r="S211" s="1" t="s">
        <v>90</v>
      </c>
      <c r="T211" s="1" t="s">
        <v>91</v>
      </c>
      <c r="U211" s="1" t="s">
        <v>68</v>
      </c>
      <c r="V211" s="1" t="s">
        <v>68</v>
      </c>
      <c r="W211" s="1" t="s">
        <v>68</v>
      </c>
      <c r="X211" s="1" t="s">
        <v>68</v>
      </c>
      <c r="Y211" s="73"/>
      <c r="Z211" s="2" t="s">
        <v>74</v>
      </c>
      <c r="AA211" s="3">
        <v>-2</v>
      </c>
      <c r="AB211" s="4">
        <v>-338.76</v>
      </c>
      <c r="AC211" s="73">
        <v>46210</v>
      </c>
      <c r="AD211" s="73">
        <v>46210</v>
      </c>
      <c r="AE211" s="73"/>
      <c r="AF211" s="73">
        <v>46210</v>
      </c>
      <c r="AG211" s="3">
        <v>-1000</v>
      </c>
      <c r="AH211" s="353" t="str">
        <f t="shared" si="12"/>
        <v/>
      </c>
      <c r="AI211" s="3" t="str">
        <f t="shared" si="13"/>
        <v>59</v>
      </c>
      <c r="AJ211" s="64" t="str">
        <f>VLOOKUP(T211,'GL Name'!A:B,2,0)</f>
        <v>ค่าวิจัยคุณภาพสินค้า</v>
      </c>
      <c r="AL211" s="13">
        <f t="shared" si="14"/>
        <v>169.38</v>
      </c>
      <c r="AM211" s="13" t="e">
        <f>VLOOKUP(I211,'Order 301-305 (เรียง)'!A:B,2,0)</f>
        <v>#N/A</v>
      </c>
      <c r="AN211" t="e">
        <f>VLOOKUP(I211,'Order 301-305 (เรียง)'!A:C,3,0)</f>
        <v>#N/A</v>
      </c>
    </row>
    <row r="212" spans="1:40" x14ac:dyDescent="0.3">
      <c r="A212" s="1" t="s">
        <v>81</v>
      </c>
      <c r="B212" s="1" t="s">
        <v>82</v>
      </c>
      <c r="C212" s="1" t="s">
        <v>64</v>
      </c>
      <c r="D212" s="1" t="s">
        <v>87</v>
      </c>
      <c r="E212" s="1" t="s">
        <v>88</v>
      </c>
      <c r="F212" s="1" t="s">
        <v>671</v>
      </c>
      <c r="G212" s="1" t="s">
        <v>83</v>
      </c>
      <c r="H212" s="1" t="s">
        <v>655</v>
      </c>
      <c r="I212" s="1" t="s">
        <v>68</v>
      </c>
      <c r="J212" s="1" t="s">
        <v>672</v>
      </c>
      <c r="K212" s="1" t="s">
        <v>118</v>
      </c>
      <c r="L212" s="1" t="s">
        <v>70</v>
      </c>
      <c r="M212" s="1" t="s">
        <v>68</v>
      </c>
      <c r="N212" s="1" t="s">
        <v>71</v>
      </c>
      <c r="O212" s="1" t="s">
        <v>68</v>
      </c>
      <c r="P212" s="1" t="s">
        <v>673</v>
      </c>
      <c r="Q212" s="1" t="s">
        <v>68</v>
      </c>
      <c r="R212" s="1" t="s">
        <v>675</v>
      </c>
      <c r="S212" s="1" t="s">
        <v>90</v>
      </c>
      <c r="T212" s="1" t="s">
        <v>91</v>
      </c>
      <c r="U212" s="1" t="s">
        <v>68</v>
      </c>
      <c r="V212" s="1" t="s">
        <v>68</v>
      </c>
      <c r="W212" s="1" t="s">
        <v>68</v>
      </c>
      <c r="X212" s="1" t="s">
        <v>68</v>
      </c>
      <c r="Y212" s="73"/>
      <c r="Z212" s="2" t="s">
        <v>74</v>
      </c>
      <c r="AA212" s="3">
        <v>-2</v>
      </c>
      <c r="AB212" s="4">
        <v>-338.76</v>
      </c>
      <c r="AC212" s="73">
        <v>46210</v>
      </c>
      <c r="AD212" s="73">
        <v>46210</v>
      </c>
      <c r="AE212" s="73"/>
      <c r="AF212" s="73">
        <v>46210</v>
      </c>
      <c r="AG212" s="3">
        <v>-1000</v>
      </c>
      <c r="AH212" s="353" t="str">
        <f t="shared" si="12"/>
        <v/>
      </c>
      <c r="AI212" s="3" t="str">
        <f t="shared" si="13"/>
        <v>59</v>
      </c>
      <c r="AJ212" s="64" t="str">
        <f>VLOOKUP(T212,'GL Name'!A:B,2,0)</f>
        <v>ค่าวิจัยคุณภาพสินค้า</v>
      </c>
      <c r="AL212" s="13">
        <f t="shared" si="14"/>
        <v>169.38</v>
      </c>
      <c r="AM212" s="13" t="e">
        <f>VLOOKUP(I212,'Order 301-305 (เรียง)'!A:B,2,0)</f>
        <v>#N/A</v>
      </c>
      <c r="AN212" t="e">
        <f>VLOOKUP(I212,'Order 301-305 (เรียง)'!A:C,3,0)</f>
        <v>#N/A</v>
      </c>
    </row>
    <row r="213" spans="1:40" x14ac:dyDescent="0.3">
      <c r="A213" s="1" t="s">
        <v>81</v>
      </c>
      <c r="B213" s="1" t="s">
        <v>82</v>
      </c>
      <c r="C213" s="1" t="s">
        <v>64</v>
      </c>
      <c r="D213" s="1" t="s">
        <v>87</v>
      </c>
      <c r="E213" s="1" t="s">
        <v>88</v>
      </c>
      <c r="F213" s="1" t="s">
        <v>676</v>
      </c>
      <c r="G213" s="1" t="s">
        <v>83</v>
      </c>
      <c r="H213" s="1" t="s">
        <v>655</v>
      </c>
      <c r="I213" s="1" t="s">
        <v>68</v>
      </c>
      <c r="J213" s="1" t="s">
        <v>677</v>
      </c>
      <c r="K213" s="1" t="s">
        <v>118</v>
      </c>
      <c r="L213" s="1" t="s">
        <v>86</v>
      </c>
      <c r="M213" s="1" t="s">
        <v>68</v>
      </c>
      <c r="N213" s="1" t="s">
        <v>71</v>
      </c>
      <c r="O213" s="1" t="s">
        <v>68</v>
      </c>
      <c r="P213" s="1" t="s">
        <v>678</v>
      </c>
      <c r="Q213" s="1" t="s">
        <v>68</v>
      </c>
      <c r="R213" s="1" t="s">
        <v>679</v>
      </c>
      <c r="S213" s="1" t="s">
        <v>90</v>
      </c>
      <c r="T213" s="1" t="s">
        <v>91</v>
      </c>
      <c r="U213" s="1" t="s">
        <v>68</v>
      </c>
      <c r="V213" s="1" t="s">
        <v>68</v>
      </c>
      <c r="W213" s="1" t="s">
        <v>68</v>
      </c>
      <c r="X213" s="1" t="s">
        <v>68</v>
      </c>
      <c r="Y213" s="73"/>
      <c r="Z213" s="2" t="s">
        <v>74</v>
      </c>
      <c r="AA213" s="3">
        <v>-3</v>
      </c>
      <c r="AB213" s="4">
        <v>-508.14</v>
      </c>
      <c r="AC213" s="73">
        <v>46210</v>
      </c>
      <c r="AD213" s="73">
        <v>46210</v>
      </c>
      <c r="AE213" s="73"/>
      <c r="AF213" s="73">
        <v>46210</v>
      </c>
      <c r="AG213" s="3">
        <v>-1500</v>
      </c>
      <c r="AH213" s="353" t="str">
        <f t="shared" si="12"/>
        <v/>
      </c>
      <c r="AI213" s="3" t="str">
        <f t="shared" si="13"/>
        <v>59</v>
      </c>
      <c r="AJ213" s="64" t="str">
        <f>VLOOKUP(T213,'GL Name'!A:B,2,0)</f>
        <v>ค่าวิจัยคุณภาพสินค้า</v>
      </c>
      <c r="AL213" s="13">
        <f t="shared" si="14"/>
        <v>169.38</v>
      </c>
      <c r="AM213" s="13" t="e">
        <f>VLOOKUP(I213,'Order 301-305 (เรียง)'!A:B,2,0)</f>
        <v>#N/A</v>
      </c>
      <c r="AN213" t="e">
        <f>VLOOKUP(I213,'Order 301-305 (เรียง)'!A:C,3,0)</f>
        <v>#N/A</v>
      </c>
    </row>
    <row r="214" spans="1:40" x14ac:dyDescent="0.3">
      <c r="A214" s="1" t="s">
        <v>81</v>
      </c>
      <c r="B214" s="1" t="s">
        <v>82</v>
      </c>
      <c r="C214" s="1" t="s">
        <v>64</v>
      </c>
      <c r="D214" s="1" t="s">
        <v>87</v>
      </c>
      <c r="E214" s="1" t="s">
        <v>88</v>
      </c>
      <c r="F214" s="1" t="s">
        <v>676</v>
      </c>
      <c r="G214" s="1" t="s">
        <v>83</v>
      </c>
      <c r="H214" s="1" t="s">
        <v>655</v>
      </c>
      <c r="I214" s="1" t="s">
        <v>68</v>
      </c>
      <c r="J214" s="1" t="s">
        <v>677</v>
      </c>
      <c r="K214" s="1" t="s">
        <v>118</v>
      </c>
      <c r="L214" s="1" t="s">
        <v>70</v>
      </c>
      <c r="M214" s="1" t="s">
        <v>68</v>
      </c>
      <c r="N214" s="1" t="s">
        <v>71</v>
      </c>
      <c r="O214" s="1" t="s">
        <v>68</v>
      </c>
      <c r="P214" s="1" t="s">
        <v>678</v>
      </c>
      <c r="Q214" s="1" t="s">
        <v>68</v>
      </c>
      <c r="R214" s="1" t="s">
        <v>448</v>
      </c>
      <c r="S214" s="1" t="s">
        <v>90</v>
      </c>
      <c r="T214" s="1" t="s">
        <v>91</v>
      </c>
      <c r="U214" s="1" t="s">
        <v>68</v>
      </c>
      <c r="V214" s="1" t="s">
        <v>68</v>
      </c>
      <c r="W214" s="1" t="s">
        <v>68</v>
      </c>
      <c r="X214" s="1" t="s">
        <v>68</v>
      </c>
      <c r="Y214" s="73"/>
      <c r="Z214" s="2" t="s">
        <v>74</v>
      </c>
      <c r="AA214" s="3">
        <v>-3</v>
      </c>
      <c r="AB214" s="4">
        <v>-508.14</v>
      </c>
      <c r="AC214" s="73">
        <v>46210</v>
      </c>
      <c r="AD214" s="73">
        <v>46210</v>
      </c>
      <c r="AE214" s="73"/>
      <c r="AF214" s="73">
        <v>46210</v>
      </c>
      <c r="AG214" s="3">
        <v>-1500</v>
      </c>
      <c r="AH214" s="353" t="str">
        <f t="shared" si="12"/>
        <v/>
      </c>
      <c r="AI214" s="3" t="str">
        <f t="shared" si="13"/>
        <v>59</v>
      </c>
      <c r="AJ214" s="64" t="str">
        <f>VLOOKUP(T214,'GL Name'!A:B,2,0)</f>
        <v>ค่าวิจัยคุณภาพสินค้า</v>
      </c>
      <c r="AL214" s="13">
        <f t="shared" si="14"/>
        <v>169.38</v>
      </c>
      <c r="AM214" s="13" t="e">
        <f>VLOOKUP(I214,'Order 301-305 (เรียง)'!A:B,2,0)</f>
        <v>#N/A</v>
      </c>
      <c r="AN214" t="e">
        <f>VLOOKUP(I214,'Order 301-305 (เรียง)'!A:C,3,0)</f>
        <v>#N/A</v>
      </c>
    </row>
    <row r="215" spans="1:40" x14ac:dyDescent="0.3">
      <c r="A215" s="1" t="s">
        <v>644</v>
      </c>
      <c r="B215" s="1" t="s">
        <v>645</v>
      </c>
      <c r="C215" s="1" t="s">
        <v>64</v>
      </c>
      <c r="D215" s="1" t="s">
        <v>87</v>
      </c>
      <c r="E215" s="1" t="s">
        <v>88</v>
      </c>
      <c r="F215" s="1" t="s">
        <v>680</v>
      </c>
      <c r="G215" s="1" t="s">
        <v>83</v>
      </c>
      <c r="H215" s="1" t="s">
        <v>638</v>
      </c>
      <c r="I215" s="1" t="s">
        <v>68</v>
      </c>
      <c r="J215" s="1" t="s">
        <v>681</v>
      </c>
      <c r="K215" s="1" t="s">
        <v>118</v>
      </c>
      <c r="L215" s="1" t="s">
        <v>86</v>
      </c>
      <c r="M215" s="1" t="s">
        <v>68</v>
      </c>
      <c r="N215" s="1" t="s">
        <v>71</v>
      </c>
      <c r="O215" s="1" t="s">
        <v>68</v>
      </c>
      <c r="P215" s="1" t="s">
        <v>682</v>
      </c>
      <c r="Q215" s="1" t="s">
        <v>68</v>
      </c>
      <c r="R215" s="1" t="s">
        <v>683</v>
      </c>
      <c r="S215" s="1" t="s">
        <v>90</v>
      </c>
      <c r="T215" s="1" t="s">
        <v>91</v>
      </c>
      <c r="U215" s="1" t="s">
        <v>68</v>
      </c>
      <c r="V215" s="1" t="s">
        <v>68</v>
      </c>
      <c r="W215" s="1" t="s">
        <v>68</v>
      </c>
      <c r="X215" s="1" t="s">
        <v>68</v>
      </c>
      <c r="Y215" s="73"/>
      <c r="Z215" s="2" t="s">
        <v>74</v>
      </c>
      <c r="AA215" s="3">
        <v>-1</v>
      </c>
      <c r="AB215" s="4">
        <v>-184.34</v>
      </c>
      <c r="AC215" s="73">
        <v>46205</v>
      </c>
      <c r="AD215" s="73">
        <v>46205</v>
      </c>
      <c r="AE215" s="73"/>
      <c r="AF215" s="73">
        <v>46210</v>
      </c>
      <c r="AG215" s="3">
        <v>-500</v>
      </c>
      <c r="AH215" s="353" t="str">
        <f t="shared" si="12"/>
        <v/>
      </c>
      <c r="AI215" s="3" t="str">
        <f t="shared" si="13"/>
        <v>59</v>
      </c>
      <c r="AJ215" s="64" t="str">
        <f>VLOOKUP(T215,'GL Name'!A:B,2,0)</f>
        <v>ค่าวิจัยคุณภาพสินค้า</v>
      </c>
      <c r="AL215" s="13">
        <f t="shared" si="14"/>
        <v>184.34</v>
      </c>
      <c r="AM215" s="13" t="e">
        <f>VLOOKUP(I215,'Order 301-305 (เรียง)'!A:B,2,0)</f>
        <v>#N/A</v>
      </c>
      <c r="AN215" t="e">
        <f>VLOOKUP(I215,'Order 301-305 (เรียง)'!A:C,3,0)</f>
        <v>#N/A</v>
      </c>
    </row>
    <row r="216" spans="1:40" x14ac:dyDescent="0.3">
      <c r="A216" s="1" t="s">
        <v>113</v>
      </c>
      <c r="B216" s="1" t="s">
        <v>114</v>
      </c>
      <c r="C216" s="1" t="s">
        <v>64</v>
      </c>
      <c r="D216" s="1" t="s">
        <v>87</v>
      </c>
      <c r="E216" s="1" t="s">
        <v>88</v>
      </c>
      <c r="F216" s="1" t="s">
        <v>680</v>
      </c>
      <c r="G216" s="1" t="s">
        <v>83</v>
      </c>
      <c r="H216" s="1" t="s">
        <v>287</v>
      </c>
      <c r="I216" s="1" t="s">
        <v>68</v>
      </c>
      <c r="J216" s="1" t="s">
        <v>681</v>
      </c>
      <c r="K216" s="1" t="s">
        <v>118</v>
      </c>
      <c r="L216" s="1" t="s">
        <v>70</v>
      </c>
      <c r="M216" s="1" t="s">
        <v>68</v>
      </c>
      <c r="N216" s="1" t="s">
        <v>71</v>
      </c>
      <c r="O216" s="1" t="s">
        <v>68</v>
      </c>
      <c r="P216" s="1" t="s">
        <v>682</v>
      </c>
      <c r="Q216" s="1" t="s">
        <v>68</v>
      </c>
      <c r="R216" s="1" t="s">
        <v>684</v>
      </c>
      <c r="S216" s="1" t="s">
        <v>90</v>
      </c>
      <c r="T216" s="1" t="s">
        <v>91</v>
      </c>
      <c r="U216" s="1" t="s">
        <v>68</v>
      </c>
      <c r="V216" s="1" t="s">
        <v>68</v>
      </c>
      <c r="W216" s="1" t="s">
        <v>68</v>
      </c>
      <c r="X216" s="1" t="s">
        <v>68</v>
      </c>
      <c r="Y216" s="73"/>
      <c r="Z216" s="2" t="s">
        <v>74</v>
      </c>
      <c r="AA216" s="3">
        <v>-3</v>
      </c>
      <c r="AB216" s="4">
        <v>-508.08</v>
      </c>
      <c r="AC216" s="73">
        <v>46205</v>
      </c>
      <c r="AD216" s="73">
        <v>46205</v>
      </c>
      <c r="AE216" s="73"/>
      <c r="AF216" s="73">
        <v>46210</v>
      </c>
      <c r="AG216" s="3">
        <v>-1500</v>
      </c>
      <c r="AH216" s="353" t="str">
        <f t="shared" si="12"/>
        <v/>
      </c>
      <c r="AI216" s="3" t="str">
        <f t="shared" si="13"/>
        <v>59</v>
      </c>
      <c r="AJ216" s="64" t="str">
        <f>VLOOKUP(T216,'GL Name'!A:B,2,0)</f>
        <v>ค่าวิจัยคุณภาพสินค้า</v>
      </c>
      <c r="AL216" s="13">
        <f t="shared" si="14"/>
        <v>169.35999999999999</v>
      </c>
      <c r="AM216" s="13" t="e">
        <f>VLOOKUP(I216,'Order 301-305 (เรียง)'!A:B,2,0)</f>
        <v>#N/A</v>
      </c>
      <c r="AN216" t="e">
        <f>VLOOKUP(I216,'Order 301-305 (เรียง)'!A:C,3,0)</f>
        <v>#N/A</v>
      </c>
    </row>
    <row r="217" spans="1:40" x14ac:dyDescent="0.3">
      <c r="A217" s="1" t="s">
        <v>17</v>
      </c>
      <c r="B217" s="1" t="s">
        <v>18</v>
      </c>
      <c r="C217" s="1" t="s">
        <v>64</v>
      </c>
      <c r="D217" s="1" t="s">
        <v>87</v>
      </c>
      <c r="E217" s="1" t="s">
        <v>88</v>
      </c>
      <c r="F217" s="1" t="s">
        <v>685</v>
      </c>
      <c r="G217" s="1" t="s">
        <v>278</v>
      </c>
      <c r="H217" s="1" t="s">
        <v>304</v>
      </c>
      <c r="I217" s="1" t="s">
        <v>68</v>
      </c>
      <c r="J217" s="1" t="s">
        <v>686</v>
      </c>
      <c r="K217" s="1" t="s">
        <v>290</v>
      </c>
      <c r="L217" s="1" t="s">
        <v>70</v>
      </c>
      <c r="M217" s="1" t="s">
        <v>68</v>
      </c>
      <c r="N217" s="1" t="s">
        <v>71</v>
      </c>
      <c r="O217" s="1" t="s">
        <v>68</v>
      </c>
      <c r="P217" s="1" t="s">
        <v>687</v>
      </c>
      <c r="Q217" s="1" t="s">
        <v>68</v>
      </c>
      <c r="R217" s="1" t="s">
        <v>688</v>
      </c>
      <c r="S217" s="1" t="s">
        <v>90</v>
      </c>
      <c r="T217" s="1" t="s">
        <v>91</v>
      </c>
      <c r="U217" s="1" t="s">
        <v>68</v>
      </c>
      <c r="V217" s="1" t="s">
        <v>68</v>
      </c>
      <c r="W217" s="1" t="s">
        <v>68</v>
      </c>
      <c r="X217" s="1" t="s">
        <v>68</v>
      </c>
      <c r="Y217" s="73"/>
      <c r="Z217" s="2" t="s">
        <v>265</v>
      </c>
      <c r="AA217" s="3">
        <v>-500</v>
      </c>
      <c r="AB217" s="4">
        <v>-77.900000000000006</v>
      </c>
      <c r="AC217" s="73">
        <v>46210</v>
      </c>
      <c r="AD217" s="73">
        <v>46210</v>
      </c>
      <c r="AE217" s="73"/>
      <c r="AF217" s="73">
        <v>46211</v>
      </c>
      <c r="AG217" s="3">
        <v>-500</v>
      </c>
      <c r="AH217" s="353" t="str">
        <f t="shared" si="12"/>
        <v/>
      </c>
      <c r="AI217" s="3" t="str">
        <f t="shared" si="13"/>
        <v>54</v>
      </c>
      <c r="AJ217" s="64" t="str">
        <f>VLOOKUP(T217,'GL Name'!A:B,2,0)</f>
        <v>ค่าวิจัยคุณภาพสินค้า</v>
      </c>
      <c r="AL217" s="13">
        <f t="shared" si="14"/>
        <v>0.15580000000000002</v>
      </c>
      <c r="AM217" s="13" t="e">
        <f>VLOOKUP(I217,'Order 301-305 (เรียง)'!A:B,2,0)</f>
        <v>#N/A</v>
      </c>
      <c r="AN217" t="e">
        <f>VLOOKUP(I217,'Order 301-305 (เรียง)'!A:C,3,0)</f>
        <v>#N/A</v>
      </c>
    </row>
    <row r="218" spans="1:40" x14ac:dyDescent="0.3">
      <c r="A218" s="1" t="s">
        <v>62</v>
      </c>
      <c r="B218" s="1" t="s">
        <v>63</v>
      </c>
      <c r="C218" s="1" t="s">
        <v>64</v>
      </c>
      <c r="D218" s="1" t="s">
        <v>65</v>
      </c>
      <c r="E218" s="1" t="s">
        <v>66</v>
      </c>
      <c r="F218" s="1" t="s">
        <v>760</v>
      </c>
      <c r="G218" s="1" t="s">
        <v>67</v>
      </c>
      <c r="H218" s="1" t="s">
        <v>281</v>
      </c>
      <c r="I218" s="1" t="s">
        <v>68</v>
      </c>
      <c r="J218" s="1" t="s">
        <v>761</v>
      </c>
      <c r="K218" s="1" t="s">
        <v>69</v>
      </c>
      <c r="L218" s="1" t="s">
        <v>70</v>
      </c>
      <c r="M218" s="1" t="s">
        <v>68</v>
      </c>
      <c r="N218" s="1" t="s">
        <v>71</v>
      </c>
      <c r="O218" s="1" t="s">
        <v>68</v>
      </c>
      <c r="P218" s="1" t="s">
        <v>72</v>
      </c>
      <c r="Q218" s="1" t="s">
        <v>68</v>
      </c>
      <c r="R218" s="1" t="s">
        <v>68</v>
      </c>
      <c r="S218" s="1" t="s">
        <v>68</v>
      </c>
      <c r="T218" s="1" t="s">
        <v>73</v>
      </c>
      <c r="U218" s="1" t="s">
        <v>68</v>
      </c>
      <c r="V218" s="1" t="s">
        <v>68</v>
      </c>
      <c r="W218" s="1" t="s">
        <v>68</v>
      </c>
      <c r="X218" s="1" t="s">
        <v>762</v>
      </c>
      <c r="Y218" s="73"/>
      <c r="Z218" s="2" t="s">
        <v>74</v>
      </c>
      <c r="AA218" s="3">
        <v>-9</v>
      </c>
      <c r="AB218" s="4">
        <v>-1524.24</v>
      </c>
      <c r="AC218" s="73">
        <v>46211</v>
      </c>
      <c r="AD218" s="73">
        <v>46211</v>
      </c>
      <c r="AE218" s="73"/>
      <c r="AF218" s="73">
        <v>46211</v>
      </c>
      <c r="AG218" s="3">
        <v>-4500</v>
      </c>
      <c r="AH218" s="353" t="str">
        <f t="shared" si="12"/>
        <v/>
      </c>
      <c r="AI218" s="3" t="str">
        <f t="shared" si="13"/>
        <v>59</v>
      </c>
      <c r="AJ218" s="64" t="str">
        <f>VLOOKUP(T218,'GL Name'!A:B,2,0)</f>
        <v>ต้นทุนขาย</v>
      </c>
      <c r="AL218" s="13">
        <f t="shared" si="14"/>
        <v>169.36</v>
      </c>
      <c r="AM218" s="13" t="e">
        <f>VLOOKUP(I218,'Order 301-305 (เรียง)'!A:B,2,0)</f>
        <v>#N/A</v>
      </c>
      <c r="AN218" t="e">
        <f>VLOOKUP(I218,'Order 301-305 (เรียง)'!A:C,3,0)</f>
        <v>#N/A</v>
      </c>
    </row>
    <row r="219" spans="1:40" x14ac:dyDescent="0.3">
      <c r="A219" s="1" t="s">
        <v>81</v>
      </c>
      <c r="B219" s="1" t="s">
        <v>82</v>
      </c>
      <c r="C219" s="1" t="s">
        <v>64</v>
      </c>
      <c r="D219" s="1" t="s">
        <v>65</v>
      </c>
      <c r="E219" s="1" t="s">
        <v>66</v>
      </c>
      <c r="F219" s="1" t="s">
        <v>763</v>
      </c>
      <c r="G219" s="1" t="s">
        <v>83</v>
      </c>
      <c r="H219" s="1" t="s">
        <v>322</v>
      </c>
      <c r="I219" s="1" t="s">
        <v>68</v>
      </c>
      <c r="J219" s="1" t="s">
        <v>764</v>
      </c>
      <c r="K219" s="1" t="s">
        <v>118</v>
      </c>
      <c r="L219" s="1" t="s">
        <v>70</v>
      </c>
      <c r="M219" s="1" t="s">
        <v>68</v>
      </c>
      <c r="N219" s="1" t="s">
        <v>71</v>
      </c>
      <c r="O219" s="1" t="s">
        <v>68</v>
      </c>
      <c r="P219" s="1" t="s">
        <v>72</v>
      </c>
      <c r="Q219" s="1" t="s">
        <v>68</v>
      </c>
      <c r="R219" s="1" t="s">
        <v>68</v>
      </c>
      <c r="S219" s="1" t="s">
        <v>68</v>
      </c>
      <c r="T219" s="1" t="s">
        <v>73</v>
      </c>
      <c r="U219" s="1" t="s">
        <v>68</v>
      </c>
      <c r="V219" s="1" t="s">
        <v>68</v>
      </c>
      <c r="W219" s="1" t="s">
        <v>68</v>
      </c>
      <c r="X219" s="1" t="s">
        <v>765</v>
      </c>
      <c r="Y219" s="73"/>
      <c r="Z219" s="2" t="s">
        <v>85</v>
      </c>
      <c r="AA219" s="3">
        <v>-960</v>
      </c>
      <c r="AB219" s="4">
        <v>-975628.80000000005</v>
      </c>
      <c r="AC219" s="73">
        <v>46211</v>
      </c>
      <c r="AD219" s="73">
        <v>46211</v>
      </c>
      <c r="AE219" s="73"/>
      <c r="AF219" s="73">
        <v>46211</v>
      </c>
      <c r="AG219" s="3">
        <v>-2880000</v>
      </c>
      <c r="AH219" s="353" t="str">
        <f t="shared" si="12"/>
        <v/>
      </c>
      <c r="AI219" s="3" t="str">
        <f t="shared" si="13"/>
        <v>59</v>
      </c>
      <c r="AJ219" s="64" t="str">
        <f>VLOOKUP(T219,'GL Name'!A:B,2,0)</f>
        <v>ต้นทุนขาย</v>
      </c>
      <c r="AL219" s="13">
        <f t="shared" si="14"/>
        <v>1016.2800000000001</v>
      </c>
      <c r="AM219" s="13" t="e">
        <f>VLOOKUP(I219,'Order 301-305 (เรียง)'!A:B,2,0)</f>
        <v>#N/A</v>
      </c>
      <c r="AN219" t="e">
        <f>VLOOKUP(I219,'Order 301-305 (เรียง)'!A:C,3,0)</f>
        <v>#N/A</v>
      </c>
    </row>
    <row r="220" spans="1:40" x14ac:dyDescent="0.3">
      <c r="A220" s="1" t="s">
        <v>81</v>
      </c>
      <c r="B220" s="1" t="s">
        <v>82</v>
      </c>
      <c r="C220" s="1" t="s">
        <v>64</v>
      </c>
      <c r="D220" s="1" t="s">
        <v>65</v>
      </c>
      <c r="E220" s="1" t="s">
        <v>66</v>
      </c>
      <c r="F220" s="1" t="s">
        <v>766</v>
      </c>
      <c r="G220" s="1" t="s">
        <v>83</v>
      </c>
      <c r="H220" s="1" t="s">
        <v>322</v>
      </c>
      <c r="I220" s="1" t="s">
        <v>68</v>
      </c>
      <c r="J220" s="1" t="s">
        <v>767</v>
      </c>
      <c r="K220" s="1" t="s">
        <v>118</v>
      </c>
      <c r="L220" s="1" t="s">
        <v>70</v>
      </c>
      <c r="M220" s="1" t="s">
        <v>68</v>
      </c>
      <c r="N220" s="1" t="s">
        <v>71</v>
      </c>
      <c r="O220" s="1" t="s">
        <v>68</v>
      </c>
      <c r="P220" s="1" t="s">
        <v>72</v>
      </c>
      <c r="Q220" s="1" t="s">
        <v>68</v>
      </c>
      <c r="R220" s="1" t="s">
        <v>68</v>
      </c>
      <c r="S220" s="1" t="s">
        <v>68</v>
      </c>
      <c r="T220" s="1" t="s">
        <v>73</v>
      </c>
      <c r="U220" s="1" t="s">
        <v>68</v>
      </c>
      <c r="V220" s="1" t="s">
        <v>68</v>
      </c>
      <c r="W220" s="1" t="s">
        <v>68</v>
      </c>
      <c r="X220" s="1" t="s">
        <v>768</v>
      </c>
      <c r="Y220" s="73"/>
      <c r="Z220" s="2" t="s">
        <v>85</v>
      </c>
      <c r="AA220" s="3">
        <v>-773</v>
      </c>
      <c r="AB220" s="4">
        <v>-785584.44</v>
      </c>
      <c r="AC220" s="73">
        <v>46211</v>
      </c>
      <c r="AD220" s="73">
        <v>46211</v>
      </c>
      <c r="AE220" s="73"/>
      <c r="AF220" s="73">
        <v>46211</v>
      </c>
      <c r="AG220" s="3">
        <v>-2319000</v>
      </c>
      <c r="AH220" s="353" t="str">
        <f t="shared" si="12"/>
        <v/>
      </c>
      <c r="AI220" s="3" t="str">
        <f t="shared" si="13"/>
        <v>59</v>
      </c>
      <c r="AJ220" s="64" t="str">
        <f>VLOOKUP(T220,'GL Name'!A:B,2,0)</f>
        <v>ต้นทุนขาย</v>
      </c>
      <c r="AL220" s="13">
        <f t="shared" si="14"/>
        <v>1016.28</v>
      </c>
      <c r="AM220" s="13" t="e">
        <f>VLOOKUP(I220,'Order 301-305 (เรียง)'!A:B,2,0)</f>
        <v>#N/A</v>
      </c>
      <c r="AN220" t="e">
        <f>VLOOKUP(I220,'Order 301-305 (เรียง)'!A:C,3,0)</f>
        <v>#N/A</v>
      </c>
    </row>
    <row r="221" spans="1:40" x14ac:dyDescent="0.3">
      <c r="A221" s="1" t="s">
        <v>81</v>
      </c>
      <c r="B221" s="1" t="s">
        <v>82</v>
      </c>
      <c r="C221" s="1" t="s">
        <v>64</v>
      </c>
      <c r="D221" s="1" t="s">
        <v>65</v>
      </c>
      <c r="E221" s="1" t="s">
        <v>66</v>
      </c>
      <c r="F221" s="1" t="s">
        <v>766</v>
      </c>
      <c r="G221" s="1" t="s">
        <v>83</v>
      </c>
      <c r="H221" s="1" t="s">
        <v>769</v>
      </c>
      <c r="I221" s="1" t="s">
        <v>68</v>
      </c>
      <c r="J221" s="1" t="s">
        <v>767</v>
      </c>
      <c r="K221" s="1" t="s">
        <v>118</v>
      </c>
      <c r="L221" s="1" t="s">
        <v>86</v>
      </c>
      <c r="M221" s="1" t="s">
        <v>68</v>
      </c>
      <c r="N221" s="1" t="s">
        <v>71</v>
      </c>
      <c r="O221" s="1" t="s">
        <v>68</v>
      </c>
      <c r="P221" s="1" t="s">
        <v>72</v>
      </c>
      <c r="Q221" s="1" t="s">
        <v>68</v>
      </c>
      <c r="R221" s="1" t="s">
        <v>68</v>
      </c>
      <c r="S221" s="1" t="s">
        <v>68</v>
      </c>
      <c r="T221" s="1" t="s">
        <v>73</v>
      </c>
      <c r="U221" s="1" t="s">
        <v>68</v>
      </c>
      <c r="V221" s="1" t="s">
        <v>68</v>
      </c>
      <c r="W221" s="1" t="s">
        <v>68</v>
      </c>
      <c r="X221" s="1" t="s">
        <v>768</v>
      </c>
      <c r="Y221" s="73"/>
      <c r="Z221" s="2" t="s">
        <v>85</v>
      </c>
      <c r="AA221" s="3">
        <v>-187</v>
      </c>
      <c r="AB221" s="4">
        <v>-190044.36</v>
      </c>
      <c r="AC221" s="73">
        <v>46211</v>
      </c>
      <c r="AD221" s="73">
        <v>46211</v>
      </c>
      <c r="AE221" s="73"/>
      <c r="AF221" s="73">
        <v>46211</v>
      </c>
      <c r="AG221" s="3">
        <v>-561000</v>
      </c>
      <c r="AH221" s="353" t="str">
        <f t="shared" si="12"/>
        <v/>
      </c>
      <c r="AI221" s="3" t="str">
        <f t="shared" si="13"/>
        <v>59</v>
      </c>
      <c r="AJ221" s="64" t="str">
        <f>VLOOKUP(T221,'GL Name'!A:B,2,0)</f>
        <v>ต้นทุนขาย</v>
      </c>
      <c r="AL221" s="13">
        <f t="shared" si="14"/>
        <v>1016.28</v>
      </c>
      <c r="AM221" s="13" t="e">
        <f>VLOOKUP(I221,'Order 301-305 (เรียง)'!A:B,2,0)</f>
        <v>#N/A</v>
      </c>
      <c r="AN221" t="e">
        <f>VLOOKUP(I221,'Order 301-305 (เรียง)'!A:C,3,0)</f>
        <v>#N/A</v>
      </c>
    </row>
    <row r="222" spans="1:40" x14ac:dyDescent="0.3">
      <c r="A222" s="1" t="s">
        <v>106</v>
      </c>
      <c r="B222" s="1" t="s">
        <v>107</v>
      </c>
      <c r="C222" s="1" t="s">
        <v>64</v>
      </c>
      <c r="D222" s="1" t="s">
        <v>93</v>
      </c>
      <c r="E222" s="1" t="s">
        <v>94</v>
      </c>
      <c r="F222" s="1" t="s">
        <v>770</v>
      </c>
      <c r="G222" s="1" t="s">
        <v>103</v>
      </c>
      <c r="H222" s="1" t="s">
        <v>286</v>
      </c>
      <c r="I222" s="1" t="s">
        <v>68</v>
      </c>
      <c r="J222" s="1" t="s">
        <v>771</v>
      </c>
      <c r="K222" s="1" t="s">
        <v>118</v>
      </c>
      <c r="L222" s="1" t="s">
        <v>86</v>
      </c>
      <c r="M222" s="1" t="s">
        <v>68</v>
      </c>
      <c r="N222" s="1" t="s">
        <v>71</v>
      </c>
      <c r="O222" s="1" t="s">
        <v>68</v>
      </c>
      <c r="P222" s="1" t="s">
        <v>72</v>
      </c>
      <c r="Q222" s="1" t="s">
        <v>68</v>
      </c>
      <c r="R222" s="1" t="s">
        <v>68</v>
      </c>
      <c r="S222" s="1" t="s">
        <v>68</v>
      </c>
      <c r="T222" s="1" t="s">
        <v>68</v>
      </c>
      <c r="U222" s="1" t="s">
        <v>68</v>
      </c>
      <c r="V222" s="1" t="s">
        <v>68</v>
      </c>
      <c r="W222" s="1" t="s">
        <v>68</v>
      </c>
      <c r="X222" s="1" t="s">
        <v>68</v>
      </c>
      <c r="Y222" s="73"/>
      <c r="Z222" s="2" t="s">
        <v>102</v>
      </c>
      <c r="AA222" s="3">
        <v>20000</v>
      </c>
      <c r="AB222" s="4">
        <v>0</v>
      </c>
      <c r="AC222" s="73">
        <v>46211</v>
      </c>
      <c r="AD222" s="73">
        <v>46211</v>
      </c>
      <c r="AE222" s="73"/>
      <c r="AF222" s="73">
        <v>46211</v>
      </c>
      <c r="AG222" s="3">
        <v>20000</v>
      </c>
      <c r="AH222" s="353" t="str">
        <f t="shared" si="12"/>
        <v/>
      </c>
      <c r="AI222" s="3" t="str">
        <f t="shared" si="13"/>
        <v>58</v>
      </c>
      <c r="AJ222" s="64" t="e">
        <f>VLOOKUP(T222,'GL Name'!A:B,2,0)</f>
        <v>#N/A</v>
      </c>
      <c r="AL222" s="13">
        <f t="shared" si="14"/>
        <v>0</v>
      </c>
      <c r="AM222" s="13" t="e">
        <f>VLOOKUP(I222,'Order 301-305 (เรียง)'!A:B,2,0)</f>
        <v>#N/A</v>
      </c>
      <c r="AN222" t="e">
        <f>VLOOKUP(I222,'Order 301-305 (เรียง)'!A:C,3,0)</f>
        <v>#N/A</v>
      </c>
    </row>
    <row r="223" spans="1:40" x14ac:dyDescent="0.3">
      <c r="A223" s="1" t="s">
        <v>106</v>
      </c>
      <c r="B223" s="1" t="s">
        <v>107</v>
      </c>
      <c r="C223" s="1" t="s">
        <v>64</v>
      </c>
      <c r="D223" s="1" t="s">
        <v>93</v>
      </c>
      <c r="E223" s="1" t="s">
        <v>94</v>
      </c>
      <c r="F223" s="1" t="s">
        <v>770</v>
      </c>
      <c r="G223" s="1" t="s">
        <v>101</v>
      </c>
      <c r="H223" s="1" t="s">
        <v>286</v>
      </c>
      <c r="I223" s="1" t="s">
        <v>68</v>
      </c>
      <c r="J223" s="1" t="s">
        <v>771</v>
      </c>
      <c r="K223" s="1" t="s">
        <v>118</v>
      </c>
      <c r="L223" s="1" t="s">
        <v>70</v>
      </c>
      <c r="M223" s="1" t="s">
        <v>68</v>
      </c>
      <c r="N223" s="1" t="s">
        <v>71</v>
      </c>
      <c r="O223" s="1" t="s">
        <v>68</v>
      </c>
      <c r="P223" s="1" t="s">
        <v>72</v>
      </c>
      <c r="Q223" s="1" t="s">
        <v>68</v>
      </c>
      <c r="R223" s="1" t="s">
        <v>68</v>
      </c>
      <c r="S223" s="1" t="s">
        <v>68</v>
      </c>
      <c r="T223" s="1" t="s">
        <v>68</v>
      </c>
      <c r="U223" s="1" t="s">
        <v>68</v>
      </c>
      <c r="V223" s="1" t="s">
        <v>68</v>
      </c>
      <c r="W223" s="1" t="s">
        <v>68</v>
      </c>
      <c r="X223" s="1" t="s">
        <v>68</v>
      </c>
      <c r="Y223" s="73"/>
      <c r="Z223" s="2" t="s">
        <v>102</v>
      </c>
      <c r="AA223" s="3">
        <v>-20000</v>
      </c>
      <c r="AB223" s="4">
        <v>0</v>
      </c>
      <c r="AC223" s="73">
        <v>46211</v>
      </c>
      <c r="AD223" s="73">
        <v>46211</v>
      </c>
      <c r="AE223" s="73"/>
      <c r="AF223" s="73">
        <v>46211</v>
      </c>
      <c r="AG223" s="3">
        <v>-20000</v>
      </c>
      <c r="AH223" s="353" t="str">
        <f t="shared" si="12"/>
        <v/>
      </c>
      <c r="AI223" s="3" t="str">
        <f t="shared" si="13"/>
        <v>58</v>
      </c>
      <c r="AJ223" s="64" t="e">
        <f>VLOOKUP(T223,'GL Name'!A:B,2,0)</f>
        <v>#N/A</v>
      </c>
      <c r="AL223" s="13">
        <f t="shared" si="14"/>
        <v>0</v>
      </c>
      <c r="AM223" s="13" t="e">
        <f>VLOOKUP(I223,'Order 301-305 (เรียง)'!A:B,2,0)</f>
        <v>#N/A</v>
      </c>
      <c r="AN223" t="e">
        <f>VLOOKUP(I223,'Order 301-305 (เรียง)'!A:C,3,0)</f>
        <v>#N/A</v>
      </c>
    </row>
    <row r="224" spans="1:40" x14ac:dyDescent="0.3">
      <c r="A224" s="1" t="s">
        <v>119</v>
      </c>
      <c r="B224" s="1" t="s">
        <v>120</v>
      </c>
      <c r="C224" s="1" t="s">
        <v>64</v>
      </c>
      <c r="D224" s="1" t="s">
        <v>93</v>
      </c>
      <c r="E224" s="1" t="s">
        <v>94</v>
      </c>
      <c r="F224" s="1" t="s">
        <v>770</v>
      </c>
      <c r="G224" s="1" t="s">
        <v>103</v>
      </c>
      <c r="H224" s="1" t="s">
        <v>307</v>
      </c>
      <c r="I224" s="1" t="s">
        <v>68</v>
      </c>
      <c r="J224" s="1" t="s">
        <v>771</v>
      </c>
      <c r="K224" s="1" t="s">
        <v>118</v>
      </c>
      <c r="L224" s="1" t="s">
        <v>89</v>
      </c>
      <c r="M224" s="1" t="s">
        <v>68</v>
      </c>
      <c r="N224" s="1" t="s">
        <v>71</v>
      </c>
      <c r="O224" s="1" t="s">
        <v>68</v>
      </c>
      <c r="P224" s="1" t="s">
        <v>72</v>
      </c>
      <c r="Q224" s="1" t="s">
        <v>68</v>
      </c>
      <c r="R224" s="1" t="s">
        <v>68</v>
      </c>
      <c r="S224" s="1" t="s">
        <v>68</v>
      </c>
      <c r="T224" s="1" t="s">
        <v>68</v>
      </c>
      <c r="U224" s="1" t="s">
        <v>68</v>
      </c>
      <c r="V224" s="1" t="s">
        <v>68</v>
      </c>
      <c r="W224" s="1" t="s">
        <v>68</v>
      </c>
      <c r="X224" s="1" t="s">
        <v>68</v>
      </c>
      <c r="Y224" s="73"/>
      <c r="Z224" s="2" t="s">
        <v>102</v>
      </c>
      <c r="AA224" s="3">
        <v>36000</v>
      </c>
      <c r="AB224" s="4">
        <v>0</v>
      </c>
      <c r="AC224" s="73">
        <v>46211</v>
      </c>
      <c r="AD224" s="73">
        <v>46211</v>
      </c>
      <c r="AE224" s="73"/>
      <c r="AF224" s="73">
        <v>46211</v>
      </c>
      <c r="AG224" s="3">
        <v>36000</v>
      </c>
      <c r="AH224" s="353" t="str">
        <f t="shared" si="12"/>
        <v/>
      </c>
      <c r="AI224" s="3" t="str">
        <f t="shared" si="13"/>
        <v>58</v>
      </c>
      <c r="AJ224" s="64" t="e">
        <f>VLOOKUP(T224,'GL Name'!A:B,2,0)</f>
        <v>#N/A</v>
      </c>
      <c r="AL224" s="13">
        <f t="shared" si="14"/>
        <v>0</v>
      </c>
      <c r="AM224" s="13" t="e">
        <f>VLOOKUP(I224,'Order 301-305 (เรียง)'!A:B,2,0)</f>
        <v>#N/A</v>
      </c>
      <c r="AN224" t="e">
        <f>VLOOKUP(I224,'Order 301-305 (เรียง)'!A:C,3,0)</f>
        <v>#N/A</v>
      </c>
    </row>
    <row r="225" spans="1:40" x14ac:dyDescent="0.3">
      <c r="A225" s="1" t="s">
        <v>119</v>
      </c>
      <c r="B225" s="1" t="s">
        <v>120</v>
      </c>
      <c r="C225" s="1" t="s">
        <v>64</v>
      </c>
      <c r="D225" s="1" t="s">
        <v>93</v>
      </c>
      <c r="E225" s="1" t="s">
        <v>94</v>
      </c>
      <c r="F225" s="1" t="s">
        <v>770</v>
      </c>
      <c r="G225" s="1" t="s">
        <v>101</v>
      </c>
      <c r="H225" s="1" t="s">
        <v>307</v>
      </c>
      <c r="I225" s="1" t="s">
        <v>68</v>
      </c>
      <c r="J225" s="1" t="s">
        <v>771</v>
      </c>
      <c r="K225" s="1" t="s">
        <v>118</v>
      </c>
      <c r="L225" s="1" t="s">
        <v>92</v>
      </c>
      <c r="M225" s="1" t="s">
        <v>68</v>
      </c>
      <c r="N225" s="1" t="s">
        <v>71</v>
      </c>
      <c r="O225" s="1" t="s">
        <v>68</v>
      </c>
      <c r="P225" s="1" t="s">
        <v>72</v>
      </c>
      <c r="Q225" s="1" t="s">
        <v>68</v>
      </c>
      <c r="R225" s="1" t="s">
        <v>68</v>
      </c>
      <c r="S225" s="1" t="s">
        <v>68</v>
      </c>
      <c r="T225" s="1" t="s">
        <v>68</v>
      </c>
      <c r="U225" s="1" t="s">
        <v>68</v>
      </c>
      <c r="V225" s="1" t="s">
        <v>68</v>
      </c>
      <c r="W225" s="1" t="s">
        <v>68</v>
      </c>
      <c r="X225" s="1" t="s">
        <v>68</v>
      </c>
      <c r="Y225" s="73"/>
      <c r="Z225" s="2" t="s">
        <v>102</v>
      </c>
      <c r="AA225" s="3">
        <v>-36000</v>
      </c>
      <c r="AB225" s="4">
        <v>0</v>
      </c>
      <c r="AC225" s="73">
        <v>46211</v>
      </c>
      <c r="AD225" s="73">
        <v>46211</v>
      </c>
      <c r="AE225" s="73"/>
      <c r="AF225" s="73">
        <v>46211</v>
      </c>
      <c r="AG225" s="3">
        <v>-36000</v>
      </c>
      <c r="AH225" s="353" t="str">
        <f t="shared" si="12"/>
        <v/>
      </c>
      <c r="AI225" s="3" t="str">
        <f t="shared" si="13"/>
        <v>58</v>
      </c>
      <c r="AJ225" s="64" t="e">
        <f>VLOOKUP(T225,'GL Name'!A:B,2,0)</f>
        <v>#N/A</v>
      </c>
      <c r="AL225" s="13">
        <f t="shared" si="14"/>
        <v>0</v>
      </c>
      <c r="AM225" s="13" t="e">
        <f>VLOOKUP(I225,'Order 301-305 (เรียง)'!A:B,2,0)</f>
        <v>#N/A</v>
      </c>
      <c r="AN225" t="e">
        <f>VLOOKUP(I225,'Order 301-305 (เรียง)'!A:C,3,0)</f>
        <v>#N/A</v>
      </c>
    </row>
    <row r="226" spans="1:40" x14ac:dyDescent="0.3">
      <c r="A226" s="1" t="s">
        <v>121</v>
      </c>
      <c r="B226" s="1" t="s">
        <v>122</v>
      </c>
      <c r="C226" s="1" t="s">
        <v>64</v>
      </c>
      <c r="D226" s="1" t="s">
        <v>93</v>
      </c>
      <c r="E226" s="1" t="s">
        <v>94</v>
      </c>
      <c r="F226" s="1" t="s">
        <v>770</v>
      </c>
      <c r="G226" s="1" t="s">
        <v>101</v>
      </c>
      <c r="H226" s="1" t="s">
        <v>316</v>
      </c>
      <c r="I226" s="1" t="s">
        <v>68</v>
      </c>
      <c r="J226" s="1" t="s">
        <v>771</v>
      </c>
      <c r="K226" s="1" t="s">
        <v>118</v>
      </c>
      <c r="L226" s="1" t="s">
        <v>95</v>
      </c>
      <c r="M226" s="1" t="s">
        <v>68</v>
      </c>
      <c r="N226" s="1" t="s">
        <v>71</v>
      </c>
      <c r="O226" s="1" t="s">
        <v>68</v>
      </c>
      <c r="P226" s="1" t="s">
        <v>72</v>
      </c>
      <c r="Q226" s="1" t="s">
        <v>68</v>
      </c>
      <c r="R226" s="1" t="s">
        <v>68</v>
      </c>
      <c r="S226" s="1" t="s">
        <v>68</v>
      </c>
      <c r="T226" s="1" t="s">
        <v>68</v>
      </c>
      <c r="U226" s="1" t="s">
        <v>68</v>
      </c>
      <c r="V226" s="1" t="s">
        <v>68</v>
      </c>
      <c r="W226" s="1" t="s">
        <v>68</v>
      </c>
      <c r="X226" s="1" t="s">
        <v>68</v>
      </c>
      <c r="Y226" s="73"/>
      <c r="Z226" s="2" t="s">
        <v>102</v>
      </c>
      <c r="AA226" s="3">
        <v>-2900</v>
      </c>
      <c r="AB226" s="4">
        <v>0</v>
      </c>
      <c r="AC226" s="73">
        <v>46211</v>
      </c>
      <c r="AD226" s="73">
        <v>46211</v>
      </c>
      <c r="AE226" s="73"/>
      <c r="AF226" s="73">
        <v>46211</v>
      </c>
      <c r="AG226" s="3">
        <v>-2900</v>
      </c>
      <c r="AH226" s="353" t="str">
        <f t="shared" si="12"/>
        <v/>
      </c>
      <c r="AI226" s="3" t="str">
        <f t="shared" si="13"/>
        <v>58</v>
      </c>
      <c r="AJ226" s="64" t="e">
        <f>VLOOKUP(T226,'GL Name'!A:B,2,0)</f>
        <v>#N/A</v>
      </c>
      <c r="AL226" s="13">
        <f t="shared" si="14"/>
        <v>0</v>
      </c>
      <c r="AM226" s="13" t="e">
        <f>VLOOKUP(I226,'Order 301-305 (เรียง)'!A:B,2,0)</f>
        <v>#N/A</v>
      </c>
      <c r="AN226" t="e">
        <f>VLOOKUP(I226,'Order 301-305 (เรียง)'!A:C,3,0)</f>
        <v>#N/A</v>
      </c>
    </row>
    <row r="227" spans="1:40" x14ac:dyDescent="0.3">
      <c r="A227" s="1" t="s">
        <v>121</v>
      </c>
      <c r="B227" s="1" t="s">
        <v>122</v>
      </c>
      <c r="C227" s="1" t="s">
        <v>64</v>
      </c>
      <c r="D227" s="1" t="s">
        <v>93</v>
      </c>
      <c r="E227" s="1" t="s">
        <v>94</v>
      </c>
      <c r="F227" s="1" t="s">
        <v>770</v>
      </c>
      <c r="G227" s="1" t="s">
        <v>103</v>
      </c>
      <c r="H227" s="1" t="s">
        <v>316</v>
      </c>
      <c r="I227" s="1" t="s">
        <v>68</v>
      </c>
      <c r="J227" s="1" t="s">
        <v>771</v>
      </c>
      <c r="K227" s="1" t="s">
        <v>118</v>
      </c>
      <c r="L227" s="1" t="s">
        <v>111</v>
      </c>
      <c r="M227" s="1" t="s">
        <v>68</v>
      </c>
      <c r="N227" s="1" t="s">
        <v>71</v>
      </c>
      <c r="O227" s="1" t="s">
        <v>68</v>
      </c>
      <c r="P227" s="1" t="s">
        <v>72</v>
      </c>
      <c r="Q227" s="1" t="s">
        <v>68</v>
      </c>
      <c r="R227" s="1" t="s">
        <v>68</v>
      </c>
      <c r="S227" s="1" t="s">
        <v>68</v>
      </c>
      <c r="T227" s="1" t="s">
        <v>68</v>
      </c>
      <c r="U227" s="1" t="s">
        <v>68</v>
      </c>
      <c r="V227" s="1" t="s">
        <v>68</v>
      </c>
      <c r="W227" s="1" t="s">
        <v>68</v>
      </c>
      <c r="X227" s="1" t="s">
        <v>68</v>
      </c>
      <c r="Y227" s="73"/>
      <c r="Z227" s="2" t="s">
        <v>102</v>
      </c>
      <c r="AA227" s="3">
        <v>2900</v>
      </c>
      <c r="AB227" s="4">
        <v>0</v>
      </c>
      <c r="AC227" s="73">
        <v>46211</v>
      </c>
      <c r="AD227" s="73">
        <v>46211</v>
      </c>
      <c r="AE227" s="73"/>
      <c r="AF227" s="73">
        <v>46211</v>
      </c>
      <c r="AG227" s="3">
        <v>2900</v>
      </c>
      <c r="AH227" s="353" t="str">
        <f t="shared" si="12"/>
        <v/>
      </c>
      <c r="AI227" s="3" t="str">
        <f t="shared" si="13"/>
        <v>58</v>
      </c>
      <c r="AJ227" s="64" t="e">
        <f>VLOOKUP(T227,'GL Name'!A:B,2,0)</f>
        <v>#N/A</v>
      </c>
      <c r="AL227" s="13">
        <f t="shared" si="14"/>
        <v>0</v>
      </c>
      <c r="AM227" s="13" t="e">
        <f>VLOOKUP(I227,'Order 301-305 (เรียง)'!A:B,2,0)</f>
        <v>#N/A</v>
      </c>
      <c r="AN227" t="e">
        <f>VLOOKUP(I227,'Order 301-305 (เรียง)'!A:C,3,0)</f>
        <v>#N/A</v>
      </c>
    </row>
    <row r="228" spans="1:40" x14ac:dyDescent="0.3">
      <c r="A228" s="1" t="s">
        <v>121</v>
      </c>
      <c r="B228" s="1" t="s">
        <v>122</v>
      </c>
      <c r="C228" s="1" t="s">
        <v>64</v>
      </c>
      <c r="D228" s="1" t="s">
        <v>93</v>
      </c>
      <c r="E228" s="1" t="s">
        <v>94</v>
      </c>
      <c r="F228" s="1" t="s">
        <v>770</v>
      </c>
      <c r="G228" s="1" t="s">
        <v>101</v>
      </c>
      <c r="H228" s="1" t="s">
        <v>772</v>
      </c>
      <c r="I228" s="1" t="s">
        <v>68</v>
      </c>
      <c r="J228" s="1" t="s">
        <v>771</v>
      </c>
      <c r="K228" s="1" t="s">
        <v>118</v>
      </c>
      <c r="L228" s="1" t="s">
        <v>112</v>
      </c>
      <c r="M228" s="1" t="s">
        <v>68</v>
      </c>
      <c r="N228" s="1" t="s">
        <v>71</v>
      </c>
      <c r="O228" s="1" t="s">
        <v>68</v>
      </c>
      <c r="P228" s="1" t="s">
        <v>72</v>
      </c>
      <c r="Q228" s="1" t="s">
        <v>68</v>
      </c>
      <c r="R228" s="1" t="s">
        <v>68</v>
      </c>
      <c r="S228" s="1" t="s">
        <v>68</v>
      </c>
      <c r="T228" s="1" t="s">
        <v>68</v>
      </c>
      <c r="U228" s="1" t="s">
        <v>68</v>
      </c>
      <c r="V228" s="1" t="s">
        <v>68</v>
      </c>
      <c r="W228" s="1" t="s">
        <v>68</v>
      </c>
      <c r="X228" s="1" t="s">
        <v>68</v>
      </c>
      <c r="Y228" s="73"/>
      <c r="Z228" s="2" t="s">
        <v>102</v>
      </c>
      <c r="AA228" s="3">
        <v>-1000</v>
      </c>
      <c r="AB228" s="4">
        <v>0</v>
      </c>
      <c r="AC228" s="73">
        <v>46211</v>
      </c>
      <c r="AD228" s="73">
        <v>46211</v>
      </c>
      <c r="AE228" s="73"/>
      <c r="AF228" s="73">
        <v>46211</v>
      </c>
      <c r="AG228" s="3">
        <v>-1000</v>
      </c>
      <c r="AH228" s="353" t="str">
        <f t="shared" si="12"/>
        <v/>
      </c>
      <c r="AI228" s="3" t="str">
        <f t="shared" si="13"/>
        <v>58</v>
      </c>
      <c r="AJ228" s="64" t="e">
        <f>VLOOKUP(T228,'GL Name'!A:B,2,0)</f>
        <v>#N/A</v>
      </c>
      <c r="AL228" s="13">
        <f t="shared" si="14"/>
        <v>0</v>
      </c>
      <c r="AM228" s="13" t="e">
        <f>VLOOKUP(I228,'Order 301-305 (เรียง)'!A:B,2,0)</f>
        <v>#N/A</v>
      </c>
      <c r="AN228" t="e">
        <f>VLOOKUP(I228,'Order 301-305 (เรียง)'!A:C,3,0)</f>
        <v>#N/A</v>
      </c>
    </row>
    <row r="229" spans="1:40" x14ac:dyDescent="0.3">
      <c r="A229" s="1" t="s">
        <v>121</v>
      </c>
      <c r="B229" s="1" t="s">
        <v>122</v>
      </c>
      <c r="C229" s="1" t="s">
        <v>64</v>
      </c>
      <c r="D229" s="1" t="s">
        <v>93</v>
      </c>
      <c r="E229" s="1" t="s">
        <v>94</v>
      </c>
      <c r="F229" s="1" t="s">
        <v>770</v>
      </c>
      <c r="G229" s="1" t="s">
        <v>103</v>
      </c>
      <c r="H229" s="1" t="s">
        <v>772</v>
      </c>
      <c r="I229" s="1" t="s">
        <v>68</v>
      </c>
      <c r="J229" s="1" t="s">
        <v>771</v>
      </c>
      <c r="K229" s="1" t="s">
        <v>118</v>
      </c>
      <c r="L229" s="1" t="s">
        <v>109</v>
      </c>
      <c r="M229" s="1" t="s">
        <v>68</v>
      </c>
      <c r="N229" s="1" t="s">
        <v>71</v>
      </c>
      <c r="O229" s="1" t="s">
        <v>68</v>
      </c>
      <c r="P229" s="1" t="s">
        <v>72</v>
      </c>
      <c r="Q229" s="1" t="s">
        <v>68</v>
      </c>
      <c r="R229" s="1" t="s">
        <v>68</v>
      </c>
      <c r="S229" s="1" t="s">
        <v>68</v>
      </c>
      <c r="T229" s="1" t="s">
        <v>68</v>
      </c>
      <c r="U229" s="1" t="s">
        <v>68</v>
      </c>
      <c r="V229" s="1" t="s">
        <v>68</v>
      </c>
      <c r="W229" s="1" t="s">
        <v>68</v>
      </c>
      <c r="X229" s="1" t="s">
        <v>68</v>
      </c>
      <c r="Y229" s="73"/>
      <c r="Z229" s="2" t="s">
        <v>102</v>
      </c>
      <c r="AA229" s="3">
        <v>1000</v>
      </c>
      <c r="AB229" s="4">
        <v>0</v>
      </c>
      <c r="AC229" s="73">
        <v>46211</v>
      </c>
      <c r="AD229" s="73">
        <v>46211</v>
      </c>
      <c r="AE229" s="73"/>
      <c r="AF229" s="73">
        <v>46211</v>
      </c>
      <c r="AG229" s="3">
        <v>1000</v>
      </c>
      <c r="AH229" s="353" t="str">
        <f t="shared" si="12"/>
        <v/>
      </c>
      <c r="AI229" s="3" t="str">
        <f t="shared" si="13"/>
        <v>58</v>
      </c>
      <c r="AJ229" s="64" t="e">
        <f>VLOOKUP(T229,'GL Name'!A:B,2,0)</f>
        <v>#N/A</v>
      </c>
      <c r="AL229" s="13">
        <f t="shared" si="14"/>
        <v>0</v>
      </c>
      <c r="AM229" s="13" t="e">
        <f>VLOOKUP(I229,'Order 301-305 (เรียง)'!A:B,2,0)</f>
        <v>#N/A</v>
      </c>
      <c r="AN229" t="e">
        <f>VLOOKUP(I229,'Order 301-305 (เรียง)'!A:C,3,0)</f>
        <v>#N/A</v>
      </c>
    </row>
    <row r="230" spans="1:40" x14ac:dyDescent="0.3">
      <c r="A230" s="1" t="s">
        <v>81</v>
      </c>
      <c r="B230" s="1" t="s">
        <v>82</v>
      </c>
      <c r="C230" s="1" t="s">
        <v>64</v>
      </c>
      <c r="D230" s="1" t="s">
        <v>87</v>
      </c>
      <c r="E230" s="1" t="s">
        <v>88</v>
      </c>
      <c r="F230" s="1" t="s">
        <v>773</v>
      </c>
      <c r="G230" s="1" t="s">
        <v>83</v>
      </c>
      <c r="H230" s="1" t="s">
        <v>322</v>
      </c>
      <c r="I230" s="1" t="s">
        <v>68</v>
      </c>
      <c r="J230" s="1" t="s">
        <v>774</v>
      </c>
      <c r="K230" s="1" t="s">
        <v>118</v>
      </c>
      <c r="L230" s="1" t="s">
        <v>70</v>
      </c>
      <c r="M230" s="1" t="s">
        <v>68</v>
      </c>
      <c r="N230" s="1" t="s">
        <v>71</v>
      </c>
      <c r="O230" s="1" t="s">
        <v>68</v>
      </c>
      <c r="P230" s="1" t="s">
        <v>775</v>
      </c>
      <c r="Q230" s="1" t="s">
        <v>68</v>
      </c>
      <c r="R230" s="1" t="s">
        <v>308</v>
      </c>
      <c r="S230" s="1" t="s">
        <v>90</v>
      </c>
      <c r="T230" s="1" t="s">
        <v>91</v>
      </c>
      <c r="U230" s="1" t="s">
        <v>68</v>
      </c>
      <c r="V230" s="1" t="s">
        <v>68</v>
      </c>
      <c r="W230" s="1" t="s">
        <v>68</v>
      </c>
      <c r="X230" s="1" t="s">
        <v>68</v>
      </c>
      <c r="Y230" s="73"/>
      <c r="Z230" s="2" t="s">
        <v>74</v>
      </c>
      <c r="AA230" s="3">
        <v>-4</v>
      </c>
      <c r="AB230" s="4">
        <v>-677.52</v>
      </c>
      <c r="AC230" s="73">
        <v>46211</v>
      </c>
      <c r="AD230" s="73">
        <v>46211</v>
      </c>
      <c r="AE230" s="73"/>
      <c r="AF230" s="73">
        <v>46211</v>
      </c>
      <c r="AG230" s="3">
        <v>-2000</v>
      </c>
      <c r="AH230" s="353" t="str">
        <f t="shared" si="12"/>
        <v/>
      </c>
      <c r="AI230" s="3" t="str">
        <f t="shared" si="13"/>
        <v>59</v>
      </c>
      <c r="AJ230" s="64" t="str">
        <f>VLOOKUP(T230,'GL Name'!A:B,2,0)</f>
        <v>ค่าวิจัยคุณภาพสินค้า</v>
      </c>
      <c r="AL230" s="13">
        <f t="shared" si="14"/>
        <v>169.38</v>
      </c>
      <c r="AM230" s="13" t="e">
        <f>VLOOKUP(I230,'Order 301-305 (เรียง)'!A:B,2,0)</f>
        <v>#N/A</v>
      </c>
      <c r="AN230" t="e">
        <f>VLOOKUP(I230,'Order 301-305 (เรียง)'!A:C,3,0)</f>
        <v>#N/A</v>
      </c>
    </row>
    <row r="231" spans="1:40" x14ac:dyDescent="0.3">
      <c r="A231" s="1" t="s">
        <v>17</v>
      </c>
      <c r="B231" s="1" t="s">
        <v>18</v>
      </c>
      <c r="C231" s="1" t="s">
        <v>64</v>
      </c>
      <c r="D231" s="1" t="s">
        <v>77</v>
      </c>
      <c r="E231" s="1" t="s">
        <v>78</v>
      </c>
      <c r="F231" s="1" t="s">
        <v>776</v>
      </c>
      <c r="G231" s="1" t="s">
        <v>278</v>
      </c>
      <c r="H231" s="1" t="s">
        <v>304</v>
      </c>
      <c r="I231" s="1" t="s">
        <v>777</v>
      </c>
      <c r="J231" s="1" t="s">
        <v>778</v>
      </c>
      <c r="K231" s="1" t="s">
        <v>290</v>
      </c>
      <c r="L231" s="1" t="s">
        <v>70</v>
      </c>
      <c r="M231" s="1" t="s">
        <v>68</v>
      </c>
      <c r="N231" s="1" t="s">
        <v>71</v>
      </c>
      <c r="O231" s="1" t="s">
        <v>68</v>
      </c>
      <c r="P231" s="1" t="s">
        <v>779</v>
      </c>
      <c r="Q231" s="1" t="s">
        <v>68</v>
      </c>
      <c r="R231" s="1" t="s">
        <v>68</v>
      </c>
      <c r="S231" s="1" t="s">
        <v>68</v>
      </c>
      <c r="T231" s="1" t="s">
        <v>79</v>
      </c>
      <c r="U231" s="1" t="s">
        <v>68</v>
      </c>
      <c r="V231" s="1" t="s">
        <v>68</v>
      </c>
      <c r="W231" s="1" t="s">
        <v>68</v>
      </c>
      <c r="X231" s="1" t="s">
        <v>68</v>
      </c>
      <c r="Y231" s="73"/>
      <c r="Z231" s="2" t="s">
        <v>80</v>
      </c>
      <c r="AA231" s="3">
        <v>-9988.2000000000007</v>
      </c>
      <c r="AB231" s="4">
        <v>-1556154.27</v>
      </c>
      <c r="AC231" s="73">
        <v>46211</v>
      </c>
      <c r="AD231" s="73">
        <v>46210</v>
      </c>
      <c r="AE231" s="73"/>
      <c r="AF231" s="73">
        <v>46211</v>
      </c>
      <c r="AG231" s="3">
        <v>-9988200</v>
      </c>
      <c r="AH231" s="353" t="str">
        <f t="shared" si="12"/>
        <v>301</v>
      </c>
      <c r="AI231" s="3" t="str">
        <f t="shared" si="13"/>
        <v>54</v>
      </c>
      <c r="AJ231" s="64" t="str">
        <f>VLOOKUP(T231,'GL Name'!A:B,2,0)</f>
        <v>ต้นทุนผลิต-วัตถุดิบ</v>
      </c>
      <c r="AL231" s="13">
        <f t="shared" si="14"/>
        <v>155.79927013876375</v>
      </c>
      <c r="AM231" s="13" t="str">
        <f>VLOOKUP(I231,'Order 301-305 (เรียง)'!A:B,2,0)</f>
        <v>Semi</v>
      </c>
      <c r="AN231" t="str">
        <f>VLOOKUP(I231,'Order 301-305 (เรียง)'!A:C,3,0)</f>
        <v>Semi เมล็ดกาแฟ</v>
      </c>
    </row>
    <row r="232" spans="1:40" x14ac:dyDescent="0.3">
      <c r="A232" s="1" t="s">
        <v>62</v>
      </c>
      <c r="B232" s="1" t="s">
        <v>63</v>
      </c>
      <c r="C232" s="1" t="s">
        <v>64</v>
      </c>
      <c r="D232" s="1" t="s">
        <v>65</v>
      </c>
      <c r="E232" s="1" t="s">
        <v>66</v>
      </c>
      <c r="F232" s="1" t="s">
        <v>780</v>
      </c>
      <c r="G232" s="1" t="s">
        <v>67</v>
      </c>
      <c r="H232" s="1" t="s">
        <v>281</v>
      </c>
      <c r="I232" s="1" t="s">
        <v>68</v>
      </c>
      <c r="J232" s="1" t="s">
        <v>781</v>
      </c>
      <c r="K232" s="1" t="s">
        <v>96</v>
      </c>
      <c r="L232" s="1" t="s">
        <v>70</v>
      </c>
      <c r="M232" s="1" t="s">
        <v>68</v>
      </c>
      <c r="N232" s="1" t="s">
        <v>71</v>
      </c>
      <c r="O232" s="1" t="s">
        <v>68</v>
      </c>
      <c r="P232" s="1" t="s">
        <v>72</v>
      </c>
      <c r="Q232" s="1" t="s">
        <v>68</v>
      </c>
      <c r="R232" s="1" t="s">
        <v>68</v>
      </c>
      <c r="S232" s="1" t="s">
        <v>68</v>
      </c>
      <c r="T232" s="1" t="s">
        <v>73</v>
      </c>
      <c r="U232" s="1" t="s">
        <v>68</v>
      </c>
      <c r="V232" s="1" t="s">
        <v>68</v>
      </c>
      <c r="W232" s="1" t="s">
        <v>68</v>
      </c>
      <c r="X232" s="1" t="s">
        <v>782</v>
      </c>
      <c r="Y232" s="73"/>
      <c r="Z232" s="2" t="s">
        <v>74</v>
      </c>
      <c r="AA232" s="3">
        <v>-4</v>
      </c>
      <c r="AB232" s="4">
        <v>-677.44</v>
      </c>
      <c r="AC232" s="73">
        <v>46211</v>
      </c>
      <c r="AD232" s="73">
        <v>46211</v>
      </c>
      <c r="AE232" s="73"/>
      <c r="AF232" s="73">
        <v>46211</v>
      </c>
      <c r="AG232" s="3">
        <v>-2000</v>
      </c>
      <c r="AH232" s="353" t="str">
        <f t="shared" si="12"/>
        <v/>
      </c>
      <c r="AI232" s="3" t="str">
        <f t="shared" si="13"/>
        <v>59</v>
      </c>
      <c r="AJ232" s="64" t="str">
        <f>VLOOKUP(T232,'GL Name'!A:B,2,0)</f>
        <v>ต้นทุนขาย</v>
      </c>
      <c r="AL232" s="13">
        <f t="shared" si="14"/>
        <v>169.36</v>
      </c>
      <c r="AM232" s="13" t="e">
        <f>VLOOKUP(I232,'Order 301-305 (เรียง)'!A:B,2,0)</f>
        <v>#N/A</v>
      </c>
      <c r="AN232" t="e">
        <f>VLOOKUP(I232,'Order 301-305 (เรียง)'!A:C,3,0)</f>
        <v>#N/A</v>
      </c>
    </row>
    <row r="233" spans="1:40" x14ac:dyDescent="0.3">
      <c r="A233" s="1" t="s">
        <v>62</v>
      </c>
      <c r="B233" s="1" t="s">
        <v>63</v>
      </c>
      <c r="C233" s="1" t="s">
        <v>64</v>
      </c>
      <c r="D233" s="1" t="s">
        <v>65</v>
      </c>
      <c r="E233" s="1" t="s">
        <v>66</v>
      </c>
      <c r="F233" s="1" t="s">
        <v>783</v>
      </c>
      <c r="G233" s="1" t="s">
        <v>67</v>
      </c>
      <c r="H233" s="1" t="s">
        <v>287</v>
      </c>
      <c r="I233" s="1" t="s">
        <v>68</v>
      </c>
      <c r="J233" s="1" t="s">
        <v>784</v>
      </c>
      <c r="K233" s="1" t="s">
        <v>96</v>
      </c>
      <c r="L233" s="1" t="s">
        <v>70</v>
      </c>
      <c r="M233" s="1" t="s">
        <v>68</v>
      </c>
      <c r="N233" s="1" t="s">
        <v>71</v>
      </c>
      <c r="O233" s="1" t="s">
        <v>68</v>
      </c>
      <c r="P233" s="1" t="s">
        <v>72</v>
      </c>
      <c r="Q233" s="1" t="s">
        <v>68</v>
      </c>
      <c r="R233" s="1" t="s">
        <v>68</v>
      </c>
      <c r="S233" s="1" t="s">
        <v>68</v>
      </c>
      <c r="T233" s="1" t="s">
        <v>73</v>
      </c>
      <c r="U233" s="1" t="s">
        <v>68</v>
      </c>
      <c r="V233" s="1" t="s">
        <v>68</v>
      </c>
      <c r="W233" s="1" t="s">
        <v>68</v>
      </c>
      <c r="X233" s="1" t="s">
        <v>785</v>
      </c>
      <c r="Y233" s="73"/>
      <c r="Z233" s="2" t="s">
        <v>74</v>
      </c>
      <c r="AA233" s="3">
        <v>-10</v>
      </c>
      <c r="AB233" s="4">
        <v>-1693.6</v>
      </c>
      <c r="AC233" s="73">
        <v>46211</v>
      </c>
      <c r="AD233" s="73">
        <v>46211</v>
      </c>
      <c r="AE233" s="73"/>
      <c r="AF233" s="73">
        <v>46211</v>
      </c>
      <c r="AG233" s="3">
        <v>-5000</v>
      </c>
      <c r="AH233" s="353" t="str">
        <f t="shared" si="12"/>
        <v/>
      </c>
      <c r="AI233" s="3" t="str">
        <f t="shared" si="13"/>
        <v>59</v>
      </c>
      <c r="AJ233" s="64" t="str">
        <f>VLOOKUP(T233,'GL Name'!A:B,2,0)</f>
        <v>ต้นทุนขาย</v>
      </c>
      <c r="AL233" s="13">
        <f t="shared" si="14"/>
        <v>169.35999999999999</v>
      </c>
      <c r="AM233" s="13" t="e">
        <f>VLOOKUP(I233,'Order 301-305 (เรียง)'!A:B,2,0)</f>
        <v>#N/A</v>
      </c>
      <c r="AN233" t="e">
        <f>VLOOKUP(I233,'Order 301-305 (เรียง)'!A:C,3,0)</f>
        <v>#N/A</v>
      </c>
    </row>
    <row r="234" spans="1:40" x14ac:dyDescent="0.3">
      <c r="A234" s="1" t="s">
        <v>81</v>
      </c>
      <c r="B234" s="1" t="s">
        <v>82</v>
      </c>
      <c r="C234" s="1" t="s">
        <v>64</v>
      </c>
      <c r="D234" s="1" t="s">
        <v>87</v>
      </c>
      <c r="E234" s="1" t="s">
        <v>88</v>
      </c>
      <c r="F234" s="1" t="s">
        <v>786</v>
      </c>
      <c r="G234" s="1" t="s">
        <v>83</v>
      </c>
      <c r="H234" s="1" t="s">
        <v>769</v>
      </c>
      <c r="I234" s="1" t="s">
        <v>68</v>
      </c>
      <c r="J234" s="1" t="s">
        <v>787</v>
      </c>
      <c r="K234" s="1" t="s">
        <v>118</v>
      </c>
      <c r="L234" s="1" t="s">
        <v>86</v>
      </c>
      <c r="M234" s="1" t="s">
        <v>68</v>
      </c>
      <c r="N234" s="1" t="s">
        <v>71</v>
      </c>
      <c r="O234" s="1" t="s">
        <v>68</v>
      </c>
      <c r="P234" s="1" t="s">
        <v>788</v>
      </c>
      <c r="Q234" s="1" t="s">
        <v>68</v>
      </c>
      <c r="R234" s="1" t="s">
        <v>790</v>
      </c>
      <c r="S234" s="1" t="s">
        <v>90</v>
      </c>
      <c r="T234" s="1" t="s">
        <v>91</v>
      </c>
      <c r="U234" s="1" t="s">
        <v>68</v>
      </c>
      <c r="V234" s="1" t="s">
        <v>68</v>
      </c>
      <c r="W234" s="1" t="s">
        <v>68</v>
      </c>
      <c r="X234" s="1" t="s">
        <v>68</v>
      </c>
      <c r="Y234" s="73"/>
      <c r="Z234" s="2" t="s">
        <v>74</v>
      </c>
      <c r="AA234" s="3">
        <v>-3</v>
      </c>
      <c r="AB234" s="4">
        <v>-508.14</v>
      </c>
      <c r="AC234" s="73">
        <v>46211</v>
      </c>
      <c r="AD234" s="73">
        <v>46211</v>
      </c>
      <c r="AE234" s="73"/>
      <c r="AF234" s="73">
        <v>46211</v>
      </c>
      <c r="AG234" s="3">
        <v>-1500</v>
      </c>
      <c r="AH234" s="353" t="str">
        <f t="shared" si="12"/>
        <v/>
      </c>
      <c r="AI234" s="3" t="str">
        <f t="shared" si="13"/>
        <v>59</v>
      </c>
      <c r="AJ234" s="64" t="str">
        <f>VLOOKUP(T234,'GL Name'!A:B,2,0)</f>
        <v>ค่าวิจัยคุณภาพสินค้า</v>
      </c>
      <c r="AL234" s="13">
        <f t="shared" si="14"/>
        <v>169.38</v>
      </c>
      <c r="AM234" s="13" t="e">
        <f>VLOOKUP(I234,'Order 301-305 (เรียง)'!A:B,2,0)</f>
        <v>#N/A</v>
      </c>
      <c r="AN234" t="e">
        <f>VLOOKUP(I234,'Order 301-305 (เรียง)'!A:C,3,0)</f>
        <v>#N/A</v>
      </c>
    </row>
    <row r="235" spans="1:40" x14ac:dyDescent="0.3">
      <c r="A235" s="1" t="s">
        <v>81</v>
      </c>
      <c r="B235" s="1" t="s">
        <v>82</v>
      </c>
      <c r="C235" s="1" t="s">
        <v>64</v>
      </c>
      <c r="D235" s="1" t="s">
        <v>87</v>
      </c>
      <c r="E235" s="1" t="s">
        <v>88</v>
      </c>
      <c r="F235" s="1" t="s">
        <v>786</v>
      </c>
      <c r="G235" s="1" t="s">
        <v>83</v>
      </c>
      <c r="H235" s="1" t="s">
        <v>769</v>
      </c>
      <c r="I235" s="1" t="s">
        <v>68</v>
      </c>
      <c r="J235" s="1" t="s">
        <v>787</v>
      </c>
      <c r="K235" s="1" t="s">
        <v>118</v>
      </c>
      <c r="L235" s="1" t="s">
        <v>70</v>
      </c>
      <c r="M235" s="1" t="s">
        <v>68</v>
      </c>
      <c r="N235" s="1" t="s">
        <v>71</v>
      </c>
      <c r="O235" s="1" t="s">
        <v>68</v>
      </c>
      <c r="P235" s="1" t="s">
        <v>788</v>
      </c>
      <c r="Q235" s="1" t="s">
        <v>68</v>
      </c>
      <c r="R235" s="1" t="s">
        <v>789</v>
      </c>
      <c r="S235" s="1" t="s">
        <v>90</v>
      </c>
      <c r="T235" s="1" t="s">
        <v>91</v>
      </c>
      <c r="U235" s="1" t="s">
        <v>68</v>
      </c>
      <c r="V235" s="1" t="s">
        <v>68</v>
      </c>
      <c r="W235" s="1" t="s">
        <v>68</v>
      </c>
      <c r="X235" s="1" t="s">
        <v>68</v>
      </c>
      <c r="Y235" s="73"/>
      <c r="Z235" s="2" t="s">
        <v>74</v>
      </c>
      <c r="AA235" s="3">
        <v>-3</v>
      </c>
      <c r="AB235" s="4">
        <v>-508.14</v>
      </c>
      <c r="AC235" s="73">
        <v>46211</v>
      </c>
      <c r="AD235" s="73">
        <v>46211</v>
      </c>
      <c r="AE235" s="73"/>
      <c r="AF235" s="73">
        <v>46211</v>
      </c>
      <c r="AG235" s="3">
        <v>-1500</v>
      </c>
      <c r="AH235" s="353" t="str">
        <f t="shared" si="12"/>
        <v/>
      </c>
      <c r="AI235" s="3" t="str">
        <f t="shared" si="13"/>
        <v>59</v>
      </c>
      <c r="AJ235" s="64" t="str">
        <f>VLOOKUP(T235,'GL Name'!A:B,2,0)</f>
        <v>ค่าวิจัยคุณภาพสินค้า</v>
      </c>
      <c r="AL235" s="13">
        <f t="shared" si="14"/>
        <v>169.38</v>
      </c>
      <c r="AM235" s="13" t="e">
        <f>VLOOKUP(I235,'Order 301-305 (เรียง)'!A:B,2,0)</f>
        <v>#N/A</v>
      </c>
      <c r="AN235" t="e">
        <f>VLOOKUP(I235,'Order 301-305 (เรียง)'!A:C,3,0)</f>
        <v>#N/A</v>
      </c>
    </row>
    <row r="236" spans="1:40" x14ac:dyDescent="0.3">
      <c r="A236" s="1" t="s">
        <v>81</v>
      </c>
      <c r="B236" s="1" t="s">
        <v>82</v>
      </c>
      <c r="C236" s="1" t="s">
        <v>64</v>
      </c>
      <c r="D236" s="1" t="s">
        <v>87</v>
      </c>
      <c r="E236" s="1" t="s">
        <v>88</v>
      </c>
      <c r="F236" s="1" t="s">
        <v>791</v>
      </c>
      <c r="G236" s="1" t="s">
        <v>83</v>
      </c>
      <c r="H236" s="1" t="s">
        <v>769</v>
      </c>
      <c r="I236" s="1" t="s">
        <v>68</v>
      </c>
      <c r="J236" s="1" t="s">
        <v>792</v>
      </c>
      <c r="K236" s="1" t="s">
        <v>118</v>
      </c>
      <c r="L236" s="1" t="s">
        <v>86</v>
      </c>
      <c r="M236" s="1" t="s">
        <v>68</v>
      </c>
      <c r="N236" s="1" t="s">
        <v>71</v>
      </c>
      <c r="O236" s="1" t="s">
        <v>68</v>
      </c>
      <c r="P236" s="1" t="s">
        <v>793</v>
      </c>
      <c r="Q236" s="1" t="s">
        <v>68</v>
      </c>
      <c r="R236" s="1" t="s">
        <v>794</v>
      </c>
      <c r="S236" s="1" t="s">
        <v>90</v>
      </c>
      <c r="T236" s="1" t="s">
        <v>91</v>
      </c>
      <c r="U236" s="1" t="s">
        <v>68</v>
      </c>
      <c r="V236" s="1" t="s">
        <v>68</v>
      </c>
      <c r="W236" s="1" t="s">
        <v>68</v>
      </c>
      <c r="X236" s="1" t="s">
        <v>68</v>
      </c>
      <c r="Y236" s="73"/>
      <c r="Z236" s="2" t="s">
        <v>74</v>
      </c>
      <c r="AA236" s="3">
        <v>-1</v>
      </c>
      <c r="AB236" s="4">
        <v>-169.38</v>
      </c>
      <c r="AC236" s="73">
        <v>46211</v>
      </c>
      <c r="AD236" s="73">
        <v>46211</v>
      </c>
      <c r="AE236" s="73"/>
      <c r="AF236" s="73">
        <v>46211</v>
      </c>
      <c r="AG236" s="3">
        <v>-500</v>
      </c>
      <c r="AH236" s="353" t="str">
        <f t="shared" ref="AH236:AH285" si="15">LEFT(I236,3)</f>
        <v/>
      </c>
      <c r="AI236" s="3" t="str">
        <f t="shared" ref="AI236:AI285" si="16">LEFT(A236,2)</f>
        <v>59</v>
      </c>
      <c r="AJ236" s="64" t="str">
        <f>VLOOKUP(T236,'GL Name'!A:B,2,0)</f>
        <v>ค่าวิจัยคุณภาพสินค้า</v>
      </c>
      <c r="AL236" s="13">
        <f t="shared" ref="AL236:AL285" si="17">AB236/AA236</f>
        <v>169.38</v>
      </c>
      <c r="AM236" s="13" t="e">
        <f>VLOOKUP(I236,'Order 301-305 (เรียง)'!A:B,2,0)</f>
        <v>#N/A</v>
      </c>
      <c r="AN236" t="e">
        <f>VLOOKUP(I236,'Order 301-305 (เรียง)'!A:C,3,0)</f>
        <v>#N/A</v>
      </c>
    </row>
    <row r="237" spans="1:40" x14ac:dyDescent="0.3">
      <c r="A237" s="1" t="s">
        <v>81</v>
      </c>
      <c r="B237" s="1" t="s">
        <v>82</v>
      </c>
      <c r="C237" s="1" t="s">
        <v>64</v>
      </c>
      <c r="D237" s="1" t="s">
        <v>87</v>
      </c>
      <c r="E237" s="1" t="s">
        <v>88</v>
      </c>
      <c r="F237" s="1" t="s">
        <v>791</v>
      </c>
      <c r="G237" s="1" t="s">
        <v>83</v>
      </c>
      <c r="H237" s="1" t="s">
        <v>322</v>
      </c>
      <c r="I237" s="1" t="s">
        <v>68</v>
      </c>
      <c r="J237" s="1" t="s">
        <v>792</v>
      </c>
      <c r="K237" s="1" t="s">
        <v>118</v>
      </c>
      <c r="L237" s="1" t="s">
        <v>70</v>
      </c>
      <c r="M237" s="1" t="s">
        <v>68</v>
      </c>
      <c r="N237" s="1" t="s">
        <v>71</v>
      </c>
      <c r="O237" s="1" t="s">
        <v>68</v>
      </c>
      <c r="P237" s="1" t="s">
        <v>793</v>
      </c>
      <c r="Q237" s="1" t="s">
        <v>68</v>
      </c>
      <c r="R237" s="1" t="s">
        <v>794</v>
      </c>
      <c r="S237" s="1" t="s">
        <v>90</v>
      </c>
      <c r="T237" s="1" t="s">
        <v>91</v>
      </c>
      <c r="U237" s="1" t="s">
        <v>68</v>
      </c>
      <c r="V237" s="1" t="s">
        <v>68</v>
      </c>
      <c r="W237" s="1" t="s">
        <v>68</v>
      </c>
      <c r="X237" s="1" t="s">
        <v>68</v>
      </c>
      <c r="Y237" s="73"/>
      <c r="Z237" s="2" t="s">
        <v>74</v>
      </c>
      <c r="AA237" s="3">
        <v>-1</v>
      </c>
      <c r="AB237" s="4">
        <v>-169.38</v>
      </c>
      <c r="AC237" s="73">
        <v>46211</v>
      </c>
      <c r="AD237" s="73">
        <v>46211</v>
      </c>
      <c r="AE237" s="73"/>
      <c r="AF237" s="73">
        <v>46211</v>
      </c>
      <c r="AG237" s="3">
        <v>-500</v>
      </c>
      <c r="AH237" s="353" t="str">
        <f t="shared" si="15"/>
        <v/>
      </c>
      <c r="AI237" s="3" t="str">
        <f t="shared" si="16"/>
        <v>59</v>
      </c>
      <c r="AJ237" s="64" t="str">
        <f>VLOOKUP(T237,'GL Name'!A:B,2,0)</f>
        <v>ค่าวิจัยคุณภาพสินค้า</v>
      </c>
      <c r="AL237" s="13">
        <f t="shared" si="17"/>
        <v>169.38</v>
      </c>
      <c r="AM237" s="13" t="e">
        <f>VLOOKUP(I237,'Order 301-305 (เรียง)'!A:B,2,0)</f>
        <v>#N/A</v>
      </c>
      <c r="AN237" t="e">
        <f>VLOOKUP(I237,'Order 301-305 (เรียง)'!A:C,3,0)</f>
        <v>#N/A</v>
      </c>
    </row>
    <row r="238" spans="1:40" x14ac:dyDescent="0.3">
      <c r="A238" s="1" t="s">
        <v>104</v>
      </c>
      <c r="B238" s="1" t="s">
        <v>105</v>
      </c>
      <c r="C238" s="1" t="s">
        <v>64</v>
      </c>
      <c r="D238" s="1" t="s">
        <v>87</v>
      </c>
      <c r="E238" s="1" t="s">
        <v>88</v>
      </c>
      <c r="F238" s="1" t="s">
        <v>795</v>
      </c>
      <c r="G238" s="1" t="s">
        <v>101</v>
      </c>
      <c r="H238" s="1" t="s">
        <v>303</v>
      </c>
      <c r="I238" s="1" t="s">
        <v>68</v>
      </c>
      <c r="J238" s="1" t="s">
        <v>796</v>
      </c>
      <c r="K238" s="1" t="s">
        <v>118</v>
      </c>
      <c r="L238" s="1" t="s">
        <v>70</v>
      </c>
      <c r="M238" s="1" t="s">
        <v>68</v>
      </c>
      <c r="N238" s="1" t="s">
        <v>71</v>
      </c>
      <c r="O238" s="1" t="s">
        <v>68</v>
      </c>
      <c r="P238" s="1" t="s">
        <v>797</v>
      </c>
      <c r="Q238" s="1" t="s">
        <v>68</v>
      </c>
      <c r="R238" s="1" t="s">
        <v>798</v>
      </c>
      <c r="S238" s="1" t="s">
        <v>90</v>
      </c>
      <c r="T238" s="1" t="s">
        <v>91</v>
      </c>
      <c r="U238" s="1" t="s">
        <v>68</v>
      </c>
      <c r="V238" s="1" t="s">
        <v>68</v>
      </c>
      <c r="W238" s="1" t="s">
        <v>68</v>
      </c>
      <c r="X238" s="1" t="s">
        <v>68</v>
      </c>
      <c r="Y238" s="73"/>
      <c r="Z238" s="2" t="s">
        <v>102</v>
      </c>
      <c r="AA238" s="3">
        <v>-2</v>
      </c>
      <c r="AB238" s="4">
        <v>-10</v>
      </c>
      <c r="AC238" s="73">
        <v>46211</v>
      </c>
      <c r="AD238" s="73">
        <v>46211</v>
      </c>
      <c r="AE238" s="73"/>
      <c r="AF238" s="73">
        <v>46211</v>
      </c>
      <c r="AG238" s="3">
        <v>-2</v>
      </c>
      <c r="AH238" s="353" t="str">
        <f t="shared" si="15"/>
        <v/>
      </c>
      <c r="AI238" s="3" t="str">
        <f t="shared" si="16"/>
        <v>58</v>
      </c>
      <c r="AJ238" s="64" t="str">
        <f>VLOOKUP(T238,'GL Name'!A:B,2,0)</f>
        <v>ค่าวิจัยคุณภาพสินค้า</v>
      </c>
      <c r="AL238" s="13">
        <f t="shared" si="17"/>
        <v>5</v>
      </c>
      <c r="AM238" s="13" t="e">
        <f>VLOOKUP(I238,'Order 301-305 (เรียง)'!A:B,2,0)</f>
        <v>#N/A</v>
      </c>
      <c r="AN238" t="e">
        <f>VLOOKUP(I238,'Order 301-305 (เรียง)'!A:C,3,0)</f>
        <v>#N/A</v>
      </c>
    </row>
    <row r="239" spans="1:40" x14ac:dyDescent="0.3">
      <c r="A239" s="1" t="s">
        <v>126</v>
      </c>
      <c r="B239" s="1" t="s">
        <v>127</v>
      </c>
      <c r="C239" s="1" t="s">
        <v>64</v>
      </c>
      <c r="D239" s="1" t="s">
        <v>87</v>
      </c>
      <c r="E239" s="1" t="s">
        <v>88</v>
      </c>
      <c r="F239" s="1" t="s">
        <v>795</v>
      </c>
      <c r="G239" s="1" t="s">
        <v>101</v>
      </c>
      <c r="H239" s="1" t="s">
        <v>230</v>
      </c>
      <c r="I239" s="1" t="s">
        <v>68</v>
      </c>
      <c r="J239" s="1" t="s">
        <v>796</v>
      </c>
      <c r="K239" s="1" t="s">
        <v>118</v>
      </c>
      <c r="L239" s="1" t="s">
        <v>86</v>
      </c>
      <c r="M239" s="1" t="s">
        <v>68</v>
      </c>
      <c r="N239" s="1" t="s">
        <v>71</v>
      </c>
      <c r="O239" s="1" t="s">
        <v>68</v>
      </c>
      <c r="P239" s="1" t="s">
        <v>797</v>
      </c>
      <c r="Q239" s="1" t="s">
        <v>68</v>
      </c>
      <c r="R239" s="1" t="s">
        <v>798</v>
      </c>
      <c r="S239" s="1" t="s">
        <v>90</v>
      </c>
      <c r="T239" s="1" t="s">
        <v>91</v>
      </c>
      <c r="U239" s="1" t="s">
        <v>68</v>
      </c>
      <c r="V239" s="1" t="s">
        <v>68</v>
      </c>
      <c r="W239" s="1" t="s">
        <v>68</v>
      </c>
      <c r="X239" s="1" t="s">
        <v>68</v>
      </c>
      <c r="Y239" s="73"/>
      <c r="Z239" s="2" t="s">
        <v>102</v>
      </c>
      <c r="AA239" s="3">
        <v>-1</v>
      </c>
      <c r="AB239" s="4">
        <v>-22</v>
      </c>
      <c r="AC239" s="73">
        <v>46211</v>
      </c>
      <c r="AD239" s="73">
        <v>46211</v>
      </c>
      <c r="AE239" s="73"/>
      <c r="AF239" s="73">
        <v>46211</v>
      </c>
      <c r="AG239" s="3">
        <v>-1</v>
      </c>
      <c r="AH239" s="353" t="str">
        <f t="shared" si="15"/>
        <v/>
      </c>
      <c r="AI239" s="3" t="str">
        <f t="shared" si="16"/>
        <v>58</v>
      </c>
      <c r="AJ239" s="64" t="str">
        <f>VLOOKUP(T239,'GL Name'!A:B,2,0)</f>
        <v>ค่าวิจัยคุณภาพสินค้า</v>
      </c>
      <c r="AL239" s="13">
        <f t="shared" si="17"/>
        <v>22</v>
      </c>
      <c r="AM239" s="13" t="e">
        <f>VLOOKUP(I239,'Order 301-305 (เรียง)'!A:B,2,0)</f>
        <v>#N/A</v>
      </c>
      <c r="AN239" t="e">
        <f>VLOOKUP(I239,'Order 301-305 (เรียง)'!A:C,3,0)</f>
        <v>#N/A</v>
      </c>
    </row>
    <row r="240" spans="1:40" x14ac:dyDescent="0.3">
      <c r="A240" s="1" t="s">
        <v>81</v>
      </c>
      <c r="B240" s="1" t="s">
        <v>82</v>
      </c>
      <c r="C240" s="1" t="s">
        <v>64</v>
      </c>
      <c r="D240" s="1" t="s">
        <v>65</v>
      </c>
      <c r="E240" s="1" t="s">
        <v>66</v>
      </c>
      <c r="F240" s="1" t="s">
        <v>799</v>
      </c>
      <c r="G240" s="1" t="s">
        <v>83</v>
      </c>
      <c r="H240" s="1" t="s">
        <v>769</v>
      </c>
      <c r="I240" s="1" t="s">
        <v>68</v>
      </c>
      <c r="J240" s="1" t="s">
        <v>800</v>
      </c>
      <c r="K240" s="1" t="s">
        <v>118</v>
      </c>
      <c r="L240" s="1" t="s">
        <v>70</v>
      </c>
      <c r="M240" s="1" t="s">
        <v>68</v>
      </c>
      <c r="N240" s="1" t="s">
        <v>71</v>
      </c>
      <c r="O240" s="1" t="s">
        <v>68</v>
      </c>
      <c r="P240" s="1" t="s">
        <v>72</v>
      </c>
      <c r="Q240" s="1" t="s">
        <v>68</v>
      </c>
      <c r="R240" s="1" t="s">
        <v>68</v>
      </c>
      <c r="S240" s="1" t="s">
        <v>68</v>
      </c>
      <c r="T240" s="1" t="s">
        <v>73</v>
      </c>
      <c r="U240" s="1" t="s">
        <v>68</v>
      </c>
      <c r="V240" s="1" t="s">
        <v>68</v>
      </c>
      <c r="W240" s="1" t="s">
        <v>68</v>
      </c>
      <c r="X240" s="1" t="s">
        <v>801</v>
      </c>
      <c r="Y240" s="73"/>
      <c r="Z240" s="2" t="s">
        <v>85</v>
      </c>
      <c r="AA240" s="3">
        <v>-960</v>
      </c>
      <c r="AB240" s="4">
        <v>-975628.80000000005</v>
      </c>
      <c r="AC240" s="73">
        <v>46212</v>
      </c>
      <c r="AD240" s="73">
        <v>46212</v>
      </c>
      <c r="AE240" s="73"/>
      <c r="AF240" s="73">
        <v>46212</v>
      </c>
      <c r="AG240" s="3">
        <v>-2880000</v>
      </c>
      <c r="AH240" s="353" t="str">
        <f t="shared" si="15"/>
        <v/>
      </c>
      <c r="AI240" s="3" t="str">
        <f t="shared" si="16"/>
        <v>59</v>
      </c>
      <c r="AJ240" s="64" t="str">
        <f>VLOOKUP(T240,'GL Name'!A:B,2,0)</f>
        <v>ต้นทุนขาย</v>
      </c>
      <c r="AL240" s="13">
        <f t="shared" si="17"/>
        <v>1016.2800000000001</v>
      </c>
      <c r="AM240" s="13" t="e">
        <f>VLOOKUP(I240,'Order 301-305 (เรียง)'!A:B,2,0)</f>
        <v>#N/A</v>
      </c>
      <c r="AN240" t="e">
        <f>VLOOKUP(I240,'Order 301-305 (เรียง)'!A:C,3,0)</f>
        <v>#N/A</v>
      </c>
    </row>
    <row r="241" spans="1:40" x14ac:dyDescent="0.3">
      <c r="A241" s="1" t="s">
        <v>81</v>
      </c>
      <c r="B241" s="1" t="s">
        <v>82</v>
      </c>
      <c r="C241" s="1" t="s">
        <v>64</v>
      </c>
      <c r="D241" s="1" t="s">
        <v>87</v>
      </c>
      <c r="E241" s="1" t="s">
        <v>88</v>
      </c>
      <c r="F241" s="1" t="s">
        <v>802</v>
      </c>
      <c r="G241" s="1" t="s">
        <v>83</v>
      </c>
      <c r="H241" s="1" t="s">
        <v>769</v>
      </c>
      <c r="I241" s="1" t="s">
        <v>68</v>
      </c>
      <c r="J241" s="1" t="s">
        <v>803</v>
      </c>
      <c r="K241" s="1" t="s">
        <v>118</v>
      </c>
      <c r="L241" s="1" t="s">
        <v>70</v>
      </c>
      <c r="M241" s="1" t="s">
        <v>68</v>
      </c>
      <c r="N241" s="1" t="s">
        <v>71</v>
      </c>
      <c r="O241" s="1" t="s">
        <v>68</v>
      </c>
      <c r="P241" s="1" t="s">
        <v>804</v>
      </c>
      <c r="Q241" s="1" t="s">
        <v>68</v>
      </c>
      <c r="R241" s="1" t="s">
        <v>308</v>
      </c>
      <c r="S241" s="1" t="s">
        <v>90</v>
      </c>
      <c r="T241" s="1" t="s">
        <v>91</v>
      </c>
      <c r="U241" s="1" t="s">
        <v>68</v>
      </c>
      <c r="V241" s="1" t="s">
        <v>68</v>
      </c>
      <c r="W241" s="1" t="s">
        <v>68</v>
      </c>
      <c r="X241" s="1" t="s">
        <v>68</v>
      </c>
      <c r="Y241" s="73"/>
      <c r="Z241" s="2" t="s">
        <v>74</v>
      </c>
      <c r="AA241" s="3">
        <v>-2</v>
      </c>
      <c r="AB241" s="4">
        <v>-338.76</v>
      </c>
      <c r="AC241" s="73">
        <v>46212</v>
      </c>
      <c r="AD241" s="73">
        <v>46212</v>
      </c>
      <c r="AE241" s="73"/>
      <c r="AF241" s="73">
        <v>46212</v>
      </c>
      <c r="AG241" s="3">
        <v>-1000</v>
      </c>
      <c r="AH241" s="353" t="str">
        <f t="shared" si="15"/>
        <v/>
      </c>
      <c r="AI241" s="3" t="str">
        <f t="shared" si="16"/>
        <v>59</v>
      </c>
      <c r="AJ241" s="64" t="str">
        <f>VLOOKUP(T241,'GL Name'!A:B,2,0)</f>
        <v>ค่าวิจัยคุณภาพสินค้า</v>
      </c>
      <c r="AL241" s="13">
        <f t="shared" si="17"/>
        <v>169.38</v>
      </c>
      <c r="AM241" s="13" t="e">
        <f>VLOOKUP(I241,'Order 301-305 (เรียง)'!A:B,2,0)</f>
        <v>#N/A</v>
      </c>
      <c r="AN241" t="e">
        <f>VLOOKUP(I241,'Order 301-305 (เรียง)'!A:C,3,0)</f>
        <v>#N/A</v>
      </c>
    </row>
    <row r="242" spans="1:40" x14ac:dyDescent="0.3">
      <c r="A242" s="1" t="s">
        <v>106</v>
      </c>
      <c r="B242" s="1" t="s">
        <v>107</v>
      </c>
      <c r="C242" s="1" t="s">
        <v>64</v>
      </c>
      <c r="D242" s="1" t="s">
        <v>125</v>
      </c>
      <c r="E242" s="1" t="s">
        <v>289</v>
      </c>
      <c r="F242" s="1" t="s">
        <v>805</v>
      </c>
      <c r="G242" s="1" t="s">
        <v>101</v>
      </c>
      <c r="H242" s="1" t="s">
        <v>286</v>
      </c>
      <c r="I242" s="1" t="s">
        <v>68</v>
      </c>
      <c r="J242" s="1" t="s">
        <v>806</v>
      </c>
      <c r="K242" s="1" t="s">
        <v>294</v>
      </c>
      <c r="L242" s="1" t="s">
        <v>95</v>
      </c>
      <c r="M242" s="1" t="s">
        <v>68</v>
      </c>
      <c r="N242" s="1" t="s">
        <v>71</v>
      </c>
      <c r="O242" s="1" t="s">
        <v>68</v>
      </c>
      <c r="P242" s="1" t="s">
        <v>72</v>
      </c>
      <c r="Q242" s="1" t="s">
        <v>68</v>
      </c>
      <c r="R242" s="1" t="s">
        <v>68</v>
      </c>
      <c r="S242" s="1" t="s">
        <v>68</v>
      </c>
      <c r="T242" s="1" t="s">
        <v>68</v>
      </c>
      <c r="U242" s="1" t="s">
        <v>68</v>
      </c>
      <c r="V242" s="1" t="s">
        <v>68</v>
      </c>
      <c r="W242" s="1" t="s">
        <v>68</v>
      </c>
      <c r="X242" s="1" t="s">
        <v>68</v>
      </c>
      <c r="Y242" s="73"/>
      <c r="Z242" s="2" t="s">
        <v>102</v>
      </c>
      <c r="AA242" s="3">
        <v>-20000</v>
      </c>
      <c r="AB242" s="4">
        <v>0</v>
      </c>
      <c r="AC242" s="73">
        <v>46212</v>
      </c>
      <c r="AD242" s="73">
        <v>46212</v>
      </c>
      <c r="AE242" s="73"/>
      <c r="AF242" s="73">
        <v>46212</v>
      </c>
      <c r="AG242" s="3">
        <v>-20000</v>
      </c>
      <c r="AH242" s="353" t="str">
        <f t="shared" si="15"/>
        <v/>
      </c>
      <c r="AI242" s="3" t="str">
        <f t="shared" si="16"/>
        <v>58</v>
      </c>
      <c r="AJ242" s="64" t="e">
        <f>VLOOKUP(T242,'GL Name'!A:B,2,0)</f>
        <v>#N/A</v>
      </c>
      <c r="AL242" s="13">
        <f t="shared" si="17"/>
        <v>0</v>
      </c>
      <c r="AM242" s="13" t="e">
        <f>VLOOKUP(I242,'Order 301-305 (เรียง)'!A:B,2,0)</f>
        <v>#N/A</v>
      </c>
      <c r="AN242" t="e">
        <f>VLOOKUP(I242,'Order 301-305 (เรียง)'!A:C,3,0)</f>
        <v>#N/A</v>
      </c>
    </row>
    <row r="243" spans="1:40" x14ac:dyDescent="0.3">
      <c r="A243" s="1" t="s">
        <v>106</v>
      </c>
      <c r="B243" s="1" t="s">
        <v>107</v>
      </c>
      <c r="C243" s="1" t="s">
        <v>64</v>
      </c>
      <c r="D243" s="1" t="s">
        <v>125</v>
      </c>
      <c r="E243" s="1" t="s">
        <v>289</v>
      </c>
      <c r="F243" s="1" t="s">
        <v>805</v>
      </c>
      <c r="G243" s="1" t="s">
        <v>103</v>
      </c>
      <c r="H243" s="1" t="s">
        <v>286</v>
      </c>
      <c r="I243" s="1" t="s">
        <v>68</v>
      </c>
      <c r="J243" s="1" t="s">
        <v>806</v>
      </c>
      <c r="K243" s="1" t="s">
        <v>294</v>
      </c>
      <c r="L243" s="1" t="s">
        <v>111</v>
      </c>
      <c r="M243" s="1" t="s">
        <v>68</v>
      </c>
      <c r="N243" s="1" t="s">
        <v>71</v>
      </c>
      <c r="O243" s="1" t="s">
        <v>68</v>
      </c>
      <c r="P243" s="1" t="s">
        <v>72</v>
      </c>
      <c r="Q243" s="1" t="s">
        <v>68</v>
      </c>
      <c r="R243" s="1" t="s">
        <v>68</v>
      </c>
      <c r="S243" s="1" t="s">
        <v>68</v>
      </c>
      <c r="T243" s="1" t="s">
        <v>68</v>
      </c>
      <c r="U243" s="1" t="s">
        <v>68</v>
      </c>
      <c r="V243" s="1" t="s">
        <v>68</v>
      </c>
      <c r="W243" s="1" t="s">
        <v>68</v>
      </c>
      <c r="X243" s="1" t="s">
        <v>68</v>
      </c>
      <c r="Y243" s="73"/>
      <c r="Z243" s="2" t="s">
        <v>102</v>
      </c>
      <c r="AA243" s="3">
        <v>20000</v>
      </c>
      <c r="AB243" s="4">
        <v>0</v>
      </c>
      <c r="AC243" s="73">
        <v>46212</v>
      </c>
      <c r="AD243" s="73">
        <v>46212</v>
      </c>
      <c r="AE243" s="73"/>
      <c r="AF243" s="73">
        <v>46212</v>
      </c>
      <c r="AG243" s="3">
        <v>20000</v>
      </c>
      <c r="AH243" s="353" t="str">
        <f t="shared" si="15"/>
        <v/>
      </c>
      <c r="AI243" s="3" t="str">
        <f t="shared" si="16"/>
        <v>58</v>
      </c>
      <c r="AJ243" s="64" t="e">
        <f>VLOOKUP(T243,'GL Name'!A:B,2,0)</f>
        <v>#N/A</v>
      </c>
      <c r="AL243" s="13">
        <f t="shared" si="17"/>
        <v>0</v>
      </c>
      <c r="AM243" s="13" t="e">
        <f>VLOOKUP(I243,'Order 301-305 (เรียง)'!A:B,2,0)</f>
        <v>#N/A</v>
      </c>
      <c r="AN243" t="e">
        <f>VLOOKUP(I243,'Order 301-305 (เรียง)'!A:C,3,0)</f>
        <v>#N/A</v>
      </c>
    </row>
    <row r="244" spans="1:40" x14ac:dyDescent="0.3">
      <c r="A244" s="1" t="s">
        <v>119</v>
      </c>
      <c r="B244" s="1" t="s">
        <v>120</v>
      </c>
      <c r="C244" s="1" t="s">
        <v>64</v>
      </c>
      <c r="D244" s="1" t="s">
        <v>125</v>
      </c>
      <c r="E244" s="1" t="s">
        <v>289</v>
      </c>
      <c r="F244" s="1" t="s">
        <v>805</v>
      </c>
      <c r="G244" s="1" t="s">
        <v>103</v>
      </c>
      <c r="H244" s="1" t="s">
        <v>302</v>
      </c>
      <c r="I244" s="1" t="s">
        <v>68</v>
      </c>
      <c r="J244" s="1" t="s">
        <v>806</v>
      </c>
      <c r="K244" s="1" t="s">
        <v>294</v>
      </c>
      <c r="L244" s="1" t="s">
        <v>92</v>
      </c>
      <c r="M244" s="1" t="s">
        <v>68</v>
      </c>
      <c r="N244" s="1" t="s">
        <v>71</v>
      </c>
      <c r="O244" s="1" t="s">
        <v>68</v>
      </c>
      <c r="P244" s="1" t="s">
        <v>72</v>
      </c>
      <c r="Q244" s="1" t="s">
        <v>68</v>
      </c>
      <c r="R244" s="1" t="s">
        <v>68</v>
      </c>
      <c r="S244" s="1" t="s">
        <v>68</v>
      </c>
      <c r="T244" s="1" t="s">
        <v>68</v>
      </c>
      <c r="U244" s="1" t="s">
        <v>68</v>
      </c>
      <c r="V244" s="1" t="s">
        <v>68</v>
      </c>
      <c r="W244" s="1" t="s">
        <v>68</v>
      </c>
      <c r="X244" s="1" t="s">
        <v>68</v>
      </c>
      <c r="Y244" s="73"/>
      <c r="Z244" s="2" t="s">
        <v>102</v>
      </c>
      <c r="AA244" s="3">
        <v>-24000</v>
      </c>
      <c r="AB244" s="4">
        <v>0</v>
      </c>
      <c r="AC244" s="73">
        <v>46212</v>
      </c>
      <c r="AD244" s="73">
        <v>46212</v>
      </c>
      <c r="AE244" s="73"/>
      <c r="AF244" s="73">
        <v>46212</v>
      </c>
      <c r="AG244" s="3">
        <v>-24000</v>
      </c>
      <c r="AH244" s="353" t="str">
        <f t="shared" si="15"/>
        <v/>
      </c>
      <c r="AI244" s="3" t="str">
        <f t="shared" si="16"/>
        <v>58</v>
      </c>
      <c r="AJ244" s="64" t="e">
        <f>VLOOKUP(T244,'GL Name'!A:B,2,0)</f>
        <v>#N/A</v>
      </c>
      <c r="AL244" s="13">
        <f t="shared" si="17"/>
        <v>0</v>
      </c>
      <c r="AM244" s="13" t="e">
        <f>VLOOKUP(I244,'Order 301-305 (เรียง)'!A:B,2,0)</f>
        <v>#N/A</v>
      </c>
      <c r="AN244" t="e">
        <f>VLOOKUP(I244,'Order 301-305 (เรียง)'!A:C,3,0)</f>
        <v>#N/A</v>
      </c>
    </row>
    <row r="245" spans="1:40" x14ac:dyDescent="0.3">
      <c r="A245" s="1" t="s">
        <v>119</v>
      </c>
      <c r="B245" s="1" t="s">
        <v>120</v>
      </c>
      <c r="C245" s="1" t="s">
        <v>64</v>
      </c>
      <c r="D245" s="1" t="s">
        <v>125</v>
      </c>
      <c r="E245" s="1" t="s">
        <v>289</v>
      </c>
      <c r="F245" s="1" t="s">
        <v>805</v>
      </c>
      <c r="G245" s="1" t="s">
        <v>101</v>
      </c>
      <c r="H245" s="1" t="s">
        <v>302</v>
      </c>
      <c r="I245" s="1" t="s">
        <v>68</v>
      </c>
      <c r="J245" s="1" t="s">
        <v>806</v>
      </c>
      <c r="K245" s="1" t="s">
        <v>294</v>
      </c>
      <c r="L245" s="1" t="s">
        <v>89</v>
      </c>
      <c r="M245" s="1" t="s">
        <v>68</v>
      </c>
      <c r="N245" s="1" t="s">
        <v>71</v>
      </c>
      <c r="O245" s="1" t="s">
        <v>68</v>
      </c>
      <c r="P245" s="1" t="s">
        <v>72</v>
      </c>
      <c r="Q245" s="1" t="s">
        <v>68</v>
      </c>
      <c r="R245" s="1" t="s">
        <v>68</v>
      </c>
      <c r="S245" s="1" t="s">
        <v>68</v>
      </c>
      <c r="T245" s="1" t="s">
        <v>68</v>
      </c>
      <c r="U245" s="1" t="s">
        <v>68</v>
      </c>
      <c r="V245" s="1" t="s">
        <v>68</v>
      </c>
      <c r="W245" s="1" t="s">
        <v>68</v>
      </c>
      <c r="X245" s="1" t="s">
        <v>68</v>
      </c>
      <c r="Y245" s="73"/>
      <c r="Z245" s="2" t="s">
        <v>102</v>
      </c>
      <c r="AA245" s="3">
        <v>24000</v>
      </c>
      <c r="AB245" s="4">
        <v>0</v>
      </c>
      <c r="AC245" s="73">
        <v>46212</v>
      </c>
      <c r="AD245" s="73">
        <v>46212</v>
      </c>
      <c r="AE245" s="73"/>
      <c r="AF245" s="73">
        <v>46212</v>
      </c>
      <c r="AG245" s="3">
        <v>24000</v>
      </c>
      <c r="AH245" s="353" t="str">
        <f t="shared" si="15"/>
        <v/>
      </c>
      <c r="AI245" s="3" t="str">
        <f t="shared" si="16"/>
        <v>58</v>
      </c>
      <c r="AJ245" s="64" t="e">
        <f>VLOOKUP(T245,'GL Name'!A:B,2,0)</f>
        <v>#N/A</v>
      </c>
      <c r="AL245" s="13">
        <f t="shared" si="17"/>
        <v>0</v>
      </c>
      <c r="AM245" s="13" t="e">
        <f>VLOOKUP(I245,'Order 301-305 (เรียง)'!A:B,2,0)</f>
        <v>#N/A</v>
      </c>
      <c r="AN245" t="e">
        <f>VLOOKUP(I245,'Order 301-305 (เรียง)'!A:C,3,0)</f>
        <v>#N/A</v>
      </c>
    </row>
    <row r="246" spans="1:40" x14ac:dyDescent="0.3">
      <c r="A246" s="1" t="s">
        <v>121</v>
      </c>
      <c r="B246" s="1" t="s">
        <v>122</v>
      </c>
      <c r="C246" s="1" t="s">
        <v>64</v>
      </c>
      <c r="D246" s="1" t="s">
        <v>125</v>
      </c>
      <c r="E246" s="1" t="s">
        <v>289</v>
      </c>
      <c r="F246" s="1" t="s">
        <v>805</v>
      </c>
      <c r="G246" s="1" t="s">
        <v>101</v>
      </c>
      <c r="H246" s="1" t="s">
        <v>772</v>
      </c>
      <c r="I246" s="1" t="s">
        <v>68</v>
      </c>
      <c r="J246" s="1" t="s">
        <v>806</v>
      </c>
      <c r="K246" s="1" t="s">
        <v>294</v>
      </c>
      <c r="L246" s="1" t="s">
        <v>70</v>
      </c>
      <c r="M246" s="1" t="s">
        <v>68</v>
      </c>
      <c r="N246" s="1" t="s">
        <v>71</v>
      </c>
      <c r="O246" s="1" t="s">
        <v>68</v>
      </c>
      <c r="P246" s="1" t="s">
        <v>72</v>
      </c>
      <c r="Q246" s="1" t="s">
        <v>68</v>
      </c>
      <c r="R246" s="1" t="s">
        <v>68</v>
      </c>
      <c r="S246" s="1" t="s">
        <v>68</v>
      </c>
      <c r="T246" s="1" t="s">
        <v>68</v>
      </c>
      <c r="U246" s="1" t="s">
        <v>68</v>
      </c>
      <c r="V246" s="1" t="s">
        <v>68</v>
      </c>
      <c r="W246" s="1" t="s">
        <v>68</v>
      </c>
      <c r="X246" s="1" t="s">
        <v>68</v>
      </c>
      <c r="Y246" s="73"/>
      <c r="Z246" s="2" t="s">
        <v>102</v>
      </c>
      <c r="AA246" s="3">
        <v>-2920</v>
      </c>
      <c r="AB246" s="4">
        <v>0</v>
      </c>
      <c r="AC246" s="73">
        <v>46212</v>
      </c>
      <c r="AD246" s="73">
        <v>46212</v>
      </c>
      <c r="AE246" s="73"/>
      <c r="AF246" s="73">
        <v>46212</v>
      </c>
      <c r="AG246" s="3">
        <v>-2920</v>
      </c>
      <c r="AH246" s="353" t="str">
        <f t="shared" si="15"/>
        <v/>
      </c>
      <c r="AI246" s="3" t="str">
        <f t="shared" si="16"/>
        <v>58</v>
      </c>
      <c r="AJ246" s="64" t="e">
        <f>VLOOKUP(T246,'GL Name'!A:B,2,0)</f>
        <v>#N/A</v>
      </c>
      <c r="AL246" s="13">
        <f t="shared" si="17"/>
        <v>0</v>
      </c>
      <c r="AM246" s="13" t="e">
        <f>VLOOKUP(I246,'Order 301-305 (เรียง)'!A:B,2,0)</f>
        <v>#N/A</v>
      </c>
      <c r="AN246" t="e">
        <f>VLOOKUP(I246,'Order 301-305 (เรียง)'!A:C,3,0)</f>
        <v>#N/A</v>
      </c>
    </row>
    <row r="247" spans="1:40" x14ac:dyDescent="0.3">
      <c r="A247" s="1" t="s">
        <v>121</v>
      </c>
      <c r="B247" s="1" t="s">
        <v>122</v>
      </c>
      <c r="C247" s="1" t="s">
        <v>64</v>
      </c>
      <c r="D247" s="1" t="s">
        <v>125</v>
      </c>
      <c r="E247" s="1" t="s">
        <v>289</v>
      </c>
      <c r="F247" s="1" t="s">
        <v>805</v>
      </c>
      <c r="G247" s="1" t="s">
        <v>103</v>
      </c>
      <c r="H247" s="1" t="s">
        <v>772</v>
      </c>
      <c r="I247" s="1" t="s">
        <v>68</v>
      </c>
      <c r="J247" s="1" t="s">
        <v>806</v>
      </c>
      <c r="K247" s="1" t="s">
        <v>294</v>
      </c>
      <c r="L247" s="1" t="s">
        <v>86</v>
      </c>
      <c r="M247" s="1" t="s">
        <v>68</v>
      </c>
      <c r="N247" s="1" t="s">
        <v>71</v>
      </c>
      <c r="O247" s="1" t="s">
        <v>68</v>
      </c>
      <c r="P247" s="1" t="s">
        <v>72</v>
      </c>
      <c r="Q247" s="1" t="s">
        <v>68</v>
      </c>
      <c r="R247" s="1" t="s">
        <v>68</v>
      </c>
      <c r="S247" s="1" t="s">
        <v>68</v>
      </c>
      <c r="T247" s="1" t="s">
        <v>68</v>
      </c>
      <c r="U247" s="1" t="s">
        <v>68</v>
      </c>
      <c r="V247" s="1" t="s">
        <v>68</v>
      </c>
      <c r="W247" s="1" t="s">
        <v>68</v>
      </c>
      <c r="X247" s="1" t="s">
        <v>68</v>
      </c>
      <c r="Y247" s="73"/>
      <c r="Z247" s="2" t="s">
        <v>102</v>
      </c>
      <c r="AA247" s="3">
        <v>2920</v>
      </c>
      <c r="AB247" s="4">
        <v>0</v>
      </c>
      <c r="AC247" s="73">
        <v>46212</v>
      </c>
      <c r="AD247" s="73">
        <v>46212</v>
      </c>
      <c r="AE247" s="73"/>
      <c r="AF247" s="73">
        <v>46212</v>
      </c>
      <c r="AG247" s="3">
        <v>2920</v>
      </c>
      <c r="AH247" s="353" t="str">
        <f t="shared" si="15"/>
        <v/>
      </c>
      <c r="AI247" s="3" t="str">
        <f t="shared" si="16"/>
        <v>58</v>
      </c>
      <c r="AJ247" s="64" t="e">
        <f>VLOOKUP(T247,'GL Name'!A:B,2,0)</f>
        <v>#N/A</v>
      </c>
      <c r="AL247" s="13">
        <f t="shared" si="17"/>
        <v>0</v>
      </c>
      <c r="AM247" s="13" t="e">
        <f>VLOOKUP(I247,'Order 301-305 (เรียง)'!A:B,2,0)</f>
        <v>#N/A</v>
      </c>
      <c r="AN247" t="e">
        <f>VLOOKUP(I247,'Order 301-305 (เรียง)'!A:C,3,0)</f>
        <v>#N/A</v>
      </c>
    </row>
    <row r="248" spans="1:40" x14ac:dyDescent="0.3">
      <c r="A248" s="1" t="s">
        <v>62</v>
      </c>
      <c r="B248" s="1" t="s">
        <v>63</v>
      </c>
      <c r="C248" s="1" t="s">
        <v>64</v>
      </c>
      <c r="D248" s="1" t="s">
        <v>65</v>
      </c>
      <c r="E248" s="1" t="s">
        <v>66</v>
      </c>
      <c r="F248" s="1" t="s">
        <v>807</v>
      </c>
      <c r="G248" s="1" t="s">
        <v>67</v>
      </c>
      <c r="H248" s="1" t="s">
        <v>281</v>
      </c>
      <c r="I248" s="1" t="s">
        <v>68</v>
      </c>
      <c r="J248" s="1" t="s">
        <v>808</v>
      </c>
      <c r="K248" s="1" t="s">
        <v>231</v>
      </c>
      <c r="L248" s="1" t="s">
        <v>92</v>
      </c>
      <c r="M248" s="1" t="s">
        <v>68</v>
      </c>
      <c r="N248" s="1" t="s">
        <v>71</v>
      </c>
      <c r="O248" s="1" t="s">
        <v>68</v>
      </c>
      <c r="P248" s="1" t="s">
        <v>72</v>
      </c>
      <c r="Q248" s="1" t="s">
        <v>68</v>
      </c>
      <c r="R248" s="1" t="s">
        <v>68</v>
      </c>
      <c r="S248" s="1" t="s">
        <v>68</v>
      </c>
      <c r="T248" s="1" t="s">
        <v>73</v>
      </c>
      <c r="U248" s="1" t="s">
        <v>68</v>
      </c>
      <c r="V248" s="1" t="s">
        <v>68</v>
      </c>
      <c r="W248" s="1" t="s">
        <v>68</v>
      </c>
      <c r="X248" s="1" t="s">
        <v>809</v>
      </c>
      <c r="Y248" s="73"/>
      <c r="Z248" s="2" t="s">
        <v>74</v>
      </c>
      <c r="AA248" s="3">
        <v>-20</v>
      </c>
      <c r="AB248" s="4">
        <v>-3396.4</v>
      </c>
      <c r="AC248" s="73">
        <v>46212</v>
      </c>
      <c r="AD248" s="73">
        <v>46212</v>
      </c>
      <c r="AE248" s="73"/>
      <c r="AF248" s="73">
        <v>46212</v>
      </c>
      <c r="AG248" s="3">
        <v>-10000</v>
      </c>
      <c r="AH248" s="353" t="str">
        <f t="shared" si="15"/>
        <v/>
      </c>
      <c r="AI248" s="3" t="str">
        <f t="shared" si="16"/>
        <v>59</v>
      </c>
      <c r="AJ248" s="64" t="str">
        <f>VLOOKUP(T248,'GL Name'!A:B,2,0)</f>
        <v>ต้นทุนขาย</v>
      </c>
      <c r="AL248" s="13">
        <f t="shared" si="17"/>
        <v>169.82</v>
      </c>
      <c r="AM248" s="13" t="e">
        <f>VLOOKUP(I248,'Order 301-305 (เรียง)'!A:B,2,0)</f>
        <v>#N/A</v>
      </c>
      <c r="AN248" t="e">
        <f>VLOOKUP(I248,'Order 301-305 (เรียง)'!A:C,3,0)</f>
        <v>#N/A</v>
      </c>
    </row>
    <row r="249" spans="1:40" x14ac:dyDescent="0.3">
      <c r="A249" s="1" t="s">
        <v>62</v>
      </c>
      <c r="B249" s="1" t="s">
        <v>63</v>
      </c>
      <c r="C249" s="1" t="s">
        <v>64</v>
      </c>
      <c r="D249" s="1" t="s">
        <v>65</v>
      </c>
      <c r="E249" s="1" t="s">
        <v>66</v>
      </c>
      <c r="F249" s="1" t="s">
        <v>810</v>
      </c>
      <c r="G249" s="1" t="s">
        <v>67</v>
      </c>
      <c r="H249" s="1" t="s">
        <v>287</v>
      </c>
      <c r="I249" s="1" t="s">
        <v>68</v>
      </c>
      <c r="J249" s="1" t="s">
        <v>811</v>
      </c>
      <c r="K249" s="1" t="s">
        <v>231</v>
      </c>
      <c r="L249" s="1" t="s">
        <v>70</v>
      </c>
      <c r="M249" s="1" t="s">
        <v>68</v>
      </c>
      <c r="N249" s="1" t="s">
        <v>71</v>
      </c>
      <c r="O249" s="1" t="s">
        <v>68</v>
      </c>
      <c r="P249" s="1" t="s">
        <v>72</v>
      </c>
      <c r="Q249" s="1" t="s">
        <v>68</v>
      </c>
      <c r="R249" s="1" t="s">
        <v>68</v>
      </c>
      <c r="S249" s="1" t="s">
        <v>68</v>
      </c>
      <c r="T249" s="1" t="s">
        <v>73</v>
      </c>
      <c r="U249" s="1" t="s">
        <v>68</v>
      </c>
      <c r="V249" s="1" t="s">
        <v>68</v>
      </c>
      <c r="W249" s="1" t="s">
        <v>68</v>
      </c>
      <c r="X249" s="1" t="s">
        <v>812</v>
      </c>
      <c r="Y249" s="73"/>
      <c r="Z249" s="2" t="s">
        <v>74</v>
      </c>
      <c r="AA249" s="3">
        <v>-40</v>
      </c>
      <c r="AB249" s="4">
        <v>-6792.8</v>
      </c>
      <c r="AC249" s="73">
        <v>46212</v>
      </c>
      <c r="AD249" s="73">
        <v>46212</v>
      </c>
      <c r="AE249" s="73"/>
      <c r="AF249" s="73">
        <v>46212</v>
      </c>
      <c r="AG249" s="3">
        <v>-20000</v>
      </c>
      <c r="AH249" s="353" t="str">
        <f t="shared" si="15"/>
        <v/>
      </c>
      <c r="AI249" s="3" t="str">
        <f t="shared" si="16"/>
        <v>59</v>
      </c>
      <c r="AJ249" s="64" t="str">
        <f>VLOOKUP(T249,'GL Name'!A:B,2,0)</f>
        <v>ต้นทุนขาย</v>
      </c>
      <c r="AL249" s="13">
        <f t="shared" si="17"/>
        <v>169.82</v>
      </c>
      <c r="AM249" s="13" t="e">
        <f>VLOOKUP(I249,'Order 301-305 (เรียง)'!A:B,2,0)</f>
        <v>#N/A</v>
      </c>
      <c r="AN249" t="e">
        <f>VLOOKUP(I249,'Order 301-305 (เรียง)'!A:C,3,0)</f>
        <v>#N/A</v>
      </c>
    </row>
    <row r="250" spans="1:40" x14ac:dyDescent="0.3">
      <c r="A250" s="1" t="s">
        <v>9</v>
      </c>
      <c r="B250" s="1" t="s">
        <v>10</v>
      </c>
      <c r="C250" s="1" t="s">
        <v>64</v>
      </c>
      <c r="D250" s="1" t="s">
        <v>77</v>
      </c>
      <c r="E250" s="1" t="s">
        <v>78</v>
      </c>
      <c r="F250" s="1" t="s">
        <v>813</v>
      </c>
      <c r="G250" s="1" t="s">
        <v>278</v>
      </c>
      <c r="H250" s="1" t="s">
        <v>327</v>
      </c>
      <c r="I250" s="1" t="s">
        <v>814</v>
      </c>
      <c r="J250" s="1" t="s">
        <v>815</v>
      </c>
      <c r="K250" s="1" t="s">
        <v>290</v>
      </c>
      <c r="L250" s="1" t="s">
        <v>70</v>
      </c>
      <c r="M250" s="1" t="s">
        <v>68</v>
      </c>
      <c r="N250" s="1" t="s">
        <v>71</v>
      </c>
      <c r="O250" s="1" t="s">
        <v>68</v>
      </c>
      <c r="P250" s="1" t="s">
        <v>816</v>
      </c>
      <c r="Q250" s="1" t="s">
        <v>68</v>
      </c>
      <c r="R250" s="1" t="s">
        <v>68</v>
      </c>
      <c r="S250" s="1" t="s">
        <v>68</v>
      </c>
      <c r="T250" s="1" t="s">
        <v>79</v>
      </c>
      <c r="U250" s="1" t="s">
        <v>68</v>
      </c>
      <c r="V250" s="1" t="s">
        <v>68</v>
      </c>
      <c r="W250" s="1" t="s">
        <v>68</v>
      </c>
      <c r="X250" s="1" t="s">
        <v>68</v>
      </c>
      <c r="Y250" s="73"/>
      <c r="Z250" s="2" t="s">
        <v>80</v>
      </c>
      <c r="AA250" s="3">
        <v>-15059.5</v>
      </c>
      <c r="AB250" s="4">
        <v>-3973753.57</v>
      </c>
      <c r="AC250" s="73">
        <v>46212</v>
      </c>
      <c r="AD250" s="73">
        <v>46211</v>
      </c>
      <c r="AE250" s="73"/>
      <c r="AF250" s="73">
        <v>46212</v>
      </c>
      <c r="AG250" s="3">
        <v>-15059500</v>
      </c>
      <c r="AH250" s="353" t="str">
        <f t="shared" si="15"/>
        <v>301</v>
      </c>
      <c r="AI250" s="3" t="str">
        <f t="shared" si="16"/>
        <v>54</v>
      </c>
      <c r="AJ250" s="64" t="str">
        <f>VLOOKUP(T250,'GL Name'!A:B,2,0)</f>
        <v>ต้นทุนผลิต-วัตถุดิบ</v>
      </c>
      <c r="AL250" s="13">
        <f t="shared" si="17"/>
        <v>263.87021946279754</v>
      </c>
      <c r="AM250" s="13" t="str">
        <f>VLOOKUP(I250,'Order 301-305 (เรียง)'!A:B,2,0)</f>
        <v>Semi</v>
      </c>
      <c r="AN250" t="str">
        <f>VLOOKUP(I250,'Order 301-305 (เรียง)'!A:C,3,0)</f>
        <v>Semi เมล็ดกาแฟ</v>
      </c>
    </row>
    <row r="251" spans="1:40" x14ac:dyDescent="0.3">
      <c r="A251" s="1" t="s">
        <v>62</v>
      </c>
      <c r="B251" s="1" t="s">
        <v>63</v>
      </c>
      <c r="C251" s="1" t="s">
        <v>64</v>
      </c>
      <c r="D251" s="1" t="s">
        <v>65</v>
      </c>
      <c r="E251" s="1" t="s">
        <v>66</v>
      </c>
      <c r="F251" s="1" t="s">
        <v>817</v>
      </c>
      <c r="G251" s="1" t="s">
        <v>67</v>
      </c>
      <c r="H251" s="1" t="s">
        <v>287</v>
      </c>
      <c r="I251" s="1" t="s">
        <v>68</v>
      </c>
      <c r="J251" s="1" t="s">
        <v>818</v>
      </c>
      <c r="K251" s="1" t="s">
        <v>96</v>
      </c>
      <c r="L251" s="1" t="s">
        <v>70</v>
      </c>
      <c r="M251" s="1" t="s">
        <v>68</v>
      </c>
      <c r="N251" s="1" t="s">
        <v>71</v>
      </c>
      <c r="O251" s="1" t="s">
        <v>68</v>
      </c>
      <c r="P251" s="1" t="s">
        <v>72</v>
      </c>
      <c r="Q251" s="1" t="s">
        <v>68</v>
      </c>
      <c r="R251" s="1" t="s">
        <v>68</v>
      </c>
      <c r="S251" s="1" t="s">
        <v>68</v>
      </c>
      <c r="T251" s="1" t="s">
        <v>73</v>
      </c>
      <c r="U251" s="1" t="s">
        <v>68</v>
      </c>
      <c r="V251" s="1" t="s">
        <v>68</v>
      </c>
      <c r="W251" s="1" t="s">
        <v>68</v>
      </c>
      <c r="X251" s="1" t="s">
        <v>819</v>
      </c>
      <c r="Y251" s="73"/>
      <c r="Z251" s="2" t="s">
        <v>74</v>
      </c>
      <c r="AA251" s="3">
        <v>-2</v>
      </c>
      <c r="AB251" s="4">
        <v>-339.64</v>
      </c>
      <c r="AC251" s="73">
        <v>46212</v>
      </c>
      <c r="AD251" s="73">
        <v>46212</v>
      </c>
      <c r="AE251" s="73"/>
      <c r="AF251" s="73">
        <v>46212</v>
      </c>
      <c r="AG251" s="3">
        <v>-1000</v>
      </c>
      <c r="AH251" s="353" t="str">
        <f t="shared" si="15"/>
        <v/>
      </c>
      <c r="AI251" s="3" t="str">
        <f t="shared" si="16"/>
        <v>59</v>
      </c>
      <c r="AJ251" s="64" t="str">
        <f>VLOOKUP(T251,'GL Name'!A:B,2,0)</f>
        <v>ต้นทุนขาย</v>
      </c>
      <c r="AL251" s="13">
        <f t="shared" si="17"/>
        <v>169.82</v>
      </c>
      <c r="AM251" s="13" t="e">
        <f>VLOOKUP(I251,'Order 301-305 (เรียง)'!A:B,2,0)</f>
        <v>#N/A</v>
      </c>
      <c r="AN251" t="e">
        <f>VLOOKUP(I251,'Order 301-305 (เรียง)'!A:C,3,0)</f>
        <v>#N/A</v>
      </c>
    </row>
    <row r="252" spans="1:40" x14ac:dyDescent="0.3">
      <c r="A252" s="1" t="s">
        <v>644</v>
      </c>
      <c r="B252" s="1" t="s">
        <v>645</v>
      </c>
      <c r="C252" s="1" t="s">
        <v>64</v>
      </c>
      <c r="D252" s="1" t="s">
        <v>93</v>
      </c>
      <c r="E252" s="1" t="s">
        <v>94</v>
      </c>
      <c r="F252" s="1" t="s">
        <v>820</v>
      </c>
      <c r="G252" s="1" t="s">
        <v>83</v>
      </c>
      <c r="H252" s="1" t="s">
        <v>638</v>
      </c>
      <c r="I252" s="1" t="s">
        <v>68</v>
      </c>
      <c r="J252" s="1" t="s">
        <v>821</v>
      </c>
      <c r="K252" s="1" t="s">
        <v>84</v>
      </c>
      <c r="L252" s="1" t="s">
        <v>70</v>
      </c>
      <c r="M252" s="1" t="s">
        <v>68</v>
      </c>
      <c r="N252" s="1" t="s">
        <v>71</v>
      </c>
      <c r="O252" s="1" t="s">
        <v>68</v>
      </c>
      <c r="P252" s="1" t="s">
        <v>72</v>
      </c>
      <c r="Q252" s="1" t="s">
        <v>68</v>
      </c>
      <c r="R252" s="1" t="s">
        <v>68</v>
      </c>
      <c r="S252" s="1" t="s">
        <v>68</v>
      </c>
      <c r="T252" s="1" t="s">
        <v>68</v>
      </c>
      <c r="U252" s="1" t="s">
        <v>68</v>
      </c>
      <c r="V252" s="1" t="s">
        <v>68</v>
      </c>
      <c r="W252" s="1" t="s">
        <v>68</v>
      </c>
      <c r="X252" s="1" t="s">
        <v>68</v>
      </c>
      <c r="Y252" s="73"/>
      <c r="Z252" s="2" t="s">
        <v>74</v>
      </c>
      <c r="AA252" s="3">
        <v>-411</v>
      </c>
      <c r="AB252" s="4">
        <v>0</v>
      </c>
      <c r="AC252" s="73">
        <v>46212</v>
      </c>
      <c r="AD252" s="73">
        <v>46212</v>
      </c>
      <c r="AE252" s="73"/>
      <c r="AF252" s="73">
        <v>46212</v>
      </c>
      <c r="AG252" s="3">
        <v>-205500</v>
      </c>
      <c r="AH252" s="353" t="str">
        <f t="shared" si="15"/>
        <v/>
      </c>
      <c r="AI252" s="3" t="str">
        <f t="shared" si="16"/>
        <v>59</v>
      </c>
      <c r="AJ252" s="64" t="e">
        <f>VLOOKUP(T252,'GL Name'!A:B,2,0)</f>
        <v>#N/A</v>
      </c>
      <c r="AL252" s="13">
        <f t="shared" si="17"/>
        <v>0</v>
      </c>
      <c r="AM252" s="13" t="e">
        <f>VLOOKUP(I252,'Order 301-305 (เรียง)'!A:B,2,0)</f>
        <v>#N/A</v>
      </c>
      <c r="AN252" t="e">
        <f>VLOOKUP(I252,'Order 301-305 (เรียง)'!A:C,3,0)</f>
        <v>#N/A</v>
      </c>
    </row>
    <row r="253" spans="1:40" x14ac:dyDescent="0.3">
      <c r="A253" s="1" t="s">
        <v>644</v>
      </c>
      <c r="B253" s="1" t="s">
        <v>645</v>
      </c>
      <c r="C253" s="1" t="s">
        <v>64</v>
      </c>
      <c r="D253" s="1" t="s">
        <v>93</v>
      </c>
      <c r="E253" s="1" t="s">
        <v>94</v>
      </c>
      <c r="F253" s="1" t="s">
        <v>820</v>
      </c>
      <c r="G253" s="1" t="s">
        <v>67</v>
      </c>
      <c r="H253" s="1" t="s">
        <v>638</v>
      </c>
      <c r="I253" s="1" t="s">
        <v>68</v>
      </c>
      <c r="J253" s="1" t="s">
        <v>821</v>
      </c>
      <c r="K253" s="1" t="s">
        <v>84</v>
      </c>
      <c r="L253" s="1" t="s">
        <v>86</v>
      </c>
      <c r="M253" s="1" t="s">
        <v>68</v>
      </c>
      <c r="N253" s="1" t="s">
        <v>71</v>
      </c>
      <c r="O253" s="1" t="s">
        <v>68</v>
      </c>
      <c r="P253" s="1" t="s">
        <v>72</v>
      </c>
      <c r="Q253" s="1" t="s">
        <v>68</v>
      </c>
      <c r="R253" s="1" t="s">
        <v>68</v>
      </c>
      <c r="S253" s="1" t="s">
        <v>68</v>
      </c>
      <c r="T253" s="1" t="s">
        <v>68</v>
      </c>
      <c r="U253" s="1" t="s">
        <v>68</v>
      </c>
      <c r="V253" s="1" t="s">
        <v>68</v>
      </c>
      <c r="W253" s="1" t="s">
        <v>68</v>
      </c>
      <c r="X253" s="1" t="s">
        <v>68</v>
      </c>
      <c r="Y253" s="73"/>
      <c r="Z253" s="2" t="s">
        <v>74</v>
      </c>
      <c r="AA253" s="3">
        <v>411</v>
      </c>
      <c r="AB253" s="4">
        <v>0</v>
      </c>
      <c r="AC253" s="73">
        <v>46212</v>
      </c>
      <c r="AD253" s="73">
        <v>46212</v>
      </c>
      <c r="AE253" s="73"/>
      <c r="AF253" s="73">
        <v>46212</v>
      </c>
      <c r="AG253" s="3">
        <v>205500</v>
      </c>
      <c r="AH253" s="353" t="str">
        <f t="shared" si="15"/>
        <v/>
      </c>
      <c r="AI253" s="3" t="str">
        <f t="shared" si="16"/>
        <v>59</v>
      </c>
      <c r="AJ253" s="64" t="e">
        <f>VLOOKUP(T253,'GL Name'!A:B,2,0)</f>
        <v>#N/A</v>
      </c>
      <c r="AL253" s="13">
        <f t="shared" si="17"/>
        <v>0</v>
      </c>
      <c r="AM253" s="13" t="e">
        <f>VLOOKUP(I253,'Order 301-305 (เรียง)'!A:B,2,0)</f>
        <v>#N/A</v>
      </c>
      <c r="AN253" t="e">
        <f>VLOOKUP(I253,'Order 301-305 (เรียง)'!A:C,3,0)</f>
        <v>#N/A</v>
      </c>
    </row>
    <row r="254" spans="1:40" x14ac:dyDescent="0.3">
      <c r="A254" s="1" t="s">
        <v>644</v>
      </c>
      <c r="B254" s="1" t="s">
        <v>645</v>
      </c>
      <c r="C254" s="1" t="s">
        <v>64</v>
      </c>
      <c r="D254" s="1" t="s">
        <v>65</v>
      </c>
      <c r="E254" s="1" t="s">
        <v>66</v>
      </c>
      <c r="F254" s="1" t="s">
        <v>822</v>
      </c>
      <c r="G254" s="1" t="s">
        <v>67</v>
      </c>
      <c r="H254" s="1" t="s">
        <v>638</v>
      </c>
      <c r="I254" s="1" t="s">
        <v>68</v>
      </c>
      <c r="J254" s="1" t="s">
        <v>823</v>
      </c>
      <c r="K254" s="1" t="s">
        <v>231</v>
      </c>
      <c r="L254" s="1" t="s">
        <v>70</v>
      </c>
      <c r="M254" s="1" t="s">
        <v>68</v>
      </c>
      <c r="N254" s="1" t="s">
        <v>71</v>
      </c>
      <c r="O254" s="1" t="s">
        <v>68</v>
      </c>
      <c r="P254" s="1" t="s">
        <v>72</v>
      </c>
      <c r="Q254" s="1" t="s">
        <v>68</v>
      </c>
      <c r="R254" s="1" t="s">
        <v>68</v>
      </c>
      <c r="S254" s="1" t="s">
        <v>68</v>
      </c>
      <c r="T254" s="1" t="s">
        <v>73</v>
      </c>
      <c r="U254" s="1" t="s">
        <v>68</v>
      </c>
      <c r="V254" s="1" t="s">
        <v>68</v>
      </c>
      <c r="W254" s="1" t="s">
        <v>68</v>
      </c>
      <c r="X254" s="1" t="s">
        <v>824</v>
      </c>
      <c r="Y254" s="73"/>
      <c r="Z254" s="2" t="s">
        <v>74</v>
      </c>
      <c r="AA254" s="3">
        <v>-20</v>
      </c>
      <c r="AB254" s="4">
        <v>-3700.4</v>
      </c>
      <c r="AC254" s="73">
        <v>46212</v>
      </c>
      <c r="AD254" s="73">
        <v>46212</v>
      </c>
      <c r="AE254" s="73"/>
      <c r="AF254" s="73">
        <v>46212</v>
      </c>
      <c r="AG254" s="3">
        <v>-10000</v>
      </c>
      <c r="AH254" s="353" t="str">
        <f t="shared" si="15"/>
        <v/>
      </c>
      <c r="AI254" s="3" t="str">
        <f t="shared" si="16"/>
        <v>59</v>
      </c>
      <c r="AJ254" s="64" t="str">
        <f>VLOOKUP(T254,'GL Name'!A:B,2,0)</f>
        <v>ต้นทุนขาย</v>
      </c>
      <c r="AL254" s="13">
        <f t="shared" si="17"/>
        <v>185.02</v>
      </c>
      <c r="AM254" s="13" t="e">
        <f>VLOOKUP(I254,'Order 301-305 (เรียง)'!A:B,2,0)</f>
        <v>#N/A</v>
      </c>
      <c r="AN254" t="e">
        <f>VLOOKUP(I254,'Order 301-305 (เรียง)'!A:C,3,0)</f>
        <v>#N/A</v>
      </c>
    </row>
    <row r="255" spans="1:40" x14ac:dyDescent="0.3">
      <c r="A255" s="1" t="s">
        <v>9</v>
      </c>
      <c r="B255" s="1" t="s">
        <v>10</v>
      </c>
      <c r="C255" s="1" t="s">
        <v>64</v>
      </c>
      <c r="D255" s="1" t="s">
        <v>87</v>
      </c>
      <c r="E255" s="1" t="s">
        <v>88</v>
      </c>
      <c r="F255" s="1" t="s">
        <v>825</v>
      </c>
      <c r="G255" s="1" t="s">
        <v>278</v>
      </c>
      <c r="H255" s="1" t="s">
        <v>327</v>
      </c>
      <c r="I255" s="1" t="s">
        <v>68</v>
      </c>
      <c r="J255" s="1" t="s">
        <v>826</v>
      </c>
      <c r="K255" s="1" t="s">
        <v>290</v>
      </c>
      <c r="L255" s="1" t="s">
        <v>70</v>
      </c>
      <c r="M255" s="1" t="s">
        <v>68</v>
      </c>
      <c r="N255" s="1" t="s">
        <v>71</v>
      </c>
      <c r="O255" s="1" t="s">
        <v>68</v>
      </c>
      <c r="P255" s="1" t="s">
        <v>827</v>
      </c>
      <c r="Q255" s="1" t="s">
        <v>68</v>
      </c>
      <c r="R255" s="1" t="s">
        <v>829</v>
      </c>
      <c r="S255" s="1" t="s">
        <v>90</v>
      </c>
      <c r="T255" s="1" t="s">
        <v>91</v>
      </c>
      <c r="U255" s="1" t="s">
        <v>68</v>
      </c>
      <c r="V255" s="1" t="s">
        <v>68</v>
      </c>
      <c r="W255" s="1" t="s">
        <v>68</v>
      </c>
      <c r="X255" s="1" t="s">
        <v>68</v>
      </c>
      <c r="Y255" s="73"/>
      <c r="Z255" s="2" t="s">
        <v>265</v>
      </c>
      <c r="AA255" s="3">
        <v>-500</v>
      </c>
      <c r="AB255" s="4">
        <v>-131.94</v>
      </c>
      <c r="AC255" s="73">
        <v>46211</v>
      </c>
      <c r="AD255" s="73">
        <v>46211</v>
      </c>
      <c r="AE255" s="73"/>
      <c r="AF255" s="73">
        <v>46213</v>
      </c>
      <c r="AG255" s="3">
        <v>-500</v>
      </c>
      <c r="AH255" s="353" t="str">
        <f t="shared" si="15"/>
        <v/>
      </c>
      <c r="AI255" s="3" t="str">
        <f t="shared" si="16"/>
        <v>54</v>
      </c>
      <c r="AJ255" s="64" t="str">
        <f>VLOOKUP(T255,'GL Name'!A:B,2,0)</f>
        <v>ค่าวิจัยคุณภาพสินค้า</v>
      </c>
      <c r="AL255" s="13">
        <f t="shared" si="17"/>
        <v>0.26388</v>
      </c>
      <c r="AM255" s="13" t="e">
        <f>VLOOKUP(I255,'Order 301-305 (เรียง)'!A:B,2,0)</f>
        <v>#N/A</v>
      </c>
      <c r="AN255" t="e">
        <f>VLOOKUP(I255,'Order 301-305 (เรียง)'!A:C,3,0)</f>
        <v>#N/A</v>
      </c>
    </row>
    <row r="256" spans="1:40" x14ac:dyDescent="0.3">
      <c r="A256" s="1" t="s">
        <v>9</v>
      </c>
      <c r="B256" s="1" t="s">
        <v>10</v>
      </c>
      <c r="C256" s="1" t="s">
        <v>64</v>
      </c>
      <c r="D256" s="1" t="s">
        <v>87</v>
      </c>
      <c r="E256" s="1" t="s">
        <v>88</v>
      </c>
      <c r="F256" s="1" t="s">
        <v>825</v>
      </c>
      <c r="G256" s="1" t="s">
        <v>278</v>
      </c>
      <c r="H256" s="1" t="s">
        <v>327</v>
      </c>
      <c r="I256" s="1" t="s">
        <v>68</v>
      </c>
      <c r="J256" s="1" t="s">
        <v>826</v>
      </c>
      <c r="K256" s="1" t="s">
        <v>290</v>
      </c>
      <c r="L256" s="1" t="s">
        <v>86</v>
      </c>
      <c r="M256" s="1" t="s">
        <v>68</v>
      </c>
      <c r="N256" s="1" t="s">
        <v>71</v>
      </c>
      <c r="O256" s="1" t="s">
        <v>68</v>
      </c>
      <c r="P256" s="1" t="s">
        <v>827</v>
      </c>
      <c r="Q256" s="1" t="s">
        <v>68</v>
      </c>
      <c r="R256" s="1" t="s">
        <v>828</v>
      </c>
      <c r="S256" s="1" t="s">
        <v>90</v>
      </c>
      <c r="T256" s="1" t="s">
        <v>91</v>
      </c>
      <c r="U256" s="1" t="s">
        <v>68</v>
      </c>
      <c r="V256" s="1" t="s">
        <v>68</v>
      </c>
      <c r="W256" s="1" t="s">
        <v>68</v>
      </c>
      <c r="X256" s="1" t="s">
        <v>68</v>
      </c>
      <c r="Y256" s="73"/>
      <c r="Z256" s="2" t="s">
        <v>265</v>
      </c>
      <c r="AA256" s="3">
        <v>-500</v>
      </c>
      <c r="AB256" s="4">
        <v>-131.94</v>
      </c>
      <c r="AC256" s="73">
        <v>46211</v>
      </c>
      <c r="AD256" s="73">
        <v>46211</v>
      </c>
      <c r="AE256" s="73"/>
      <c r="AF256" s="73">
        <v>46213</v>
      </c>
      <c r="AG256" s="3">
        <v>-500</v>
      </c>
      <c r="AH256" s="353" t="str">
        <f t="shared" si="15"/>
        <v/>
      </c>
      <c r="AI256" s="3" t="str">
        <f t="shared" si="16"/>
        <v>54</v>
      </c>
      <c r="AJ256" s="64" t="str">
        <f>VLOOKUP(T256,'GL Name'!A:B,2,0)</f>
        <v>ค่าวิจัยคุณภาพสินค้า</v>
      </c>
      <c r="AL256" s="13">
        <f t="shared" si="17"/>
        <v>0.26388</v>
      </c>
      <c r="AM256" s="13" t="e">
        <f>VLOOKUP(I256,'Order 301-305 (เรียง)'!A:B,2,0)</f>
        <v>#N/A</v>
      </c>
      <c r="AN256" t="e">
        <f>VLOOKUP(I256,'Order 301-305 (เรียง)'!A:C,3,0)</f>
        <v>#N/A</v>
      </c>
    </row>
    <row r="257" spans="1:40" x14ac:dyDescent="0.3">
      <c r="A257" s="1" t="s">
        <v>9</v>
      </c>
      <c r="B257" s="1" t="s">
        <v>10</v>
      </c>
      <c r="C257" s="1" t="s">
        <v>64</v>
      </c>
      <c r="D257" s="1" t="s">
        <v>87</v>
      </c>
      <c r="E257" s="1" t="s">
        <v>88</v>
      </c>
      <c r="F257" s="1" t="s">
        <v>830</v>
      </c>
      <c r="G257" s="1" t="s">
        <v>278</v>
      </c>
      <c r="H257" s="1" t="s">
        <v>327</v>
      </c>
      <c r="I257" s="1" t="s">
        <v>68</v>
      </c>
      <c r="J257" s="1" t="s">
        <v>831</v>
      </c>
      <c r="K257" s="1" t="s">
        <v>290</v>
      </c>
      <c r="L257" s="1" t="s">
        <v>70</v>
      </c>
      <c r="M257" s="1" t="s">
        <v>68</v>
      </c>
      <c r="N257" s="1" t="s">
        <v>71</v>
      </c>
      <c r="O257" s="1" t="s">
        <v>68</v>
      </c>
      <c r="P257" s="1" t="s">
        <v>832</v>
      </c>
      <c r="Q257" s="1" t="s">
        <v>68</v>
      </c>
      <c r="R257" s="1" t="s">
        <v>833</v>
      </c>
      <c r="S257" s="1" t="s">
        <v>90</v>
      </c>
      <c r="T257" s="1" t="s">
        <v>91</v>
      </c>
      <c r="U257" s="1" t="s">
        <v>68</v>
      </c>
      <c r="V257" s="1" t="s">
        <v>68</v>
      </c>
      <c r="W257" s="1" t="s">
        <v>68</v>
      </c>
      <c r="X257" s="1" t="s">
        <v>68</v>
      </c>
      <c r="Y257" s="73"/>
      <c r="Z257" s="2" t="s">
        <v>265</v>
      </c>
      <c r="AA257" s="3">
        <v>-500</v>
      </c>
      <c r="AB257" s="4">
        <v>-131.94</v>
      </c>
      <c r="AC257" s="73">
        <v>46212</v>
      </c>
      <c r="AD257" s="73">
        <v>46212</v>
      </c>
      <c r="AE257" s="73"/>
      <c r="AF257" s="73">
        <v>46213</v>
      </c>
      <c r="AG257" s="3">
        <v>-500</v>
      </c>
      <c r="AH257" s="353" t="str">
        <f t="shared" si="15"/>
        <v/>
      </c>
      <c r="AI257" s="3" t="str">
        <f t="shared" si="16"/>
        <v>54</v>
      </c>
      <c r="AJ257" s="64" t="str">
        <f>VLOOKUP(T257,'GL Name'!A:B,2,0)</f>
        <v>ค่าวิจัยคุณภาพสินค้า</v>
      </c>
      <c r="AL257" s="13">
        <f t="shared" si="17"/>
        <v>0.26388</v>
      </c>
      <c r="AM257" s="13" t="e">
        <f>VLOOKUP(I257,'Order 301-305 (เรียง)'!A:B,2,0)</f>
        <v>#N/A</v>
      </c>
      <c r="AN257" t="e">
        <f>VLOOKUP(I257,'Order 301-305 (เรียง)'!A:C,3,0)</f>
        <v>#N/A</v>
      </c>
    </row>
    <row r="258" spans="1:40" x14ac:dyDescent="0.3">
      <c r="A258" s="1" t="s">
        <v>62</v>
      </c>
      <c r="B258" s="1" t="s">
        <v>63</v>
      </c>
      <c r="C258" s="1" t="s">
        <v>64</v>
      </c>
      <c r="D258" s="1" t="s">
        <v>65</v>
      </c>
      <c r="E258" s="1" t="s">
        <v>66</v>
      </c>
      <c r="F258" s="1" t="s">
        <v>834</v>
      </c>
      <c r="G258" s="1" t="s">
        <v>67</v>
      </c>
      <c r="H258" s="1" t="s">
        <v>287</v>
      </c>
      <c r="I258" s="1" t="s">
        <v>68</v>
      </c>
      <c r="J258" s="1" t="s">
        <v>835</v>
      </c>
      <c r="K258" s="1" t="s">
        <v>231</v>
      </c>
      <c r="L258" s="1" t="s">
        <v>70</v>
      </c>
      <c r="M258" s="1" t="s">
        <v>68</v>
      </c>
      <c r="N258" s="1" t="s">
        <v>71</v>
      </c>
      <c r="O258" s="1" t="s">
        <v>68</v>
      </c>
      <c r="P258" s="1" t="s">
        <v>72</v>
      </c>
      <c r="Q258" s="1" t="s">
        <v>68</v>
      </c>
      <c r="R258" s="1" t="s">
        <v>68</v>
      </c>
      <c r="S258" s="1" t="s">
        <v>68</v>
      </c>
      <c r="T258" s="1" t="s">
        <v>73</v>
      </c>
      <c r="U258" s="1" t="s">
        <v>68</v>
      </c>
      <c r="V258" s="1" t="s">
        <v>68</v>
      </c>
      <c r="W258" s="1" t="s">
        <v>68</v>
      </c>
      <c r="X258" s="1" t="s">
        <v>836</v>
      </c>
      <c r="Y258" s="73"/>
      <c r="Z258" s="2" t="s">
        <v>74</v>
      </c>
      <c r="AA258" s="3">
        <v>-20</v>
      </c>
      <c r="AB258" s="4">
        <v>-3396.4</v>
      </c>
      <c r="AC258" s="73">
        <v>46213</v>
      </c>
      <c r="AD258" s="73">
        <v>46213</v>
      </c>
      <c r="AE258" s="73"/>
      <c r="AF258" s="73">
        <v>46213</v>
      </c>
      <c r="AG258" s="3">
        <v>-10000</v>
      </c>
      <c r="AH258" s="353" t="str">
        <f t="shared" si="15"/>
        <v/>
      </c>
      <c r="AI258" s="3" t="str">
        <f t="shared" si="16"/>
        <v>59</v>
      </c>
      <c r="AJ258" s="64" t="str">
        <f>VLOOKUP(T258,'GL Name'!A:B,2,0)</f>
        <v>ต้นทุนขาย</v>
      </c>
      <c r="AL258" s="13">
        <f t="shared" si="17"/>
        <v>169.82</v>
      </c>
      <c r="AM258" s="13" t="e">
        <f>VLOOKUP(I258,'Order 301-305 (เรียง)'!A:B,2,0)</f>
        <v>#N/A</v>
      </c>
      <c r="AN258" t="e">
        <f>VLOOKUP(I258,'Order 301-305 (เรียง)'!A:C,3,0)</f>
        <v>#N/A</v>
      </c>
    </row>
    <row r="259" spans="1:40" x14ac:dyDescent="0.3">
      <c r="A259" s="1" t="s">
        <v>75</v>
      </c>
      <c r="B259" s="1" t="s">
        <v>76</v>
      </c>
      <c r="C259" s="1" t="s">
        <v>64</v>
      </c>
      <c r="D259" s="1" t="s">
        <v>65</v>
      </c>
      <c r="E259" s="1" t="s">
        <v>66</v>
      </c>
      <c r="F259" s="1" t="s">
        <v>837</v>
      </c>
      <c r="G259" s="1" t="s">
        <v>67</v>
      </c>
      <c r="H259" s="1" t="s">
        <v>301</v>
      </c>
      <c r="I259" s="1" t="s">
        <v>68</v>
      </c>
      <c r="J259" s="1" t="s">
        <v>838</v>
      </c>
      <c r="K259" s="1" t="s">
        <v>69</v>
      </c>
      <c r="L259" s="1" t="s">
        <v>70</v>
      </c>
      <c r="M259" s="1" t="s">
        <v>68</v>
      </c>
      <c r="N259" s="1" t="s">
        <v>71</v>
      </c>
      <c r="O259" s="1" t="s">
        <v>68</v>
      </c>
      <c r="P259" s="1" t="s">
        <v>72</v>
      </c>
      <c r="Q259" s="1" t="s">
        <v>68</v>
      </c>
      <c r="R259" s="1" t="s">
        <v>68</v>
      </c>
      <c r="S259" s="1" t="s">
        <v>68</v>
      </c>
      <c r="T259" s="1" t="s">
        <v>73</v>
      </c>
      <c r="U259" s="1" t="s">
        <v>68</v>
      </c>
      <c r="V259" s="1" t="s">
        <v>68</v>
      </c>
      <c r="W259" s="1" t="s">
        <v>68</v>
      </c>
      <c r="X259" s="1" t="s">
        <v>839</v>
      </c>
      <c r="Y259" s="73"/>
      <c r="Z259" s="2" t="s">
        <v>74</v>
      </c>
      <c r="AA259" s="3">
        <v>-28</v>
      </c>
      <c r="AB259" s="4">
        <v>-4006.52</v>
      </c>
      <c r="AC259" s="73">
        <v>46213</v>
      </c>
      <c r="AD259" s="73">
        <v>46213</v>
      </c>
      <c r="AE259" s="73"/>
      <c r="AF259" s="73">
        <v>46213</v>
      </c>
      <c r="AG259" s="3">
        <v>-14000</v>
      </c>
      <c r="AH259" s="353" t="str">
        <f t="shared" si="15"/>
        <v/>
      </c>
      <c r="AI259" s="3" t="str">
        <f t="shared" si="16"/>
        <v>59</v>
      </c>
      <c r="AJ259" s="64" t="str">
        <f>VLOOKUP(T259,'GL Name'!A:B,2,0)</f>
        <v>ต้นทุนขาย</v>
      </c>
      <c r="AL259" s="13">
        <f t="shared" si="17"/>
        <v>143.09</v>
      </c>
      <c r="AM259" s="13" t="e">
        <f>VLOOKUP(I259,'Order 301-305 (เรียง)'!A:B,2,0)</f>
        <v>#N/A</v>
      </c>
      <c r="AN259" t="e">
        <f>VLOOKUP(I259,'Order 301-305 (เรียง)'!A:C,3,0)</f>
        <v>#N/A</v>
      </c>
    </row>
    <row r="260" spans="1:40" x14ac:dyDescent="0.3">
      <c r="A260" s="1" t="s">
        <v>863</v>
      </c>
      <c r="B260" s="1" t="s">
        <v>864</v>
      </c>
      <c r="C260" s="1" t="s">
        <v>64</v>
      </c>
      <c r="D260" s="1" t="s">
        <v>65</v>
      </c>
      <c r="E260" s="1" t="s">
        <v>66</v>
      </c>
      <c r="F260" s="1" t="s">
        <v>865</v>
      </c>
      <c r="G260" s="1" t="s">
        <v>67</v>
      </c>
      <c r="H260" s="1" t="s">
        <v>264</v>
      </c>
      <c r="I260" s="1" t="s">
        <v>68</v>
      </c>
      <c r="J260" s="1" t="s">
        <v>866</v>
      </c>
      <c r="K260" s="1" t="s">
        <v>231</v>
      </c>
      <c r="L260" s="1" t="s">
        <v>70</v>
      </c>
      <c r="M260" s="1" t="s">
        <v>68</v>
      </c>
      <c r="N260" s="1" t="s">
        <v>71</v>
      </c>
      <c r="O260" s="1" t="s">
        <v>68</v>
      </c>
      <c r="P260" s="1" t="s">
        <v>72</v>
      </c>
      <c r="Q260" s="1" t="s">
        <v>68</v>
      </c>
      <c r="R260" s="1" t="s">
        <v>68</v>
      </c>
      <c r="S260" s="1" t="s">
        <v>68</v>
      </c>
      <c r="T260" s="1" t="s">
        <v>73</v>
      </c>
      <c r="U260" s="1" t="s">
        <v>68</v>
      </c>
      <c r="V260" s="1" t="s">
        <v>68</v>
      </c>
      <c r="W260" s="1" t="s">
        <v>68</v>
      </c>
      <c r="X260" s="1" t="s">
        <v>867</v>
      </c>
      <c r="Y260" s="73"/>
      <c r="Z260" s="2" t="s">
        <v>74</v>
      </c>
      <c r="AA260" s="3">
        <v>-2</v>
      </c>
      <c r="AB260" s="4">
        <v>-181.8</v>
      </c>
      <c r="AC260" s="73">
        <v>46213</v>
      </c>
      <c r="AD260" s="73">
        <v>46213</v>
      </c>
      <c r="AE260" s="73"/>
      <c r="AF260" s="73">
        <v>46213</v>
      </c>
      <c r="AG260" s="3">
        <v>-500</v>
      </c>
      <c r="AH260" s="353" t="str">
        <f t="shared" si="15"/>
        <v/>
      </c>
      <c r="AI260" s="3" t="str">
        <f t="shared" si="16"/>
        <v>59</v>
      </c>
      <c r="AJ260" s="64" t="str">
        <f>VLOOKUP(T260,'GL Name'!A:B,2,0)</f>
        <v>ต้นทุนขาย</v>
      </c>
      <c r="AL260" s="13">
        <f t="shared" si="17"/>
        <v>90.9</v>
      </c>
      <c r="AM260" s="13" t="e">
        <f>VLOOKUP(I260,'Order 301-305 (เรียง)'!A:B,2,0)</f>
        <v>#N/A</v>
      </c>
      <c r="AN260" t="e">
        <f>VLOOKUP(I260,'Order 301-305 (เรียง)'!A:C,3,0)</f>
        <v>#N/A</v>
      </c>
    </row>
    <row r="261" spans="1:40" x14ac:dyDescent="0.3">
      <c r="A261" s="1" t="s">
        <v>62</v>
      </c>
      <c r="B261" s="1" t="s">
        <v>63</v>
      </c>
      <c r="C261" s="1" t="s">
        <v>64</v>
      </c>
      <c r="D261" s="1" t="s">
        <v>65</v>
      </c>
      <c r="E261" s="1" t="s">
        <v>66</v>
      </c>
      <c r="F261" s="1" t="s">
        <v>868</v>
      </c>
      <c r="G261" s="1" t="s">
        <v>83</v>
      </c>
      <c r="H261" s="1" t="s">
        <v>287</v>
      </c>
      <c r="I261" s="1" t="s">
        <v>68</v>
      </c>
      <c r="J261" s="1" t="s">
        <v>869</v>
      </c>
      <c r="K261" s="1" t="s">
        <v>231</v>
      </c>
      <c r="L261" s="1" t="s">
        <v>70</v>
      </c>
      <c r="M261" s="1" t="s">
        <v>68</v>
      </c>
      <c r="N261" s="1" t="s">
        <v>71</v>
      </c>
      <c r="O261" s="1" t="s">
        <v>68</v>
      </c>
      <c r="P261" s="1" t="s">
        <v>72</v>
      </c>
      <c r="Q261" s="1" t="s">
        <v>68</v>
      </c>
      <c r="R261" s="1" t="s">
        <v>68</v>
      </c>
      <c r="S261" s="1" t="s">
        <v>68</v>
      </c>
      <c r="T261" s="1" t="s">
        <v>73</v>
      </c>
      <c r="U261" s="1" t="s">
        <v>68</v>
      </c>
      <c r="V261" s="1" t="s">
        <v>68</v>
      </c>
      <c r="W261" s="1" t="s">
        <v>68</v>
      </c>
      <c r="X261" s="1" t="s">
        <v>870</v>
      </c>
      <c r="Y261" s="73"/>
      <c r="Z261" s="2" t="s">
        <v>74</v>
      </c>
      <c r="AA261" s="3">
        <v>-2</v>
      </c>
      <c r="AB261" s="4">
        <v>-339.64</v>
      </c>
      <c r="AC261" s="73">
        <v>46213</v>
      </c>
      <c r="AD261" s="73">
        <v>46213</v>
      </c>
      <c r="AE261" s="73"/>
      <c r="AF261" s="73">
        <v>46213</v>
      </c>
      <c r="AG261" s="3">
        <v>-1000</v>
      </c>
      <c r="AH261" s="353" t="str">
        <f t="shared" si="15"/>
        <v/>
      </c>
      <c r="AI261" s="3" t="str">
        <f t="shared" si="16"/>
        <v>59</v>
      </c>
      <c r="AJ261" s="64" t="str">
        <f>VLOOKUP(T261,'GL Name'!A:B,2,0)</f>
        <v>ต้นทุนขาย</v>
      </c>
      <c r="AL261" s="13">
        <f t="shared" si="17"/>
        <v>169.82</v>
      </c>
      <c r="AM261" s="13" t="e">
        <f>VLOOKUP(I261,'Order 301-305 (เรียง)'!A:B,2,0)</f>
        <v>#N/A</v>
      </c>
      <c r="AN261" t="e">
        <f>VLOOKUP(I261,'Order 301-305 (เรียง)'!A:C,3,0)</f>
        <v>#N/A</v>
      </c>
    </row>
    <row r="262" spans="1:40" x14ac:dyDescent="0.3">
      <c r="A262" s="1" t="s">
        <v>106</v>
      </c>
      <c r="B262" s="1" t="s">
        <v>107</v>
      </c>
      <c r="C262" s="1" t="s">
        <v>64</v>
      </c>
      <c r="D262" s="1" t="s">
        <v>125</v>
      </c>
      <c r="E262" s="1" t="s">
        <v>289</v>
      </c>
      <c r="F262" s="1" t="s">
        <v>871</v>
      </c>
      <c r="G262" s="1" t="s">
        <v>101</v>
      </c>
      <c r="H262" s="1" t="s">
        <v>286</v>
      </c>
      <c r="I262" s="1" t="s">
        <v>68</v>
      </c>
      <c r="J262" s="1" t="s">
        <v>872</v>
      </c>
      <c r="K262" s="1" t="s">
        <v>294</v>
      </c>
      <c r="L262" s="1" t="s">
        <v>70</v>
      </c>
      <c r="M262" s="1" t="s">
        <v>68</v>
      </c>
      <c r="N262" s="1" t="s">
        <v>71</v>
      </c>
      <c r="O262" s="1" t="s">
        <v>68</v>
      </c>
      <c r="P262" s="1" t="s">
        <v>72</v>
      </c>
      <c r="Q262" s="1" t="s">
        <v>68</v>
      </c>
      <c r="R262" s="1" t="s">
        <v>68</v>
      </c>
      <c r="S262" s="1" t="s">
        <v>68</v>
      </c>
      <c r="T262" s="1" t="s">
        <v>68</v>
      </c>
      <c r="U262" s="1" t="s">
        <v>68</v>
      </c>
      <c r="V262" s="1" t="s">
        <v>68</v>
      </c>
      <c r="W262" s="1" t="s">
        <v>68</v>
      </c>
      <c r="X262" s="1" t="s">
        <v>68</v>
      </c>
      <c r="Y262" s="73"/>
      <c r="Z262" s="2" t="s">
        <v>102</v>
      </c>
      <c r="AA262" s="3">
        <v>-20000</v>
      </c>
      <c r="AB262" s="4">
        <v>0</v>
      </c>
      <c r="AC262" s="73">
        <v>46213</v>
      </c>
      <c r="AD262" s="73">
        <v>46213</v>
      </c>
      <c r="AE262" s="73"/>
      <c r="AF262" s="73">
        <v>46213</v>
      </c>
      <c r="AG262" s="3">
        <v>-20000</v>
      </c>
      <c r="AH262" s="353" t="str">
        <f t="shared" si="15"/>
        <v/>
      </c>
      <c r="AI262" s="3" t="str">
        <f t="shared" si="16"/>
        <v>58</v>
      </c>
      <c r="AJ262" s="64" t="e">
        <f>VLOOKUP(T262,'GL Name'!A:B,2,0)</f>
        <v>#N/A</v>
      </c>
      <c r="AL262" s="13">
        <f t="shared" si="17"/>
        <v>0</v>
      </c>
      <c r="AM262" s="13" t="e">
        <f>VLOOKUP(I262,'Order 301-305 (เรียง)'!A:B,2,0)</f>
        <v>#N/A</v>
      </c>
      <c r="AN262" t="e">
        <f>VLOOKUP(I262,'Order 301-305 (เรียง)'!A:C,3,0)</f>
        <v>#N/A</v>
      </c>
    </row>
    <row r="263" spans="1:40" x14ac:dyDescent="0.3">
      <c r="A263" s="1" t="s">
        <v>106</v>
      </c>
      <c r="B263" s="1" t="s">
        <v>107</v>
      </c>
      <c r="C263" s="1" t="s">
        <v>64</v>
      </c>
      <c r="D263" s="1" t="s">
        <v>125</v>
      </c>
      <c r="E263" s="1" t="s">
        <v>289</v>
      </c>
      <c r="F263" s="1" t="s">
        <v>871</v>
      </c>
      <c r="G263" s="1" t="s">
        <v>103</v>
      </c>
      <c r="H263" s="1" t="s">
        <v>286</v>
      </c>
      <c r="I263" s="1" t="s">
        <v>68</v>
      </c>
      <c r="J263" s="1" t="s">
        <v>872</v>
      </c>
      <c r="K263" s="1" t="s">
        <v>294</v>
      </c>
      <c r="L263" s="1" t="s">
        <v>86</v>
      </c>
      <c r="M263" s="1" t="s">
        <v>68</v>
      </c>
      <c r="N263" s="1" t="s">
        <v>71</v>
      </c>
      <c r="O263" s="1" t="s">
        <v>68</v>
      </c>
      <c r="P263" s="1" t="s">
        <v>72</v>
      </c>
      <c r="Q263" s="1" t="s">
        <v>68</v>
      </c>
      <c r="R263" s="1" t="s">
        <v>68</v>
      </c>
      <c r="S263" s="1" t="s">
        <v>68</v>
      </c>
      <c r="T263" s="1" t="s">
        <v>68</v>
      </c>
      <c r="U263" s="1" t="s">
        <v>68</v>
      </c>
      <c r="V263" s="1" t="s">
        <v>68</v>
      </c>
      <c r="W263" s="1" t="s">
        <v>68</v>
      </c>
      <c r="X263" s="1" t="s">
        <v>68</v>
      </c>
      <c r="Y263" s="73"/>
      <c r="Z263" s="2" t="s">
        <v>102</v>
      </c>
      <c r="AA263" s="3">
        <v>20000</v>
      </c>
      <c r="AB263" s="4">
        <v>0</v>
      </c>
      <c r="AC263" s="73">
        <v>46213</v>
      </c>
      <c r="AD263" s="73">
        <v>46213</v>
      </c>
      <c r="AE263" s="73"/>
      <c r="AF263" s="73">
        <v>46213</v>
      </c>
      <c r="AG263" s="3">
        <v>20000</v>
      </c>
      <c r="AH263" s="353" t="str">
        <f t="shared" si="15"/>
        <v/>
      </c>
      <c r="AI263" s="3" t="str">
        <f t="shared" si="16"/>
        <v>58</v>
      </c>
      <c r="AJ263" s="64" t="e">
        <f>VLOOKUP(T263,'GL Name'!A:B,2,0)</f>
        <v>#N/A</v>
      </c>
      <c r="AL263" s="13">
        <f t="shared" si="17"/>
        <v>0</v>
      </c>
      <c r="AM263" s="13" t="e">
        <f>VLOOKUP(I263,'Order 301-305 (เรียง)'!A:B,2,0)</f>
        <v>#N/A</v>
      </c>
      <c r="AN263" t="e">
        <f>VLOOKUP(I263,'Order 301-305 (เรียง)'!A:C,3,0)</f>
        <v>#N/A</v>
      </c>
    </row>
    <row r="264" spans="1:40" x14ac:dyDescent="0.3">
      <c r="A264" s="1" t="s">
        <v>119</v>
      </c>
      <c r="B264" s="1" t="s">
        <v>120</v>
      </c>
      <c r="C264" s="1" t="s">
        <v>64</v>
      </c>
      <c r="D264" s="1" t="s">
        <v>125</v>
      </c>
      <c r="E264" s="1" t="s">
        <v>289</v>
      </c>
      <c r="F264" s="1" t="s">
        <v>871</v>
      </c>
      <c r="G264" s="1" t="s">
        <v>101</v>
      </c>
      <c r="H264" s="1" t="s">
        <v>307</v>
      </c>
      <c r="I264" s="1" t="s">
        <v>68</v>
      </c>
      <c r="J264" s="1" t="s">
        <v>872</v>
      </c>
      <c r="K264" s="1" t="s">
        <v>294</v>
      </c>
      <c r="L264" s="1" t="s">
        <v>92</v>
      </c>
      <c r="M264" s="1" t="s">
        <v>68</v>
      </c>
      <c r="N264" s="1" t="s">
        <v>71</v>
      </c>
      <c r="O264" s="1" t="s">
        <v>68</v>
      </c>
      <c r="P264" s="1" t="s">
        <v>72</v>
      </c>
      <c r="Q264" s="1" t="s">
        <v>68</v>
      </c>
      <c r="R264" s="1" t="s">
        <v>68</v>
      </c>
      <c r="S264" s="1" t="s">
        <v>68</v>
      </c>
      <c r="T264" s="1" t="s">
        <v>68</v>
      </c>
      <c r="U264" s="1" t="s">
        <v>68</v>
      </c>
      <c r="V264" s="1" t="s">
        <v>68</v>
      </c>
      <c r="W264" s="1" t="s">
        <v>68</v>
      </c>
      <c r="X264" s="1" t="s">
        <v>68</v>
      </c>
      <c r="Y264" s="73"/>
      <c r="Z264" s="2" t="s">
        <v>102</v>
      </c>
      <c r="AA264" s="3">
        <v>-36000</v>
      </c>
      <c r="AB264" s="4">
        <v>0</v>
      </c>
      <c r="AC264" s="73">
        <v>46213</v>
      </c>
      <c r="AD264" s="73">
        <v>46213</v>
      </c>
      <c r="AE264" s="73"/>
      <c r="AF264" s="73">
        <v>46213</v>
      </c>
      <c r="AG264" s="3">
        <v>-36000</v>
      </c>
      <c r="AH264" s="353" t="str">
        <f t="shared" si="15"/>
        <v/>
      </c>
      <c r="AI264" s="3" t="str">
        <f t="shared" si="16"/>
        <v>58</v>
      </c>
      <c r="AJ264" s="64" t="e">
        <f>VLOOKUP(T264,'GL Name'!A:B,2,0)</f>
        <v>#N/A</v>
      </c>
      <c r="AL264" s="13">
        <f t="shared" si="17"/>
        <v>0</v>
      </c>
      <c r="AM264" s="13" t="e">
        <f>VLOOKUP(I264,'Order 301-305 (เรียง)'!A:B,2,0)</f>
        <v>#N/A</v>
      </c>
      <c r="AN264" t="e">
        <f>VLOOKUP(I264,'Order 301-305 (เรียง)'!A:C,3,0)</f>
        <v>#N/A</v>
      </c>
    </row>
    <row r="265" spans="1:40" x14ac:dyDescent="0.3">
      <c r="A265" s="1" t="s">
        <v>119</v>
      </c>
      <c r="B265" s="1" t="s">
        <v>120</v>
      </c>
      <c r="C265" s="1" t="s">
        <v>64</v>
      </c>
      <c r="D265" s="1" t="s">
        <v>125</v>
      </c>
      <c r="E265" s="1" t="s">
        <v>289</v>
      </c>
      <c r="F265" s="1" t="s">
        <v>871</v>
      </c>
      <c r="G265" s="1" t="s">
        <v>103</v>
      </c>
      <c r="H265" s="1" t="s">
        <v>307</v>
      </c>
      <c r="I265" s="1" t="s">
        <v>68</v>
      </c>
      <c r="J265" s="1" t="s">
        <v>872</v>
      </c>
      <c r="K265" s="1" t="s">
        <v>294</v>
      </c>
      <c r="L265" s="1" t="s">
        <v>89</v>
      </c>
      <c r="M265" s="1" t="s">
        <v>68</v>
      </c>
      <c r="N265" s="1" t="s">
        <v>71</v>
      </c>
      <c r="O265" s="1" t="s">
        <v>68</v>
      </c>
      <c r="P265" s="1" t="s">
        <v>72</v>
      </c>
      <c r="Q265" s="1" t="s">
        <v>68</v>
      </c>
      <c r="R265" s="1" t="s">
        <v>68</v>
      </c>
      <c r="S265" s="1" t="s">
        <v>68</v>
      </c>
      <c r="T265" s="1" t="s">
        <v>68</v>
      </c>
      <c r="U265" s="1" t="s">
        <v>68</v>
      </c>
      <c r="V265" s="1" t="s">
        <v>68</v>
      </c>
      <c r="W265" s="1" t="s">
        <v>68</v>
      </c>
      <c r="X265" s="1" t="s">
        <v>68</v>
      </c>
      <c r="Y265" s="73"/>
      <c r="Z265" s="2" t="s">
        <v>102</v>
      </c>
      <c r="AA265" s="3">
        <v>36000</v>
      </c>
      <c r="AB265" s="4">
        <v>0</v>
      </c>
      <c r="AC265" s="73">
        <v>46213</v>
      </c>
      <c r="AD265" s="73">
        <v>46213</v>
      </c>
      <c r="AE265" s="73"/>
      <c r="AF265" s="73">
        <v>46213</v>
      </c>
      <c r="AG265" s="3">
        <v>36000</v>
      </c>
      <c r="AH265" s="353" t="str">
        <f t="shared" si="15"/>
        <v/>
      </c>
      <c r="AI265" s="3" t="str">
        <f t="shared" si="16"/>
        <v>58</v>
      </c>
      <c r="AJ265" s="64" t="e">
        <f>VLOOKUP(T265,'GL Name'!A:B,2,0)</f>
        <v>#N/A</v>
      </c>
      <c r="AL265" s="13">
        <f t="shared" si="17"/>
        <v>0</v>
      </c>
      <c r="AM265" s="13" t="e">
        <f>VLOOKUP(I265,'Order 301-305 (เรียง)'!A:B,2,0)</f>
        <v>#N/A</v>
      </c>
      <c r="AN265" t="e">
        <f>VLOOKUP(I265,'Order 301-305 (เรียง)'!A:C,3,0)</f>
        <v>#N/A</v>
      </c>
    </row>
    <row r="266" spans="1:40" x14ac:dyDescent="0.3">
      <c r="A266" s="1" t="s">
        <v>121</v>
      </c>
      <c r="B266" s="1" t="s">
        <v>122</v>
      </c>
      <c r="C266" s="1" t="s">
        <v>64</v>
      </c>
      <c r="D266" s="1" t="s">
        <v>125</v>
      </c>
      <c r="E266" s="1" t="s">
        <v>289</v>
      </c>
      <c r="F266" s="1" t="s">
        <v>871</v>
      </c>
      <c r="G266" s="1" t="s">
        <v>101</v>
      </c>
      <c r="H266" s="1" t="s">
        <v>772</v>
      </c>
      <c r="I266" s="1" t="s">
        <v>68</v>
      </c>
      <c r="J266" s="1" t="s">
        <v>872</v>
      </c>
      <c r="K266" s="1" t="s">
        <v>294</v>
      </c>
      <c r="L266" s="1" t="s">
        <v>95</v>
      </c>
      <c r="M266" s="1" t="s">
        <v>68</v>
      </c>
      <c r="N266" s="1" t="s">
        <v>71</v>
      </c>
      <c r="O266" s="1" t="s">
        <v>68</v>
      </c>
      <c r="P266" s="1" t="s">
        <v>72</v>
      </c>
      <c r="Q266" s="1" t="s">
        <v>68</v>
      </c>
      <c r="R266" s="1" t="s">
        <v>68</v>
      </c>
      <c r="S266" s="1" t="s">
        <v>68</v>
      </c>
      <c r="T266" s="1" t="s">
        <v>68</v>
      </c>
      <c r="U266" s="1" t="s">
        <v>68</v>
      </c>
      <c r="V266" s="1" t="s">
        <v>68</v>
      </c>
      <c r="W266" s="1" t="s">
        <v>68</v>
      </c>
      <c r="X266" s="1" t="s">
        <v>68</v>
      </c>
      <c r="Y266" s="73"/>
      <c r="Z266" s="2" t="s">
        <v>102</v>
      </c>
      <c r="AA266" s="3">
        <v>-2600</v>
      </c>
      <c r="AB266" s="4">
        <v>0</v>
      </c>
      <c r="AC266" s="73">
        <v>46213</v>
      </c>
      <c r="AD266" s="73">
        <v>46213</v>
      </c>
      <c r="AE266" s="73"/>
      <c r="AF266" s="73">
        <v>46213</v>
      </c>
      <c r="AG266" s="3">
        <v>-2600</v>
      </c>
      <c r="AH266" s="353" t="str">
        <f t="shared" si="15"/>
        <v/>
      </c>
      <c r="AI266" s="3" t="str">
        <f t="shared" si="16"/>
        <v>58</v>
      </c>
      <c r="AJ266" s="64" t="e">
        <f>VLOOKUP(T266,'GL Name'!A:B,2,0)</f>
        <v>#N/A</v>
      </c>
      <c r="AL266" s="13">
        <f t="shared" si="17"/>
        <v>0</v>
      </c>
      <c r="AM266" s="13" t="e">
        <f>VLOOKUP(I266,'Order 301-305 (เรียง)'!A:B,2,0)</f>
        <v>#N/A</v>
      </c>
      <c r="AN266" t="e">
        <f>VLOOKUP(I266,'Order 301-305 (เรียง)'!A:C,3,0)</f>
        <v>#N/A</v>
      </c>
    </row>
    <row r="267" spans="1:40" x14ac:dyDescent="0.3">
      <c r="A267" s="1" t="s">
        <v>121</v>
      </c>
      <c r="B267" s="1" t="s">
        <v>122</v>
      </c>
      <c r="C267" s="1" t="s">
        <v>64</v>
      </c>
      <c r="D267" s="1" t="s">
        <v>125</v>
      </c>
      <c r="E267" s="1" t="s">
        <v>289</v>
      </c>
      <c r="F267" s="1" t="s">
        <v>871</v>
      </c>
      <c r="G267" s="1" t="s">
        <v>103</v>
      </c>
      <c r="H267" s="1" t="s">
        <v>772</v>
      </c>
      <c r="I267" s="1" t="s">
        <v>68</v>
      </c>
      <c r="J267" s="1" t="s">
        <v>872</v>
      </c>
      <c r="K267" s="1" t="s">
        <v>294</v>
      </c>
      <c r="L267" s="1" t="s">
        <v>111</v>
      </c>
      <c r="M267" s="1" t="s">
        <v>68</v>
      </c>
      <c r="N267" s="1" t="s">
        <v>71</v>
      </c>
      <c r="O267" s="1" t="s">
        <v>68</v>
      </c>
      <c r="P267" s="1" t="s">
        <v>72</v>
      </c>
      <c r="Q267" s="1" t="s">
        <v>68</v>
      </c>
      <c r="R267" s="1" t="s">
        <v>68</v>
      </c>
      <c r="S267" s="1" t="s">
        <v>68</v>
      </c>
      <c r="T267" s="1" t="s">
        <v>68</v>
      </c>
      <c r="U267" s="1" t="s">
        <v>68</v>
      </c>
      <c r="V267" s="1" t="s">
        <v>68</v>
      </c>
      <c r="W267" s="1" t="s">
        <v>68</v>
      </c>
      <c r="X267" s="1" t="s">
        <v>68</v>
      </c>
      <c r="Y267" s="73"/>
      <c r="Z267" s="2" t="s">
        <v>102</v>
      </c>
      <c r="AA267" s="3">
        <v>2600</v>
      </c>
      <c r="AB267" s="4">
        <v>0</v>
      </c>
      <c r="AC267" s="73">
        <v>46213</v>
      </c>
      <c r="AD267" s="73">
        <v>46213</v>
      </c>
      <c r="AE267" s="73"/>
      <c r="AF267" s="73">
        <v>46213</v>
      </c>
      <c r="AG267" s="3">
        <v>2600</v>
      </c>
      <c r="AH267" s="353" t="str">
        <f t="shared" si="15"/>
        <v/>
      </c>
      <c r="AI267" s="3" t="str">
        <f t="shared" si="16"/>
        <v>58</v>
      </c>
      <c r="AJ267" s="64" t="e">
        <f>VLOOKUP(T267,'GL Name'!A:B,2,0)</f>
        <v>#N/A</v>
      </c>
      <c r="AL267" s="13">
        <f t="shared" si="17"/>
        <v>0</v>
      </c>
      <c r="AM267" s="13" t="e">
        <f>VLOOKUP(I267,'Order 301-305 (เรียง)'!A:B,2,0)</f>
        <v>#N/A</v>
      </c>
      <c r="AN267" t="e">
        <f>VLOOKUP(I267,'Order 301-305 (เรียง)'!A:C,3,0)</f>
        <v>#N/A</v>
      </c>
    </row>
    <row r="268" spans="1:40" x14ac:dyDescent="0.3">
      <c r="A268" s="1" t="s">
        <v>81</v>
      </c>
      <c r="B268" s="1" t="s">
        <v>82</v>
      </c>
      <c r="C268" s="1" t="s">
        <v>64</v>
      </c>
      <c r="D268" s="1" t="s">
        <v>65</v>
      </c>
      <c r="E268" s="1" t="s">
        <v>66</v>
      </c>
      <c r="F268" s="1" t="s">
        <v>873</v>
      </c>
      <c r="G268" s="1" t="s">
        <v>83</v>
      </c>
      <c r="H268" s="1" t="s">
        <v>655</v>
      </c>
      <c r="I268" s="1" t="s">
        <v>68</v>
      </c>
      <c r="J268" s="1" t="s">
        <v>874</v>
      </c>
      <c r="K268" s="1" t="s">
        <v>118</v>
      </c>
      <c r="L268" s="1" t="s">
        <v>70</v>
      </c>
      <c r="M268" s="1" t="s">
        <v>68</v>
      </c>
      <c r="N268" s="1" t="s">
        <v>71</v>
      </c>
      <c r="O268" s="1" t="s">
        <v>68</v>
      </c>
      <c r="P268" s="1" t="s">
        <v>72</v>
      </c>
      <c r="Q268" s="1" t="s">
        <v>68</v>
      </c>
      <c r="R268" s="1" t="s">
        <v>68</v>
      </c>
      <c r="S268" s="1" t="s">
        <v>68</v>
      </c>
      <c r="T268" s="1" t="s">
        <v>73</v>
      </c>
      <c r="U268" s="1" t="s">
        <v>68</v>
      </c>
      <c r="V268" s="1" t="s">
        <v>68</v>
      </c>
      <c r="W268" s="1" t="s">
        <v>68</v>
      </c>
      <c r="X268" s="1" t="s">
        <v>875</v>
      </c>
      <c r="Y268" s="73"/>
      <c r="Z268" s="2" t="s">
        <v>85</v>
      </c>
      <c r="AA268" s="3">
        <v>-1920</v>
      </c>
      <c r="AB268" s="4">
        <v>-1956787.2</v>
      </c>
      <c r="AC268" s="73">
        <v>46213</v>
      </c>
      <c r="AD268" s="73">
        <v>46213</v>
      </c>
      <c r="AE268" s="73"/>
      <c r="AF268" s="73">
        <v>46213</v>
      </c>
      <c r="AG268" s="3">
        <v>-5760000</v>
      </c>
      <c r="AH268" s="353" t="str">
        <f t="shared" si="15"/>
        <v/>
      </c>
      <c r="AI268" s="3" t="str">
        <f t="shared" si="16"/>
        <v>59</v>
      </c>
      <c r="AJ268" s="64" t="str">
        <f>VLOOKUP(T268,'GL Name'!A:B,2,0)</f>
        <v>ต้นทุนขาย</v>
      </c>
      <c r="AL268" s="13">
        <f t="shared" si="17"/>
        <v>1019.16</v>
      </c>
      <c r="AM268" s="13" t="e">
        <f>VLOOKUP(I268,'Order 301-305 (เรียง)'!A:B,2,0)</f>
        <v>#N/A</v>
      </c>
      <c r="AN268" t="e">
        <f>VLOOKUP(I268,'Order 301-305 (เรียง)'!A:C,3,0)</f>
        <v>#N/A</v>
      </c>
    </row>
    <row r="269" spans="1:40" x14ac:dyDescent="0.3">
      <c r="A269" s="1" t="s">
        <v>81</v>
      </c>
      <c r="B269" s="1" t="s">
        <v>82</v>
      </c>
      <c r="C269" s="1" t="s">
        <v>64</v>
      </c>
      <c r="D269" s="1" t="s">
        <v>65</v>
      </c>
      <c r="E269" s="1" t="s">
        <v>66</v>
      </c>
      <c r="F269" s="1" t="s">
        <v>876</v>
      </c>
      <c r="G269" s="1" t="s">
        <v>83</v>
      </c>
      <c r="H269" s="1" t="s">
        <v>655</v>
      </c>
      <c r="I269" s="1" t="s">
        <v>68</v>
      </c>
      <c r="J269" s="1" t="s">
        <v>877</v>
      </c>
      <c r="K269" s="1" t="s">
        <v>118</v>
      </c>
      <c r="L269" s="1" t="s">
        <v>70</v>
      </c>
      <c r="M269" s="1" t="s">
        <v>68</v>
      </c>
      <c r="N269" s="1" t="s">
        <v>71</v>
      </c>
      <c r="O269" s="1" t="s">
        <v>68</v>
      </c>
      <c r="P269" s="1" t="s">
        <v>72</v>
      </c>
      <c r="Q269" s="1" t="s">
        <v>68</v>
      </c>
      <c r="R269" s="1" t="s">
        <v>68</v>
      </c>
      <c r="S269" s="1" t="s">
        <v>68</v>
      </c>
      <c r="T269" s="1" t="s">
        <v>73</v>
      </c>
      <c r="U269" s="1" t="s">
        <v>68</v>
      </c>
      <c r="V269" s="1" t="s">
        <v>68</v>
      </c>
      <c r="W269" s="1" t="s">
        <v>68</v>
      </c>
      <c r="X269" s="1" t="s">
        <v>878</v>
      </c>
      <c r="Y269" s="73"/>
      <c r="Z269" s="2" t="s">
        <v>85</v>
      </c>
      <c r="AA269" s="3">
        <v>-960</v>
      </c>
      <c r="AB269" s="4">
        <v>-978393.59999999998</v>
      </c>
      <c r="AC269" s="73">
        <v>46213</v>
      </c>
      <c r="AD269" s="73">
        <v>46213</v>
      </c>
      <c r="AE269" s="73"/>
      <c r="AF269" s="73">
        <v>46213</v>
      </c>
      <c r="AG269" s="3">
        <v>-2880000</v>
      </c>
      <c r="AH269" s="353" t="str">
        <f t="shared" si="15"/>
        <v/>
      </c>
      <c r="AI269" s="3" t="str">
        <f t="shared" si="16"/>
        <v>59</v>
      </c>
      <c r="AJ269" s="64" t="str">
        <f>VLOOKUP(T269,'GL Name'!A:B,2,0)</f>
        <v>ต้นทุนขาย</v>
      </c>
      <c r="AL269" s="13">
        <f t="shared" si="17"/>
        <v>1019.16</v>
      </c>
      <c r="AM269" s="13" t="e">
        <f>VLOOKUP(I269,'Order 301-305 (เรียง)'!A:B,2,0)</f>
        <v>#N/A</v>
      </c>
      <c r="AN269" t="e">
        <f>VLOOKUP(I269,'Order 301-305 (เรียง)'!A:C,3,0)</f>
        <v>#N/A</v>
      </c>
    </row>
    <row r="270" spans="1:40" x14ac:dyDescent="0.3">
      <c r="A270" s="1" t="s">
        <v>81</v>
      </c>
      <c r="B270" s="1" t="s">
        <v>82</v>
      </c>
      <c r="C270" s="1" t="s">
        <v>64</v>
      </c>
      <c r="D270" s="1" t="s">
        <v>87</v>
      </c>
      <c r="E270" s="1" t="s">
        <v>88</v>
      </c>
      <c r="F270" s="1" t="s">
        <v>879</v>
      </c>
      <c r="G270" s="1" t="s">
        <v>83</v>
      </c>
      <c r="H270" s="1" t="s">
        <v>655</v>
      </c>
      <c r="I270" s="1" t="s">
        <v>68</v>
      </c>
      <c r="J270" s="1" t="s">
        <v>880</v>
      </c>
      <c r="K270" s="1" t="s">
        <v>118</v>
      </c>
      <c r="L270" s="1" t="s">
        <v>70</v>
      </c>
      <c r="M270" s="1" t="s">
        <v>68</v>
      </c>
      <c r="N270" s="1" t="s">
        <v>71</v>
      </c>
      <c r="O270" s="1" t="s">
        <v>68</v>
      </c>
      <c r="P270" s="1" t="s">
        <v>881</v>
      </c>
      <c r="Q270" s="1" t="s">
        <v>68</v>
      </c>
      <c r="R270" s="1" t="s">
        <v>308</v>
      </c>
      <c r="S270" s="1" t="s">
        <v>90</v>
      </c>
      <c r="T270" s="1" t="s">
        <v>91</v>
      </c>
      <c r="U270" s="1" t="s">
        <v>68</v>
      </c>
      <c r="V270" s="1" t="s">
        <v>68</v>
      </c>
      <c r="W270" s="1" t="s">
        <v>68</v>
      </c>
      <c r="X270" s="1" t="s">
        <v>68</v>
      </c>
      <c r="Y270" s="73"/>
      <c r="Z270" s="2" t="s">
        <v>74</v>
      </c>
      <c r="AA270" s="3">
        <v>-4</v>
      </c>
      <c r="AB270" s="4">
        <v>-679.44</v>
      </c>
      <c r="AC270" s="73">
        <v>46213</v>
      </c>
      <c r="AD270" s="73">
        <v>46213</v>
      </c>
      <c r="AE270" s="73"/>
      <c r="AF270" s="73">
        <v>46213</v>
      </c>
      <c r="AG270" s="3">
        <v>-2000</v>
      </c>
      <c r="AH270" s="353" t="str">
        <f t="shared" si="15"/>
        <v/>
      </c>
      <c r="AI270" s="3" t="str">
        <f t="shared" si="16"/>
        <v>59</v>
      </c>
      <c r="AJ270" s="64" t="str">
        <f>VLOOKUP(T270,'GL Name'!A:B,2,0)</f>
        <v>ค่าวิจัยคุณภาพสินค้า</v>
      </c>
      <c r="AL270" s="13">
        <f t="shared" si="17"/>
        <v>169.86</v>
      </c>
      <c r="AM270" s="13" t="e">
        <f>VLOOKUP(I270,'Order 301-305 (เรียง)'!A:B,2,0)</f>
        <v>#N/A</v>
      </c>
      <c r="AN270" t="e">
        <f>VLOOKUP(I270,'Order 301-305 (เรียง)'!A:C,3,0)</f>
        <v>#N/A</v>
      </c>
    </row>
    <row r="271" spans="1:40" x14ac:dyDescent="0.3">
      <c r="A271" s="1" t="s">
        <v>863</v>
      </c>
      <c r="B271" s="1" t="s">
        <v>864</v>
      </c>
      <c r="C271" s="1" t="s">
        <v>64</v>
      </c>
      <c r="D271" s="1" t="s">
        <v>882</v>
      </c>
      <c r="E271" s="1" t="s">
        <v>883</v>
      </c>
      <c r="F271" s="1" t="s">
        <v>884</v>
      </c>
      <c r="G271" s="1" t="s">
        <v>885</v>
      </c>
      <c r="H271" s="1" t="s">
        <v>264</v>
      </c>
      <c r="I271" s="1" t="s">
        <v>68</v>
      </c>
      <c r="J271" s="1" t="s">
        <v>886</v>
      </c>
      <c r="K271" s="1" t="s">
        <v>69</v>
      </c>
      <c r="L271" s="1" t="s">
        <v>86</v>
      </c>
      <c r="M271" s="1" t="s">
        <v>68</v>
      </c>
      <c r="N271" s="1" t="s">
        <v>71</v>
      </c>
      <c r="O271" s="1" t="s">
        <v>887</v>
      </c>
      <c r="P271" s="1" t="s">
        <v>888</v>
      </c>
      <c r="Q271" s="1" t="s">
        <v>68</v>
      </c>
      <c r="R271" s="1" t="s">
        <v>68</v>
      </c>
      <c r="S271" s="1" t="s">
        <v>68</v>
      </c>
      <c r="T271" s="1" t="s">
        <v>68</v>
      </c>
      <c r="U271" s="1" t="s">
        <v>68</v>
      </c>
      <c r="V271" s="1" t="s">
        <v>889</v>
      </c>
      <c r="W271" s="1" t="s">
        <v>68</v>
      </c>
      <c r="X271" s="1" t="s">
        <v>68</v>
      </c>
      <c r="Y271" s="73"/>
      <c r="Z271" s="2" t="s">
        <v>74</v>
      </c>
      <c r="AA271" s="3">
        <v>-12</v>
      </c>
      <c r="AB271" s="4">
        <v>0</v>
      </c>
      <c r="AC271" s="73">
        <v>46213</v>
      </c>
      <c r="AD271" s="73">
        <v>46213</v>
      </c>
      <c r="AE271" s="73"/>
      <c r="AF271" s="73">
        <v>46213</v>
      </c>
      <c r="AG271" s="3">
        <v>-3000</v>
      </c>
      <c r="AH271" s="353" t="str">
        <f t="shared" si="15"/>
        <v/>
      </c>
      <c r="AI271" s="3" t="str">
        <f t="shared" si="16"/>
        <v>59</v>
      </c>
      <c r="AJ271" s="64" t="e">
        <f>VLOOKUP(T271,'GL Name'!A:B,2,0)</f>
        <v>#N/A</v>
      </c>
      <c r="AL271" s="13">
        <f t="shared" si="17"/>
        <v>0</v>
      </c>
      <c r="AM271" s="13" t="e">
        <f>VLOOKUP(I271,'Order 301-305 (เรียง)'!A:B,2,0)</f>
        <v>#N/A</v>
      </c>
      <c r="AN271" t="e">
        <f>VLOOKUP(I271,'Order 301-305 (เรียง)'!A:C,3,0)</f>
        <v>#N/A</v>
      </c>
    </row>
    <row r="272" spans="1:40" x14ac:dyDescent="0.3">
      <c r="A272" s="1" t="s">
        <v>863</v>
      </c>
      <c r="B272" s="1" t="s">
        <v>864</v>
      </c>
      <c r="C272" s="1" t="s">
        <v>64</v>
      </c>
      <c r="D272" s="1" t="s">
        <v>882</v>
      </c>
      <c r="E272" s="1" t="s">
        <v>883</v>
      </c>
      <c r="F272" s="1" t="s">
        <v>884</v>
      </c>
      <c r="G272" s="1" t="s">
        <v>67</v>
      </c>
      <c r="H272" s="1" t="s">
        <v>264</v>
      </c>
      <c r="I272" s="1" t="s">
        <v>68</v>
      </c>
      <c r="J272" s="1" t="s">
        <v>886</v>
      </c>
      <c r="K272" s="1" t="s">
        <v>69</v>
      </c>
      <c r="L272" s="1" t="s">
        <v>70</v>
      </c>
      <c r="M272" s="1" t="s">
        <v>68</v>
      </c>
      <c r="N272" s="1" t="s">
        <v>71</v>
      </c>
      <c r="O272" s="1" t="s">
        <v>68</v>
      </c>
      <c r="P272" s="1" t="s">
        <v>888</v>
      </c>
      <c r="Q272" s="1" t="s">
        <v>68</v>
      </c>
      <c r="R272" s="1" t="s">
        <v>68</v>
      </c>
      <c r="S272" s="1" t="s">
        <v>68</v>
      </c>
      <c r="T272" s="1" t="s">
        <v>68</v>
      </c>
      <c r="U272" s="1" t="s">
        <v>68</v>
      </c>
      <c r="V272" s="1" t="s">
        <v>889</v>
      </c>
      <c r="W272" s="1" t="s">
        <v>68</v>
      </c>
      <c r="X272" s="1" t="s">
        <v>68</v>
      </c>
      <c r="Y272" s="73"/>
      <c r="Z272" s="2" t="s">
        <v>74</v>
      </c>
      <c r="AA272" s="3">
        <v>12</v>
      </c>
      <c r="AB272" s="4">
        <v>0</v>
      </c>
      <c r="AC272" s="73">
        <v>46213</v>
      </c>
      <c r="AD272" s="73">
        <v>46213</v>
      </c>
      <c r="AE272" s="73"/>
      <c r="AF272" s="73">
        <v>46213</v>
      </c>
      <c r="AG272" s="3">
        <v>3000</v>
      </c>
      <c r="AH272" s="353" t="str">
        <f t="shared" si="15"/>
        <v/>
      </c>
      <c r="AI272" s="3" t="str">
        <f t="shared" si="16"/>
        <v>59</v>
      </c>
      <c r="AJ272" s="64" t="e">
        <f>VLOOKUP(T272,'GL Name'!A:B,2,0)</f>
        <v>#N/A</v>
      </c>
      <c r="AL272" s="13">
        <f t="shared" si="17"/>
        <v>0</v>
      </c>
      <c r="AM272" s="13" t="e">
        <f>VLOOKUP(I272,'Order 301-305 (เรียง)'!A:B,2,0)</f>
        <v>#N/A</v>
      </c>
      <c r="AN272" t="e">
        <f>VLOOKUP(I272,'Order 301-305 (เรียง)'!A:C,3,0)</f>
        <v>#N/A</v>
      </c>
    </row>
    <row r="273" spans="1:40" x14ac:dyDescent="0.3">
      <c r="A273" s="1" t="s">
        <v>262</v>
      </c>
      <c r="B273" s="1" t="s">
        <v>263</v>
      </c>
      <c r="C273" s="1" t="s">
        <v>64</v>
      </c>
      <c r="D273" s="1" t="s">
        <v>882</v>
      </c>
      <c r="E273" s="1" t="s">
        <v>883</v>
      </c>
      <c r="F273" s="1" t="s">
        <v>884</v>
      </c>
      <c r="G273" s="1" t="s">
        <v>67</v>
      </c>
      <c r="H273" s="1" t="s">
        <v>264</v>
      </c>
      <c r="I273" s="1" t="s">
        <v>68</v>
      </c>
      <c r="J273" s="1" t="s">
        <v>886</v>
      </c>
      <c r="K273" s="1" t="s">
        <v>69</v>
      </c>
      <c r="L273" s="1" t="s">
        <v>92</v>
      </c>
      <c r="M273" s="1" t="s">
        <v>68</v>
      </c>
      <c r="N273" s="1" t="s">
        <v>71</v>
      </c>
      <c r="O273" s="1" t="s">
        <v>68</v>
      </c>
      <c r="P273" s="1" t="s">
        <v>888</v>
      </c>
      <c r="Q273" s="1" t="s">
        <v>68</v>
      </c>
      <c r="R273" s="1" t="s">
        <v>68</v>
      </c>
      <c r="S273" s="1" t="s">
        <v>68</v>
      </c>
      <c r="T273" s="1" t="s">
        <v>68</v>
      </c>
      <c r="U273" s="1" t="s">
        <v>68</v>
      </c>
      <c r="V273" s="1" t="s">
        <v>889</v>
      </c>
      <c r="W273" s="1" t="s">
        <v>68</v>
      </c>
      <c r="X273" s="1" t="s">
        <v>68</v>
      </c>
      <c r="Y273" s="73"/>
      <c r="Z273" s="2" t="s">
        <v>74</v>
      </c>
      <c r="AA273" s="3">
        <v>12</v>
      </c>
      <c r="AB273" s="4">
        <v>0</v>
      </c>
      <c r="AC273" s="73">
        <v>46213</v>
      </c>
      <c r="AD273" s="73">
        <v>46213</v>
      </c>
      <c r="AE273" s="73"/>
      <c r="AF273" s="73">
        <v>46213</v>
      </c>
      <c r="AG273" s="3">
        <v>6000</v>
      </c>
      <c r="AH273" s="353" t="str">
        <f t="shared" si="15"/>
        <v/>
      </c>
      <c r="AI273" s="3" t="str">
        <f t="shared" si="16"/>
        <v>59</v>
      </c>
      <c r="AJ273" s="64" t="e">
        <f>VLOOKUP(T273,'GL Name'!A:B,2,0)</f>
        <v>#N/A</v>
      </c>
      <c r="AL273" s="13">
        <f t="shared" si="17"/>
        <v>0</v>
      </c>
      <c r="AM273" s="13" t="e">
        <f>VLOOKUP(I273,'Order 301-305 (เรียง)'!A:B,2,0)</f>
        <v>#N/A</v>
      </c>
      <c r="AN273" t="e">
        <f>VLOOKUP(I273,'Order 301-305 (เรียง)'!A:C,3,0)</f>
        <v>#N/A</v>
      </c>
    </row>
    <row r="274" spans="1:40" x14ac:dyDescent="0.3">
      <c r="A274" s="1" t="s">
        <v>262</v>
      </c>
      <c r="B274" s="1" t="s">
        <v>263</v>
      </c>
      <c r="C274" s="1" t="s">
        <v>64</v>
      </c>
      <c r="D274" s="1" t="s">
        <v>882</v>
      </c>
      <c r="E274" s="1" t="s">
        <v>883</v>
      </c>
      <c r="F274" s="1" t="s">
        <v>884</v>
      </c>
      <c r="G274" s="1" t="s">
        <v>885</v>
      </c>
      <c r="H274" s="1" t="s">
        <v>264</v>
      </c>
      <c r="I274" s="1" t="s">
        <v>68</v>
      </c>
      <c r="J274" s="1" t="s">
        <v>886</v>
      </c>
      <c r="K274" s="1" t="s">
        <v>69</v>
      </c>
      <c r="L274" s="1" t="s">
        <v>89</v>
      </c>
      <c r="M274" s="1" t="s">
        <v>68</v>
      </c>
      <c r="N274" s="1" t="s">
        <v>71</v>
      </c>
      <c r="O274" s="1" t="s">
        <v>887</v>
      </c>
      <c r="P274" s="1" t="s">
        <v>888</v>
      </c>
      <c r="Q274" s="1" t="s">
        <v>68</v>
      </c>
      <c r="R274" s="1" t="s">
        <v>68</v>
      </c>
      <c r="S274" s="1" t="s">
        <v>68</v>
      </c>
      <c r="T274" s="1" t="s">
        <v>68</v>
      </c>
      <c r="U274" s="1" t="s">
        <v>68</v>
      </c>
      <c r="V274" s="1" t="s">
        <v>889</v>
      </c>
      <c r="W274" s="1" t="s">
        <v>68</v>
      </c>
      <c r="X274" s="1" t="s">
        <v>68</v>
      </c>
      <c r="Y274" s="73"/>
      <c r="Z274" s="2" t="s">
        <v>74</v>
      </c>
      <c r="AA274" s="3">
        <v>-12</v>
      </c>
      <c r="AB274" s="4">
        <v>0</v>
      </c>
      <c r="AC274" s="73">
        <v>46213</v>
      </c>
      <c r="AD274" s="73">
        <v>46213</v>
      </c>
      <c r="AE274" s="73"/>
      <c r="AF274" s="73">
        <v>46213</v>
      </c>
      <c r="AG274" s="3">
        <v>-6000</v>
      </c>
      <c r="AH274" s="353" t="str">
        <f t="shared" si="15"/>
        <v/>
      </c>
      <c r="AI274" s="3" t="str">
        <f t="shared" si="16"/>
        <v>59</v>
      </c>
      <c r="AJ274" s="64" t="e">
        <f>VLOOKUP(T274,'GL Name'!A:B,2,0)</f>
        <v>#N/A</v>
      </c>
      <c r="AL274" s="13">
        <f t="shared" si="17"/>
        <v>0</v>
      </c>
      <c r="AM274" s="13" t="e">
        <f>VLOOKUP(I274,'Order 301-305 (เรียง)'!A:B,2,0)</f>
        <v>#N/A</v>
      </c>
      <c r="AN274" t="e">
        <f>VLOOKUP(I274,'Order 301-305 (เรียง)'!A:C,3,0)</f>
        <v>#N/A</v>
      </c>
    </row>
    <row r="275" spans="1:40" x14ac:dyDescent="0.3">
      <c r="A275" s="1" t="s">
        <v>62</v>
      </c>
      <c r="B275" s="1" t="s">
        <v>63</v>
      </c>
      <c r="C275" s="1" t="s">
        <v>64</v>
      </c>
      <c r="D275" s="1" t="s">
        <v>65</v>
      </c>
      <c r="E275" s="1" t="s">
        <v>66</v>
      </c>
      <c r="F275" s="1" t="s">
        <v>890</v>
      </c>
      <c r="G275" s="1" t="s">
        <v>67</v>
      </c>
      <c r="H275" s="1" t="s">
        <v>287</v>
      </c>
      <c r="I275" s="1" t="s">
        <v>68</v>
      </c>
      <c r="J275" s="1" t="s">
        <v>891</v>
      </c>
      <c r="K275" s="1" t="s">
        <v>69</v>
      </c>
      <c r="L275" s="1" t="s">
        <v>70</v>
      </c>
      <c r="M275" s="1" t="s">
        <v>68</v>
      </c>
      <c r="N275" s="1" t="s">
        <v>71</v>
      </c>
      <c r="O275" s="1" t="s">
        <v>68</v>
      </c>
      <c r="P275" s="1" t="s">
        <v>72</v>
      </c>
      <c r="Q275" s="1" t="s">
        <v>68</v>
      </c>
      <c r="R275" s="1" t="s">
        <v>68</v>
      </c>
      <c r="S275" s="1" t="s">
        <v>68</v>
      </c>
      <c r="T275" s="1" t="s">
        <v>73</v>
      </c>
      <c r="U275" s="1" t="s">
        <v>68</v>
      </c>
      <c r="V275" s="1" t="s">
        <v>68</v>
      </c>
      <c r="W275" s="1" t="s">
        <v>68</v>
      </c>
      <c r="X275" s="1" t="s">
        <v>892</v>
      </c>
      <c r="Y275" s="73"/>
      <c r="Z275" s="2" t="s">
        <v>74</v>
      </c>
      <c r="AA275" s="3">
        <v>-20</v>
      </c>
      <c r="AB275" s="4">
        <v>-3396.4</v>
      </c>
      <c r="AC275" s="73">
        <v>46213</v>
      </c>
      <c r="AD275" s="73">
        <v>46213</v>
      </c>
      <c r="AE275" s="73"/>
      <c r="AF275" s="73">
        <v>46213</v>
      </c>
      <c r="AG275" s="3">
        <v>-10000</v>
      </c>
      <c r="AH275" s="353" t="str">
        <f t="shared" si="15"/>
        <v/>
      </c>
      <c r="AI275" s="3" t="str">
        <f t="shared" si="16"/>
        <v>59</v>
      </c>
      <c r="AJ275" s="64" t="str">
        <f>VLOOKUP(T275,'GL Name'!A:B,2,0)</f>
        <v>ต้นทุนขาย</v>
      </c>
      <c r="AL275" s="13">
        <f t="shared" si="17"/>
        <v>169.82</v>
      </c>
      <c r="AM275" s="13" t="e">
        <f>VLOOKUP(I275,'Order 301-305 (เรียง)'!A:B,2,0)</f>
        <v>#N/A</v>
      </c>
      <c r="AN275" t="e">
        <f>VLOOKUP(I275,'Order 301-305 (เรียง)'!A:C,3,0)</f>
        <v>#N/A</v>
      </c>
    </row>
    <row r="276" spans="1:40" x14ac:dyDescent="0.3">
      <c r="A276" s="1" t="s">
        <v>62</v>
      </c>
      <c r="B276" s="1" t="s">
        <v>63</v>
      </c>
      <c r="C276" s="1" t="s">
        <v>64</v>
      </c>
      <c r="D276" s="1" t="s">
        <v>65</v>
      </c>
      <c r="E276" s="1" t="s">
        <v>66</v>
      </c>
      <c r="F276" s="1" t="s">
        <v>893</v>
      </c>
      <c r="G276" s="1" t="s">
        <v>67</v>
      </c>
      <c r="H276" s="1" t="s">
        <v>287</v>
      </c>
      <c r="I276" s="1" t="s">
        <v>68</v>
      </c>
      <c r="J276" s="1" t="s">
        <v>894</v>
      </c>
      <c r="K276" s="1" t="s">
        <v>69</v>
      </c>
      <c r="L276" s="1" t="s">
        <v>70</v>
      </c>
      <c r="M276" s="1" t="s">
        <v>68</v>
      </c>
      <c r="N276" s="1" t="s">
        <v>71</v>
      </c>
      <c r="O276" s="1" t="s">
        <v>68</v>
      </c>
      <c r="P276" s="1" t="s">
        <v>72</v>
      </c>
      <c r="Q276" s="1" t="s">
        <v>68</v>
      </c>
      <c r="R276" s="1" t="s">
        <v>68</v>
      </c>
      <c r="S276" s="1" t="s">
        <v>68</v>
      </c>
      <c r="T276" s="1" t="s">
        <v>73</v>
      </c>
      <c r="U276" s="1" t="s">
        <v>68</v>
      </c>
      <c r="V276" s="1" t="s">
        <v>68</v>
      </c>
      <c r="W276" s="1" t="s">
        <v>68</v>
      </c>
      <c r="X276" s="1" t="s">
        <v>895</v>
      </c>
      <c r="Y276" s="73"/>
      <c r="Z276" s="2" t="s">
        <v>74</v>
      </c>
      <c r="AA276" s="3">
        <v>-2</v>
      </c>
      <c r="AB276" s="4">
        <v>-339.64</v>
      </c>
      <c r="AC276" s="73">
        <v>46213</v>
      </c>
      <c r="AD276" s="73">
        <v>46213</v>
      </c>
      <c r="AE276" s="73"/>
      <c r="AF276" s="73">
        <v>46213</v>
      </c>
      <c r="AG276" s="3">
        <v>-1000</v>
      </c>
      <c r="AH276" s="353" t="str">
        <f t="shared" si="15"/>
        <v/>
      </c>
      <c r="AI276" s="3" t="str">
        <f t="shared" si="16"/>
        <v>59</v>
      </c>
      <c r="AJ276" s="64" t="str">
        <f>VLOOKUP(T276,'GL Name'!A:B,2,0)</f>
        <v>ต้นทุนขาย</v>
      </c>
      <c r="AL276" s="13">
        <f t="shared" si="17"/>
        <v>169.82</v>
      </c>
      <c r="AM276" s="13" t="e">
        <f>VLOOKUP(I276,'Order 301-305 (เรียง)'!A:B,2,0)</f>
        <v>#N/A</v>
      </c>
      <c r="AN276" t="e">
        <f>VLOOKUP(I276,'Order 301-305 (เรียง)'!A:C,3,0)</f>
        <v>#N/A</v>
      </c>
    </row>
    <row r="277" spans="1:40" x14ac:dyDescent="0.3">
      <c r="A277" s="1" t="s">
        <v>81</v>
      </c>
      <c r="B277" s="1" t="s">
        <v>82</v>
      </c>
      <c r="C277" s="1" t="s">
        <v>64</v>
      </c>
      <c r="D277" s="1" t="s">
        <v>87</v>
      </c>
      <c r="E277" s="1" t="s">
        <v>88</v>
      </c>
      <c r="F277" s="1" t="s">
        <v>896</v>
      </c>
      <c r="G277" s="1" t="s">
        <v>83</v>
      </c>
      <c r="H277" s="1" t="s">
        <v>655</v>
      </c>
      <c r="I277" s="1" t="s">
        <v>68</v>
      </c>
      <c r="J277" s="1" t="s">
        <v>897</v>
      </c>
      <c r="K277" s="1" t="s">
        <v>118</v>
      </c>
      <c r="L277" s="1" t="s">
        <v>86</v>
      </c>
      <c r="M277" s="1" t="s">
        <v>68</v>
      </c>
      <c r="N277" s="1" t="s">
        <v>71</v>
      </c>
      <c r="O277" s="1" t="s">
        <v>68</v>
      </c>
      <c r="P277" s="1" t="s">
        <v>898</v>
      </c>
      <c r="Q277" s="1" t="s">
        <v>68</v>
      </c>
      <c r="R277" s="1" t="s">
        <v>900</v>
      </c>
      <c r="S277" s="1" t="s">
        <v>90</v>
      </c>
      <c r="T277" s="1" t="s">
        <v>91</v>
      </c>
      <c r="U277" s="1" t="s">
        <v>68</v>
      </c>
      <c r="V277" s="1" t="s">
        <v>68</v>
      </c>
      <c r="W277" s="1" t="s">
        <v>68</v>
      </c>
      <c r="X277" s="1" t="s">
        <v>68</v>
      </c>
      <c r="Y277" s="73"/>
      <c r="Z277" s="2" t="s">
        <v>74</v>
      </c>
      <c r="AA277" s="3">
        <v>-2</v>
      </c>
      <c r="AB277" s="4">
        <v>-339.72</v>
      </c>
      <c r="AC277" s="73">
        <v>46213</v>
      </c>
      <c r="AD277" s="73">
        <v>46213</v>
      </c>
      <c r="AE277" s="73"/>
      <c r="AF277" s="73">
        <v>46213</v>
      </c>
      <c r="AG277" s="3">
        <v>-1000</v>
      </c>
      <c r="AH277" s="353" t="str">
        <f t="shared" si="15"/>
        <v/>
      </c>
      <c r="AI277" s="3" t="str">
        <f t="shared" si="16"/>
        <v>59</v>
      </c>
      <c r="AJ277" s="64" t="str">
        <f>VLOOKUP(T277,'GL Name'!A:B,2,0)</f>
        <v>ค่าวิจัยคุณภาพสินค้า</v>
      </c>
      <c r="AL277" s="13">
        <f t="shared" si="17"/>
        <v>169.86</v>
      </c>
      <c r="AM277" s="13" t="e">
        <f>VLOOKUP(I277,'Order 301-305 (เรียง)'!A:B,2,0)</f>
        <v>#N/A</v>
      </c>
      <c r="AN277" t="e">
        <f>VLOOKUP(I277,'Order 301-305 (เรียง)'!A:C,3,0)</f>
        <v>#N/A</v>
      </c>
    </row>
    <row r="278" spans="1:40" x14ac:dyDescent="0.3">
      <c r="A278" s="1" t="s">
        <v>81</v>
      </c>
      <c r="B278" s="1" t="s">
        <v>82</v>
      </c>
      <c r="C278" s="1" t="s">
        <v>64</v>
      </c>
      <c r="D278" s="1" t="s">
        <v>87</v>
      </c>
      <c r="E278" s="1" t="s">
        <v>88</v>
      </c>
      <c r="F278" s="1" t="s">
        <v>896</v>
      </c>
      <c r="G278" s="1" t="s">
        <v>83</v>
      </c>
      <c r="H278" s="1" t="s">
        <v>655</v>
      </c>
      <c r="I278" s="1" t="s">
        <v>68</v>
      </c>
      <c r="J278" s="1" t="s">
        <v>897</v>
      </c>
      <c r="K278" s="1" t="s">
        <v>118</v>
      </c>
      <c r="L278" s="1" t="s">
        <v>70</v>
      </c>
      <c r="M278" s="1" t="s">
        <v>68</v>
      </c>
      <c r="N278" s="1" t="s">
        <v>71</v>
      </c>
      <c r="O278" s="1" t="s">
        <v>68</v>
      </c>
      <c r="P278" s="1" t="s">
        <v>898</v>
      </c>
      <c r="Q278" s="1" t="s">
        <v>68</v>
      </c>
      <c r="R278" s="1" t="s">
        <v>899</v>
      </c>
      <c r="S278" s="1" t="s">
        <v>90</v>
      </c>
      <c r="T278" s="1" t="s">
        <v>91</v>
      </c>
      <c r="U278" s="1" t="s">
        <v>68</v>
      </c>
      <c r="V278" s="1" t="s">
        <v>68</v>
      </c>
      <c r="W278" s="1" t="s">
        <v>68</v>
      </c>
      <c r="X278" s="1" t="s">
        <v>68</v>
      </c>
      <c r="Y278" s="73"/>
      <c r="Z278" s="2" t="s">
        <v>74</v>
      </c>
      <c r="AA278" s="3">
        <v>-1</v>
      </c>
      <c r="AB278" s="4">
        <v>-169.86</v>
      </c>
      <c r="AC278" s="73">
        <v>46213</v>
      </c>
      <c r="AD278" s="73">
        <v>46213</v>
      </c>
      <c r="AE278" s="73"/>
      <c r="AF278" s="73">
        <v>46213</v>
      </c>
      <c r="AG278" s="3">
        <v>-500</v>
      </c>
      <c r="AH278" s="353" t="str">
        <f t="shared" si="15"/>
        <v/>
      </c>
      <c r="AI278" s="3" t="str">
        <f t="shared" si="16"/>
        <v>59</v>
      </c>
      <c r="AJ278" s="64" t="str">
        <f>VLOOKUP(T278,'GL Name'!A:B,2,0)</f>
        <v>ค่าวิจัยคุณภาพสินค้า</v>
      </c>
      <c r="AL278" s="13">
        <f t="shared" si="17"/>
        <v>169.86</v>
      </c>
      <c r="AM278" s="13" t="e">
        <f>VLOOKUP(I278,'Order 301-305 (เรียง)'!A:B,2,0)</f>
        <v>#N/A</v>
      </c>
      <c r="AN278" t="e">
        <f>VLOOKUP(I278,'Order 301-305 (เรียง)'!A:C,3,0)</f>
        <v>#N/A</v>
      </c>
    </row>
    <row r="279" spans="1:40" x14ac:dyDescent="0.3">
      <c r="A279" s="1" t="s">
        <v>81</v>
      </c>
      <c r="B279" s="1" t="s">
        <v>82</v>
      </c>
      <c r="C279" s="1" t="s">
        <v>64</v>
      </c>
      <c r="D279" s="1" t="s">
        <v>87</v>
      </c>
      <c r="E279" s="1" t="s">
        <v>88</v>
      </c>
      <c r="F279" s="1" t="s">
        <v>901</v>
      </c>
      <c r="G279" s="1" t="s">
        <v>83</v>
      </c>
      <c r="H279" s="1" t="s">
        <v>655</v>
      </c>
      <c r="I279" s="1" t="s">
        <v>68</v>
      </c>
      <c r="J279" s="1" t="s">
        <v>902</v>
      </c>
      <c r="K279" s="1" t="s">
        <v>118</v>
      </c>
      <c r="L279" s="1" t="s">
        <v>86</v>
      </c>
      <c r="M279" s="1" t="s">
        <v>68</v>
      </c>
      <c r="N279" s="1" t="s">
        <v>71</v>
      </c>
      <c r="O279" s="1" t="s">
        <v>68</v>
      </c>
      <c r="P279" s="1" t="s">
        <v>903</v>
      </c>
      <c r="Q279" s="1" t="s">
        <v>68</v>
      </c>
      <c r="R279" s="1" t="s">
        <v>905</v>
      </c>
      <c r="S279" s="1" t="s">
        <v>90</v>
      </c>
      <c r="T279" s="1" t="s">
        <v>91</v>
      </c>
      <c r="U279" s="1" t="s">
        <v>68</v>
      </c>
      <c r="V279" s="1" t="s">
        <v>68</v>
      </c>
      <c r="W279" s="1" t="s">
        <v>68</v>
      </c>
      <c r="X279" s="1" t="s">
        <v>68</v>
      </c>
      <c r="Y279" s="73"/>
      <c r="Z279" s="2" t="s">
        <v>74</v>
      </c>
      <c r="AA279" s="3">
        <v>-5</v>
      </c>
      <c r="AB279" s="4">
        <v>-849.3</v>
      </c>
      <c r="AC279" s="73">
        <v>46213</v>
      </c>
      <c r="AD279" s="73">
        <v>46213</v>
      </c>
      <c r="AE279" s="73"/>
      <c r="AF279" s="73">
        <v>46213</v>
      </c>
      <c r="AG279" s="3">
        <v>-2500</v>
      </c>
      <c r="AH279" s="353" t="str">
        <f t="shared" si="15"/>
        <v/>
      </c>
      <c r="AI279" s="3" t="str">
        <f t="shared" si="16"/>
        <v>59</v>
      </c>
      <c r="AJ279" s="64" t="str">
        <f>VLOOKUP(T279,'GL Name'!A:B,2,0)</f>
        <v>ค่าวิจัยคุณภาพสินค้า</v>
      </c>
      <c r="AL279" s="13">
        <f t="shared" si="17"/>
        <v>169.85999999999999</v>
      </c>
      <c r="AM279" s="13" t="e">
        <f>VLOOKUP(I279,'Order 301-305 (เรียง)'!A:B,2,0)</f>
        <v>#N/A</v>
      </c>
      <c r="AN279" t="e">
        <f>VLOOKUP(I279,'Order 301-305 (เรียง)'!A:C,3,0)</f>
        <v>#N/A</v>
      </c>
    </row>
    <row r="280" spans="1:40" x14ac:dyDescent="0.3">
      <c r="A280" s="1" t="s">
        <v>81</v>
      </c>
      <c r="B280" s="1" t="s">
        <v>82</v>
      </c>
      <c r="C280" s="1" t="s">
        <v>64</v>
      </c>
      <c r="D280" s="1" t="s">
        <v>87</v>
      </c>
      <c r="E280" s="1" t="s">
        <v>88</v>
      </c>
      <c r="F280" s="1" t="s">
        <v>901</v>
      </c>
      <c r="G280" s="1" t="s">
        <v>83</v>
      </c>
      <c r="H280" s="1" t="s">
        <v>655</v>
      </c>
      <c r="I280" s="1" t="s">
        <v>68</v>
      </c>
      <c r="J280" s="1" t="s">
        <v>902</v>
      </c>
      <c r="K280" s="1" t="s">
        <v>118</v>
      </c>
      <c r="L280" s="1" t="s">
        <v>70</v>
      </c>
      <c r="M280" s="1" t="s">
        <v>68</v>
      </c>
      <c r="N280" s="1" t="s">
        <v>71</v>
      </c>
      <c r="O280" s="1" t="s">
        <v>68</v>
      </c>
      <c r="P280" s="1" t="s">
        <v>903</v>
      </c>
      <c r="Q280" s="1" t="s">
        <v>68</v>
      </c>
      <c r="R280" s="1" t="s">
        <v>904</v>
      </c>
      <c r="S280" s="1" t="s">
        <v>90</v>
      </c>
      <c r="T280" s="1" t="s">
        <v>91</v>
      </c>
      <c r="U280" s="1" t="s">
        <v>68</v>
      </c>
      <c r="V280" s="1" t="s">
        <v>68</v>
      </c>
      <c r="W280" s="1" t="s">
        <v>68</v>
      </c>
      <c r="X280" s="1" t="s">
        <v>68</v>
      </c>
      <c r="Y280" s="73"/>
      <c r="Z280" s="2" t="s">
        <v>74</v>
      </c>
      <c r="AA280" s="3">
        <v>-3</v>
      </c>
      <c r="AB280" s="4">
        <v>-509.58</v>
      </c>
      <c r="AC280" s="73">
        <v>46213</v>
      </c>
      <c r="AD280" s="73">
        <v>46213</v>
      </c>
      <c r="AE280" s="73"/>
      <c r="AF280" s="73">
        <v>46213</v>
      </c>
      <c r="AG280" s="3">
        <v>-1500</v>
      </c>
      <c r="AH280" s="353" t="str">
        <f t="shared" si="15"/>
        <v/>
      </c>
      <c r="AI280" s="3" t="str">
        <f t="shared" si="16"/>
        <v>59</v>
      </c>
      <c r="AJ280" s="64" t="str">
        <f>VLOOKUP(T280,'GL Name'!A:B,2,0)</f>
        <v>ค่าวิจัยคุณภาพสินค้า</v>
      </c>
      <c r="AL280" s="13">
        <f t="shared" si="17"/>
        <v>169.85999999999999</v>
      </c>
      <c r="AM280" s="13" t="e">
        <f>VLOOKUP(I280,'Order 301-305 (เรียง)'!A:B,2,0)</f>
        <v>#N/A</v>
      </c>
      <c r="AN280" t="e">
        <f>VLOOKUP(I280,'Order 301-305 (เรียง)'!A:C,3,0)</f>
        <v>#N/A</v>
      </c>
    </row>
    <row r="281" spans="1:40" x14ac:dyDescent="0.3">
      <c r="A281" s="1" t="s">
        <v>81</v>
      </c>
      <c r="B281" s="1" t="s">
        <v>82</v>
      </c>
      <c r="C281" s="1" t="s">
        <v>64</v>
      </c>
      <c r="D281" s="1" t="s">
        <v>87</v>
      </c>
      <c r="E281" s="1" t="s">
        <v>88</v>
      </c>
      <c r="F281" s="1" t="s">
        <v>906</v>
      </c>
      <c r="G281" s="1" t="s">
        <v>83</v>
      </c>
      <c r="H281" s="1" t="s">
        <v>655</v>
      </c>
      <c r="I281" s="1" t="s">
        <v>68</v>
      </c>
      <c r="J281" s="1" t="s">
        <v>907</v>
      </c>
      <c r="K281" s="1" t="s">
        <v>118</v>
      </c>
      <c r="L281" s="1" t="s">
        <v>86</v>
      </c>
      <c r="M281" s="1" t="s">
        <v>68</v>
      </c>
      <c r="N281" s="1" t="s">
        <v>71</v>
      </c>
      <c r="O281" s="1" t="s">
        <v>68</v>
      </c>
      <c r="P281" s="1" t="s">
        <v>908</v>
      </c>
      <c r="Q281" s="1" t="s">
        <v>68</v>
      </c>
      <c r="R281" s="1" t="s">
        <v>899</v>
      </c>
      <c r="S281" s="1" t="s">
        <v>90</v>
      </c>
      <c r="T281" s="1" t="s">
        <v>91</v>
      </c>
      <c r="U281" s="1" t="s">
        <v>68</v>
      </c>
      <c r="V281" s="1" t="s">
        <v>68</v>
      </c>
      <c r="W281" s="1" t="s">
        <v>68</v>
      </c>
      <c r="X281" s="1" t="s">
        <v>68</v>
      </c>
      <c r="Y281" s="73"/>
      <c r="Z281" s="2" t="s">
        <v>74</v>
      </c>
      <c r="AA281" s="3">
        <v>-1</v>
      </c>
      <c r="AB281" s="4">
        <v>-169.86</v>
      </c>
      <c r="AC281" s="73">
        <v>46213</v>
      </c>
      <c r="AD281" s="73">
        <v>46213</v>
      </c>
      <c r="AE281" s="73"/>
      <c r="AF281" s="73">
        <v>46213</v>
      </c>
      <c r="AG281" s="3">
        <v>-500</v>
      </c>
      <c r="AH281" s="353" t="str">
        <f t="shared" si="15"/>
        <v/>
      </c>
      <c r="AI281" s="3" t="str">
        <f t="shared" si="16"/>
        <v>59</v>
      </c>
      <c r="AJ281" s="64" t="str">
        <f>VLOOKUP(T281,'GL Name'!A:B,2,0)</f>
        <v>ค่าวิจัยคุณภาพสินค้า</v>
      </c>
      <c r="AL281" s="13">
        <f t="shared" si="17"/>
        <v>169.86</v>
      </c>
      <c r="AM281" s="13" t="e">
        <f>VLOOKUP(I281,'Order 301-305 (เรียง)'!A:B,2,0)</f>
        <v>#N/A</v>
      </c>
      <c r="AN281" t="e">
        <f>VLOOKUP(I281,'Order 301-305 (เรียง)'!A:C,3,0)</f>
        <v>#N/A</v>
      </c>
    </row>
    <row r="282" spans="1:40" x14ac:dyDescent="0.3">
      <c r="A282" s="1" t="s">
        <v>81</v>
      </c>
      <c r="B282" s="1" t="s">
        <v>82</v>
      </c>
      <c r="C282" s="1" t="s">
        <v>64</v>
      </c>
      <c r="D282" s="1" t="s">
        <v>87</v>
      </c>
      <c r="E282" s="1" t="s">
        <v>88</v>
      </c>
      <c r="F282" s="1" t="s">
        <v>906</v>
      </c>
      <c r="G282" s="1" t="s">
        <v>83</v>
      </c>
      <c r="H282" s="1" t="s">
        <v>655</v>
      </c>
      <c r="I282" s="1" t="s">
        <v>68</v>
      </c>
      <c r="J282" s="1" t="s">
        <v>907</v>
      </c>
      <c r="K282" s="1" t="s">
        <v>118</v>
      </c>
      <c r="L282" s="1" t="s">
        <v>92</v>
      </c>
      <c r="M282" s="1" t="s">
        <v>68</v>
      </c>
      <c r="N282" s="1" t="s">
        <v>71</v>
      </c>
      <c r="O282" s="1" t="s">
        <v>68</v>
      </c>
      <c r="P282" s="1" t="s">
        <v>908</v>
      </c>
      <c r="Q282" s="1" t="s">
        <v>68</v>
      </c>
      <c r="R282" s="1" t="s">
        <v>910</v>
      </c>
      <c r="S282" s="1" t="s">
        <v>90</v>
      </c>
      <c r="T282" s="1" t="s">
        <v>91</v>
      </c>
      <c r="U282" s="1" t="s">
        <v>68</v>
      </c>
      <c r="V282" s="1" t="s">
        <v>68</v>
      </c>
      <c r="W282" s="1" t="s">
        <v>68</v>
      </c>
      <c r="X282" s="1" t="s">
        <v>68</v>
      </c>
      <c r="Y282" s="73"/>
      <c r="Z282" s="2" t="s">
        <v>74</v>
      </c>
      <c r="AA282" s="3">
        <v>-5</v>
      </c>
      <c r="AB282" s="4">
        <v>-849.3</v>
      </c>
      <c r="AC282" s="73">
        <v>46213</v>
      </c>
      <c r="AD282" s="73">
        <v>46213</v>
      </c>
      <c r="AE282" s="73"/>
      <c r="AF282" s="73">
        <v>46213</v>
      </c>
      <c r="AG282" s="3">
        <v>-2500</v>
      </c>
      <c r="AH282" s="353" t="str">
        <f t="shared" si="15"/>
        <v/>
      </c>
      <c r="AI282" s="3" t="str">
        <f t="shared" si="16"/>
        <v>59</v>
      </c>
      <c r="AJ282" s="64" t="str">
        <f>VLOOKUP(T282,'GL Name'!A:B,2,0)</f>
        <v>ค่าวิจัยคุณภาพสินค้า</v>
      </c>
      <c r="AL282" s="13">
        <f t="shared" si="17"/>
        <v>169.85999999999999</v>
      </c>
      <c r="AM282" s="13" t="e">
        <f>VLOOKUP(I282,'Order 301-305 (เรียง)'!A:B,2,0)</f>
        <v>#N/A</v>
      </c>
      <c r="AN282" t="e">
        <f>VLOOKUP(I282,'Order 301-305 (เรียง)'!A:C,3,0)</f>
        <v>#N/A</v>
      </c>
    </row>
    <row r="283" spans="1:40" x14ac:dyDescent="0.3">
      <c r="A283" s="1" t="s">
        <v>81</v>
      </c>
      <c r="B283" s="1" t="s">
        <v>82</v>
      </c>
      <c r="C283" s="1" t="s">
        <v>64</v>
      </c>
      <c r="D283" s="1" t="s">
        <v>87</v>
      </c>
      <c r="E283" s="1" t="s">
        <v>88</v>
      </c>
      <c r="F283" s="1" t="s">
        <v>906</v>
      </c>
      <c r="G283" s="1" t="s">
        <v>83</v>
      </c>
      <c r="H283" s="1" t="s">
        <v>655</v>
      </c>
      <c r="I283" s="1" t="s">
        <v>68</v>
      </c>
      <c r="J283" s="1" t="s">
        <v>907</v>
      </c>
      <c r="K283" s="1" t="s">
        <v>118</v>
      </c>
      <c r="L283" s="1" t="s">
        <v>89</v>
      </c>
      <c r="M283" s="1" t="s">
        <v>68</v>
      </c>
      <c r="N283" s="1" t="s">
        <v>71</v>
      </c>
      <c r="O283" s="1" t="s">
        <v>68</v>
      </c>
      <c r="P283" s="1" t="s">
        <v>908</v>
      </c>
      <c r="Q283" s="1" t="s">
        <v>68</v>
      </c>
      <c r="R283" s="1" t="s">
        <v>911</v>
      </c>
      <c r="S283" s="1" t="s">
        <v>90</v>
      </c>
      <c r="T283" s="1" t="s">
        <v>91</v>
      </c>
      <c r="U283" s="1" t="s">
        <v>68</v>
      </c>
      <c r="V283" s="1" t="s">
        <v>68</v>
      </c>
      <c r="W283" s="1" t="s">
        <v>68</v>
      </c>
      <c r="X283" s="1" t="s">
        <v>68</v>
      </c>
      <c r="Y283" s="73"/>
      <c r="Z283" s="2" t="s">
        <v>74</v>
      </c>
      <c r="AA283" s="3">
        <v>-5</v>
      </c>
      <c r="AB283" s="4">
        <v>-849.3</v>
      </c>
      <c r="AC283" s="73">
        <v>46213</v>
      </c>
      <c r="AD283" s="73">
        <v>46213</v>
      </c>
      <c r="AE283" s="73"/>
      <c r="AF283" s="73">
        <v>46213</v>
      </c>
      <c r="AG283" s="3">
        <v>-2500</v>
      </c>
      <c r="AH283" s="353" t="str">
        <f t="shared" si="15"/>
        <v/>
      </c>
      <c r="AI283" s="3" t="str">
        <f t="shared" si="16"/>
        <v>59</v>
      </c>
      <c r="AJ283" s="64" t="str">
        <f>VLOOKUP(T283,'GL Name'!A:B,2,0)</f>
        <v>ค่าวิจัยคุณภาพสินค้า</v>
      </c>
      <c r="AL283" s="13">
        <f t="shared" si="17"/>
        <v>169.85999999999999</v>
      </c>
      <c r="AM283" s="13" t="e">
        <f>VLOOKUP(I283,'Order 301-305 (เรียง)'!A:B,2,0)</f>
        <v>#N/A</v>
      </c>
      <c r="AN283" t="e">
        <f>VLOOKUP(I283,'Order 301-305 (เรียง)'!A:C,3,0)</f>
        <v>#N/A</v>
      </c>
    </row>
    <row r="284" spans="1:40" x14ac:dyDescent="0.3">
      <c r="A284" s="1" t="s">
        <v>81</v>
      </c>
      <c r="B284" s="1" t="s">
        <v>82</v>
      </c>
      <c r="C284" s="1" t="s">
        <v>64</v>
      </c>
      <c r="D284" s="1" t="s">
        <v>87</v>
      </c>
      <c r="E284" s="1" t="s">
        <v>88</v>
      </c>
      <c r="F284" s="1" t="s">
        <v>906</v>
      </c>
      <c r="G284" s="1" t="s">
        <v>83</v>
      </c>
      <c r="H284" s="1" t="s">
        <v>655</v>
      </c>
      <c r="I284" s="1" t="s">
        <v>68</v>
      </c>
      <c r="J284" s="1" t="s">
        <v>907</v>
      </c>
      <c r="K284" s="1" t="s">
        <v>118</v>
      </c>
      <c r="L284" s="1" t="s">
        <v>70</v>
      </c>
      <c r="M284" s="1" t="s">
        <v>68</v>
      </c>
      <c r="N284" s="1" t="s">
        <v>71</v>
      </c>
      <c r="O284" s="1" t="s">
        <v>68</v>
      </c>
      <c r="P284" s="1" t="s">
        <v>908</v>
      </c>
      <c r="Q284" s="1" t="s">
        <v>68</v>
      </c>
      <c r="R284" s="1" t="s">
        <v>909</v>
      </c>
      <c r="S284" s="1" t="s">
        <v>90</v>
      </c>
      <c r="T284" s="1" t="s">
        <v>91</v>
      </c>
      <c r="U284" s="1" t="s">
        <v>68</v>
      </c>
      <c r="V284" s="1" t="s">
        <v>68</v>
      </c>
      <c r="W284" s="1" t="s">
        <v>68</v>
      </c>
      <c r="X284" s="1" t="s">
        <v>68</v>
      </c>
      <c r="Y284" s="73"/>
      <c r="Z284" s="2" t="s">
        <v>74</v>
      </c>
      <c r="AA284" s="3">
        <v>-1</v>
      </c>
      <c r="AB284" s="4">
        <v>-169.86</v>
      </c>
      <c r="AC284" s="73">
        <v>46213</v>
      </c>
      <c r="AD284" s="73">
        <v>46213</v>
      </c>
      <c r="AE284" s="73"/>
      <c r="AF284" s="73">
        <v>46213</v>
      </c>
      <c r="AG284" s="3">
        <v>-500</v>
      </c>
      <c r="AH284" s="353" t="str">
        <f t="shared" si="15"/>
        <v/>
      </c>
      <c r="AI284" s="3" t="str">
        <f t="shared" si="16"/>
        <v>59</v>
      </c>
      <c r="AJ284" s="64" t="str">
        <f>VLOOKUP(T284,'GL Name'!A:B,2,0)</f>
        <v>ค่าวิจัยคุณภาพสินค้า</v>
      </c>
      <c r="AL284" s="13">
        <f t="shared" si="17"/>
        <v>169.86</v>
      </c>
      <c r="AM284" s="13" t="e">
        <f>VLOOKUP(I284,'Order 301-305 (เรียง)'!A:B,2,0)</f>
        <v>#N/A</v>
      </c>
      <c r="AN284" t="e">
        <f>VLOOKUP(I284,'Order 301-305 (เรียง)'!A:C,3,0)</f>
        <v>#N/A</v>
      </c>
    </row>
    <row r="285" spans="1:40" x14ac:dyDescent="0.3">
      <c r="A285" s="1" t="s">
        <v>81</v>
      </c>
      <c r="B285" s="1" t="s">
        <v>82</v>
      </c>
      <c r="C285" s="1" t="s">
        <v>64</v>
      </c>
      <c r="D285" s="1" t="s">
        <v>87</v>
      </c>
      <c r="E285" s="1" t="s">
        <v>88</v>
      </c>
      <c r="F285" s="1" t="s">
        <v>912</v>
      </c>
      <c r="G285" s="1" t="s">
        <v>83</v>
      </c>
      <c r="H285" s="1" t="s">
        <v>655</v>
      </c>
      <c r="I285" s="1" t="s">
        <v>68</v>
      </c>
      <c r="J285" s="1" t="s">
        <v>913</v>
      </c>
      <c r="K285" s="1" t="s">
        <v>118</v>
      </c>
      <c r="L285" s="1" t="s">
        <v>70</v>
      </c>
      <c r="M285" s="1" t="s">
        <v>68</v>
      </c>
      <c r="N285" s="1" t="s">
        <v>71</v>
      </c>
      <c r="O285" s="1" t="s">
        <v>68</v>
      </c>
      <c r="P285" s="1" t="s">
        <v>914</v>
      </c>
      <c r="Q285" s="1" t="s">
        <v>68</v>
      </c>
      <c r="R285" s="1" t="s">
        <v>915</v>
      </c>
      <c r="S285" s="1" t="s">
        <v>90</v>
      </c>
      <c r="T285" s="1" t="s">
        <v>91</v>
      </c>
      <c r="U285" s="1" t="s">
        <v>68</v>
      </c>
      <c r="V285" s="1" t="s">
        <v>68</v>
      </c>
      <c r="W285" s="1" t="s">
        <v>68</v>
      </c>
      <c r="X285" s="1" t="s">
        <v>68</v>
      </c>
      <c r="Y285" s="73"/>
      <c r="Z285" s="2" t="s">
        <v>74</v>
      </c>
      <c r="AA285" s="3">
        <v>-6</v>
      </c>
      <c r="AB285" s="4">
        <v>-1019.16</v>
      </c>
      <c r="AC285" s="73">
        <v>46213</v>
      </c>
      <c r="AD285" s="73">
        <v>46213</v>
      </c>
      <c r="AE285" s="73"/>
      <c r="AF285" s="73">
        <v>46213</v>
      </c>
      <c r="AG285" s="3">
        <v>-3000</v>
      </c>
      <c r="AH285" s="353" t="str">
        <f t="shared" si="15"/>
        <v/>
      </c>
      <c r="AI285" s="3" t="str">
        <f t="shared" si="16"/>
        <v>59</v>
      </c>
      <c r="AJ285" s="64" t="str">
        <f>VLOOKUP(T285,'GL Name'!A:B,2,0)</f>
        <v>ค่าวิจัยคุณภาพสินค้า</v>
      </c>
      <c r="AL285" s="13">
        <f t="shared" si="17"/>
        <v>169.85999999999999</v>
      </c>
      <c r="AM285" s="13" t="e">
        <f>VLOOKUP(I285,'Order 301-305 (เรียง)'!A:B,2,0)</f>
        <v>#N/A</v>
      </c>
      <c r="AN285" t="e">
        <f>VLOOKUP(I285,'Order 301-305 (เรียง)'!A:C,3,0)</f>
        <v>#N/A</v>
      </c>
    </row>
    <row r="286" spans="1:40" x14ac:dyDescent="0.3">
      <c r="A286" s="1" t="s">
        <v>81</v>
      </c>
      <c r="B286" s="1" t="s">
        <v>82</v>
      </c>
      <c r="C286" s="1" t="s">
        <v>64</v>
      </c>
      <c r="D286" s="1" t="s">
        <v>87</v>
      </c>
      <c r="E286" s="1" t="s">
        <v>88</v>
      </c>
      <c r="F286" s="1" t="s">
        <v>912</v>
      </c>
      <c r="G286" s="1" t="s">
        <v>83</v>
      </c>
      <c r="H286" s="1" t="s">
        <v>655</v>
      </c>
      <c r="I286" s="1" t="s">
        <v>68</v>
      </c>
      <c r="J286" s="1" t="s">
        <v>913</v>
      </c>
      <c r="K286" s="1" t="s">
        <v>118</v>
      </c>
      <c r="L286" s="1" t="s">
        <v>86</v>
      </c>
      <c r="M286" s="1" t="s">
        <v>68</v>
      </c>
      <c r="N286" s="1" t="s">
        <v>71</v>
      </c>
      <c r="O286" s="1" t="s">
        <v>68</v>
      </c>
      <c r="P286" s="1" t="s">
        <v>914</v>
      </c>
      <c r="Q286" s="1" t="s">
        <v>68</v>
      </c>
      <c r="R286" s="1" t="s">
        <v>916</v>
      </c>
      <c r="S286" s="1" t="s">
        <v>90</v>
      </c>
      <c r="T286" s="1" t="s">
        <v>91</v>
      </c>
      <c r="U286" s="1" t="s">
        <v>68</v>
      </c>
      <c r="V286" s="1" t="s">
        <v>68</v>
      </c>
      <c r="W286" s="1" t="s">
        <v>68</v>
      </c>
      <c r="X286" s="1" t="s">
        <v>68</v>
      </c>
      <c r="Y286" s="73"/>
      <c r="Z286" s="2" t="s">
        <v>74</v>
      </c>
      <c r="AA286" s="3">
        <v>-5</v>
      </c>
      <c r="AB286" s="4">
        <v>-849.3</v>
      </c>
      <c r="AC286" s="73">
        <v>46213</v>
      </c>
      <c r="AD286" s="73">
        <v>46213</v>
      </c>
      <c r="AE286" s="73"/>
      <c r="AF286" s="73">
        <v>46213</v>
      </c>
      <c r="AG286" s="3">
        <v>-2500</v>
      </c>
      <c r="AH286" s="353" t="str">
        <f t="shared" ref="AH286:AH349" si="18">LEFT(I286,3)</f>
        <v/>
      </c>
      <c r="AI286" s="3" t="str">
        <f t="shared" ref="AI286:AI349" si="19">LEFT(A286,2)</f>
        <v>59</v>
      </c>
      <c r="AJ286" s="64" t="str">
        <f>VLOOKUP(T286,'GL Name'!A:B,2,0)</f>
        <v>ค่าวิจัยคุณภาพสินค้า</v>
      </c>
      <c r="AL286" s="13">
        <f t="shared" ref="AL286:AL349" si="20">AB286/AA286</f>
        <v>169.85999999999999</v>
      </c>
      <c r="AM286" s="13" t="e">
        <f>VLOOKUP(I286,'Order 301-305 (เรียง)'!A:B,2,0)</f>
        <v>#N/A</v>
      </c>
      <c r="AN286" t="e">
        <f>VLOOKUP(I286,'Order 301-305 (เรียง)'!A:C,3,0)</f>
        <v>#N/A</v>
      </c>
    </row>
    <row r="287" spans="1:40" x14ac:dyDescent="0.3">
      <c r="A287" s="1" t="s">
        <v>9</v>
      </c>
      <c r="B287" s="1" t="s">
        <v>10</v>
      </c>
      <c r="C287" s="1" t="s">
        <v>64</v>
      </c>
      <c r="D287" s="1" t="s">
        <v>87</v>
      </c>
      <c r="E287" s="1" t="s">
        <v>88</v>
      </c>
      <c r="F287" s="1" t="s">
        <v>917</v>
      </c>
      <c r="G287" s="1" t="s">
        <v>232</v>
      </c>
      <c r="H287" s="1" t="s">
        <v>918</v>
      </c>
      <c r="I287" s="1" t="s">
        <v>68</v>
      </c>
      <c r="J287" s="1" t="s">
        <v>919</v>
      </c>
      <c r="K287" s="1" t="s">
        <v>118</v>
      </c>
      <c r="L287" s="1" t="s">
        <v>70</v>
      </c>
      <c r="M287" s="1" t="s">
        <v>68</v>
      </c>
      <c r="N287" s="1" t="s">
        <v>71</v>
      </c>
      <c r="O287" s="1" t="s">
        <v>68</v>
      </c>
      <c r="P287" s="1" t="s">
        <v>920</v>
      </c>
      <c r="Q287" s="1" t="s">
        <v>68</v>
      </c>
      <c r="R287" s="1" t="s">
        <v>921</v>
      </c>
      <c r="S287" s="1" t="s">
        <v>90</v>
      </c>
      <c r="T287" s="1" t="s">
        <v>91</v>
      </c>
      <c r="U287" s="1" t="s">
        <v>68</v>
      </c>
      <c r="V287" s="1" t="s">
        <v>68</v>
      </c>
      <c r="W287" s="1" t="s">
        <v>68</v>
      </c>
      <c r="X287" s="1" t="s">
        <v>68</v>
      </c>
      <c r="Y287" s="73"/>
      <c r="Z287" s="2" t="s">
        <v>265</v>
      </c>
      <c r="AA287" s="3">
        <v>-700</v>
      </c>
      <c r="AB287" s="4">
        <v>-184.74</v>
      </c>
      <c r="AC287" s="73">
        <v>46213</v>
      </c>
      <c r="AD287" s="73">
        <v>46213</v>
      </c>
      <c r="AE287" s="73"/>
      <c r="AF287" s="73">
        <v>46213</v>
      </c>
      <c r="AG287" s="3">
        <v>-700</v>
      </c>
      <c r="AH287" s="353" t="str">
        <f t="shared" si="18"/>
        <v/>
      </c>
      <c r="AI287" s="3" t="str">
        <f t="shared" si="19"/>
        <v>54</v>
      </c>
      <c r="AJ287" s="64" t="str">
        <f>VLOOKUP(T287,'GL Name'!A:B,2,0)</f>
        <v>ค่าวิจัยคุณภาพสินค้า</v>
      </c>
      <c r="AL287" s="13">
        <f t="shared" si="20"/>
        <v>0.26391428571428571</v>
      </c>
      <c r="AM287" s="13" t="e">
        <f>VLOOKUP(I287,'Order 301-305 (เรียง)'!A:B,2,0)</f>
        <v>#N/A</v>
      </c>
      <c r="AN287" t="e">
        <f>VLOOKUP(I287,'Order 301-305 (เรียง)'!A:C,3,0)</f>
        <v>#N/A</v>
      </c>
    </row>
    <row r="288" spans="1:40" x14ac:dyDescent="0.3">
      <c r="A288" s="1" t="s">
        <v>15</v>
      </c>
      <c r="B288" s="1" t="s">
        <v>233</v>
      </c>
      <c r="C288" s="1" t="s">
        <v>64</v>
      </c>
      <c r="D288" s="1" t="s">
        <v>87</v>
      </c>
      <c r="E288" s="1" t="s">
        <v>88</v>
      </c>
      <c r="F288" s="1" t="s">
        <v>922</v>
      </c>
      <c r="G288" s="1" t="s">
        <v>279</v>
      </c>
      <c r="H288" s="1" t="s">
        <v>923</v>
      </c>
      <c r="I288" s="1" t="s">
        <v>68</v>
      </c>
      <c r="J288" s="1" t="s">
        <v>924</v>
      </c>
      <c r="K288" s="1" t="s">
        <v>118</v>
      </c>
      <c r="L288" s="1" t="s">
        <v>70</v>
      </c>
      <c r="M288" s="1" t="s">
        <v>68</v>
      </c>
      <c r="N288" s="1" t="s">
        <v>71</v>
      </c>
      <c r="O288" s="1" t="s">
        <v>68</v>
      </c>
      <c r="P288" s="1" t="s">
        <v>925</v>
      </c>
      <c r="Q288" s="1" t="s">
        <v>68</v>
      </c>
      <c r="R288" s="1" t="s">
        <v>926</v>
      </c>
      <c r="S288" s="1" t="s">
        <v>90</v>
      </c>
      <c r="T288" s="1" t="s">
        <v>91</v>
      </c>
      <c r="U288" s="1" t="s">
        <v>68</v>
      </c>
      <c r="V288" s="1" t="s">
        <v>68</v>
      </c>
      <c r="W288" s="1" t="s">
        <v>68</v>
      </c>
      <c r="X288" s="1" t="s">
        <v>68</v>
      </c>
      <c r="Y288" s="73"/>
      <c r="Z288" s="2" t="s">
        <v>265</v>
      </c>
      <c r="AA288" s="3">
        <v>-1000</v>
      </c>
      <c r="AB288" s="4">
        <v>-270.83</v>
      </c>
      <c r="AC288" s="73">
        <v>46213</v>
      </c>
      <c r="AD288" s="73">
        <v>46213</v>
      </c>
      <c r="AE288" s="73"/>
      <c r="AF288" s="73">
        <v>46213</v>
      </c>
      <c r="AG288" s="3">
        <v>-1000</v>
      </c>
      <c r="AH288" s="353" t="str">
        <f t="shared" si="18"/>
        <v/>
      </c>
      <c r="AI288" s="3" t="str">
        <f t="shared" si="19"/>
        <v>57</v>
      </c>
      <c r="AJ288" s="64" t="str">
        <f>VLOOKUP(T288,'GL Name'!A:B,2,0)</f>
        <v>ค่าวิจัยคุณภาพสินค้า</v>
      </c>
      <c r="AL288" s="13">
        <f t="shared" si="20"/>
        <v>0.27082999999999996</v>
      </c>
      <c r="AM288" s="13" t="e">
        <f>VLOOKUP(I288,'Order 301-305 (เรียง)'!A:B,2,0)</f>
        <v>#N/A</v>
      </c>
      <c r="AN288" t="e">
        <f>VLOOKUP(I288,'Order 301-305 (เรียง)'!A:C,3,0)</f>
        <v>#N/A</v>
      </c>
    </row>
    <row r="289" spans="1:40" x14ac:dyDescent="0.3">
      <c r="A289" s="1" t="s">
        <v>15</v>
      </c>
      <c r="B289" s="1" t="s">
        <v>233</v>
      </c>
      <c r="C289" s="1" t="s">
        <v>64</v>
      </c>
      <c r="D289" s="1" t="s">
        <v>87</v>
      </c>
      <c r="E289" s="1" t="s">
        <v>88</v>
      </c>
      <c r="F289" s="1" t="s">
        <v>927</v>
      </c>
      <c r="G289" s="1" t="s">
        <v>279</v>
      </c>
      <c r="H289" s="1" t="s">
        <v>923</v>
      </c>
      <c r="I289" s="1" t="s">
        <v>68</v>
      </c>
      <c r="J289" s="1" t="s">
        <v>929</v>
      </c>
      <c r="K289" s="1" t="s">
        <v>118</v>
      </c>
      <c r="L289" s="1" t="s">
        <v>70</v>
      </c>
      <c r="M289" s="1" t="s">
        <v>68</v>
      </c>
      <c r="N289" s="1" t="s">
        <v>71</v>
      </c>
      <c r="O289" s="1" t="s">
        <v>68</v>
      </c>
      <c r="P289" s="1" t="s">
        <v>930</v>
      </c>
      <c r="Q289" s="1" t="s">
        <v>68</v>
      </c>
      <c r="R289" s="1" t="s">
        <v>931</v>
      </c>
      <c r="S289" s="1" t="s">
        <v>90</v>
      </c>
      <c r="T289" s="1" t="s">
        <v>91</v>
      </c>
      <c r="U289" s="1" t="s">
        <v>68</v>
      </c>
      <c r="V289" s="1" t="s">
        <v>68</v>
      </c>
      <c r="W289" s="1" t="s">
        <v>68</v>
      </c>
      <c r="X289" s="1" t="s">
        <v>68</v>
      </c>
      <c r="Y289" s="73"/>
      <c r="Z289" s="2" t="s">
        <v>265</v>
      </c>
      <c r="AA289" s="3">
        <v>-2000</v>
      </c>
      <c r="AB289" s="4">
        <v>-541.66</v>
      </c>
      <c r="AC289" s="73">
        <v>46213</v>
      </c>
      <c r="AD289" s="73">
        <v>46213</v>
      </c>
      <c r="AE289" s="73"/>
      <c r="AF289" s="73">
        <v>46213</v>
      </c>
      <c r="AG289" s="3">
        <v>-2000</v>
      </c>
      <c r="AH289" s="353" t="str">
        <f t="shared" si="18"/>
        <v/>
      </c>
      <c r="AI289" s="3" t="str">
        <f t="shared" si="19"/>
        <v>57</v>
      </c>
      <c r="AJ289" s="64" t="str">
        <f>VLOOKUP(T289,'GL Name'!A:B,2,0)</f>
        <v>ค่าวิจัยคุณภาพสินค้า</v>
      </c>
      <c r="AL289" s="13">
        <f t="shared" si="20"/>
        <v>0.27082999999999996</v>
      </c>
      <c r="AM289" s="13" t="e">
        <f>VLOOKUP(I289,'Order 301-305 (เรียง)'!A:B,2,0)</f>
        <v>#N/A</v>
      </c>
      <c r="AN289" t="e">
        <f>VLOOKUP(I289,'Order 301-305 (เรียง)'!A:C,3,0)</f>
        <v>#N/A</v>
      </c>
    </row>
    <row r="290" spans="1:40" x14ac:dyDescent="0.3">
      <c r="A290" s="1" t="s">
        <v>15</v>
      </c>
      <c r="B290" s="1" t="s">
        <v>233</v>
      </c>
      <c r="C290" s="1" t="s">
        <v>64</v>
      </c>
      <c r="D290" s="1" t="s">
        <v>87</v>
      </c>
      <c r="E290" s="1" t="s">
        <v>88</v>
      </c>
      <c r="F290" s="1" t="s">
        <v>927</v>
      </c>
      <c r="G290" s="1" t="s">
        <v>279</v>
      </c>
      <c r="H290" s="1" t="s">
        <v>928</v>
      </c>
      <c r="I290" s="1" t="s">
        <v>68</v>
      </c>
      <c r="J290" s="1" t="s">
        <v>929</v>
      </c>
      <c r="K290" s="1" t="s">
        <v>118</v>
      </c>
      <c r="L290" s="1" t="s">
        <v>86</v>
      </c>
      <c r="M290" s="1" t="s">
        <v>68</v>
      </c>
      <c r="N290" s="1" t="s">
        <v>71</v>
      </c>
      <c r="O290" s="1" t="s">
        <v>68</v>
      </c>
      <c r="P290" s="1" t="s">
        <v>930</v>
      </c>
      <c r="Q290" s="1" t="s">
        <v>68</v>
      </c>
      <c r="R290" s="1" t="s">
        <v>931</v>
      </c>
      <c r="S290" s="1" t="s">
        <v>90</v>
      </c>
      <c r="T290" s="1" t="s">
        <v>91</v>
      </c>
      <c r="U290" s="1" t="s">
        <v>68</v>
      </c>
      <c r="V290" s="1" t="s">
        <v>68</v>
      </c>
      <c r="W290" s="1" t="s">
        <v>68</v>
      </c>
      <c r="X290" s="1" t="s">
        <v>68</v>
      </c>
      <c r="Y290" s="73"/>
      <c r="Z290" s="2" t="s">
        <v>265</v>
      </c>
      <c r="AA290" s="3">
        <v>-2000</v>
      </c>
      <c r="AB290" s="4">
        <v>-541.66</v>
      </c>
      <c r="AC290" s="73">
        <v>46213</v>
      </c>
      <c r="AD290" s="73">
        <v>46213</v>
      </c>
      <c r="AE290" s="73"/>
      <c r="AF290" s="73">
        <v>46213</v>
      </c>
      <c r="AG290" s="3">
        <v>-2000</v>
      </c>
      <c r="AH290" s="353" t="str">
        <f t="shared" si="18"/>
        <v/>
      </c>
      <c r="AI290" s="3" t="str">
        <f t="shared" si="19"/>
        <v>57</v>
      </c>
      <c r="AJ290" s="64" t="str">
        <f>VLOOKUP(T290,'GL Name'!A:B,2,0)</f>
        <v>ค่าวิจัยคุณภาพสินค้า</v>
      </c>
      <c r="AL290" s="13">
        <f t="shared" si="20"/>
        <v>0.27082999999999996</v>
      </c>
      <c r="AM290" s="13" t="e">
        <f>VLOOKUP(I290,'Order 301-305 (เรียง)'!A:B,2,0)</f>
        <v>#N/A</v>
      </c>
      <c r="AN290" t="e">
        <f>VLOOKUP(I290,'Order 301-305 (เรียง)'!A:C,3,0)</f>
        <v>#N/A</v>
      </c>
    </row>
    <row r="291" spans="1:40" x14ac:dyDescent="0.3">
      <c r="A291" s="1" t="s">
        <v>106</v>
      </c>
      <c r="B291" s="1" t="s">
        <v>107</v>
      </c>
      <c r="C291" s="1" t="s">
        <v>64</v>
      </c>
      <c r="D291" s="1" t="s">
        <v>87</v>
      </c>
      <c r="E291" s="1" t="s">
        <v>88</v>
      </c>
      <c r="F291" s="1" t="s">
        <v>932</v>
      </c>
      <c r="G291" s="1" t="s">
        <v>103</v>
      </c>
      <c r="H291" s="1" t="s">
        <v>220</v>
      </c>
      <c r="I291" s="1" t="s">
        <v>68</v>
      </c>
      <c r="J291" s="1" t="s">
        <v>933</v>
      </c>
      <c r="K291" s="1" t="s">
        <v>118</v>
      </c>
      <c r="L291" s="1" t="s">
        <v>70</v>
      </c>
      <c r="M291" s="1" t="s">
        <v>68</v>
      </c>
      <c r="N291" s="1" t="s">
        <v>71</v>
      </c>
      <c r="O291" s="1" t="s">
        <v>68</v>
      </c>
      <c r="P291" s="1" t="s">
        <v>934</v>
      </c>
      <c r="Q291" s="1" t="s">
        <v>68</v>
      </c>
      <c r="R291" s="1" t="s">
        <v>935</v>
      </c>
      <c r="S291" s="1" t="s">
        <v>90</v>
      </c>
      <c r="T291" s="1" t="s">
        <v>91</v>
      </c>
      <c r="U291" s="1" t="s">
        <v>68</v>
      </c>
      <c r="V291" s="1" t="s">
        <v>68</v>
      </c>
      <c r="W291" s="1" t="s">
        <v>68</v>
      </c>
      <c r="X291" s="1" t="s">
        <v>68</v>
      </c>
      <c r="Y291" s="73"/>
      <c r="Z291" s="2" t="s">
        <v>102</v>
      </c>
      <c r="AA291" s="3">
        <v>-17</v>
      </c>
      <c r="AB291" s="4">
        <v>-14.38</v>
      </c>
      <c r="AC291" s="73">
        <v>46204</v>
      </c>
      <c r="AD291" s="73">
        <v>46204</v>
      </c>
      <c r="AE291" s="73"/>
      <c r="AF291" s="73">
        <v>46213</v>
      </c>
      <c r="AG291" s="3">
        <v>-17</v>
      </c>
      <c r="AH291" s="353" t="str">
        <f t="shared" si="18"/>
        <v/>
      </c>
      <c r="AI291" s="3" t="str">
        <f t="shared" si="19"/>
        <v>58</v>
      </c>
      <c r="AJ291" s="64" t="str">
        <f>VLOOKUP(T291,'GL Name'!A:B,2,0)</f>
        <v>ค่าวิจัยคุณภาพสินค้า</v>
      </c>
      <c r="AL291" s="13">
        <f t="shared" si="20"/>
        <v>0.84588235294117653</v>
      </c>
      <c r="AM291" s="13" t="e">
        <f>VLOOKUP(I291,'Order 301-305 (เรียง)'!A:B,2,0)</f>
        <v>#N/A</v>
      </c>
      <c r="AN291" t="e">
        <f>VLOOKUP(I291,'Order 301-305 (เรียง)'!A:C,3,0)</f>
        <v>#N/A</v>
      </c>
    </row>
    <row r="292" spans="1:40" x14ac:dyDescent="0.3">
      <c r="A292" s="1" t="s">
        <v>196</v>
      </c>
      <c r="B292" s="1" t="s">
        <v>197</v>
      </c>
      <c r="C292" s="1" t="s">
        <v>64</v>
      </c>
      <c r="D292" s="1" t="s">
        <v>87</v>
      </c>
      <c r="E292" s="1" t="s">
        <v>88</v>
      </c>
      <c r="F292" s="1" t="s">
        <v>932</v>
      </c>
      <c r="G292" s="1" t="s">
        <v>103</v>
      </c>
      <c r="H292" s="1" t="s">
        <v>316</v>
      </c>
      <c r="I292" s="1" t="s">
        <v>68</v>
      </c>
      <c r="J292" s="1" t="s">
        <v>933</v>
      </c>
      <c r="K292" s="1" t="s">
        <v>118</v>
      </c>
      <c r="L292" s="1" t="s">
        <v>86</v>
      </c>
      <c r="M292" s="1" t="s">
        <v>68</v>
      </c>
      <c r="N292" s="1" t="s">
        <v>71</v>
      </c>
      <c r="O292" s="1" t="s">
        <v>68</v>
      </c>
      <c r="P292" s="1" t="s">
        <v>934</v>
      </c>
      <c r="Q292" s="1" t="s">
        <v>68</v>
      </c>
      <c r="R292" s="1" t="s">
        <v>935</v>
      </c>
      <c r="S292" s="1" t="s">
        <v>90</v>
      </c>
      <c r="T292" s="1" t="s">
        <v>91</v>
      </c>
      <c r="U292" s="1" t="s">
        <v>68</v>
      </c>
      <c r="V292" s="1" t="s">
        <v>68</v>
      </c>
      <c r="W292" s="1" t="s">
        <v>68</v>
      </c>
      <c r="X292" s="1" t="s">
        <v>68</v>
      </c>
      <c r="Y292" s="73"/>
      <c r="Z292" s="2" t="s">
        <v>102</v>
      </c>
      <c r="AA292" s="3">
        <v>-17</v>
      </c>
      <c r="AB292" s="4">
        <v>-35</v>
      </c>
      <c r="AC292" s="73">
        <v>46204</v>
      </c>
      <c r="AD292" s="73">
        <v>46204</v>
      </c>
      <c r="AE292" s="73"/>
      <c r="AF292" s="73">
        <v>46213</v>
      </c>
      <c r="AG292" s="3">
        <v>-17</v>
      </c>
      <c r="AH292" s="353" t="str">
        <f t="shared" si="18"/>
        <v/>
      </c>
      <c r="AI292" s="3" t="str">
        <f t="shared" si="19"/>
        <v>58</v>
      </c>
      <c r="AJ292" s="64" t="str">
        <f>VLOOKUP(T292,'GL Name'!A:B,2,0)</f>
        <v>ค่าวิจัยคุณภาพสินค้า</v>
      </c>
      <c r="AL292" s="13">
        <f t="shared" si="20"/>
        <v>2.0588235294117645</v>
      </c>
      <c r="AM292" s="13" t="e">
        <f>VLOOKUP(I292,'Order 301-305 (เรียง)'!A:B,2,0)</f>
        <v>#N/A</v>
      </c>
      <c r="AN292" t="e">
        <f>VLOOKUP(I292,'Order 301-305 (เรียง)'!A:C,3,0)</f>
        <v>#N/A</v>
      </c>
    </row>
    <row r="293" spans="1:40" x14ac:dyDescent="0.3">
      <c r="A293" s="1" t="s">
        <v>15</v>
      </c>
      <c r="B293" s="1" t="s">
        <v>233</v>
      </c>
      <c r="C293" s="1" t="s">
        <v>64</v>
      </c>
      <c r="D293" s="1" t="s">
        <v>87</v>
      </c>
      <c r="E293" s="1" t="s">
        <v>88</v>
      </c>
      <c r="F293" s="1" t="s">
        <v>936</v>
      </c>
      <c r="G293" s="1" t="s">
        <v>279</v>
      </c>
      <c r="H293" s="1" t="s">
        <v>937</v>
      </c>
      <c r="I293" s="1" t="s">
        <v>68</v>
      </c>
      <c r="J293" s="1" t="s">
        <v>938</v>
      </c>
      <c r="K293" s="1" t="s">
        <v>118</v>
      </c>
      <c r="L293" s="1" t="s">
        <v>70</v>
      </c>
      <c r="M293" s="1" t="s">
        <v>68</v>
      </c>
      <c r="N293" s="1" t="s">
        <v>71</v>
      </c>
      <c r="O293" s="1" t="s">
        <v>68</v>
      </c>
      <c r="P293" s="1" t="s">
        <v>939</v>
      </c>
      <c r="Q293" s="1" t="s">
        <v>68</v>
      </c>
      <c r="R293" s="1" t="s">
        <v>940</v>
      </c>
      <c r="S293" s="1" t="s">
        <v>90</v>
      </c>
      <c r="T293" s="1" t="s">
        <v>91</v>
      </c>
      <c r="U293" s="1" t="s">
        <v>68</v>
      </c>
      <c r="V293" s="1" t="s">
        <v>68</v>
      </c>
      <c r="W293" s="1" t="s">
        <v>68</v>
      </c>
      <c r="X293" s="1" t="s">
        <v>68</v>
      </c>
      <c r="Y293" s="73"/>
      <c r="Z293" s="2" t="s">
        <v>265</v>
      </c>
      <c r="AA293" s="3">
        <v>-3000</v>
      </c>
      <c r="AB293" s="4">
        <v>-812.49</v>
      </c>
      <c r="AC293" s="73">
        <v>46204</v>
      </c>
      <c r="AD293" s="73">
        <v>46204</v>
      </c>
      <c r="AE293" s="73"/>
      <c r="AF293" s="73">
        <v>46213</v>
      </c>
      <c r="AG293" s="3">
        <v>-3000</v>
      </c>
      <c r="AH293" s="353" t="str">
        <f t="shared" si="18"/>
        <v/>
      </c>
      <c r="AI293" s="3" t="str">
        <f t="shared" si="19"/>
        <v>57</v>
      </c>
      <c r="AJ293" s="64" t="str">
        <f>VLOOKUP(T293,'GL Name'!A:B,2,0)</f>
        <v>ค่าวิจัยคุณภาพสินค้า</v>
      </c>
      <c r="AL293" s="13">
        <f t="shared" si="20"/>
        <v>0.27083000000000002</v>
      </c>
      <c r="AM293" s="13" t="e">
        <f>VLOOKUP(I293,'Order 301-305 (เรียง)'!A:B,2,0)</f>
        <v>#N/A</v>
      </c>
      <c r="AN293" t="e">
        <f>VLOOKUP(I293,'Order 301-305 (เรียง)'!A:C,3,0)</f>
        <v>#N/A</v>
      </c>
    </row>
    <row r="294" spans="1:40" x14ac:dyDescent="0.3">
      <c r="A294" s="1" t="s">
        <v>106</v>
      </c>
      <c r="B294" s="1" t="s">
        <v>107</v>
      </c>
      <c r="C294" s="1" t="s">
        <v>64</v>
      </c>
      <c r="D294" s="1" t="s">
        <v>125</v>
      </c>
      <c r="E294" s="1" t="s">
        <v>289</v>
      </c>
      <c r="F294" s="1" t="s">
        <v>941</v>
      </c>
      <c r="G294" s="1" t="s">
        <v>101</v>
      </c>
      <c r="H294" s="1" t="s">
        <v>286</v>
      </c>
      <c r="I294" s="1" t="s">
        <v>68</v>
      </c>
      <c r="J294" s="1" t="s">
        <v>942</v>
      </c>
      <c r="K294" s="1" t="s">
        <v>294</v>
      </c>
      <c r="L294" s="1" t="s">
        <v>86</v>
      </c>
      <c r="M294" s="1" t="s">
        <v>68</v>
      </c>
      <c r="N294" s="1" t="s">
        <v>71</v>
      </c>
      <c r="O294" s="1" t="s">
        <v>68</v>
      </c>
      <c r="P294" s="1" t="s">
        <v>72</v>
      </c>
      <c r="Q294" s="1" t="s">
        <v>68</v>
      </c>
      <c r="R294" s="1" t="s">
        <v>68</v>
      </c>
      <c r="S294" s="1" t="s">
        <v>68</v>
      </c>
      <c r="T294" s="1" t="s">
        <v>68</v>
      </c>
      <c r="U294" s="1" t="s">
        <v>68</v>
      </c>
      <c r="V294" s="1" t="s">
        <v>68</v>
      </c>
      <c r="W294" s="1" t="s">
        <v>68</v>
      </c>
      <c r="X294" s="1" t="s">
        <v>68</v>
      </c>
      <c r="Y294" s="73"/>
      <c r="Z294" s="2" t="s">
        <v>102</v>
      </c>
      <c r="AA294" s="3">
        <v>20000</v>
      </c>
      <c r="AB294" s="4">
        <v>0</v>
      </c>
      <c r="AC294" s="73">
        <v>46214</v>
      </c>
      <c r="AD294" s="73">
        <v>46214</v>
      </c>
      <c r="AE294" s="73"/>
      <c r="AF294" s="73">
        <v>46214</v>
      </c>
      <c r="AG294" s="3">
        <v>20000</v>
      </c>
      <c r="AH294" s="353" t="str">
        <f t="shared" si="18"/>
        <v/>
      </c>
      <c r="AI294" s="3" t="str">
        <f t="shared" si="19"/>
        <v>58</v>
      </c>
      <c r="AJ294" s="64" t="e">
        <f>VLOOKUP(T294,'GL Name'!A:B,2,0)</f>
        <v>#N/A</v>
      </c>
      <c r="AL294" s="13">
        <f t="shared" si="20"/>
        <v>0</v>
      </c>
      <c r="AM294" s="13" t="e">
        <f>VLOOKUP(I294,'Order 301-305 (เรียง)'!A:B,2,0)</f>
        <v>#N/A</v>
      </c>
      <c r="AN294" t="e">
        <f>VLOOKUP(I294,'Order 301-305 (เรียง)'!A:C,3,0)</f>
        <v>#N/A</v>
      </c>
    </row>
    <row r="295" spans="1:40" x14ac:dyDescent="0.3">
      <c r="A295" s="1" t="s">
        <v>106</v>
      </c>
      <c r="B295" s="1" t="s">
        <v>107</v>
      </c>
      <c r="C295" s="1" t="s">
        <v>64</v>
      </c>
      <c r="D295" s="1" t="s">
        <v>125</v>
      </c>
      <c r="E295" s="1" t="s">
        <v>289</v>
      </c>
      <c r="F295" s="1" t="s">
        <v>941</v>
      </c>
      <c r="G295" s="1" t="s">
        <v>101</v>
      </c>
      <c r="H295" s="1" t="s">
        <v>286</v>
      </c>
      <c r="I295" s="1" t="s">
        <v>68</v>
      </c>
      <c r="J295" s="1" t="s">
        <v>942</v>
      </c>
      <c r="K295" s="1" t="s">
        <v>294</v>
      </c>
      <c r="L295" s="1" t="s">
        <v>70</v>
      </c>
      <c r="M295" s="1" t="s">
        <v>68</v>
      </c>
      <c r="N295" s="1" t="s">
        <v>71</v>
      </c>
      <c r="O295" s="1" t="s">
        <v>68</v>
      </c>
      <c r="P295" s="1" t="s">
        <v>72</v>
      </c>
      <c r="Q295" s="1" t="s">
        <v>68</v>
      </c>
      <c r="R295" s="1" t="s">
        <v>68</v>
      </c>
      <c r="S295" s="1" t="s">
        <v>68</v>
      </c>
      <c r="T295" s="1" t="s">
        <v>68</v>
      </c>
      <c r="U295" s="1" t="s">
        <v>68</v>
      </c>
      <c r="V295" s="1" t="s">
        <v>68</v>
      </c>
      <c r="W295" s="1" t="s">
        <v>68</v>
      </c>
      <c r="X295" s="1" t="s">
        <v>68</v>
      </c>
      <c r="Y295" s="73"/>
      <c r="Z295" s="2" t="s">
        <v>102</v>
      </c>
      <c r="AA295" s="3">
        <v>-20000</v>
      </c>
      <c r="AB295" s="4">
        <v>0</v>
      </c>
      <c r="AC295" s="73">
        <v>46214</v>
      </c>
      <c r="AD295" s="73">
        <v>46214</v>
      </c>
      <c r="AE295" s="73"/>
      <c r="AF295" s="73">
        <v>46214</v>
      </c>
      <c r="AG295" s="3">
        <v>-20000</v>
      </c>
      <c r="AH295" s="353" t="str">
        <f t="shared" si="18"/>
        <v/>
      </c>
      <c r="AI295" s="3" t="str">
        <f t="shared" si="19"/>
        <v>58</v>
      </c>
      <c r="AJ295" s="64" t="e">
        <f>VLOOKUP(T295,'GL Name'!A:B,2,0)</f>
        <v>#N/A</v>
      </c>
      <c r="AL295" s="13">
        <f t="shared" si="20"/>
        <v>0</v>
      </c>
      <c r="AM295" s="13" t="e">
        <f>VLOOKUP(I295,'Order 301-305 (เรียง)'!A:B,2,0)</f>
        <v>#N/A</v>
      </c>
      <c r="AN295" t="e">
        <f>VLOOKUP(I295,'Order 301-305 (เรียง)'!A:C,3,0)</f>
        <v>#N/A</v>
      </c>
    </row>
    <row r="296" spans="1:40" x14ac:dyDescent="0.3">
      <c r="A296" s="1" t="s">
        <v>121</v>
      </c>
      <c r="B296" s="1" t="s">
        <v>122</v>
      </c>
      <c r="C296" s="1" t="s">
        <v>64</v>
      </c>
      <c r="D296" s="1" t="s">
        <v>125</v>
      </c>
      <c r="E296" s="1" t="s">
        <v>289</v>
      </c>
      <c r="F296" s="1" t="s">
        <v>941</v>
      </c>
      <c r="G296" s="1" t="s">
        <v>101</v>
      </c>
      <c r="H296" s="1" t="s">
        <v>772</v>
      </c>
      <c r="I296" s="1" t="s">
        <v>68</v>
      </c>
      <c r="J296" s="1" t="s">
        <v>942</v>
      </c>
      <c r="K296" s="1" t="s">
        <v>294</v>
      </c>
      <c r="L296" s="1" t="s">
        <v>92</v>
      </c>
      <c r="M296" s="1" t="s">
        <v>68</v>
      </c>
      <c r="N296" s="1" t="s">
        <v>71</v>
      </c>
      <c r="O296" s="1" t="s">
        <v>68</v>
      </c>
      <c r="P296" s="1" t="s">
        <v>72</v>
      </c>
      <c r="Q296" s="1" t="s">
        <v>68</v>
      </c>
      <c r="R296" s="1" t="s">
        <v>68</v>
      </c>
      <c r="S296" s="1" t="s">
        <v>68</v>
      </c>
      <c r="T296" s="1" t="s">
        <v>68</v>
      </c>
      <c r="U296" s="1" t="s">
        <v>68</v>
      </c>
      <c r="V296" s="1" t="s">
        <v>68</v>
      </c>
      <c r="W296" s="1" t="s">
        <v>68</v>
      </c>
      <c r="X296" s="1" t="s">
        <v>68</v>
      </c>
      <c r="Y296" s="73"/>
      <c r="Z296" s="2" t="s">
        <v>102</v>
      </c>
      <c r="AA296" s="3">
        <v>-3900</v>
      </c>
      <c r="AB296" s="4">
        <v>0</v>
      </c>
      <c r="AC296" s="73">
        <v>46214</v>
      </c>
      <c r="AD296" s="73">
        <v>46214</v>
      </c>
      <c r="AE296" s="73"/>
      <c r="AF296" s="73">
        <v>46214</v>
      </c>
      <c r="AG296" s="3">
        <v>-3900</v>
      </c>
      <c r="AH296" s="353" t="str">
        <f t="shared" si="18"/>
        <v/>
      </c>
      <c r="AI296" s="3" t="str">
        <f t="shared" si="19"/>
        <v>58</v>
      </c>
      <c r="AJ296" s="64" t="e">
        <f>VLOOKUP(T296,'GL Name'!A:B,2,0)</f>
        <v>#N/A</v>
      </c>
      <c r="AL296" s="13">
        <f t="shared" si="20"/>
        <v>0</v>
      </c>
      <c r="AM296" s="13" t="e">
        <f>VLOOKUP(I296,'Order 301-305 (เรียง)'!A:B,2,0)</f>
        <v>#N/A</v>
      </c>
      <c r="AN296" t="e">
        <f>VLOOKUP(I296,'Order 301-305 (เรียง)'!A:C,3,0)</f>
        <v>#N/A</v>
      </c>
    </row>
    <row r="297" spans="1:40" x14ac:dyDescent="0.3">
      <c r="A297" s="1" t="s">
        <v>121</v>
      </c>
      <c r="B297" s="1" t="s">
        <v>122</v>
      </c>
      <c r="C297" s="1" t="s">
        <v>64</v>
      </c>
      <c r="D297" s="1" t="s">
        <v>125</v>
      </c>
      <c r="E297" s="1" t="s">
        <v>289</v>
      </c>
      <c r="F297" s="1" t="s">
        <v>941</v>
      </c>
      <c r="G297" s="1" t="s">
        <v>103</v>
      </c>
      <c r="H297" s="1" t="s">
        <v>772</v>
      </c>
      <c r="I297" s="1" t="s">
        <v>68</v>
      </c>
      <c r="J297" s="1" t="s">
        <v>942</v>
      </c>
      <c r="K297" s="1" t="s">
        <v>294</v>
      </c>
      <c r="L297" s="1" t="s">
        <v>89</v>
      </c>
      <c r="M297" s="1" t="s">
        <v>68</v>
      </c>
      <c r="N297" s="1" t="s">
        <v>71</v>
      </c>
      <c r="O297" s="1" t="s">
        <v>68</v>
      </c>
      <c r="P297" s="1" t="s">
        <v>72</v>
      </c>
      <c r="Q297" s="1" t="s">
        <v>68</v>
      </c>
      <c r="R297" s="1" t="s">
        <v>68</v>
      </c>
      <c r="S297" s="1" t="s">
        <v>68</v>
      </c>
      <c r="T297" s="1" t="s">
        <v>68</v>
      </c>
      <c r="U297" s="1" t="s">
        <v>68</v>
      </c>
      <c r="V297" s="1" t="s">
        <v>68</v>
      </c>
      <c r="W297" s="1" t="s">
        <v>68</v>
      </c>
      <c r="X297" s="1" t="s">
        <v>68</v>
      </c>
      <c r="Y297" s="73"/>
      <c r="Z297" s="2" t="s">
        <v>102</v>
      </c>
      <c r="AA297" s="3">
        <v>3900</v>
      </c>
      <c r="AB297" s="4">
        <v>0</v>
      </c>
      <c r="AC297" s="73">
        <v>46214</v>
      </c>
      <c r="AD297" s="73">
        <v>46214</v>
      </c>
      <c r="AE297" s="73"/>
      <c r="AF297" s="73">
        <v>46214</v>
      </c>
      <c r="AG297" s="3">
        <v>3900</v>
      </c>
      <c r="AH297" s="353" t="str">
        <f t="shared" si="18"/>
        <v/>
      </c>
      <c r="AI297" s="3" t="str">
        <f t="shared" si="19"/>
        <v>58</v>
      </c>
      <c r="AJ297" s="64" t="e">
        <f>VLOOKUP(T297,'GL Name'!A:B,2,0)</f>
        <v>#N/A</v>
      </c>
      <c r="AL297" s="13">
        <f t="shared" si="20"/>
        <v>0</v>
      </c>
      <c r="AM297" s="13" t="e">
        <f>VLOOKUP(I297,'Order 301-305 (เรียง)'!A:B,2,0)</f>
        <v>#N/A</v>
      </c>
      <c r="AN297" t="e">
        <f>VLOOKUP(I297,'Order 301-305 (เรียง)'!A:C,3,0)</f>
        <v>#N/A</v>
      </c>
    </row>
    <row r="298" spans="1:40" x14ac:dyDescent="0.3">
      <c r="A298" s="1" t="s">
        <v>9</v>
      </c>
      <c r="B298" s="1" t="s">
        <v>10</v>
      </c>
      <c r="C298" s="1" t="s">
        <v>64</v>
      </c>
      <c r="D298" s="1" t="s">
        <v>125</v>
      </c>
      <c r="E298" s="1" t="s">
        <v>289</v>
      </c>
      <c r="F298" s="1" t="s">
        <v>943</v>
      </c>
      <c r="G298" s="1" t="s">
        <v>278</v>
      </c>
      <c r="H298" s="1" t="s">
        <v>944</v>
      </c>
      <c r="I298" s="1" t="s">
        <v>68</v>
      </c>
      <c r="J298" s="1" t="s">
        <v>945</v>
      </c>
      <c r="K298" s="1" t="s">
        <v>294</v>
      </c>
      <c r="L298" s="1" t="s">
        <v>89</v>
      </c>
      <c r="M298" s="1" t="s">
        <v>68</v>
      </c>
      <c r="N298" s="1" t="s">
        <v>71</v>
      </c>
      <c r="O298" s="1" t="s">
        <v>68</v>
      </c>
      <c r="P298" s="1" t="s">
        <v>72</v>
      </c>
      <c r="Q298" s="1" t="s">
        <v>68</v>
      </c>
      <c r="R298" s="1" t="s">
        <v>68</v>
      </c>
      <c r="S298" s="1" t="s">
        <v>68</v>
      </c>
      <c r="T298" s="1" t="s">
        <v>68</v>
      </c>
      <c r="U298" s="1" t="s">
        <v>68</v>
      </c>
      <c r="V298" s="1" t="s">
        <v>68</v>
      </c>
      <c r="W298" s="1" t="s">
        <v>68</v>
      </c>
      <c r="X298" s="1" t="s">
        <v>68</v>
      </c>
      <c r="Y298" s="73"/>
      <c r="Z298" s="2" t="s">
        <v>80</v>
      </c>
      <c r="AA298" s="3">
        <v>3069.7</v>
      </c>
      <c r="AB298" s="4">
        <v>0</v>
      </c>
      <c r="AC298" s="73">
        <v>46214</v>
      </c>
      <c r="AD298" s="73">
        <v>46214</v>
      </c>
      <c r="AE298" s="73"/>
      <c r="AF298" s="73">
        <v>46214</v>
      </c>
      <c r="AG298" s="3">
        <v>3069700</v>
      </c>
      <c r="AH298" s="353" t="str">
        <f t="shared" si="18"/>
        <v/>
      </c>
      <c r="AI298" s="3" t="str">
        <f t="shared" si="19"/>
        <v>54</v>
      </c>
      <c r="AJ298" s="64" t="e">
        <f>VLOOKUP(T298,'GL Name'!A:B,2,0)</f>
        <v>#N/A</v>
      </c>
      <c r="AL298" s="13">
        <f t="shared" si="20"/>
        <v>0</v>
      </c>
      <c r="AM298" s="13" t="e">
        <f>VLOOKUP(I298,'Order 301-305 (เรียง)'!A:B,2,0)</f>
        <v>#N/A</v>
      </c>
      <c r="AN298" t="e">
        <f>VLOOKUP(I298,'Order 301-305 (เรียง)'!A:C,3,0)</f>
        <v>#N/A</v>
      </c>
    </row>
    <row r="299" spans="1:40" x14ac:dyDescent="0.3">
      <c r="A299" s="1" t="s">
        <v>9</v>
      </c>
      <c r="B299" s="1" t="s">
        <v>10</v>
      </c>
      <c r="C299" s="1" t="s">
        <v>64</v>
      </c>
      <c r="D299" s="1" t="s">
        <v>125</v>
      </c>
      <c r="E299" s="1" t="s">
        <v>289</v>
      </c>
      <c r="F299" s="1" t="s">
        <v>943</v>
      </c>
      <c r="G299" s="1" t="s">
        <v>232</v>
      </c>
      <c r="H299" s="1" t="s">
        <v>944</v>
      </c>
      <c r="I299" s="1" t="s">
        <v>68</v>
      </c>
      <c r="J299" s="1" t="s">
        <v>945</v>
      </c>
      <c r="K299" s="1" t="s">
        <v>294</v>
      </c>
      <c r="L299" s="1" t="s">
        <v>92</v>
      </c>
      <c r="M299" s="1" t="s">
        <v>68</v>
      </c>
      <c r="N299" s="1" t="s">
        <v>71</v>
      </c>
      <c r="O299" s="1" t="s">
        <v>68</v>
      </c>
      <c r="P299" s="1" t="s">
        <v>72</v>
      </c>
      <c r="Q299" s="1" t="s">
        <v>68</v>
      </c>
      <c r="R299" s="1" t="s">
        <v>68</v>
      </c>
      <c r="S299" s="1" t="s">
        <v>68</v>
      </c>
      <c r="T299" s="1" t="s">
        <v>68</v>
      </c>
      <c r="U299" s="1" t="s">
        <v>68</v>
      </c>
      <c r="V299" s="1" t="s">
        <v>68</v>
      </c>
      <c r="W299" s="1" t="s">
        <v>68</v>
      </c>
      <c r="X299" s="1" t="s">
        <v>68</v>
      </c>
      <c r="Y299" s="73"/>
      <c r="Z299" s="2" t="s">
        <v>80</v>
      </c>
      <c r="AA299" s="3">
        <v>-3069.7</v>
      </c>
      <c r="AB299" s="4">
        <v>0</v>
      </c>
      <c r="AC299" s="73">
        <v>46214</v>
      </c>
      <c r="AD299" s="73">
        <v>46214</v>
      </c>
      <c r="AE299" s="73"/>
      <c r="AF299" s="73">
        <v>46214</v>
      </c>
      <c r="AG299" s="3">
        <v>-3069700</v>
      </c>
      <c r="AH299" s="353" t="str">
        <f t="shared" si="18"/>
        <v/>
      </c>
      <c r="AI299" s="3" t="str">
        <f t="shared" si="19"/>
        <v>54</v>
      </c>
      <c r="AJ299" s="64" t="e">
        <f>VLOOKUP(T299,'GL Name'!A:B,2,0)</f>
        <v>#N/A</v>
      </c>
      <c r="AL299" s="13">
        <f t="shared" si="20"/>
        <v>0</v>
      </c>
      <c r="AM299" s="13" t="e">
        <f>VLOOKUP(I299,'Order 301-305 (เรียง)'!A:B,2,0)</f>
        <v>#N/A</v>
      </c>
      <c r="AN299" t="e">
        <f>VLOOKUP(I299,'Order 301-305 (เรียง)'!A:C,3,0)</f>
        <v>#N/A</v>
      </c>
    </row>
    <row r="300" spans="1:40" x14ac:dyDescent="0.3">
      <c r="A300" s="1" t="s">
        <v>9</v>
      </c>
      <c r="B300" s="1" t="s">
        <v>10</v>
      </c>
      <c r="C300" s="1" t="s">
        <v>64</v>
      </c>
      <c r="D300" s="1" t="s">
        <v>125</v>
      </c>
      <c r="E300" s="1" t="s">
        <v>289</v>
      </c>
      <c r="F300" s="1" t="s">
        <v>943</v>
      </c>
      <c r="G300" s="1" t="s">
        <v>278</v>
      </c>
      <c r="H300" s="1" t="s">
        <v>561</v>
      </c>
      <c r="I300" s="1" t="s">
        <v>68</v>
      </c>
      <c r="J300" s="1" t="s">
        <v>945</v>
      </c>
      <c r="K300" s="1" t="s">
        <v>294</v>
      </c>
      <c r="L300" s="1" t="s">
        <v>86</v>
      </c>
      <c r="M300" s="1" t="s">
        <v>68</v>
      </c>
      <c r="N300" s="1" t="s">
        <v>71</v>
      </c>
      <c r="O300" s="1" t="s">
        <v>68</v>
      </c>
      <c r="P300" s="1" t="s">
        <v>72</v>
      </c>
      <c r="Q300" s="1" t="s">
        <v>68</v>
      </c>
      <c r="R300" s="1" t="s">
        <v>68</v>
      </c>
      <c r="S300" s="1" t="s">
        <v>68</v>
      </c>
      <c r="T300" s="1" t="s">
        <v>68</v>
      </c>
      <c r="U300" s="1" t="s">
        <v>68</v>
      </c>
      <c r="V300" s="1" t="s">
        <v>68</v>
      </c>
      <c r="W300" s="1" t="s">
        <v>68</v>
      </c>
      <c r="X300" s="1" t="s">
        <v>68</v>
      </c>
      <c r="Y300" s="73"/>
      <c r="Z300" s="2" t="s">
        <v>80</v>
      </c>
      <c r="AA300" s="3">
        <v>13021.2</v>
      </c>
      <c r="AB300" s="4">
        <v>0</v>
      </c>
      <c r="AC300" s="73">
        <v>46214</v>
      </c>
      <c r="AD300" s="73">
        <v>46214</v>
      </c>
      <c r="AE300" s="73"/>
      <c r="AF300" s="73">
        <v>46214</v>
      </c>
      <c r="AG300" s="3">
        <v>13021200</v>
      </c>
      <c r="AH300" s="353" t="str">
        <f t="shared" si="18"/>
        <v/>
      </c>
      <c r="AI300" s="3" t="str">
        <f t="shared" si="19"/>
        <v>54</v>
      </c>
      <c r="AJ300" s="64" t="e">
        <f>VLOOKUP(T300,'GL Name'!A:B,2,0)</f>
        <v>#N/A</v>
      </c>
      <c r="AL300" s="13">
        <f t="shared" si="20"/>
        <v>0</v>
      </c>
      <c r="AM300" s="13" t="e">
        <f>VLOOKUP(I300,'Order 301-305 (เรียง)'!A:B,2,0)</f>
        <v>#N/A</v>
      </c>
      <c r="AN300" t="e">
        <f>VLOOKUP(I300,'Order 301-305 (เรียง)'!A:C,3,0)</f>
        <v>#N/A</v>
      </c>
    </row>
    <row r="301" spans="1:40" x14ac:dyDescent="0.3">
      <c r="A301" s="1" t="s">
        <v>9</v>
      </c>
      <c r="B301" s="1" t="s">
        <v>10</v>
      </c>
      <c r="C301" s="1" t="s">
        <v>64</v>
      </c>
      <c r="D301" s="1" t="s">
        <v>125</v>
      </c>
      <c r="E301" s="1" t="s">
        <v>289</v>
      </c>
      <c r="F301" s="1" t="s">
        <v>943</v>
      </c>
      <c r="G301" s="1" t="s">
        <v>232</v>
      </c>
      <c r="H301" s="1" t="s">
        <v>561</v>
      </c>
      <c r="I301" s="1" t="s">
        <v>68</v>
      </c>
      <c r="J301" s="1" t="s">
        <v>945</v>
      </c>
      <c r="K301" s="1" t="s">
        <v>294</v>
      </c>
      <c r="L301" s="1" t="s">
        <v>70</v>
      </c>
      <c r="M301" s="1" t="s">
        <v>68</v>
      </c>
      <c r="N301" s="1" t="s">
        <v>71</v>
      </c>
      <c r="O301" s="1" t="s">
        <v>68</v>
      </c>
      <c r="P301" s="1" t="s">
        <v>72</v>
      </c>
      <c r="Q301" s="1" t="s">
        <v>68</v>
      </c>
      <c r="R301" s="1" t="s">
        <v>68</v>
      </c>
      <c r="S301" s="1" t="s">
        <v>68</v>
      </c>
      <c r="T301" s="1" t="s">
        <v>68</v>
      </c>
      <c r="U301" s="1" t="s">
        <v>68</v>
      </c>
      <c r="V301" s="1" t="s">
        <v>68</v>
      </c>
      <c r="W301" s="1" t="s">
        <v>68</v>
      </c>
      <c r="X301" s="1" t="s">
        <v>68</v>
      </c>
      <c r="Y301" s="73"/>
      <c r="Z301" s="2" t="s">
        <v>80</v>
      </c>
      <c r="AA301" s="3">
        <v>-13021.2</v>
      </c>
      <c r="AB301" s="4">
        <v>0</v>
      </c>
      <c r="AC301" s="73">
        <v>46214</v>
      </c>
      <c r="AD301" s="73">
        <v>46214</v>
      </c>
      <c r="AE301" s="73"/>
      <c r="AF301" s="73">
        <v>46214</v>
      </c>
      <c r="AG301" s="3">
        <v>-13021200</v>
      </c>
      <c r="AH301" s="353" t="str">
        <f t="shared" si="18"/>
        <v/>
      </c>
      <c r="AI301" s="3" t="str">
        <f t="shared" si="19"/>
        <v>54</v>
      </c>
      <c r="AJ301" s="64" t="e">
        <f>VLOOKUP(T301,'GL Name'!A:B,2,0)</f>
        <v>#N/A</v>
      </c>
      <c r="AL301" s="13">
        <f t="shared" si="20"/>
        <v>0</v>
      </c>
      <c r="AM301" s="13" t="e">
        <f>VLOOKUP(I301,'Order 301-305 (เรียง)'!A:B,2,0)</f>
        <v>#N/A</v>
      </c>
      <c r="AN301" t="e">
        <f>VLOOKUP(I301,'Order 301-305 (เรียง)'!A:C,3,0)</f>
        <v>#N/A</v>
      </c>
    </row>
    <row r="302" spans="1:40" x14ac:dyDescent="0.3">
      <c r="A302" s="1" t="s">
        <v>9</v>
      </c>
      <c r="B302" s="1" t="s">
        <v>10</v>
      </c>
      <c r="C302" s="1" t="s">
        <v>64</v>
      </c>
      <c r="D302" s="1" t="s">
        <v>77</v>
      </c>
      <c r="E302" s="1" t="s">
        <v>78</v>
      </c>
      <c r="F302" s="1" t="s">
        <v>946</v>
      </c>
      <c r="G302" s="1" t="s">
        <v>278</v>
      </c>
      <c r="H302" s="1" t="s">
        <v>561</v>
      </c>
      <c r="I302" s="1" t="s">
        <v>947</v>
      </c>
      <c r="J302" s="1" t="s">
        <v>948</v>
      </c>
      <c r="K302" s="1" t="s">
        <v>290</v>
      </c>
      <c r="L302" s="1" t="s">
        <v>70</v>
      </c>
      <c r="M302" s="1" t="s">
        <v>68</v>
      </c>
      <c r="N302" s="1" t="s">
        <v>71</v>
      </c>
      <c r="O302" s="1" t="s">
        <v>68</v>
      </c>
      <c r="P302" s="1" t="s">
        <v>949</v>
      </c>
      <c r="Q302" s="1" t="s">
        <v>68</v>
      </c>
      <c r="R302" s="1" t="s">
        <v>68</v>
      </c>
      <c r="S302" s="1" t="s">
        <v>68</v>
      </c>
      <c r="T302" s="1" t="s">
        <v>79</v>
      </c>
      <c r="U302" s="1" t="s">
        <v>68</v>
      </c>
      <c r="V302" s="1" t="s">
        <v>68</v>
      </c>
      <c r="W302" s="1" t="s">
        <v>68</v>
      </c>
      <c r="X302" s="1" t="s">
        <v>68</v>
      </c>
      <c r="Y302" s="73"/>
      <c r="Z302" s="2" t="s">
        <v>80</v>
      </c>
      <c r="AA302" s="3">
        <v>-13021.2</v>
      </c>
      <c r="AB302" s="4">
        <v>-3436411.93</v>
      </c>
      <c r="AC302" s="73">
        <v>46214</v>
      </c>
      <c r="AD302" s="73">
        <v>46212</v>
      </c>
      <c r="AE302" s="73"/>
      <c r="AF302" s="73">
        <v>46214</v>
      </c>
      <c r="AG302" s="3">
        <v>-13021200</v>
      </c>
      <c r="AH302" s="353" t="str">
        <f t="shared" si="18"/>
        <v>301</v>
      </c>
      <c r="AI302" s="3" t="str">
        <f t="shared" si="19"/>
        <v>54</v>
      </c>
      <c r="AJ302" s="64" t="str">
        <f>VLOOKUP(T302,'GL Name'!A:B,2,0)</f>
        <v>ต้นทุนผลิต-วัตถุดิบ</v>
      </c>
      <c r="AL302" s="13">
        <f t="shared" si="20"/>
        <v>263.90900454643196</v>
      </c>
      <c r="AM302" s="13" t="str">
        <f>VLOOKUP(I302,'Order 301-305 (เรียง)'!A:B,2,0)</f>
        <v>Semi</v>
      </c>
      <c r="AN302" t="str">
        <f>VLOOKUP(I302,'Order 301-305 (เรียง)'!A:C,3,0)</f>
        <v>Semi เมล็ดกาแฟ</v>
      </c>
    </row>
    <row r="303" spans="1:40" x14ac:dyDescent="0.3">
      <c r="A303" s="1" t="s">
        <v>9</v>
      </c>
      <c r="B303" s="1" t="s">
        <v>10</v>
      </c>
      <c r="C303" s="1" t="s">
        <v>64</v>
      </c>
      <c r="D303" s="1" t="s">
        <v>77</v>
      </c>
      <c r="E303" s="1" t="s">
        <v>78</v>
      </c>
      <c r="F303" s="1" t="s">
        <v>950</v>
      </c>
      <c r="G303" s="1" t="s">
        <v>278</v>
      </c>
      <c r="H303" s="1" t="s">
        <v>327</v>
      </c>
      <c r="I303" s="1" t="s">
        <v>951</v>
      </c>
      <c r="J303" s="1" t="s">
        <v>952</v>
      </c>
      <c r="K303" s="1" t="s">
        <v>290</v>
      </c>
      <c r="L303" s="1" t="s">
        <v>70</v>
      </c>
      <c r="M303" s="1" t="s">
        <v>68</v>
      </c>
      <c r="N303" s="1" t="s">
        <v>71</v>
      </c>
      <c r="O303" s="1" t="s">
        <v>68</v>
      </c>
      <c r="P303" s="1" t="s">
        <v>953</v>
      </c>
      <c r="Q303" s="1" t="s">
        <v>68</v>
      </c>
      <c r="R303" s="1" t="s">
        <v>68</v>
      </c>
      <c r="S303" s="1" t="s">
        <v>68</v>
      </c>
      <c r="T303" s="1" t="s">
        <v>79</v>
      </c>
      <c r="U303" s="1" t="s">
        <v>68</v>
      </c>
      <c r="V303" s="1" t="s">
        <v>68</v>
      </c>
      <c r="W303" s="1" t="s">
        <v>68</v>
      </c>
      <c r="X303" s="1" t="s">
        <v>68</v>
      </c>
      <c r="Y303" s="73"/>
      <c r="Z303" s="2" t="s">
        <v>80</v>
      </c>
      <c r="AA303" s="3">
        <v>-5017.3</v>
      </c>
      <c r="AB303" s="4">
        <v>-1324110.6499999999</v>
      </c>
      <c r="AC303" s="73">
        <v>46214</v>
      </c>
      <c r="AD303" s="73">
        <v>46213</v>
      </c>
      <c r="AE303" s="73"/>
      <c r="AF303" s="73">
        <v>46214</v>
      </c>
      <c r="AG303" s="3">
        <v>-5017300</v>
      </c>
      <c r="AH303" s="353" t="str">
        <f t="shared" si="18"/>
        <v>301</v>
      </c>
      <c r="AI303" s="3" t="str">
        <f t="shared" si="19"/>
        <v>54</v>
      </c>
      <c r="AJ303" s="64" t="str">
        <f>VLOOKUP(T303,'GL Name'!A:B,2,0)</f>
        <v>ต้นทุนผลิต-วัตถุดิบ</v>
      </c>
      <c r="AL303" s="13">
        <f t="shared" si="20"/>
        <v>263.90900484324237</v>
      </c>
      <c r="AM303" s="13" t="str">
        <f>VLOOKUP(I303,'Order 301-305 (เรียง)'!A:B,2,0)</f>
        <v>Semi</v>
      </c>
      <c r="AN303" t="str">
        <f>VLOOKUP(I303,'Order 301-305 (เรียง)'!A:C,3,0)</f>
        <v>Semi เมล็ดกาแฟ</v>
      </c>
    </row>
    <row r="304" spans="1:40" x14ac:dyDescent="0.3">
      <c r="A304" s="1" t="s">
        <v>9</v>
      </c>
      <c r="B304" s="1" t="s">
        <v>10</v>
      </c>
      <c r="C304" s="1" t="s">
        <v>64</v>
      </c>
      <c r="D304" s="1" t="s">
        <v>77</v>
      </c>
      <c r="E304" s="1" t="s">
        <v>78</v>
      </c>
      <c r="F304" s="1" t="s">
        <v>954</v>
      </c>
      <c r="G304" s="1" t="s">
        <v>278</v>
      </c>
      <c r="H304" s="1" t="s">
        <v>944</v>
      </c>
      <c r="I304" s="1" t="s">
        <v>955</v>
      </c>
      <c r="J304" s="1" t="s">
        <v>956</v>
      </c>
      <c r="K304" s="1" t="s">
        <v>290</v>
      </c>
      <c r="L304" s="1" t="s">
        <v>70</v>
      </c>
      <c r="M304" s="1" t="s">
        <v>68</v>
      </c>
      <c r="N304" s="1" t="s">
        <v>71</v>
      </c>
      <c r="O304" s="1" t="s">
        <v>68</v>
      </c>
      <c r="P304" s="1" t="s">
        <v>957</v>
      </c>
      <c r="Q304" s="1" t="s">
        <v>68</v>
      </c>
      <c r="R304" s="1" t="s">
        <v>68</v>
      </c>
      <c r="S304" s="1" t="s">
        <v>68</v>
      </c>
      <c r="T304" s="1" t="s">
        <v>79</v>
      </c>
      <c r="U304" s="1" t="s">
        <v>68</v>
      </c>
      <c r="V304" s="1" t="s">
        <v>68</v>
      </c>
      <c r="W304" s="1" t="s">
        <v>68</v>
      </c>
      <c r="X304" s="1" t="s">
        <v>68</v>
      </c>
      <c r="Y304" s="73"/>
      <c r="Z304" s="2" t="s">
        <v>80</v>
      </c>
      <c r="AA304" s="3">
        <v>-3015.18</v>
      </c>
      <c r="AB304" s="4">
        <v>-795733.15</v>
      </c>
      <c r="AC304" s="73">
        <v>46214</v>
      </c>
      <c r="AD304" s="73">
        <v>46213</v>
      </c>
      <c r="AE304" s="73"/>
      <c r="AF304" s="73">
        <v>46214</v>
      </c>
      <c r="AG304" s="3">
        <v>-3015180</v>
      </c>
      <c r="AH304" s="353" t="str">
        <f t="shared" si="18"/>
        <v>301</v>
      </c>
      <c r="AI304" s="3" t="str">
        <f t="shared" si="19"/>
        <v>54</v>
      </c>
      <c r="AJ304" s="64" t="str">
        <f>VLOOKUP(T304,'GL Name'!A:B,2,0)</f>
        <v>ต้นทุนผลิต-วัตถุดิบ</v>
      </c>
      <c r="AL304" s="13">
        <f t="shared" si="20"/>
        <v>263.90900377423571</v>
      </c>
      <c r="AM304" s="13" t="str">
        <f>VLOOKUP(I304,'Order 301-305 (เรียง)'!A:B,2,0)</f>
        <v>Semi</v>
      </c>
      <c r="AN304" t="str">
        <f>VLOOKUP(I304,'Order 301-305 (เรียง)'!A:C,3,0)</f>
        <v>Semi เมล็ดกาแฟ</v>
      </c>
    </row>
    <row r="305" spans="1:40" x14ac:dyDescent="0.3">
      <c r="A305" s="1" t="s">
        <v>9</v>
      </c>
      <c r="B305" s="1" t="s">
        <v>10</v>
      </c>
      <c r="C305" s="1" t="s">
        <v>64</v>
      </c>
      <c r="D305" s="1" t="s">
        <v>77</v>
      </c>
      <c r="E305" s="1" t="s">
        <v>78</v>
      </c>
      <c r="F305" s="1" t="s">
        <v>958</v>
      </c>
      <c r="G305" s="1" t="s">
        <v>278</v>
      </c>
      <c r="H305" s="1" t="s">
        <v>944</v>
      </c>
      <c r="I305" s="1" t="s">
        <v>955</v>
      </c>
      <c r="J305" s="1" t="s">
        <v>959</v>
      </c>
      <c r="K305" s="1" t="s">
        <v>290</v>
      </c>
      <c r="L305" s="1" t="s">
        <v>70</v>
      </c>
      <c r="M305" s="1" t="s">
        <v>68</v>
      </c>
      <c r="N305" s="1" t="s">
        <v>71</v>
      </c>
      <c r="O305" s="1" t="s">
        <v>68</v>
      </c>
      <c r="P305" s="1" t="s">
        <v>957</v>
      </c>
      <c r="Q305" s="1" t="s">
        <v>68</v>
      </c>
      <c r="R305" s="1" t="s">
        <v>68</v>
      </c>
      <c r="S305" s="1" t="s">
        <v>68</v>
      </c>
      <c r="T305" s="1" t="s">
        <v>79</v>
      </c>
      <c r="U305" s="1" t="s">
        <v>68</v>
      </c>
      <c r="V305" s="1" t="s">
        <v>68</v>
      </c>
      <c r="W305" s="1" t="s">
        <v>68</v>
      </c>
      <c r="X305" s="1" t="s">
        <v>68</v>
      </c>
      <c r="Y305" s="73"/>
      <c r="Z305" s="2" t="s">
        <v>80</v>
      </c>
      <c r="AA305" s="3">
        <v>-54.52</v>
      </c>
      <c r="AB305" s="4">
        <v>-14388.32</v>
      </c>
      <c r="AC305" s="73">
        <v>46214</v>
      </c>
      <c r="AD305" s="73">
        <v>46213</v>
      </c>
      <c r="AE305" s="73"/>
      <c r="AF305" s="73">
        <v>46214</v>
      </c>
      <c r="AG305" s="3">
        <v>-54520</v>
      </c>
      <c r="AH305" s="353" t="str">
        <f t="shared" si="18"/>
        <v>301</v>
      </c>
      <c r="AI305" s="3" t="str">
        <f t="shared" si="19"/>
        <v>54</v>
      </c>
      <c r="AJ305" s="64" t="str">
        <f>VLOOKUP(T305,'GL Name'!A:B,2,0)</f>
        <v>ต้นทุนผลิต-วัตถุดิบ</v>
      </c>
      <c r="AL305" s="13">
        <f t="shared" si="20"/>
        <v>263.90902421129857</v>
      </c>
      <c r="AM305" s="13" t="str">
        <f>VLOOKUP(I305,'Order 301-305 (เรียง)'!A:B,2,0)</f>
        <v>Semi</v>
      </c>
      <c r="AN305" t="str">
        <f>VLOOKUP(I305,'Order 301-305 (เรียง)'!A:C,3,0)</f>
        <v>Semi เมล็ดกาแฟ</v>
      </c>
    </row>
    <row r="306" spans="1:40" x14ac:dyDescent="0.3">
      <c r="A306" s="1" t="s">
        <v>81</v>
      </c>
      <c r="B306" s="1" t="s">
        <v>82</v>
      </c>
      <c r="C306" s="1" t="s">
        <v>64</v>
      </c>
      <c r="D306" s="1" t="s">
        <v>87</v>
      </c>
      <c r="E306" s="1" t="s">
        <v>88</v>
      </c>
      <c r="F306" s="1" t="s">
        <v>960</v>
      </c>
      <c r="G306" s="1" t="s">
        <v>83</v>
      </c>
      <c r="H306" s="1" t="s">
        <v>655</v>
      </c>
      <c r="I306" s="1" t="s">
        <v>68</v>
      </c>
      <c r="J306" s="1" t="s">
        <v>961</v>
      </c>
      <c r="K306" s="1" t="s">
        <v>118</v>
      </c>
      <c r="L306" s="1" t="s">
        <v>86</v>
      </c>
      <c r="M306" s="1" t="s">
        <v>68</v>
      </c>
      <c r="N306" s="1" t="s">
        <v>71</v>
      </c>
      <c r="O306" s="1" t="s">
        <v>68</v>
      </c>
      <c r="P306" s="1" t="s">
        <v>962</v>
      </c>
      <c r="Q306" s="1" t="s">
        <v>68</v>
      </c>
      <c r="R306" s="1" t="s">
        <v>911</v>
      </c>
      <c r="S306" s="1" t="s">
        <v>90</v>
      </c>
      <c r="T306" s="1" t="s">
        <v>91</v>
      </c>
      <c r="U306" s="1" t="s">
        <v>68</v>
      </c>
      <c r="V306" s="1" t="s">
        <v>68</v>
      </c>
      <c r="W306" s="1" t="s">
        <v>68</v>
      </c>
      <c r="X306" s="1" t="s">
        <v>68</v>
      </c>
      <c r="Y306" s="73"/>
      <c r="Z306" s="2" t="s">
        <v>74</v>
      </c>
      <c r="AA306" s="3">
        <v>-5</v>
      </c>
      <c r="AB306" s="4">
        <v>-849.3</v>
      </c>
      <c r="AC306" s="73">
        <v>46214</v>
      </c>
      <c r="AD306" s="73">
        <v>46214</v>
      </c>
      <c r="AE306" s="73"/>
      <c r="AF306" s="73">
        <v>46216</v>
      </c>
      <c r="AG306" s="3">
        <v>-2500</v>
      </c>
      <c r="AH306" s="353" t="str">
        <f t="shared" si="18"/>
        <v/>
      </c>
      <c r="AI306" s="3" t="str">
        <f t="shared" si="19"/>
        <v>59</v>
      </c>
      <c r="AJ306" s="64" t="str">
        <f>VLOOKUP(T306,'GL Name'!A:B,2,0)</f>
        <v>ค่าวิจัยคุณภาพสินค้า</v>
      </c>
      <c r="AL306" s="13">
        <f t="shared" si="20"/>
        <v>169.85999999999999</v>
      </c>
      <c r="AM306" s="13" t="e">
        <f>VLOOKUP(I306,'Order 301-305 (เรียง)'!A:B,2,0)</f>
        <v>#N/A</v>
      </c>
      <c r="AN306" t="e">
        <f>VLOOKUP(I306,'Order 301-305 (เรียง)'!A:C,3,0)</f>
        <v>#N/A</v>
      </c>
    </row>
    <row r="307" spans="1:40" x14ac:dyDescent="0.3">
      <c r="A307" s="1" t="s">
        <v>81</v>
      </c>
      <c r="B307" s="1" t="s">
        <v>82</v>
      </c>
      <c r="C307" s="1" t="s">
        <v>64</v>
      </c>
      <c r="D307" s="1" t="s">
        <v>87</v>
      </c>
      <c r="E307" s="1" t="s">
        <v>88</v>
      </c>
      <c r="F307" s="1" t="s">
        <v>960</v>
      </c>
      <c r="G307" s="1" t="s">
        <v>83</v>
      </c>
      <c r="H307" s="1" t="s">
        <v>655</v>
      </c>
      <c r="I307" s="1" t="s">
        <v>68</v>
      </c>
      <c r="J307" s="1" t="s">
        <v>961</v>
      </c>
      <c r="K307" s="1" t="s">
        <v>118</v>
      </c>
      <c r="L307" s="1" t="s">
        <v>70</v>
      </c>
      <c r="M307" s="1" t="s">
        <v>68</v>
      </c>
      <c r="N307" s="1" t="s">
        <v>71</v>
      </c>
      <c r="O307" s="1" t="s">
        <v>68</v>
      </c>
      <c r="P307" s="1" t="s">
        <v>962</v>
      </c>
      <c r="Q307" s="1" t="s">
        <v>68</v>
      </c>
      <c r="R307" s="1" t="s">
        <v>963</v>
      </c>
      <c r="S307" s="1" t="s">
        <v>90</v>
      </c>
      <c r="T307" s="1" t="s">
        <v>91</v>
      </c>
      <c r="U307" s="1" t="s">
        <v>68</v>
      </c>
      <c r="V307" s="1" t="s">
        <v>68</v>
      </c>
      <c r="W307" s="1" t="s">
        <v>68</v>
      </c>
      <c r="X307" s="1" t="s">
        <v>68</v>
      </c>
      <c r="Y307" s="73"/>
      <c r="Z307" s="2" t="s">
        <v>74</v>
      </c>
      <c r="AA307" s="3">
        <v>-3</v>
      </c>
      <c r="AB307" s="4">
        <v>-509.58</v>
      </c>
      <c r="AC307" s="73">
        <v>46214</v>
      </c>
      <c r="AD307" s="73">
        <v>46214</v>
      </c>
      <c r="AE307" s="73"/>
      <c r="AF307" s="73">
        <v>46216</v>
      </c>
      <c r="AG307" s="3">
        <v>-1500</v>
      </c>
      <c r="AH307" s="353" t="str">
        <f t="shared" si="18"/>
        <v/>
      </c>
      <c r="AI307" s="3" t="str">
        <f t="shared" si="19"/>
        <v>59</v>
      </c>
      <c r="AJ307" s="64" t="str">
        <f>VLOOKUP(T307,'GL Name'!A:B,2,0)</f>
        <v>ค่าวิจัยคุณภาพสินค้า</v>
      </c>
      <c r="AL307" s="13">
        <f t="shared" si="20"/>
        <v>169.85999999999999</v>
      </c>
      <c r="AM307" s="13" t="e">
        <f>VLOOKUP(I307,'Order 301-305 (เรียง)'!A:B,2,0)</f>
        <v>#N/A</v>
      </c>
      <c r="AN307" t="e">
        <f>VLOOKUP(I307,'Order 301-305 (เรียง)'!A:C,3,0)</f>
        <v>#N/A</v>
      </c>
    </row>
    <row r="308" spans="1:40" x14ac:dyDescent="0.3">
      <c r="A308" s="1" t="s">
        <v>62</v>
      </c>
      <c r="B308" s="1" t="s">
        <v>63</v>
      </c>
      <c r="C308" s="1" t="s">
        <v>64</v>
      </c>
      <c r="D308" s="1" t="s">
        <v>65</v>
      </c>
      <c r="E308" s="1" t="s">
        <v>66</v>
      </c>
      <c r="F308" s="1" t="s">
        <v>964</v>
      </c>
      <c r="G308" s="1" t="s">
        <v>67</v>
      </c>
      <c r="H308" s="1" t="s">
        <v>287</v>
      </c>
      <c r="I308" s="1" t="s">
        <v>68</v>
      </c>
      <c r="J308" s="1" t="s">
        <v>965</v>
      </c>
      <c r="K308" s="1" t="s">
        <v>231</v>
      </c>
      <c r="L308" s="1" t="s">
        <v>70</v>
      </c>
      <c r="M308" s="1" t="s">
        <v>68</v>
      </c>
      <c r="N308" s="1" t="s">
        <v>71</v>
      </c>
      <c r="O308" s="1" t="s">
        <v>68</v>
      </c>
      <c r="P308" s="1" t="s">
        <v>72</v>
      </c>
      <c r="Q308" s="1" t="s">
        <v>68</v>
      </c>
      <c r="R308" s="1" t="s">
        <v>68</v>
      </c>
      <c r="S308" s="1" t="s">
        <v>68</v>
      </c>
      <c r="T308" s="1" t="s">
        <v>73</v>
      </c>
      <c r="U308" s="1" t="s">
        <v>68</v>
      </c>
      <c r="V308" s="1" t="s">
        <v>68</v>
      </c>
      <c r="W308" s="1" t="s">
        <v>68</v>
      </c>
      <c r="X308" s="1" t="s">
        <v>966</v>
      </c>
      <c r="Y308" s="73"/>
      <c r="Z308" s="2" t="s">
        <v>74</v>
      </c>
      <c r="AA308" s="3">
        <v>-30</v>
      </c>
      <c r="AB308" s="4">
        <v>-5094.6000000000004</v>
      </c>
      <c r="AC308" s="73">
        <v>46216</v>
      </c>
      <c r="AD308" s="73">
        <v>46216</v>
      </c>
      <c r="AE308" s="73"/>
      <c r="AF308" s="73">
        <v>46216</v>
      </c>
      <c r="AG308" s="3">
        <v>-15000</v>
      </c>
      <c r="AH308" s="353" t="str">
        <f t="shared" si="18"/>
        <v/>
      </c>
      <c r="AI308" s="3" t="str">
        <f t="shared" si="19"/>
        <v>59</v>
      </c>
      <c r="AJ308" s="64" t="str">
        <f>VLOOKUP(T308,'GL Name'!A:B,2,0)</f>
        <v>ต้นทุนขาย</v>
      </c>
      <c r="AL308" s="13">
        <f t="shared" si="20"/>
        <v>169.82000000000002</v>
      </c>
      <c r="AM308" s="13" t="e">
        <f>VLOOKUP(I308,'Order 301-305 (เรียง)'!A:B,2,0)</f>
        <v>#N/A</v>
      </c>
      <c r="AN308" t="e">
        <f>VLOOKUP(I308,'Order 301-305 (เรียง)'!A:C,3,0)</f>
        <v>#N/A</v>
      </c>
    </row>
    <row r="309" spans="1:40" x14ac:dyDescent="0.3">
      <c r="A309" s="1" t="s">
        <v>9</v>
      </c>
      <c r="B309" s="1" t="s">
        <v>10</v>
      </c>
      <c r="C309" s="1" t="s">
        <v>64</v>
      </c>
      <c r="D309" s="1" t="s">
        <v>967</v>
      </c>
      <c r="E309" s="1" t="s">
        <v>968</v>
      </c>
      <c r="F309" s="1" t="s">
        <v>969</v>
      </c>
      <c r="G309" s="1" t="s">
        <v>278</v>
      </c>
      <c r="H309" s="1" t="s">
        <v>944</v>
      </c>
      <c r="I309" s="1" t="s">
        <v>955</v>
      </c>
      <c r="J309" s="1" t="s">
        <v>970</v>
      </c>
      <c r="K309" s="1" t="s">
        <v>84</v>
      </c>
      <c r="L309" s="1" t="s">
        <v>70</v>
      </c>
      <c r="M309" s="1" t="s">
        <v>68</v>
      </c>
      <c r="N309" s="1" t="s">
        <v>71</v>
      </c>
      <c r="O309" s="1" t="s">
        <v>68</v>
      </c>
      <c r="P309" s="1" t="s">
        <v>957</v>
      </c>
      <c r="Q309" s="1" t="s">
        <v>68</v>
      </c>
      <c r="R309" s="1" t="s">
        <v>68</v>
      </c>
      <c r="S309" s="1" t="s">
        <v>68</v>
      </c>
      <c r="T309" s="1" t="s">
        <v>79</v>
      </c>
      <c r="U309" s="1" t="s">
        <v>68</v>
      </c>
      <c r="V309" s="1" t="s">
        <v>68</v>
      </c>
      <c r="W309" s="1" t="s">
        <v>68</v>
      </c>
      <c r="X309" s="1" t="s">
        <v>68</v>
      </c>
      <c r="Y309" s="73"/>
      <c r="Z309" s="2" t="s">
        <v>80</v>
      </c>
      <c r="AA309" s="3">
        <v>54.52</v>
      </c>
      <c r="AB309" s="4">
        <v>14388.32</v>
      </c>
      <c r="AC309" s="73">
        <v>46214</v>
      </c>
      <c r="AD309" s="73">
        <v>46213</v>
      </c>
      <c r="AE309" s="73"/>
      <c r="AF309" s="73">
        <v>46216</v>
      </c>
      <c r="AG309" s="3">
        <v>54520</v>
      </c>
      <c r="AH309" s="353" t="str">
        <f t="shared" si="18"/>
        <v>301</v>
      </c>
      <c r="AI309" s="3" t="str">
        <f t="shared" si="19"/>
        <v>54</v>
      </c>
      <c r="AJ309" s="64" t="str">
        <f>VLOOKUP(T309,'GL Name'!A:B,2,0)</f>
        <v>ต้นทุนผลิต-วัตถุดิบ</v>
      </c>
      <c r="AL309" s="13">
        <f t="shared" si="20"/>
        <v>263.90902421129857</v>
      </c>
      <c r="AM309" s="13" t="str">
        <f>VLOOKUP(I309,'Order 301-305 (เรียง)'!A:B,2,0)</f>
        <v>Semi</v>
      </c>
      <c r="AN309" t="str">
        <f>VLOOKUP(I309,'Order 301-305 (เรียง)'!A:C,3,0)</f>
        <v>Semi เมล็ดกาแฟ</v>
      </c>
    </row>
    <row r="310" spans="1:40" x14ac:dyDescent="0.3">
      <c r="A310" s="1" t="s">
        <v>9</v>
      </c>
      <c r="B310" s="1" t="s">
        <v>10</v>
      </c>
      <c r="C310" s="1" t="s">
        <v>64</v>
      </c>
      <c r="D310" s="1" t="s">
        <v>77</v>
      </c>
      <c r="E310" s="1" t="s">
        <v>78</v>
      </c>
      <c r="F310" s="1" t="s">
        <v>971</v>
      </c>
      <c r="G310" s="1" t="s">
        <v>278</v>
      </c>
      <c r="H310" s="1" t="s">
        <v>944</v>
      </c>
      <c r="I310" s="1" t="s">
        <v>955</v>
      </c>
      <c r="J310" s="1" t="s">
        <v>972</v>
      </c>
      <c r="K310" s="1" t="s">
        <v>290</v>
      </c>
      <c r="L310" s="1" t="s">
        <v>70</v>
      </c>
      <c r="M310" s="1" t="s">
        <v>68</v>
      </c>
      <c r="N310" s="1" t="s">
        <v>71</v>
      </c>
      <c r="O310" s="1" t="s">
        <v>68</v>
      </c>
      <c r="P310" s="1" t="s">
        <v>957</v>
      </c>
      <c r="Q310" s="1" t="s">
        <v>68</v>
      </c>
      <c r="R310" s="1" t="s">
        <v>68</v>
      </c>
      <c r="S310" s="1" t="s">
        <v>68</v>
      </c>
      <c r="T310" s="1" t="s">
        <v>79</v>
      </c>
      <c r="U310" s="1" t="s">
        <v>68</v>
      </c>
      <c r="V310" s="1" t="s">
        <v>68</v>
      </c>
      <c r="W310" s="1" t="s">
        <v>68</v>
      </c>
      <c r="X310" s="1" t="s">
        <v>68</v>
      </c>
      <c r="Y310" s="73"/>
      <c r="Z310" s="2" t="s">
        <v>80</v>
      </c>
      <c r="AA310" s="3">
        <v>-54.52</v>
      </c>
      <c r="AB310" s="4">
        <v>-14388.32</v>
      </c>
      <c r="AC310" s="73">
        <v>46216</v>
      </c>
      <c r="AD310" s="73">
        <v>46213</v>
      </c>
      <c r="AE310" s="73"/>
      <c r="AF310" s="73">
        <v>46216</v>
      </c>
      <c r="AG310" s="3">
        <v>-54520</v>
      </c>
      <c r="AH310" s="353" t="str">
        <f t="shared" si="18"/>
        <v>301</v>
      </c>
      <c r="AI310" s="3" t="str">
        <f t="shared" si="19"/>
        <v>54</v>
      </c>
      <c r="AJ310" s="64" t="str">
        <f>VLOOKUP(T310,'GL Name'!A:B,2,0)</f>
        <v>ต้นทุนผลิต-วัตถุดิบ</v>
      </c>
      <c r="AL310" s="13">
        <f t="shared" si="20"/>
        <v>263.90902421129857</v>
      </c>
      <c r="AM310" s="13" t="str">
        <f>VLOOKUP(I310,'Order 301-305 (เรียง)'!A:B,2,0)</f>
        <v>Semi</v>
      </c>
      <c r="AN310" t="str">
        <f>VLOOKUP(I310,'Order 301-305 (เรียง)'!A:C,3,0)</f>
        <v>Semi เมล็ดกาแฟ</v>
      </c>
    </row>
    <row r="311" spans="1:40" x14ac:dyDescent="0.3">
      <c r="A311" s="1" t="s">
        <v>9</v>
      </c>
      <c r="B311" s="1" t="s">
        <v>10</v>
      </c>
      <c r="C311" s="1" t="s">
        <v>64</v>
      </c>
      <c r="D311" s="1" t="s">
        <v>967</v>
      </c>
      <c r="E311" s="1" t="s">
        <v>968</v>
      </c>
      <c r="F311" s="1" t="s">
        <v>973</v>
      </c>
      <c r="G311" s="1" t="s">
        <v>278</v>
      </c>
      <c r="H311" s="1" t="s">
        <v>327</v>
      </c>
      <c r="I311" s="1" t="s">
        <v>629</v>
      </c>
      <c r="J311" s="1" t="s">
        <v>974</v>
      </c>
      <c r="K311" s="1" t="s">
        <v>84</v>
      </c>
      <c r="L311" s="1" t="s">
        <v>70</v>
      </c>
      <c r="M311" s="1" t="s">
        <v>68</v>
      </c>
      <c r="N311" s="1" t="s">
        <v>71</v>
      </c>
      <c r="O311" s="1" t="s">
        <v>68</v>
      </c>
      <c r="P311" s="1" t="s">
        <v>631</v>
      </c>
      <c r="Q311" s="1" t="s">
        <v>68</v>
      </c>
      <c r="R311" s="1" t="s">
        <v>68</v>
      </c>
      <c r="S311" s="1" t="s">
        <v>68</v>
      </c>
      <c r="T311" s="1" t="s">
        <v>79</v>
      </c>
      <c r="U311" s="1" t="s">
        <v>68</v>
      </c>
      <c r="V311" s="1" t="s">
        <v>68</v>
      </c>
      <c r="W311" s="1" t="s">
        <v>68</v>
      </c>
      <c r="X311" s="1" t="s">
        <v>68</v>
      </c>
      <c r="Y311" s="73"/>
      <c r="Z311" s="2" t="s">
        <v>80</v>
      </c>
      <c r="AA311" s="3">
        <v>4012.2</v>
      </c>
      <c r="AB311" s="4">
        <v>1058700.0900000001</v>
      </c>
      <c r="AC311" s="73">
        <v>46210</v>
      </c>
      <c r="AD311" s="73">
        <v>46209</v>
      </c>
      <c r="AE311" s="73"/>
      <c r="AF311" s="73">
        <v>46216</v>
      </c>
      <c r="AG311" s="3">
        <v>4012200</v>
      </c>
      <c r="AH311" s="353" t="str">
        <f t="shared" si="18"/>
        <v>301</v>
      </c>
      <c r="AI311" s="3" t="str">
        <f t="shared" si="19"/>
        <v>54</v>
      </c>
      <c r="AJ311" s="64" t="str">
        <f>VLOOKUP(T311,'GL Name'!A:B,2,0)</f>
        <v>ต้นทุนผลิต-วัตถุดิบ</v>
      </c>
      <c r="AL311" s="13">
        <f t="shared" si="20"/>
        <v>263.87021833408107</v>
      </c>
      <c r="AM311" s="13" t="str">
        <f>VLOOKUP(I311,'Order 301-305 (เรียง)'!A:B,2,0)</f>
        <v>Semi</v>
      </c>
      <c r="AN311" t="str">
        <f>VLOOKUP(I311,'Order 301-305 (เรียง)'!A:C,3,0)</f>
        <v>Semi เมล็ดกาแฟ</v>
      </c>
    </row>
    <row r="312" spans="1:40" x14ac:dyDescent="0.3">
      <c r="A312" s="1" t="s">
        <v>9</v>
      </c>
      <c r="B312" s="1" t="s">
        <v>10</v>
      </c>
      <c r="C312" s="1" t="s">
        <v>64</v>
      </c>
      <c r="D312" s="1" t="s">
        <v>77</v>
      </c>
      <c r="E312" s="1" t="s">
        <v>78</v>
      </c>
      <c r="F312" s="1" t="s">
        <v>975</v>
      </c>
      <c r="G312" s="1" t="s">
        <v>278</v>
      </c>
      <c r="H312" s="1" t="s">
        <v>327</v>
      </c>
      <c r="I312" s="1" t="s">
        <v>629</v>
      </c>
      <c r="J312" s="1" t="s">
        <v>976</v>
      </c>
      <c r="K312" s="1" t="s">
        <v>290</v>
      </c>
      <c r="L312" s="1" t="s">
        <v>70</v>
      </c>
      <c r="M312" s="1" t="s">
        <v>68</v>
      </c>
      <c r="N312" s="1" t="s">
        <v>71</v>
      </c>
      <c r="O312" s="1" t="s">
        <v>68</v>
      </c>
      <c r="P312" s="1" t="s">
        <v>631</v>
      </c>
      <c r="Q312" s="1" t="s">
        <v>68</v>
      </c>
      <c r="R312" s="1" t="s">
        <v>68</v>
      </c>
      <c r="S312" s="1" t="s">
        <v>68</v>
      </c>
      <c r="T312" s="1" t="s">
        <v>79</v>
      </c>
      <c r="U312" s="1" t="s">
        <v>68</v>
      </c>
      <c r="V312" s="1" t="s">
        <v>68</v>
      </c>
      <c r="W312" s="1" t="s">
        <v>68</v>
      </c>
      <c r="X312" s="1" t="s">
        <v>68</v>
      </c>
      <c r="Y312" s="73"/>
      <c r="Z312" s="2" t="s">
        <v>80</v>
      </c>
      <c r="AA312" s="3">
        <v>-4012.2</v>
      </c>
      <c r="AB312" s="4">
        <v>-1058854.23</v>
      </c>
      <c r="AC312" s="73">
        <v>46216</v>
      </c>
      <c r="AD312" s="73">
        <v>46209</v>
      </c>
      <c r="AE312" s="73"/>
      <c r="AF312" s="73">
        <v>46216</v>
      </c>
      <c r="AG312" s="3">
        <v>-4012200</v>
      </c>
      <c r="AH312" s="353" t="str">
        <f t="shared" si="18"/>
        <v>301</v>
      </c>
      <c r="AI312" s="3" t="str">
        <f t="shared" si="19"/>
        <v>54</v>
      </c>
      <c r="AJ312" s="64" t="str">
        <f>VLOOKUP(T312,'GL Name'!A:B,2,0)</f>
        <v>ต้นทุนผลิต-วัตถุดิบ</v>
      </c>
      <c r="AL312" s="13">
        <f t="shared" si="20"/>
        <v>263.9086361597129</v>
      </c>
      <c r="AM312" s="13" t="str">
        <f>VLOOKUP(I312,'Order 301-305 (เรียง)'!A:B,2,0)</f>
        <v>Semi</v>
      </c>
      <c r="AN312" t="str">
        <f>VLOOKUP(I312,'Order 301-305 (เรียง)'!A:C,3,0)</f>
        <v>Semi เมล็ดกาแฟ</v>
      </c>
    </row>
    <row r="313" spans="1:40" x14ac:dyDescent="0.3">
      <c r="A313" s="1" t="s">
        <v>106</v>
      </c>
      <c r="B313" s="1" t="s">
        <v>107</v>
      </c>
      <c r="C313" s="1" t="s">
        <v>64</v>
      </c>
      <c r="D313" s="1" t="s">
        <v>93</v>
      </c>
      <c r="E313" s="1" t="s">
        <v>94</v>
      </c>
      <c r="F313" s="1" t="s">
        <v>977</v>
      </c>
      <c r="G313" s="1" t="s">
        <v>103</v>
      </c>
      <c r="H313" s="1" t="s">
        <v>220</v>
      </c>
      <c r="I313" s="1" t="s">
        <v>68</v>
      </c>
      <c r="J313" s="1" t="s">
        <v>978</v>
      </c>
      <c r="K313" s="1" t="s">
        <v>118</v>
      </c>
      <c r="L313" s="1" t="s">
        <v>89</v>
      </c>
      <c r="M313" s="1" t="s">
        <v>68</v>
      </c>
      <c r="N313" s="1" t="s">
        <v>71</v>
      </c>
      <c r="O313" s="1" t="s">
        <v>68</v>
      </c>
      <c r="P313" s="1" t="s">
        <v>72</v>
      </c>
      <c r="Q313" s="1" t="s">
        <v>68</v>
      </c>
      <c r="R313" s="1" t="s">
        <v>68</v>
      </c>
      <c r="S313" s="1" t="s">
        <v>68</v>
      </c>
      <c r="T313" s="1" t="s">
        <v>68</v>
      </c>
      <c r="U313" s="1" t="s">
        <v>68</v>
      </c>
      <c r="V313" s="1" t="s">
        <v>68</v>
      </c>
      <c r="W313" s="1" t="s">
        <v>68</v>
      </c>
      <c r="X313" s="1" t="s">
        <v>68</v>
      </c>
      <c r="Y313" s="73"/>
      <c r="Z313" s="2" t="s">
        <v>102</v>
      </c>
      <c r="AA313" s="3">
        <v>10000</v>
      </c>
      <c r="AB313" s="4">
        <v>0</v>
      </c>
      <c r="AC313" s="73">
        <v>46216</v>
      </c>
      <c r="AD313" s="73">
        <v>46216</v>
      </c>
      <c r="AE313" s="73"/>
      <c r="AF313" s="73">
        <v>46216</v>
      </c>
      <c r="AG313" s="3">
        <v>10000</v>
      </c>
      <c r="AH313" s="353" t="str">
        <f t="shared" si="18"/>
        <v/>
      </c>
      <c r="AI313" s="3" t="str">
        <f t="shared" si="19"/>
        <v>58</v>
      </c>
      <c r="AJ313" s="64" t="e">
        <f>VLOOKUP(T313,'GL Name'!A:B,2,0)</f>
        <v>#N/A</v>
      </c>
      <c r="AL313" s="13">
        <f t="shared" si="20"/>
        <v>0</v>
      </c>
      <c r="AM313" s="13" t="e">
        <f>VLOOKUP(I313,'Order 301-305 (เรียง)'!A:B,2,0)</f>
        <v>#N/A</v>
      </c>
      <c r="AN313" t="e">
        <f>VLOOKUP(I313,'Order 301-305 (เรียง)'!A:C,3,0)</f>
        <v>#N/A</v>
      </c>
    </row>
    <row r="314" spans="1:40" x14ac:dyDescent="0.3">
      <c r="A314" s="1" t="s">
        <v>106</v>
      </c>
      <c r="B314" s="1" t="s">
        <v>107</v>
      </c>
      <c r="C314" s="1" t="s">
        <v>64</v>
      </c>
      <c r="D314" s="1" t="s">
        <v>93</v>
      </c>
      <c r="E314" s="1" t="s">
        <v>94</v>
      </c>
      <c r="F314" s="1" t="s">
        <v>977</v>
      </c>
      <c r="G314" s="1" t="s">
        <v>101</v>
      </c>
      <c r="H314" s="1" t="s">
        <v>220</v>
      </c>
      <c r="I314" s="1" t="s">
        <v>68</v>
      </c>
      <c r="J314" s="1" t="s">
        <v>978</v>
      </c>
      <c r="K314" s="1" t="s">
        <v>118</v>
      </c>
      <c r="L314" s="1" t="s">
        <v>92</v>
      </c>
      <c r="M314" s="1" t="s">
        <v>68</v>
      </c>
      <c r="N314" s="1" t="s">
        <v>71</v>
      </c>
      <c r="O314" s="1" t="s">
        <v>68</v>
      </c>
      <c r="P314" s="1" t="s">
        <v>72</v>
      </c>
      <c r="Q314" s="1" t="s">
        <v>68</v>
      </c>
      <c r="R314" s="1" t="s">
        <v>68</v>
      </c>
      <c r="S314" s="1" t="s">
        <v>68</v>
      </c>
      <c r="T314" s="1" t="s">
        <v>68</v>
      </c>
      <c r="U314" s="1" t="s">
        <v>68</v>
      </c>
      <c r="V314" s="1" t="s">
        <v>68</v>
      </c>
      <c r="W314" s="1" t="s">
        <v>68</v>
      </c>
      <c r="X314" s="1" t="s">
        <v>68</v>
      </c>
      <c r="Y314" s="73"/>
      <c r="Z314" s="2" t="s">
        <v>102</v>
      </c>
      <c r="AA314" s="3">
        <v>-10000</v>
      </c>
      <c r="AB314" s="4">
        <v>0</v>
      </c>
      <c r="AC314" s="73">
        <v>46216</v>
      </c>
      <c r="AD314" s="73">
        <v>46216</v>
      </c>
      <c r="AE314" s="73"/>
      <c r="AF314" s="73">
        <v>46216</v>
      </c>
      <c r="AG314" s="3">
        <v>-10000</v>
      </c>
      <c r="AH314" s="353" t="str">
        <f t="shared" si="18"/>
        <v/>
      </c>
      <c r="AI314" s="3" t="str">
        <f t="shared" si="19"/>
        <v>58</v>
      </c>
      <c r="AJ314" s="64" t="e">
        <f>VLOOKUP(T314,'GL Name'!A:B,2,0)</f>
        <v>#N/A</v>
      </c>
      <c r="AL314" s="13">
        <f t="shared" si="20"/>
        <v>0</v>
      </c>
      <c r="AM314" s="13" t="e">
        <f>VLOOKUP(I314,'Order 301-305 (เรียง)'!A:B,2,0)</f>
        <v>#N/A</v>
      </c>
      <c r="AN314" t="e">
        <f>VLOOKUP(I314,'Order 301-305 (เรียง)'!A:C,3,0)</f>
        <v>#N/A</v>
      </c>
    </row>
    <row r="315" spans="1:40" x14ac:dyDescent="0.3">
      <c r="A315" s="1" t="s">
        <v>119</v>
      </c>
      <c r="B315" s="1" t="s">
        <v>120</v>
      </c>
      <c r="C315" s="1" t="s">
        <v>64</v>
      </c>
      <c r="D315" s="1" t="s">
        <v>93</v>
      </c>
      <c r="E315" s="1" t="s">
        <v>94</v>
      </c>
      <c r="F315" s="1" t="s">
        <v>977</v>
      </c>
      <c r="G315" s="1" t="s">
        <v>101</v>
      </c>
      <c r="H315" s="1" t="s">
        <v>302</v>
      </c>
      <c r="I315" s="1" t="s">
        <v>68</v>
      </c>
      <c r="J315" s="1" t="s">
        <v>978</v>
      </c>
      <c r="K315" s="1" t="s">
        <v>118</v>
      </c>
      <c r="L315" s="1" t="s">
        <v>95</v>
      </c>
      <c r="M315" s="1" t="s">
        <v>68</v>
      </c>
      <c r="N315" s="1" t="s">
        <v>71</v>
      </c>
      <c r="O315" s="1" t="s">
        <v>68</v>
      </c>
      <c r="P315" s="1" t="s">
        <v>72</v>
      </c>
      <c r="Q315" s="1" t="s">
        <v>68</v>
      </c>
      <c r="R315" s="1" t="s">
        <v>68</v>
      </c>
      <c r="S315" s="1" t="s">
        <v>68</v>
      </c>
      <c r="T315" s="1" t="s">
        <v>68</v>
      </c>
      <c r="U315" s="1" t="s">
        <v>68</v>
      </c>
      <c r="V315" s="1" t="s">
        <v>68</v>
      </c>
      <c r="W315" s="1" t="s">
        <v>68</v>
      </c>
      <c r="X315" s="1" t="s">
        <v>68</v>
      </c>
      <c r="Y315" s="73"/>
      <c r="Z315" s="2" t="s">
        <v>102</v>
      </c>
      <c r="AA315" s="3">
        <v>-24000</v>
      </c>
      <c r="AB315" s="4">
        <v>0</v>
      </c>
      <c r="AC315" s="73">
        <v>46216</v>
      </c>
      <c r="AD315" s="73">
        <v>46216</v>
      </c>
      <c r="AE315" s="73"/>
      <c r="AF315" s="73">
        <v>46216</v>
      </c>
      <c r="AG315" s="3">
        <v>-24000</v>
      </c>
      <c r="AH315" s="353" t="str">
        <f t="shared" si="18"/>
        <v/>
      </c>
      <c r="AI315" s="3" t="str">
        <f t="shared" si="19"/>
        <v>58</v>
      </c>
      <c r="AJ315" s="64" t="e">
        <f>VLOOKUP(T315,'GL Name'!A:B,2,0)</f>
        <v>#N/A</v>
      </c>
      <c r="AL315" s="13">
        <f t="shared" si="20"/>
        <v>0</v>
      </c>
      <c r="AM315" s="13" t="e">
        <f>VLOOKUP(I315,'Order 301-305 (เรียง)'!A:B,2,0)</f>
        <v>#N/A</v>
      </c>
      <c r="AN315" t="e">
        <f>VLOOKUP(I315,'Order 301-305 (เรียง)'!A:C,3,0)</f>
        <v>#N/A</v>
      </c>
    </row>
    <row r="316" spans="1:40" x14ac:dyDescent="0.3">
      <c r="A316" s="1" t="s">
        <v>119</v>
      </c>
      <c r="B316" s="1" t="s">
        <v>120</v>
      </c>
      <c r="C316" s="1" t="s">
        <v>64</v>
      </c>
      <c r="D316" s="1" t="s">
        <v>93</v>
      </c>
      <c r="E316" s="1" t="s">
        <v>94</v>
      </c>
      <c r="F316" s="1" t="s">
        <v>977</v>
      </c>
      <c r="G316" s="1" t="s">
        <v>101</v>
      </c>
      <c r="H316" s="1" t="s">
        <v>307</v>
      </c>
      <c r="I316" s="1" t="s">
        <v>68</v>
      </c>
      <c r="J316" s="1" t="s">
        <v>978</v>
      </c>
      <c r="K316" s="1" t="s">
        <v>118</v>
      </c>
      <c r="L316" s="1" t="s">
        <v>112</v>
      </c>
      <c r="M316" s="1" t="s">
        <v>68</v>
      </c>
      <c r="N316" s="1" t="s">
        <v>71</v>
      </c>
      <c r="O316" s="1" t="s">
        <v>68</v>
      </c>
      <c r="P316" s="1" t="s">
        <v>72</v>
      </c>
      <c r="Q316" s="1" t="s">
        <v>68</v>
      </c>
      <c r="R316" s="1" t="s">
        <v>68</v>
      </c>
      <c r="S316" s="1" t="s">
        <v>68</v>
      </c>
      <c r="T316" s="1" t="s">
        <v>68</v>
      </c>
      <c r="U316" s="1" t="s">
        <v>68</v>
      </c>
      <c r="V316" s="1" t="s">
        <v>68</v>
      </c>
      <c r="W316" s="1" t="s">
        <v>68</v>
      </c>
      <c r="X316" s="1" t="s">
        <v>68</v>
      </c>
      <c r="Y316" s="73"/>
      <c r="Z316" s="2" t="s">
        <v>102</v>
      </c>
      <c r="AA316" s="3">
        <v>-3000</v>
      </c>
      <c r="AB316" s="4">
        <v>0</v>
      </c>
      <c r="AC316" s="73">
        <v>46216</v>
      </c>
      <c r="AD316" s="73">
        <v>46216</v>
      </c>
      <c r="AE316" s="73"/>
      <c r="AF316" s="73">
        <v>46216</v>
      </c>
      <c r="AG316" s="3">
        <v>-3000</v>
      </c>
      <c r="AH316" s="353" t="str">
        <f t="shared" si="18"/>
        <v/>
      </c>
      <c r="AI316" s="3" t="str">
        <f t="shared" si="19"/>
        <v>58</v>
      </c>
      <c r="AJ316" s="64" t="e">
        <f>VLOOKUP(T316,'GL Name'!A:B,2,0)</f>
        <v>#N/A</v>
      </c>
      <c r="AL316" s="13">
        <f t="shared" si="20"/>
        <v>0</v>
      </c>
      <c r="AM316" s="13" t="e">
        <f>VLOOKUP(I316,'Order 301-305 (เรียง)'!A:B,2,0)</f>
        <v>#N/A</v>
      </c>
      <c r="AN316" t="e">
        <f>VLOOKUP(I316,'Order 301-305 (เรียง)'!A:C,3,0)</f>
        <v>#N/A</v>
      </c>
    </row>
    <row r="317" spans="1:40" x14ac:dyDescent="0.3">
      <c r="A317" s="1" t="s">
        <v>119</v>
      </c>
      <c r="B317" s="1" t="s">
        <v>120</v>
      </c>
      <c r="C317" s="1" t="s">
        <v>64</v>
      </c>
      <c r="D317" s="1" t="s">
        <v>93</v>
      </c>
      <c r="E317" s="1" t="s">
        <v>94</v>
      </c>
      <c r="F317" s="1" t="s">
        <v>977</v>
      </c>
      <c r="G317" s="1" t="s">
        <v>103</v>
      </c>
      <c r="H317" s="1" t="s">
        <v>302</v>
      </c>
      <c r="I317" s="1" t="s">
        <v>68</v>
      </c>
      <c r="J317" s="1" t="s">
        <v>978</v>
      </c>
      <c r="K317" s="1" t="s">
        <v>118</v>
      </c>
      <c r="L317" s="1" t="s">
        <v>111</v>
      </c>
      <c r="M317" s="1" t="s">
        <v>68</v>
      </c>
      <c r="N317" s="1" t="s">
        <v>71</v>
      </c>
      <c r="O317" s="1" t="s">
        <v>68</v>
      </c>
      <c r="P317" s="1" t="s">
        <v>72</v>
      </c>
      <c r="Q317" s="1" t="s">
        <v>68</v>
      </c>
      <c r="R317" s="1" t="s">
        <v>68</v>
      </c>
      <c r="S317" s="1" t="s">
        <v>68</v>
      </c>
      <c r="T317" s="1" t="s">
        <v>68</v>
      </c>
      <c r="U317" s="1" t="s">
        <v>68</v>
      </c>
      <c r="V317" s="1" t="s">
        <v>68</v>
      </c>
      <c r="W317" s="1" t="s">
        <v>68</v>
      </c>
      <c r="X317" s="1" t="s">
        <v>68</v>
      </c>
      <c r="Y317" s="73"/>
      <c r="Z317" s="2" t="s">
        <v>102</v>
      </c>
      <c r="AA317" s="3">
        <v>24000</v>
      </c>
      <c r="AB317" s="4">
        <v>0</v>
      </c>
      <c r="AC317" s="73">
        <v>46216</v>
      </c>
      <c r="AD317" s="73">
        <v>46216</v>
      </c>
      <c r="AE317" s="73"/>
      <c r="AF317" s="73">
        <v>46216</v>
      </c>
      <c r="AG317" s="3">
        <v>24000</v>
      </c>
      <c r="AH317" s="353" t="str">
        <f t="shared" si="18"/>
        <v/>
      </c>
      <c r="AI317" s="3" t="str">
        <f t="shared" si="19"/>
        <v>58</v>
      </c>
      <c r="AJ317" s="64" t="e">
        <f>VLOOKUP(T317,'GL Name'!A:B,2,0)</f>
        <v>#N/A</v>
      </c>
      <c r="AL317" s="13">
        <f t="shared" si="20"/>
        <v>0</v>
      </c>
      <c r="AM317" s="13" t="e">
        <f>VLOOKUP(I317,'Order 301-305 (เรียง)'!A:B,2,0)</f>
        <v>#N/A</v>
      </c>
      <c r="AN317" t="e">
        <f>VLOOKUP(I317,'Order 301-305 (เรียง)'!A:C,3,0)</f>
        <v>#N/A</v>
      </c>
    </row>
    <row r="318" spans="1:40" x14ac:dyDescent="0.3">
      <c r="A318" s="1" t="s">
        <v>119</v>
      </c>
      <c r="B318" s="1" t="s">
        <v>120</v>
      </c>
      <c r="C318" s="1" t="s">
        <v>64</v>
      </c>
      <c r="D318" s="1" t="s">
        <v>93</v>
      </c>
      <c r="E318" s="1" t="s">
        <v>94</v>
      </c>
      <c r="F318" s="1" t="s">
        <v>977</v>
      </c>
      <c r="G318" s="1" t="s">
        <v>103</v>
      </c>
      <c r="H318" s="1" t="s">
        <v>307</v>
      </c>
      <c r="I318" s="1" t="s">
        <v>68</v>
      </c>
      <c r="J318" s="1" t="s">
        <v>978</v>
      </c>
      <c r="K318" s="1" t="s">
        <v>118</v>
      </c>
      <c r="L318" s="1" t="s">
        <v>109</v>
      </c>
      <c r="M318" s="1" t="s">
        <v>68</v>
      </c>
      <c r="N318" s="1" t="s">
        <v>71</v>
      </c>
      <c r="O318" s="1" t="s">
        <v>68</v>
      </c>
      <c r="P318" s="1" t="s">
        <v>72</v>
      </c>
      <c r="Q318" s="1" t="s">
        <v>68</v>
      </c>
      <c r="R318" s="1" t="s">
        <v>68</v>
      </c>
      <c r="S318" s="1" t="s">
        <v>68</v>
      </c>
      <c r="T318" s="1" t="s">
        <v>68</v>
      </c>
      <c r="U318" s="1" t="s">
        <v>68</v>
      </c>
      <c r="V318" s="1" t="s">
        <v>68</v>
      </c>
      <c r="W318" s="1" t="s">
        <v>68</v>
      </c>
      <c r="X318" s="1" t="s">
        <v>68</v>
      </c>
      <c r="Y318" s="73"/>
      <c r="Z318" s="2" t="s">
        <v>102</v>
      </c>
      <c r="AA318" s="3">
        <v>3000</v>
      </c>
      <c r="AB318" s="4">
        <v>0</v>
      </c>
      <c r="AC318" s="73">
        <v>46216</v>
      </c>
      <c r="AD318" s="73">
        <v>46216</v>
      </c>
      <c r="AE318" s="73"/>
      <c r="AF318" s="73">
        <v>46216</v>
      </c>
      <c r="AG318" s="3">
        <v>3000</v>
      </c>
      <c r="AH318" s="353" t="str">
        <f t="shared" si="18"/>
        <v/>
      </c>
      <c r="AI318" s="3" t="str">
        <f t="shared" si="19"/>
        <v>58</v>
      </c>
      <c r="AJ318" s="64" t="e">
        <f>VLOOKUP(T318,'GL Name'!A:B,2,0)</f>
        <v>#N/A</v>
      </c>
      <c r="AL318" s="13">
        <f t="shared" si="20"/>
        <v>0</v>
      </c>
      <c r="AM318" s="13" t="e">
        <f>VLOOKUP(I318,'Order 301-305 (เรียง)'!A:B,2,0)</f>
        <v>#N/A</v>
      </c>
      <c r="AN318" t="e">
        <f>VLOOKUP(I318,'Order 301-305 (เรียง)'!A:C,3,0)</f>
        <v>#N/A</v>
      </c>
    </row>
    <row r="319" spans="1:40" x14ac:dyDescent="0.3">
      <c r="A319" s="1" t="s">
        <v>121</v>
      </c>
      <c r="B319" s="1" t="s">
        <v>122</v>
      </c>
      <c r="C319" s="1" t="s">
        <v>64</v>
      </c>
      <c r="D319" s="1" t="s">
        <v>93</v>
      </c>
      <c r="E319" s="1" t="s">
        <v>94</v>
      </c>
      <c r="F319" s="1" t="s">
        <v>977</v>
      </c>
      <c r="G319" s="1" t="s">
        <v>103</v>
      </c>
      <c r="H319" s="1" t="s">
        <v>772</v>
      </c>
      <c r="I319" s="1" t="s">
        <v>68</v>
      </c>
      <c r="J319" s="1" t="s">
        <v>978</v>
      </c>
      <c r="K319" s="1" t="s">
        <v>118</v>
      </c>
      <c r="L319" s="1" t="s">
        <v>86</v>
      </c>
      <c r="M319" s="1" t="s">
        <v>68</v>
      </c>
      <c r="N319" s="1" t="s">
        <v>71</v>
      </c>
      <c r="O319" s="1" t="s">
        <v>68</v>
      </c>
      <c r="P319" s="1" t="s">
        <v>72</v>
      </c>
      <c r="Q319" s="1" t="s">
        <v>68</v>
      </c>
      <c r="R319" s="1" t="s">
        <v>68</v>
      </c>
      <c r="S319" s="1" t="s">
        <v>68</v>
      </c>
      <c r="T319" s="1" t="s">
        <v>68</v>
      </c>
      <c r="U319" s="1" t="s">
        <v>68</v>
      </c>
      <c r="V319" s="1" t="s">
        <v>68</v>
      </c>
      <c r="W319" s="1" t="s">
        <v>68</v>
      </c>
      <c r="X319" s="1" t="s">
        <v>68</v>
      </c>
      <c r="Y319" s="73"/>
      <c r="Z319" s="2" t="s">
        <v>102</v>
      </c>
      <c r="AA319" s="3">
        <v>3900</v>
      </c>
      <c r="AB319" s="4">
        <v>0</v>
      </c>
      <c r="AC319" s="73">
        <v>46216</v>
      </c>
      <c r="AD319" s="73">
        <v>46216</v>
      </c>
      <c r="AE319" s="73"/>
      <c r="AF319" s="73">
        <v>46216</v>
      </c>
      <c r="AG319" s="3">
        <v>3900</v>
      </c>
      <c r="AH319" s="353" t="str">
        <f t="shared" si="18"/>
        <v/>
      </c>
      <c r="AI319" s="3" t="str">
        <f t="shared" si="19"/>
        <v>58</v>
      </c>
      <c r="AJ319" s="64" t="e">
        <f>VLOOKUP(T319,'GL Name'!A:B,2,0)</f>
        <v>#N/A</v>
      </c>
      <c r="AL319" s="13">
        <f t="shared" si="20"/>
        <v>0</v>
      </c>
      <c r="AM319" s="13" t="e">
        <f>VLOOKUP(I319,'Order 301-305 (เรียง)'!A:B,2,0)</f>
        <v>#N/A</v>
      </c>
      <c r="AN319" t="e">
        <f>VLOOKUP(I319,'Order 301-305 (เรียง)'!A:C,3,0)</f>
        <v>#N/A</v>
      </c>
    </row>
    <row r="320" spans="1:40" x14ac:dyDescent="0.3">
      <c r="A320" s="1" t="s">
        <v>121</v>
      </c>
      <c r="B320" s="1" t="s">
        <v>122</v>
      </c>
      <c r="C320" s="1" t="s">
        <v>64</v>
      </c>
      <c r="D320" s="1" t="s">
        <v>93</v>
      </c>
      <c r="E320" s="1" t="s">
        <v>94</v>
      </c>
      <c r="F320" s="1" t="s">
        <v>977</v>
      </c>
      <c r="G320" s="1" t="s">
        <v>101</v>
      </c>
      <c r="H320" s="1" t="s">
        <v>772</v>
      </c>
      <c r="I320" s="1" t="s">
        <v>68</v>
      </c>
      <c r="J320" s="1" t="s">
        <v>978</v>
      </c>
      <c r="K320" s="1" t="s">
        <v>118</v>
      </c>
      <c r="L320" s="1" t="s">
        <v>70</v>
      </c>
      <c r="M320" s="1" t="s">
        <v>68</v>
      </c>
      <c r="N320" s="1" t="s">
        <v>71</v>
      </c>
      <c r="O320" s="1" t="s">
        <v>68</v>
      </c>
      <c r="P320" s="1" t="s">
        <v>72</v>
      </c>
      <c r="Q320" s="1" t="s">
        <v>68</v>
      </c>
      <c r="R320" s="1" t="s">
        <v>68</v>
      </c>
      <c r="S320" s="1" t="s">
        <v>68</v>
      </c>
      <c r="T320" s="1" t="s">
        <v>68</v>
      </c>
      <c r="U320" s="1" t="s">
        <v>68</v>
      </c>
      <c r="V320" s="1" t="s">
        <v>68</v>
      </c>
      <c r="W320" s="1" t="s">
        <v>68</v>
      </c>
      <c r="X320" s="1" t="s">
        <v>68</v>
      </c>
      <c r="Y320" s="73"/>
      <c r="Z320" s="2" t="s">
        <v>102</v>
      </c>
      <c r="AA320" s="3">
        <v>-3900</v>
      </c>
      <c r="AB320" s="4">
        <v>0</v>
      </c>
      <c r="AC320" s="73">
        <v>46216</v>
      </c>
      <c r="AD320" s="73">
        <v>46216</v>
      </c>
      <c r="AE320" s="73"/>
      <c r="AF320" s="73">
        <v>46216</v>
      </c>
      <c r="AG320" s="3">
        <v>-3900</v>
      </c>
      <c r="AH320" s="353" t="str">
        <f t="shared" si="18"/>
        <v/>
      </c>
      <c r="AI320" s="3" t="str">
        <f t="shared" si="19"/>
        <v>58</v>
      </c>
      <c r="AJ320" s="64" t="e">
        <f>VLOOKUP(T320,'GL Name'!A:B,2,0)</f>
        <v>#N/A</v>
      </c>
      <c r="AL320" s="13">
        <f t="shared" si="20"/>
        <v>0</v>
      </c>
      <c r="AM320" s="13" t="e">
        <f>VLOOKUP(I320,'Order 301-305 (เรียง)'!A:B,2,0)</f>
        <v>#N/A</v>
      </c>
      <c r="AN320" t="e">
        <f>VLOOKUP(I320,'Order 301-305 (เรียง)'!A:C,3,0)</f>
        <v>#N/A</v>
      </c>
    </row>
    <row r="321" spans="1:40" x14ac:dyDescent="0.3">
      <c r="A321" s="1" t="s">
        <v>81</v>
      </c>
      <c r="B321" s="1" t="s">
        <v>82</v>
      </c>
      <c r="C321" s="1" t="s">
        <v>64</v>
      </c>
      <c r="D321" s="1" t="s">
        <v>65</v>
      </c>
      <c r="E321" s="1" t="s">
        <v>66</v>
      </c>
      <c r="F321" s="1" t="s">
        <v>979</v>
      </c>
      <c r="G321" s="1" t="s">
        <v>83</v>
      </c>
      <c r="H321" s="1" t="s">
        <v>769</v>
      </c>
      <c r="I321" s="1" t="s">
        <v>68</v>
      </c>
      <c r="J321" s="1" t="s">
        <v>980</v>
      </c>
      <c r="K321" s="1" t="s">
        <v>118</v>
      </c>
      <c r="L321" s="1" t="s">
        <v>70</v>
      </c>
      <c r="M321" s="1" t="s">
        <v>68</v>
      </c>
      <c r="N321" s="1" t="s">
        <v>71</v>
      </c>
      <c r="O321" s="1" t="s">
        <v>68</v>
      </c>
      <c r="P321" s="1" t="s">
        <v>72</v>
      </c>
      <c r="Q321" s="1" t="s">
        <v>68</v>
      </c>
      <c r="R321" s="1" t="s">
        <v>68</v>
      </c>
      <c r="S321" s="1" t="s">
        <v>68</v>
      </c>
      <c r="T321" s="1" t="s">
        <v>73</v>
      </c>
      <c r="U321" s="1" t="s">
        <v>68</v>
      </c>
      <c r="V321" s="1" t="s">
        <v>68</v>
      </c>
      <c r="W321" s="1" t="s">
        <v>68</v>
      </c>
      <c r="X321" s="1" t="s">
        <v>981</v>
      </c>
      <c r="Y321" s="73"/>
      <c r="Z321" s="2" t="s">
        <v>85</v>
      </c>
      <c r="AA321" s="3">
        <v>-1920</v>
      </c>
      <c r="AB321" s="4">
        <v>-1956787.2</v>
      </c>
      <c r="AC321" s="73">
        <v>46216</v>
      </c>
      <c r="AD321" s="73">
        <v>46216</v>
      </c>
      <c r="AE321" s="73"/>
      <c r="AF321" s="73">
        <v>46216</v>
      </c>
      <c r="AG321" s="3">
        <v>-5760000</v>
      </c>
      <c r="AH321" s="353" t="str">
        <f t="shared" si="18"/>
        <v/>
      </c>
      <c r="AI321" s="3" t="str">
        <f t="shared" si="19"/>
        <v>59</v>
      </c>
      <c r="AJ321" s="64" t="str">
        <f>VLOOKUP(T321,'GL Name'!A:B,2,0)</f>
        <v>ต้นทุนขาย</v>
      </c>
      <c r="AL321" s="13">
        <f t="shared" si="20"/>
        <v>1019.16</v>
      </c>
      <c r="AM321" s="13" t="e">
        <f>VLOOKUP(I321,'Order 301-305 (เรียง)'!A:B,2,0)</f>
        <v>#N/A</v>
      </c>
      <c r="AN321" t="e">
        <f>VLOOKUP(I321,'Order 301-305 (เรียง)'!A:C,3,0)</f>
        <v>#N/A</v>
      </c>
    </row>
    <row r="322" spans="1:40" x14ac:dyDescent="0.3">
      <c r="A322" s="1" t="s">
        <v>81</v>
      </c>
      <c r="B322" s="1" t="s">
        <v>82</v>
      </c>
      <c r="C322" s="1" t="s">
        <v>64</v>
      </c>
      <c r="D322" s="1" t="s">
        <v>87</v>
      </c>
      <c r="E322" s="1" t="s">
        <v>88</v>
      </c>
      <c r="F322" s="1" t="s">
        <v>982</v>
      </c>
      <c r="G322" s="1" t="s">
        <v>83</v>
      </c>
      <c r="H322" s="1" t="s">
        <v>769</v>
      </c>
      <c r="I322" s="1" t="s">
        <v>68</v>
      </c>
      <c r="J322" s="1" t="s">
        <v>983</v>
      </c>
      <c r="K322" s="1" t="s">
        <v>118</v>
      </c>
      <c r="L322" s="1" t="s">
        <v>70</v>
      </c>
      <c r="M322" s="1" t="s">
        <v>68</v>
      </c>
      <c r="N322" s="1" t="s">
        <v>71</v>
      </c>
      <c r="O322" s="1" t="s">
        <v>68</v>
      </c>
      <c r="P322" s="1" t="s">
        <v>984</v>
      </c>
      <c r="Q322" s="1" t="s">
        <v>68</v>
      </c>
      <c r="R322" s="1" t="s">
        <v>308</v>
      </c>
      <c r="S322" s="1" t="s">
        <v>90</v>
      </c>
      <c r="T322" s="1" t="s">
        <v>91</v>
      </c>
      <c r="U322" s="1" t="s">
        <v>68</v>
      </c>
      <c r="V322" s="1" t="s">
        <v>68</v>
      </c>
      <c r="W322" s="1" t="s">
        <v>68</v>
      </c>
      <c r="X322" s="1" t="s">
        <v>68</v>
      </c>
      <c r="Y322" s="73"/>
      <c r="Z322" s="2" t="s">
        <v>74</v>
      </c>
      <c r="AA322" s="3">
        <v>-2</v>
      </c>
      <c r="AB322" s="4">
        <v>-339.72</v>
      </c>
      <c r="AC322" s="73">
        <v>46217</v>
      </c>
      <c r="AD322" s="73">
        <v>46217</v>
      </c>
      <c r="AE322" s="73"/>
      <c r="AF322" s="73">
        <v>46216</v>
      </c>
      <c r="AG322" s="3">
        <v>-1000</v>
      </c>
      <c r="AH322" s="353" t="str">
        <f t="shared" si="18"/>
        <v/>
      </c>
      <c r="AI322" s="3" t="str">
        <f t="shared" si="19"/>
        <v>59</v>
      </c>
      <c r="AJ322" s="64" t="str">
        <f>VLOOKUP(T322,'GL Name'!A:B,2,0)</f>
        <v>ค่าวิจัยคุณภาพสินค้า</v>
      </c>
      <c r="AL322" s="13">
        <f t="shared" si="20"/>
        <v>169.86</v>
      </c>
      <c r="AM322" s="13" t="e">
        <f>VLOOKUP(I322,'Order 301-305 (เรียง)'!A:B,2,0)</f>
        <v>#N/A</v>
      </c>
      <c r="AN322" t="e">
        <f>VLOOKUP(I322,'Order 301-305 (เรียง)'!A:C,3,0)</f>
        <v>#N/A</v>
      </c>
    </row>
    <row r="323" spans="1:40" x14ac:dyDescent="0.3">
      <c r="A323" s="1" t="s">
        <v>23</v>
      </c>
      <c r="B323" s="1" t="s">
        <v>24</v>
      </c>
      <c r="C323" s="1" t="s">
        <v>64</v>
      </c>
      <c r="D323" s="1" t="s">
        <v>77</v>
      </c>
      <c r="E323" s="1" t="s">
        <v>78</v>
      </c>
      <c r="F323" s="1" t="s">
        <v>985</v>
      </c>
      <c r="G323" s="1" t="s">
        <v>103</v>
      </c>
      <c r="H323" s="1" t="s">
        <v>660</v>
      </c>
      <c r="I323" s="1" t="s">
        <v>986</v>
      </c>
      <c r="J323" s="1" t="s">
        <v>987</v>
      </c>
      <c r="K323" s="1" t="s">
        <v>84</v>
      </c>
      <c r="L323" s="1" t="s">
        <v>86</v>
      </c>
      <c r="M323" s="1" t="s">
        <v>68</v>
      </c>
      <c r="N323" s="1" t="s">
        <v>71</v>
      </c>
      <c r="O323" s="1" t="s">
        <v>68</v>
      </c>
      <c r="P323" s="1" t="s">
        <v>988</v>
      </c>
      <c r="Q323" s="1" t="s">
        <v>68</v>
      </c>
      <c r="R323" s="1" t="s">
        <v>68</v>
      </c>
      <c r="S323" s="1" t="s">
        <v>68</v>
      </c>
      <c r="T323" s="1" t="s">
        <v>123</v>
      </c>
      <c r="U323" s="1" t="s">
        <v>68</v>
      </c>
      <c r="V323" s="1" t="s">
        <v>68</v>
      </c>
      <c r="W323" s="1" t="s">
        <v>68</v>
      </c>
      <c r="X323" s="1" t="s">
        <v>68</v>
      </c>
      <c r="Y323" s="73"/>
      <c r="Z323" s="2" t="s">
        <v>80</v>
      </c>
      <c r="AA323" s="3">
        <v>-9645.9599999999991</v>
      </c>
      <c r="AB323" s="4">
        <v>-3136287.44</v>
      </c>
      <c r="AC323" s="73">
        <v>46216</v>
      </c>
      <c r="AD323" s="73">
        <v>46206</v>
      </c>
      <c r="AE323" s="73"/>
      <c r="AF323" s="73">
        <v>46216</v>
      </c>
      <c r="AG323" s="3">
        <v>-9645960</v>
      </c>
      <c r="AH323" s="353" t="str">
        <f t="shared" si="18"/>
        <v>303</v>
      </c>
      <c r="AI323" s="3" t="str">
        <f t="shared" si="19"/>
        <v>57</v>
      </c>
      <c r="AJ323" s="64" t="str">
        <f>VLOOKUP(T323,'GL Name'!A:B,2,0)</f>
        <v>ต้นทุนผลิตกึ่งสำเร็จ</v>
      </c>
      <c r="AL323" s="13">
        <f t="shared" si="20"/>
        <v>325.14000058055393</v>
      </c>
      <c r="AM323" s="13" t="str">
        <f>VLOOKUP(I323,'Order 301-305 (เรียง)'!A:B,2,0)</f>
        <v>59000002</v>
      </c>
      <c r="AN323" t="str">
        <f>VLOOKUP(I323,'Order 301-305 (เรียง)'!A:C,3,0)</f>
        <v>GOLD BLEND ALL CAFE'  ขนาด 500 G.</v>
      </c>
    </row>
    <row r="324" spans="1:40" x14ac:dyDescent="0.3">
      <c r="A324" s="1" t="s">
        <v>106</v>
      </c>
      <c r="B324" s="1" t="s">
        <v>107</v>
      </c>
      <c r="C324" s="1" t="s">
        <v>64</v>
      </c>
      <c r="D324" s="1" t="s">
        <v>77</v>
      </c>
      <c r="E324" s="1" t="s">
        <v>78</v>
      </c>
      <c r="F324" s="1" t="s">
        <v>985</v>
      </c>
      <c r="G324" s="1" t="s">
        <v>103</v>
      </c>
      <c r="H324" s="1" t="s">
        <v>286</v>
      </c>
      <c r="I324" s="1" t="s">
        <v>986</v>
      </c>
      <c r="J324" s="1" t="s">
        <v>987</v>
      </c>
      <c r="K324" s="1" t="s">
        <v>84</v>
      </c>
      <c r="L324" s="1" t="s">
        <v>92</v>
      </c>
      <c r="M324" s="1" t="s">
        <v>68</v>
      </c>
      <c r="N324" s="1" t="s">
        <v>71</v>
      </c>
      <c r="O324" s="1" t="s">
        <v>68</v>
      </c>
      <c r="P324" s="1" t="s">
        <v>988</v>
      </c>
      <c r="Q324" s="1" t="s">
        <v>68</v>
      </c>
      <c r="R324" s="1" t="s">
        <v>68</v>
      </c>
      <c r="S324" s="1" t="s">
        <v>68</v>
      </c>
      <c r="T324" s="1" t="s">
        <v>108</v>
      </c>
      <c r="U324" s="1" t="s">
        <v>68</v>
      </c>
      <c r="V324" s="1" t="s">
        <v>68</v>
      </c>
      <c r="W324" s="1" t="s">
        <v>68</v>
      </c>
      <c r="X324" s="1" t="s">
        <v>68</v>
      </c>
      <c r="Y324" s="73"/>
      <c r="Z324" s="2" t="s">
        <v>102</v>
      </c>
      <c r="AA324" s="3">
        <v>-19639</v>
      </c>
      <c r="AB324" s="4">
        <v>-16610.03</v>
      </c>
      <c r="AC324" s="73">
        <v>46216</v>
      </c>
      <c r="AD324" s="73">
        <v>46206</v>
      </c>
      <c r="AE324" s="73"/>
      <c r="AF324" s="73">
        <v>46216</v>
      </c>
      <c r="AG324" s="3">
        <v>-19639</v>
      </c>
      <c r="AH324" s="353" t="str">
        <f t="shared" si="18"/>
        <v>303</v>
      </c>
      <c r="AI324" s="3" t="str">
        <f t="shared" si="19"/>
        <v>58</v>
      </c>
      <c r="AJ324" s="64" t="str">
        <f>VLOOKUP(T324,'GL Name'!A:B,2,0)</f>
        <v>ต้นทุนผลิตหีบห่อ</v>
      </c>
      <c r="AL324" s="13">
        <f t="shared" si="20"/>
        <v>0.84576760527521766</v>
      </c>
      <c r="AM324" s="13" t="str">
        <f>VLOOKUP(I324,'Order 301-305 (เรียง)'!A:B,2,0)</f>
        <v>59000002</v>
      </c>
      <c r="AN324" t="str">
        <f>VLOOKUP(I324,'Order 301-305 (เรียง)'!A:C,3,0)</f>
        <v>GOLD BLEND ALL CAFE'  ขนาด 500 G.</v>
      </c>
    </row>
    <row r="325" spans="1:40" x14ac:dyDescent="0.3">
      <c r="A325" s="1" t="s">
        <v>119</v>
      </c>
      <c r="B325" s="1" t="s">
        <v>120</v>
      </c>
      <c r="C325" s="1" t="s">
        <v>64</v>
      </c>
      <c r="D325" s="1" t="s">
        <v>77</v>
      </c>
      <c r="E325" s="1" t="s">
        <v>78</v>
      </c>
      <c r="F325" s="1" t="s">
        <v>985</v>
      </c>
      <c r="G325" s="1" t="s">
        <v>103</v>
      </c>
      <c r="H325" s="1" t="s">
        <v>302</v>
      </c>
      <c r="I325" s="1" t="s">
        <v>986</v>
      </c>
      <c r="J325" s="1" t="s">
        <v>987</v>
      </c>
      <c r="K325" s="1" t="s">
        <v>84</v>
      </c>
      <c r="L325" s="1" t="s">
        <v>89</v>
      </c>
      <c r="M325" s="1" t="s">
        <v>68</v>
      </c>
      <c r="N325" s="1" t="s">
        <v>71</v>
      </c>
      <c r="O325" s="1" t="s">
        <v>68</v>
      </c>
      <c r="P325" s="1" t="s">
        <v>988</v>
      </c>
      <c r="Q325" s="1" t="s">
        <v>68</v>
      </c>
      <c r="R325" s="1" t="s">
        <v>68</v>
      </c>
      <c r="S325" s="1" t="s">
        <v>68</v>
      </c>
      <c r="T325" s="1" t="s">
        <v>108</v>
      </c>
      <c r="U325" s="1" t="s">
        <v>68</v>
      </c>
      <c r="V325" s="1" t="s">
        <v>68</v>
      </c>
      <c r="W325" s="1" t="s">
        <v>68</v>
      </c>
      <c r="X325" s="1" t="s">
        <v>68</v>
      </c>
      <c r="Y325" s="73"/>
      <c r="Z325" s="2" t="s">
        <v>102</v>
      </c>
      <c r="AA325" s="3">
        <v>-19639</v>
      </c>
      <c r="AB325" s="4">
        <v>-40917.599999999999</v>
      </c>
      <c r="AC325" s="73">
        <v>46216</v>
      </c>
      <c r="AD325" s="73">
        <v>46206</v>
      </c>
      <c r="AE325" s="73"/>
      <c r="AF325" s="73">
        <v>46216</v>
      </c>
      <c r="AG325" s="3">
        <v>-19639</v>
      </c>
      <c r="AH325" s="353" t="str">
        <f t="shared" si="18"/>
        <v>303</v>
      </c>
      <c r="AI325" s="3" t="str">
        <f t="shared" si="19"/>
        <v>58</v>
      </c>
      <c r="AJ325" s="64" t="str">
        <f>VLOOKUP(T325,'GL Name'!A:B,2,0)</f>
        <v>ต้นทุนผลิตหีบห่อ</v>
      </c>
      <c r="AL325" s="13">
        <f t="shared" si="20"/>
        <v>2.0834869392535262</v>
      </c>
      <c r="AM325" s="13" t="str">
        <f>VLOOKUP(I325,'Order 301-305 (เรียง)'!A:B,2,0)</f>
        <v>59000002</v>
      </c>
      <c r="AN325" t="str">
        <f>VLOOKUP(I325,'Order 301-305 (เรียง)'!A:C,3,0)</f>
        <v>GOLD BLEND ALL CAFE'  ขนาด 500 G.</v>
      </c>
    </row>
    <row r="326" spans="1:40" x14ac:dyDescent="0.3">
      <c r="A326" s="1" t="s">
        <v>121</v>
      </c>
      <c r="B326" s="1" t="s">
        <v>122</v>
      </c>
      <c r="C326" s="1" t="s">
        <v>64</v>
      </c>
      <c r="D326" s="1" t="s">
        <v>77</v>
      </c>
      <c r="E326" s="1" t="s">
        <v>78</v>
      </c>
      <c r="F326" s="1" t="s">
        <v>985</v>
      </c>
      <c r="G326" s="1" t="s">
        <v>103</v>
      </c>
      <c r="H326" s="1" t="s">
        <v>314</v>
      </c>
      <c r="I326" s="1" t="s">
        <v>986</v>
      </c>
      <c r="J326" s="1" t="s">
        <v>987</v>
      </c>
      <c r="K326" s="1" t="s">
        <v>84</v>
      </c>
      <c r="L326" s="1" t="s">
        <v>95</v>
      </c>
      <c r="M326" s="1" t="s">
        <v>68</v>
      </c>
      <c r="N326" s="1" t="s">
        <v>71</v>
      </c>
      <c r="O326" s="1" t="s">
        <v>68</v>
      </c>
      <c r="P326" s="1" t="s">
        <v>988</v>
      </c>
      <c r="Q326" s="1" t="s">
        <v>68</v>
      </c>
      <c r="R326" s="1" t="s">
        <v>68</v>
      </c>
      <c r="S326" s="1" t="s">
        <v>68</v>
      </c>
      <c r="T326" s="1" t="s">
        <v>108</v>
      </c>
      <c r="U326" s="1" t="s">
        <v>68</v>
      </c>
      <c r="V326" s="1" t="s">
        <v>68</v>
      </c>
      <c r="W326" s="1" t="s">
        <v>68</v>
      </c>
      <c r="X326" s="1" t="s">
        <v>68</v>
      </c>
      <c r="Y326" s="73"/>
      <c r="Z326" s="2" t="s">
        <v>102</v>
      </c>
      <c r="AA326" s="3">
        <v>-2578</v>
      </c>
      <c r="AB326" s="4">
        <v>-12890</v>
      </c>
      <c r="AC326" s="73">
        <v>46216</v>
      </c>
      <c r="AD326" s="73">
        <v>46206</v>
      </c>
      <c r="AE326" s="73"/>
      <c r="AF326" s="73">
        <v>46216</v>
      </c>
      <c r="AG326" s="3">
        <v>-2578</v>
      </c>
      <c r="AH326" s="353" t="str">
        <f t="shared" si="18"/>
        <v>303</v>
      </c>
      <c r="AI326" s="3" t="str">
        <f t="shared" si="19"/>
        <v>58</v>
      </c>
      <c r="AJ326" s="64" t="str">
        <f>VLOOKUP(T326,'GL Name'!A:B,2,0)</f>
        <v>ต้นทุนผลิตหีบห่อ</v>
      </c>
      <c r="AL326" s="13">
        <f t="shared" si="20"/>
        <v>5</v>
      </c>
      <c r="AM326" s="13" t="str">
        <f>VLOOKUP(I326,'Order 301-305 (เรียง)'!A:B,2,0)</f>
        <v>59000002</v>
      </c>
      <c r="AN326" t="str">
        <f>VLOOKUP(I326,'Order 301-305 (เรียง)'!A:C,3,0)</f>
        <v>GOLD BLEND ALL CAFE'  ขนาด 500 G.</v>
      </c>
    </row>
    <row r="327" spans="1:40" x14ac:dyDescent="0.3">
      <c r="A327" s="1" t="s">
        <v>121</v>
      </c>
      <c r="B327" s="1" t="s">
        <v>122</v>
      </c>
      <c r="C327" s="1" t="s">
        <v>64</v>
      </c>
      <c r="D327" s="1" t="s">
        <v>77</v>
      </c>
      <c r="E327" s="1" t="s">
        <v>78</v>
      </c>
      <c r="F327" s="1" t="s">
        <v>985</v>
      </c>
      <c r="G327" s="1" t="s">
        <v>103</v>
      </c>
      <c r="H327" s="1" t="s">
        <v>316</v>
      </c>
      <c r="I327" s="1" t="s">
        <v>986</v>
      </c>
      <c r="J327" s="1" t="s">
        <v>987</v>
      </c>
      <c r="K327" s="1" t="s">
        <v>84</v>
      </c>
      <c r="L327" s="1" t="s">
        <v>111</v>
      </c>
      <c r="M327" s="1" t="s">
        <v>68</v>
      </c>
      <c r="N327" s="1" t="s">
        <v>71</v>
      </c>
      <c r="O327" s="1" t="s">
        <v>68</v>
      </c>
      <c r="P327" s="1" t="s">
        <v>72</v>
      </c>
      <c r="Q327" s="1" t="s">
        <v>68</v>
      </c>
      <c r="R327" s="1" t="s">
        <v>122</v>
      </c>
      <c r="S327" s="1" t="s">
        <v>68</v>
      </c>
      <c r="T327" s="1" t="s">
        <v>108</v>
      </c>
      <c r="U327" s="1" t="s">
        <v>68</v>
      </c>
      <c r="V327" s="1" t="s">
        <v>68</v>
      </c>
      <c r="W327" s="1" t="s">
        <v>68</v>
      </c>
      <c r="X327" s="1" t="s">
        <v>68</v>
      </c>
      <c r="Y327" s="73"/>
      <c r="Z327" s="2" t="s">
        <v>102</v>
      </c>
      <c r="AA327" s="3">
        <v>-666</v>
      </c>
      <c r="AB327" s="4">
        <v>-3330</v>
      </c>
      <c r="AC327" s="73">
        <v>46216</v>
      </c>
      <c r="AD327" s="73">
        <v>46206</v>
      </c>
      <c r="AE327" s="73"/>
      <c r="AF327" s="73">
        <v>46216</v>
      </c>
      <c r="AG327" s="3">
        <v>-666</v>
      </c>
      <c r="AH327" s="353" t="str">
        <f t="shared" si="18"/>
        <v>303</v>
      </c>
      <c r="AI327" s="3" t="str">
        <f t="shared" si="19"/>
        <v>58</v>
      </c>
      <c r="AJ327" s="64" t="str">
        <f>VLOOKUP(T327,'GL Name'!A:B,2,0)</f>
        <v>ต้นทุนผลิตหีบห่อ</v>
      </c>
      <c r="AL327" s="13">
        <f t="shared" si="20"/>
        <v>5</v>
      </c>
      <c r="AM327" s="13" t="str">
        <f>VLOOKUP(I327,'Order 301-305 (เรียง)'!A:B,2,0)</f>
        <v>59000002</v>
      </c>
      <c r="AN327" t="str">
        <f>VLOOKUP(I327,'Order 301-305 (เรียง)'!A:C,3,0)</f>
        <v>GOLD BLEND ALL CAFE'  ขนาด 500 G.</v>
      </c>
    </row>
    <row r="328" spans="1:40" x14ac:dyDescent="0.3">
      <c r="A328" s="1" t="s">
        <v>81</v>
      </c>
      <c r="B328" s="1" t="s">
        <v>82</v>
      </c>
      <c r="C328" s="1" t="s">
        <v>64</v>
      </c>
      <c r="D328" s="1" t="s">
        <v>115</v>
      </c>
      <c r="E328" s="1" t="s">
        <v>116</v>
      </c>
      <c r="F328" s="1" t="s">
        <v>985</v>
      </c>
      <c r="G328" s="1" t="s">
        <v>83</v>
      </c>
      <c r="H328" s="1" t="s">
        <v>989</v>
      </c>
      <c r="I328" s="1" t="s">
        <v>986</v>
      </c>
      <c r="J328" s="1" t="s">
        <v>987</v>
      </c>
      <c r="K328" s="1" t="s">
        <v>84</v>
      </c>
      <c r="L328" s="1" t="s">
        <v>70</v>
      </c>
      <c r="M328" s="1" t="s">
        <v>68</v>
      </c>
      <c r="N328" s="1" t="s">
        <v>71</v>
      </c>
      <c r="O328" s="1" t="s">
        <v>68</v>
      </c>
      <c r="P328" s="1" t="s">
        <v>72</v>
      </c>
      <c r="Q328" s="1" t="s">
        <v>68</v>
      </c>
      <c r="R328" s="1" t="s">
        <v>68</v>
      </c>
      <c r="S328" s="1" t="s">
        <v>68</v>
      </c>
      <c r="T328" s="1" t="s">
        <v>117</v>
      </c>
      <c r="U328" s="1" t="s">
        <v>68</v>
      </c>
      <c r="V328" s="1" t="s">
        <v>68</v>
      </c>
      <c r="W328" s="1" t="s">
        <v>68</v>
      </c>
      <c r="X328" s="1" t="s">
        <v>68</v>
      </c>
      <c r="Y328" s="73"/>
      <c r="Z328" s="2" t="s">
        <v>74</v>
      </c>
      <c r="AA328" s="3">
        <v>19284</v>
      </c>
      <c r="AB328" s="4">
        <v>3275580.24</v>
      </c>
      <c r="AC328" s="73">
        <v>46216</v>
      </c>
      <c r="AD328" s="73">
        <v>46206</v>
      </c>
      <c r="AE328" s="73"/>
      <c r="AF328" s="73">
        <v>46216</v>
      </c>
      <c r="AG328" s="3">
        <v>9642000</v>
      </c>
      <c r="AH328" s="353" t="str">
        <f t="shared" si="18"/>
        <v>303</v>
      </c>
      <c r="AI328" s="3" t="str">
        <f t="shared" si="19"/>
        <v>59</v>
      </c>
      <c r="AJ328" s="64" t="str">
        <f>VLOOKUP(T328,'GL Name'!A:B,2,0)</f>
        <v>ต้นทุนผลิตโอน F/G</v>
      </c>
      <c r="AL328" s="13">
        <f t="shared" si="20"/>
        <v>169.86</v>
      </c>
      <c r="AM328" s="13" t="str">
        <f>VLOOKUP(I328,'Order 301-305 (เรียง)'!A:B,2,0)</f>
        <v>59000002</v>
      </c>
      <c r="AN328" t="str">
        <f>VLOOKUP(I328,'Order 301-305 (เรียง)'!A:C,3,0)</f>
        <v>GOLD BLEND ALL CAFE'  ขนาด 500 G.</v>
      </c>
    </row>
    <row r="329" spans="1:40" x14ac:dyDescent="0.3">
      <c r="A329" s="1" t="s">
        <v>23</v>
      </c>
      <c r="B329" s="1" t="s">
        <v>24</v>
      </c>
      <c r="C329" s="1" t="s">
        <v>64</v>
      </c>
      <c r="D329" s="1" t="s">
        <v>77</v>
      </c>
      <c r="E329" s="1" t="s">
        <v>78</v>
      </c>
      <c r="F329" s="1" t="s">
        <v>990</v>
      </c>
      <c r="G329" s="1" t="s">
        <v>103</v>
      </c>
      <c r="H329" s="1" t="s">
        <v>666</v>
      </c>
      <c r="I329" s="1" t="s">
        <v>991</v>
      </c>
      <c r="J329" s="1" t="s">
        <v>992</v>
      </c>
      <c r="K329" s="1" t="s">
        <v>84</v>
      </c>
      <c r="L329" s="1" t="s">
        <v>86</v>
      </c>
      <c r="M329" s="1" t="s">
        <v>68</v>
      </c>
      <c r="N329" s="1" t="s">
        <v>71</v>
      </c>
      <c r="O329" s="1" t="s">
        <v>68</v>
      </c>
      <c r="P329" s="1" t="s">
        <v>993</v>
      </c>
      <c r="Q329" s="1" t="s">
        <v>68</v>
      </c>
      <c r="R329" s="1" t="s">
        <v>68</v>
      </c>
      <c r="S329" s="1" t="s">
        <v>68</v>
      </c>
      <c r="T329" s="1" t="s">
        <v>123</v>
      </c>
      <c r="U329" s="1" t="s">
        <v>68</v>
      </c>
      <c r="V329" s="1" t="s">
        <v>68</v>
      </c>
      <c r="W329" s="1" t="s">
        <v>68</v>
      </c>
      <c r="X329" s="1" t="s">
        <v>68</v>
      </c>
      <c r="Y329" s="73"/>
      <c r="Z329" s="2" t="s">
        <v>80</v>
      </c>
      <c r="AA329" s="3">
        <v>-7753.17</v>
      </c>
      <c r="AB329" s="4">
        <v>-2520865.69</v>
      </c>
      <c r="AC329" s="73">
        <v>46216</v>
      </c>
      <c r="AD329" s="73">
        <v>46207</v>
      </c>
      <c r="AE329" s="73"/>
      <c r="AF329" s="73">
        <v>46216</v>
      </c>
      <c r="AG329" s="3">
        <v>-7753170</v>
      </c>
      <c r="AH329" s="353" t="str">
        <f t="shared" si="18"/>
        <v>303</v>
      </c>
      <c r="AI329" s="3" t="str">
        <f t="shared" si="19"/>
        <v>57</v>
      </c>
      <c r="AJ329" s="64" t="str">
        <f>VLOOKUP(T329,'GL Name'!A:B,2,0)</f>
        <v>ต้นทุนผลิตกึ่งสำเร็จ</v>
      </c>
      <c r="AL329" s="13">
        <f t="shared" si="20"/>
        <v>325.1399995098779</v>
      </c>
      <c r="AM329" s="13" t="str">
        <f>VLOOKUP(I329,'Order 301-305 (เรียง)'!A:B,2,0)</f>
        <v>59000002</v>
      </c>
      <c r="AN329" t="str">
        <f>VLOOKUP(I329,'Order 301-305 (เรียง)'!A:C,3,0)</f>
        <v>GOLD BLEND ALL CAFE'  ขนาด 500 G.</v>
      </c>
    </row>
    <row r="330" spans="1:40" x14ac:dyDescent="0.3">
      <c r="A330" s="1" t="s">
        <v>106</v>
      </c>
      <c r="B330" s="1" t="s">
        <v>107</v>
      </c>
      <c r="C330" s="1" t="s">
        <v>64</v>
      </c>
      <c r="D330" s="1" t="s">
        <v>77</v>
      </c>
      <c r="E330" s="1" t="s">
        <v>78</v>
      </c>
      <c r="F330" s="1" t="s">
        <v>990</v>
      </c>
      <c r="G330" s="1" t="s">
        <v>103</v>
      </c>
      <c r="H330" s="1" t="s">
        <v>286</v>
      </c>
      <c r="I330" s="1" t="s">
        <v>991</v>
      </c>
      <c r="J330" s="1" t="s">
        <v>992</v>
      </c>
      <c r="K330" s="1" t="s">
        <v>84</v>
      </c>
      <c r="L330" s="1" t="s">
        <v>92</v>
      </c>
      <c r="M330" s="1" t="s">
        <v>68</v>
      </c>
      <c r="N330" s="1" t="s">
        <v>71</v>
      </c>
      <c r="O330" s="1" t="s">
        <v>68</v>
      </c>
      <c r="P330" s="1" t="s">
        <v>993</v>
      </c>
      <c r="Q330" s="1" t="s">
        <v>68</v>
      </c>
      <c r="R330" s="1" t="s">
        <v>68</v>
      </c>
      <c r="S330" s="1" t="s">
        <v>68</v>
      </c>
      <c r="T330" s="1" t="s">
        <v>108</v>
      </c>
      <c r="U330" s="1" t="s">
        <v>68</v>
      </c>
      <c r="V330" s="1" t="s">
        <v>68</v>
      </c>
      <c r="W330" s="1" t="s">
        <v>68</v>
      </c>
      <c r="X330" s="1" t="s">
        <v>68</v>
      </c>
      <c r="Y330" s="73"/>
      <c r="Z330" s="2" t="s">
        <v>102</v>
      </c>
      <c r="AA330" s="3">
        <v>-15701</v>
      </c>
      <c r="AB330" s="4">
        <v>-13279.4</v>
      </c>
      <c r="AC330" s="73">
        <v>46216</v>
      </c>
      <c r="AD330" s="73">
        <v>46207</v>
      </c>
      <c r="AE330" s="73"/>
      <c r="AF330" s="73">
        <v>46216</v>
      </c>
      <c r="AG330" s="3">
        <v>-15701</v>
      </c>
      <c r="AH330" s="353" t="str">
        <f t="shared" si="18"/>
        <v>303</v>
      </c>
      <c r="AI330" s="3" t="str">
        <f t="shared" si="19"/>
        <v>58</v>
      </c>
      <c r="AJ330" s="64" t="str">
        <f>VLOOKUP(T330,'GL Name'!A:B,2,0)</f>
        <v>ต้นทุนผลิตหีบห่อ</v>
      </c>
      <c r="AL330" s="13">
        <f t="shared" si="20"/>
        <v>0.84576778549136999</v>
      </c>
      <c r="AM330" s="13" t="str">
        <f>VLOOKUP(I330,'Order 301-305 (เรียง)'!A:B,2,0)</f>
        <v>59000002</v>
      </c>
      <c r="AN330" t="str">
        <f>VLOOKUP(I330,'Order 301-305 (เรียง)'!A:C,3,0)</f>
        <v>GOLD BLEND ALL CAFE'  ขนาด 500 G.</v>
      </c>
    </row>
    <row r="331" spans="1:40" x14ac:dyDescent="0.3">
      <c r="A331" s="1" t="s">
        <v>119</v>
      </c>
      <c r="B331" s="1" t="s">
        <v>120</v>
      </c>
      <c r="C331" s="1" t="s">
        <v>64</v>
      </c>
      <c r="D331" s="1" t="s">
        <v>77</v>
      </c>
      <c r="E331" s="1" t="s">
        <v>78</v>
      </c>
      <c r="F331" s="1" t="s">
        <v>990</v>
      </c>
      <c r="G331" s="1" t="s">
        <v>103</v>
      </c>
      <c r="H331" s="1" t="s">
        <v>302</v>
      </c>
      <c r="I331" s="1" t="s">
        <v>991</v>
      </c>
      <c r="J331" s="1" t="s">
        <v>992</v>
      </c>
      <c r="K331" s="1" t="s">
        <v>84</v>
      </c>
      <c r="L331" s="1" t="s">
        <v>89</v>
      </c>
      <c r="M331" s="1" t="s">
        <v>68</v>
      </c>
      <c r="N331" s="1" t="s">
        <v>71</v>
      </c>
      <c r="O331" s="1" t="s">
        <v>68</v>
      </c>
      <c r="P331" s="1" t="s">
        <v>993</v>
      </c>
      <c r="Q331" s="1" t="s">
        <v>68</v>
      </c>
      <c r="R331" s="1" t="s">
        <v>68</v>
      </c>
      <c r="S331" s="1" t="s">
        <v>68</v>
      </c>
      <c r="T331" s="1" t="s">
        <v>108</v>
      </c>
      <c r="U331" s="1" t="s">
        <v>68</v>
      </c>
      <c r="V331" s="1" t="s">
        <v>68</v>
      </c>
      <c r="W331" s="1" t="s">
        <v>68</v>
      </c>
      <c r="X331" s="1" t="s">
        <v>68</v>
      </c>
      <c r="Y331" s="73"/>
      <c r="Z331" s="2" t="s">
        <v>102</v>
      </c>
      <c r="AA331" s="3">
        <v>-15701</v>
      </c>
      <c r="AB331" s="4">
        <v>-32712.83</v>
      </c>
      <c r="AC331" s="73">
        <v>46216</v>
      </c>
      <c r="AD331" s="73">
        <v>46207</v>
      </c>
      <c r="AE331" s="73"/>
      <c r="AF331" s="73">
        <v>46216</v>
      </c>
      <c r="AG331" s="3">
        <v>-15701</v>
      </c>
      <c r="AH331" s="353" t="str">
        <f t="shared" si="18"/>
        <v>303</v>
      </c>
      <c r="AI331" s="3" t="str">
        <f t="shared" si="19"/>
        <v>58</v>
      </c>
      <c r="AJ331" s="64" t="str">
        <f>VLOOKUP(T331,'GL Name'!A:B,2,0)</f>
        <v>ต้นทุนผลิตหีบห่อ</v>
      </c>
      <c r="AL331" s="13">
        <f t="shared" si="20"/>
        <v>2.0834870390420992</v>
      </c>
      <c r="AM331" s="13" t="str">
        <f>VLOOKUP(I331,'Order 301-305 (เรียง)'!A:B,2,0)</f>
        <v>59000002</v>
      </c>
      <c r="AN331" t="str">
        <f>VLOOKUP(I331,'Order 301-305 (เรียง)'!A:C,3,0)</f>
        <v>GOLD BLEND ALL CAFE'  ขนาด 500 G.</v>
      </c>
    </row>
    <row r="332" spans="1:40" x14ac:dyDescent="0.3">
      <c r="A332" s="1" t="s">
        <v>121</v>
      </c>
      <c r="B332" s="1" t="s">
        <v>122</v>
      </c>
      <c r="C332" s="1" t="s">
        <v>64</v>
      </c>
      <c r="D332" s="1" t="s">
        <v>77</v>
      </c>
      <c r="E332" s="1" t="s">
        <v>78</v>
      </c>
      <c r="F332" s="1" t="s">
        <v>990</v>
      </c>
      <c r="G332" s="1" t="s">
        <v>103</v>
      </c>
      <c r="H332" s="1" t="s">
        <v>316</v>
      </c>
      <c r="I332" s="1" t="s">
        <v>991</v>
      </c>
      <c r="J332" s="1" t="s">
        <v>992</v>
      </c>
      <c r="K332" s="1" t="s">
        <v>84</v>
      </c>
      <c r="L332" s="1" t="s">
        <v>95</v>
      </c>
      <c r="M332" s="1" t="s">
        <v>68</v>
      </c>
      <c r="N332" s="1" t="s">
        <v>71</v>
      </c>
      <c r="O332" s="1" t="s">
        <v>68</v>
      </c>
      <c r="P332" s="1" t="s">
        <v>993</v>
      </c>
      <c r="Q332" s="1" t="s">
        <v>68</v>
      </c>
      <c r="R332" s="1" t="s">
        <v>68</v>
      </c>
      <c r="S332" s="1" t="s">
        <v>68</v>
      </c>
      <c r="T332" s="1" t="s">
        <v>108</v>
      </c>
      <c r="U332" s="1" t="s">
        <v>68</v>
      </c>
      <c r="V332" s="1" t="s">
        <v>68</v>
      </c>
      <c r="W332" s="1" t="s">
        <v>68</v>
      </c>
      <c r="X332" s="1" t="s">
        <v>68</v>
      </c>
      <c r="Y332" s="73"/>
      <c r="Z332" s="2" t="s">
        <v>102</v>
      </c>
      <c r="AA332" s="3">
        <v>-2595</v>
      </c>
      <c r="AB332" s="4">
        <v>-12975</v>
      </c>
      <c r="AC332" s="73">
        <v>46216</v>
      </c>
      <c r="AD332" s="73">
        <v>46207</v>
      </c>
      <c r="AE332" s="73"/>
      <c r="AF332" s="73">
        <v>46216</v>
      </c>
      <c r="AG332" s="3">
        <v>-2595</v>
      </c>
      <c r="AH332" s="353" t="str">
        <f t="shared" si="18"/>
        <v>303</v>
      </c>
      <c r="AI332" s="3" t="str">
        <f t="shared" si="19"/>
        <v>58</v>
      </c>
      <c r="AJ332" s="64" t="str">
        <f>VLOOKUP(T332,'GL Name'!A:B,2,0)</f>
        <v>ต้นทุนผลิตหีบห่อ</v>
      </c>
      <c r="AL332" s="13">
        <f t="shared" si="20"/>
        <v>5</v>
      </c>
      <c r="AM332" s="13" t="str">
        <f>VLOOKUP(I332,'Order 301-305 (เรียง)'!A:B,2,0)</f>
        <v>59000002</v>
      </c>
      <c r="AN332" t="str">
        <f>VLOOKUP(I332,'Order 301-305 (เรียง)'!A:C,3,0)</f>
        <v>GOLD BLEND ALL CAFE'  ขนาด 500 G.</v>
      </c>
    </row>
    <row r="333" spans="1:40" x14ac:dyDescent="0.3">
      <c r="A333" s="1" t="s">
        <v>81</v>
      </c>
      <c r="B333" s="1" t="s">
        <v>82</v>
      </c>
      <c r="C333" s="1" t="s">
        <v>64</v>
      </c>
      <c r="D333" s="1" t="s">
        <v>115</v>
      </c>
      <c r="E333" s="1" t="s">
        <v>116</v>
      </c>
      <c r="F333" s="1" t="s">
        <v>990</v>
      </c>
      <c r="G333" s="1" t="s">
        <v>83</v>
      </c>
      <c r="H333" s="1" t="s">
        <v>994</v>
      </c>
      <c r="I333" s="1" t="s">
        <v>991</v>
      </c>
      <c r="J333" s="1" t="s">
        <v>992</v>
      </c>
      <c r="K333" s="1" t="s">
        <v>84</v>
      </c>
      <c r="L333" s="1" t="s">
        <v>70</v>
      </c>
      <c r="M333" s="1" t="s">
        <v>68</v>
      </c>
      <c r="N333" s="1" t="s">
        <v>71</v>
      </c>
      <c r="O333" s="1" t="s">
        <v>68</v>
      </c>
      <c r="P333" s="1" t="s">
        <v>72</v>
      </c>
      <c r="Q333" s="1" t="s">
        <v>68</v>
      </c>
      <c r="R333" s="1" t="s">
        <v>68</v>
      </c>
      <c r="S333" s="1" t="s">
        <v>68</v>
      </c>
      <c r="T333" s="1" t="s">
        <v>117</v>
      </c>
      <c r="U333" s="1" t="s">
        <v>68</v>
      </c>
      <c r="V333" s="1" t="s">
        <v>68</v>
      </c>
      <c r="W333" s="1" t="s">
        <v>68</v>
      </c>
      <c r="X333" s="1" t="s">
        <v>68</v>
      </c>
      <c r="Y333" s="73"/>
      <c r="Z333" s="2" t="s">
        <v>74</v>
      </c>
      <c r="AA333" s="3">
        <v>15487</v>
      </c>
      <c r="AB333" s="4">
        <v>2630621.8199999998</v>
      </c>
      <c r="AC333" s="73">
        <v>46216</v>
      </c>
      <c r="AD333" s="73">
        <v>46207</v>
      </c>
      <c r="AE333" s="73"/>
      <c r="AF333" s="73">
        <v>46216</v>
      </c>
      <c r="AG333" s="3">
        <v>7743500</v>
      </c>
      <c r="AH333" s="353" t="str">
        <f t="shared" si="18"/>
        <v>303</v>
      </c>
      <c r="AI333" s="3" t="str">
        <f t="shared" si="19"/>
        <v>59</v>
      </c>
      <c r="AJ333" s="64" t="str">
        <f>VLOOKUP(T333,'GL Name'!A:B,2,0)</f>
        <v>ต้นทุนผลิตโอน F/G</v>
      </c>
      <c r="AL333" s="13">
        <f t="shared" si="20"/>
        <v>169.85999999999999</v>
      </c>
      <c r="AM333" s="13" t="str">
        <f>VLOOKUP(I333,'Order 301-305 (เรียง)'!A:B,2,0)</f>
        <v>59000002</v>
      </c>
      <c r="AN333" t="str">
        <f>VLOOKUP(I333,'Order 301-305 (เรียง)'!A:C,3,0)</f>
        <v>GOLD BLEND ALL CAFE'  ขนาด 500 G.</v>
      </c>
    </row>
    <row r="334" spans="1:40" x14ac:dyDescent="0.3">
      <c r="A334" s="1" t="s">
        <v>13</v>
      </c>
      <c r="B334" s="1" t="s">
        <v>14</v>
      </c>
      <c r="C334" s="1" t="s">
        <v>64</v>
      </c>
      <c r="D334" s="1" t="s">
        <v>77</v>
      </c>
      <c r="E334" s="1" t="s">
        <v>78</v>
      </c>
      <c r="F334" s="1" t="s">
        <v>995</v>
      </c>
      <c r="G334" s="1" t="s">
        <v>279</v>
      </c>
      <c r="H334" s="1" t="s">
        <v>662</v>
      </c>
      <c r="I334" s="1" t="s">
        <v>996</v>
      </c>
      <c r="J334" s="1" t="s">
        <v>997</v>
      </c>
      <c r="K334" s="1" t="s">
        <v>84</v>
      </c>
      <c r="L334" s="1" t="s">
        <v>86</v>
      </c>
      <c r="M334" s="1" t="s">
        <v>68</v>
      </c>
      <c r="N334" s="1" t="s">
        <v>71</v>
      </c>
      <c r="O334" s="1" t="s">
        <v>68</v>
      </c>
      <c r="P334" s="1" t="s">
        <v>998</v>
      </c>
      <c r="Q334" s="1" t="s">
        <v>68</v>
      </c>
      <c r="R334" s="1" t="s">
        <v>68</v>
      </c>
      <c r="S334" s="1" t="s">
        <v>68</v>
      </c>
      <c r="T334" s="1" t="s">
        <v>123</v>
      </c>
      <c r="U334" s="1" t="s">
        <v>68</v>
      </c>
      <c r="V334" s="1" t="s">
        <v>68</v>
      </c>
      <c r="W334" s="1" t="s">
        <v>68</v>
      </c>
      <c r="X334" s="1" t="s">
        <v>68</v>
      </c>
      <c r="Y334" s="73"/>
      <c r="Z334" s="2" t="s">
        <v>80</v>
      </c>
      <c r="AA334" s="3">
        <v>-9299.5</v>
      </c>
      <c r="AB334" s="4">
        <v>-2518676.58</v>
      </c>
      <c r="AC334" s="73">
        <v>46216</v>
      </c>
      <c r="AD334" s="73">
        <v>46209</v>
      </c>
      <c r="AE334" s="73"/>
      <c r="AF334" s="73">
        <v>46216</v>
      </c>
      <c r="AG334" s="3">
        <v>-9299500</v>
      </c>
      <c r="AH334" s="353" t="str">
        <f t="shared" si="18"/>
        <v>302</v>
      </c>
      <c r="AI334" s="3" t="str">
        <f t="shared" si="19"/>
        <v>57</v>
      </c>
      <c r="AJ334" s="64" t="str">
        <f>VLOOKUP(T334,'GL Name'!A:B,2,0)</f>
        <v>ต้นทุนผลิตกึ่งสำเร็จ</v>
      </c>
      <c r="AL334" s="13">
        <f t="shared" si="20"/>
        <v>270.84000000000003</v>
      </c>
      <c r="AM334" s="13" t="str">
        <f>VLOOKUP(I334,'Order 301-305 (เรียง)'!A:B,2,0)</f>
        <v>59000002</v>
      </c>
      <c r="AN334" t="str">
        <f>VLOOKUP(I334,'Order 301-305 (เรียง)'!A:C,3,0)</f>
        <v>GOLD BLEND ALL CAFE'  ขนาด 500 G.</v>
      </c>
    </row>
    <row r="335" spans="1:40" x14ac:dyDescent="0.3">
      <c r="A335" s="1" t="s">
        <v>15</v>
      </c>
      <c r="B335" s="1" t="s">
        <v>233</v>
      </c>
      <c r="C335" s="1" t="s">
        <v>64</v>
      </c>
      <c r="D335" s="1" t="s">
        <v>77</v>
      </c>
      <c r="E335" s="1" t="s">
        <v>78</v>
      </c>
      <c r="F335" s="1" t="s">
        <v>995</v>
      </c>
      <c r="G335" s="1" t="s">
        <v>279</v>
      </c>
      <c r="H335" s="1" t="s">
        <v>636</v>
      </c>
      <c r="I335" s="1" t="s">
        <v>996</v>
      </c>
      <c r="J335" s="1" t="s">
        <v>997</v>
      </c>
      <c r="K335" s="1" t="s">
        <v>84</v>
      </c>
      <c r="L335" s="1" t="s">
        <v>92</v>
      </c>
      <c r="M335" s="1" t="s">
        <v>68</v>
      </c>
      <c r="N335" s="1" t="s">
        <v>71</v>
      </c>
      <c r="O335" s="1" t="s">
        <v>68</v>
      </c>
      <c r="P335" s="1" t="s">
        <v>998</v>
      </c>
      <c r="Q335" s="1" t="s">
        <v>68</v>
      </c>
      <c r="R335" s="1" t="s">
        <v>68</v>
      </c>
      <c r="S335" s="1" t="s">
        <v>68</v>
      </c>
      <c r="T335" s="1" t="s">
        <v>123</v>
      </c>
      <c r="U335" s="1" t="s">
        <v>68</v>
      </c>
      <c r="V335" s="1" t="s">
        <v>68</v>
      </c>
      <c r="W335" s="1" t="s">
        <v>68</v>
      </c>
      <c r="X335" s="1" t="s">
        <v>68</v>
      </c>
      <c r="Y335" s="73"/>
      <c r="Z335" s="2" t="s">
        <v>80</v>
      </c>
      <c r="AA335" s="3">
        <v>-247.7</v>
      </c>
      <c r="AB335" s="4">
        <v>-67084.59</v>
      </c>
      <c r="AC335" s="73">
        <v>46216</v>
      </c>
      <c r="AD335" s="73">
        <v>46209</v>
      </c>
      <c r="AE335" s="73"/>
      <c r="AF335" s="73">
        <v>46216</v>
      </c>
      <c r="AG335" s="3">
        <v>-247700</v>
      </c>
      <c r="AH335" s="353" t="str">
        <f t="shared" si="18"/>
        <v>302</v>
      </c>
      <c r="AI335" s="3" t="str">
        <f t="shared" si="19"/>
        <v>57</v>
      </c>
      <c r="AJ335" s="64" t="str">
        <f>VLOOKUP(T335,'GL Name'!A:B,2,0)</f>
        <v>ต้นทุนผลิตกึ่งสำเร็จ</v>
      </c>
      <c r="AL335" s="13">
        <f t="shared" si="20"/>
        <v>270.82999596285828</v>
      </c>
      <c r="AM335" s="13" t="str">
        <f>VLOOKUP(I335,'Order 301-305 (เรียง)'!A:B,2,0)</f>
        <v>59000002</v>
      </c>
      <c r="AN335" t="str">
        <f>VLOOKUP(I335,'Order 301-305 (เรียง)'!A:C,3,0)</f>
        <v>GOLD BLEND ALL CAFE'  ขนาด 500 G.</v>
      </c>
    </row>
    <row r="336" spans="1:40" x14ac:dyDescent="0.3">
      <c r="A336" s="1" t="s">
        <v>15</v>
      </c>
      <c r="B336" s="1" t="s">
        <v>233</v>
      </c>
      <c r="C336" s="1" t="s">
        <v>64</v>
      </c>
      <c r="D336" s="1" t="s">
        <v>77</v>
      </c>
      <c r="E336" s="1" t="s">
        <v>78</v>
      </c>
      <c r="F336" s="1" t="s">
        <v>995</v>
      </c>
      <c r="G336" s="1" t="s">
        <v>279</v>
      </c>
      <c r="H336" s="1" t="s">
        <v>999</v>
      </c>
      <c r="I336" s="1" t="s">
        <v>996</v>
      </c>
      <c r="J336" s="1" t="s">
        <v>997</v>
      </c>
      <c r="K336" s="1" t="s">
        <v>84</v>
      </c>
      <c r="L336" s="1" t="s">
        <v>95</v>
      </c>
      <c r="M336" s="1" t="s">
        <v>68</v>
      </c>
      <c r="N336" s="1" t="s">
        <v>71</v>
      </c>
      <c r="O336" s="1" t="s">
        <v>68</v>
      </c>
      <c r="P336" s="1" t="s">
        <v>72</v>
      </c>
      <c r="Q336" s="1" t="s">
        <v>68</v>
      </c>
      <c r="R336" s="1" t="s">
        <v>233</v>
      </c>
      <c r="S336" s="1" t="s">
        <v>68</v>
      </c>
      <c r="T336" s="1" t="s">
        <v>123</v>
      </c>
      <c r="U336" s="1" t="s">
        <v>68</v>
      </c>
      <c r="V336" s="1" t="s">
        <v>68</v>
      </c>
      <c r="W336" s="1" t="s">
        <v>68</v>
      </c>
      <c r="X336" s="1" t="s">
        <v>68</v>
      </c>
      <c r="Y336" s="73"/>
      <c r="Z336" s="2" t="s">
        <v>80</v>
      </c>
      <c r="AA336" s="3">
        <v>-52.3</v>
      </c>
      <c r="AB336" s="4">
        <v>-14164.41</v>
      </c>
      <c r="AC336" s="73">
        <v>46216</v>
      </c>
      <c r="AD336" s="73">
        <v>46209</v>
      </c>
      <c r="AE336" s="73"/>
      <c r="AF336" s="73">
        <v>46216</v>
      </c>
      <c r="AG336" s="3">
        <v>-52300</v>
      </c>
      <c r="AH336" s="353" t="str">
        <f t="shared" si="18"/>
        <v>302</v>
      </c>
      <c r="AI336" s="3" t="str">
        <f t="shared" si="19"/>
        <v>57</v>
      </c>
      <c r="AJ336" s="64" t="str">
        <f>VLOOKUP(T336,'GL Name'!A:B,2,0)</f>
        <v>ต้นทุนผลิตกึ่งสำเร็จ</v>
      </c>
      <c r="AL336" s="13">
        <f t="shared" si="20"/>
        <v>270.83001912045893</v>
      </c>
      <c r="AM336" s="13" t="str">
        <f>VLOOKUP(I336,'Order 301-305 (เรียง)'!A:B,2,0)</f>
        <v>59000002</v>
      </c>
      <c r="AN336" t="str">
        <f>VLOOKUP(I336,'Order 301-305 (เรียง)'!A:C,3,0)</f>
        <v>GOLD BLEND ALL CAFE'  ขนาด 500 G.</v>
      </c>
    </row>
    <row r="337" spans="1:40" x14ac:dyDescent="0.3">
      <c r="A337" s="1" t="s">
        <v>19</v>
      </c>
      <c r="B337" s="1" t="s">
        <v>20</v>
      </c>
      <c r="C337" s="1" t="s">
        <v>64</v>
      </c>
      <c r="D337" s="1" t="s">
        <v>77</v>
      </c>
      <c r="E337" s="1" t="s">
        <v>78</v>
      </c>
      <c r="F337" s="1" t="s">
        <v>995</v>
      </c>
      <c r="G337" s="1" t="s">
        <v>279</v>
      </c>
      <c r="H337" s="1" t="s">
        <v>304</v>
      </c>
      <c r="I337" s="1" t="s">
        <v>996</v>
      </c>
      <c r="J337" s="1" t="s">
        <v>997</v>
      </c>
      <c r="K337" s="1" t="s">
        <v>84</v>
      </c>
      <c r="L337" s="1" t="s">
        <v>89</v>
      </c>
      <c r="M337" s="1" t="s">
        <v>68</v>
      </c>
      <c r="N337" s="1" t="s">
        <v>71</v>
      </c>
      <c r="O337" s="1" t="s">
        <v>68</v>
      </c>
      <c r="P337" s="1" t="s">
        <v>998</v>
      </c>
      <c r="Q337" s="1" t="s">
        <v>68</v>
      </c>
      <c r="R337" s="1" t="s">
        <v>68</v>
      </c>
      <c r="S337" s="1" t="s">
        <v>68</v>
      </c>
      <c r="T337" s="1" t="s">
        <v>123</v>
      </c>
      <c r="U337" s="1" t="s">
        <v>68</v>
      </c>
      <c r="V337" s="1" t="s">
        <v>68</v>
      </c>
      <c r="W337" s="1" t="s">
        <v>68</v>
      </c>
      <c r="X337" s="1" t="s">
        <v>68</v>
      </c>
      <c r="Y337" s="73"/>
      <c r="Z337" s="2" t="s">
        <v>80</v>
      </c>
      <c r="AA337" s="3">
        <v>-2403.58</v>
      </c>
      <c r="AB337" s="4">
        <v>-384404.55</v>
      </c>
      <c r="AC337" s="73">
        <v>46216</v>
      </c>
      <c r="AD337" s="73">
        <v>46209</v>
      </c>
      <c r="AE337" s="73"/>
      <c r="AF337" s="73">
        <v>46216</v>
      </c>
      <c r="AG337" s="3">
        <v>-2403580</v>
      </c>
      <c r="AH337" s="353" t="str">
        <f t="shared" si="18"/>
        <v>302</v>
      </c>
      <c r="AI337" s="3" t="str">
        <f t="shared" si="19"/>
        <v>57</v>
      </c>
      <c r="AJ337" s="64" t="str">
        <f>VLOOKUP(T337,'GL Name'!A:B,2,0)</f>
        <v>ต้นทุนผลิตกึ่งสำเร็จ</v>
      </c>
      <c r="AL337" s="13">
        <f t="shared" si="20"/>
        <v>159.93000024962762</v>
      </c>
      <c r="AM337" s="13" t="str">
        <f>VLOOKUP(I337,'Order 301-305 (เรียง)'!A:B,2,0)</f>
        <v>59000002</v>
      </c>
      <c r="AN337" t="str">
        <f>VLOOKUP(I337,'Order 301-305 (เรียง)'!A:C,3,0)</f>
        <v>GOLD BLEND ALL CAFE'  ขนาด 500 G.</v>
      </c>
    </row>
    <row r="338" spans="1:40" x14ac:dyDescent="0.3">
      <c r="A338" s="1" t="s">
        <v>23</v>
      </c>
      <c r="B338" s="1" t="s">
        <v>24</v>
      </c>
      <c r="C338" s="1" t="s">
        <v>64</v>
      </c>
      <c r="D338" s="1" t="s">
        <v>115</v>
      </c>
      <c r="E338" s="1" t="s">
        <v>116</v>
      </c>
      <c r="F338" s="1" t="s">
        <v>995</v>
      </c>
      <c r="G338" s="1" t="s">
        <v>103</v>
      </c>
      <c r="H338" s="1" t="s">
        <v>1000</v>
      </c>
      <c r="I338" s="1" t="s">
        <v>996</v>
      </c>
      <c r="J338" s="1" t="s">
        <v>997</v>
      </c>
      <c r="K338" s="1" t="s">
        <v>84</v>
      </c>
      <c r="L338" s="1" t="s">
        <v>70</v>
      </c>
      <c r="M338" s="1" t="s">
        <v>68</v>
      </c>
      <c r="N338" s="1" t="s">
        <v>71</v>
      </c>
      <c r="O338" s="1" t="s">
        <v>68</v>
      </c>
      <c r="P338" s="1" t="s">
        <v>72</v>
      </c>
      <c r="Q338" s="1" t="s">
        <v>68</v>
      </c>
      <c r="R338" s="1" t="s">
        <v>68</v>
      </c>
      <c r="S338" s="1" t="s">
        <v>68</v>
      </c>
      <c r="T338" s="1" t="s">
        <v>124</v>
      </c>
      <c r="U338" s="1" t="s">
        <v>68</v>
      </c>
      <c r="V338" s="1" t="s">
        <v>68</v>
      </c>
      <c r="W338" s="1" t="s">
        <v>68</v>
      </c>
      <c r="X338" s="1" t="s">
        <v>68</v>
      </c>
      <c r="Y338" s="73"/>
      <c r="Z338" s="2" t="s">
        <v>80</v>
      </c>
      <c r="AA338" s="3">
        <v>9676.26</v>
      </c>
      <c r="AB338" s="4">
        <v>3146139.18</v>
      </c>
      <c r="AC338" s="73">
        <v>46216</v>
      </c>
      <c r="AD338" s="73">
        <v>46209</v>
      </c>
      <c r="AE338" s="73"/>
      <c r="AF338" s="73">
        <v>46216</v>
      </c>
      <c r="AG338" s="3">
        <v>9676260</v>
      </c>
      <c r="AH338" s="353" t="str">
        <f t="shared" si="18"/>
        <v>302</v>
      </c>
      <c r="AI338" s="3" t="str">
        <f t="shared" si="19"/>
        <v>57</v>
      </c>
      <c r="AJ338" s="64" t="str">
        <f>VLOOKUP(T338,'GL Name'!A:B,2,0)</f>
        <v>ต้นทุนผลิตโอน Semi</v>
      </c>
      <c r="AL338" s="13">
        <f t="shared" si="20"/>
        <v>325.1400003720446</v>
      </c>
      <c r="AM338" s="13" t="str">
        <f>VLOOKUP(I338,'Order 301-305 (เรียง)'!A:B,2,0)</f>
        <v>59000002</v>
      </c>
      <c r="AN338" t="str">
        <f>VLOOKUP(I338,'Order 301-305 (เรียง)'!A:C,3,0)</f>
        <v>GOLD BLEND ALL CAFE'  ขนาด 500 G.</v>
      </c>
    </row>
    <row r="339" spans="1:40" x14ac:dyDescent="0.3">
      <c r="A339" s="1" t="s">
        <v>23</v>
      </c>
      <c r="B339" s="1" t="s">
        <v>24</v>
      </c>
      <c r="C339" s="1" t="s">
        <v>64</v>
      </c>
      <c r="D339" s="1" t="s">
        <v>77</v>
      </c>
      <c r="E339" s="1" t="s">
        <v>78</v>
      </c>
      <c r="F339" s="1" t="s">
        <v>1001</v>
      </c>
      <c r="G339" s="1" t="s">
        <v>103</v>
      </c>
      <c r="H339" s="1" t="s">
        <v>1000</v>
      </c>
      <c r="I339" s="1" t="s">
        <v>1002</v>
      </c>
      <c r="J339" s="1" t="s">
        <v>1003</v>
      </c>
      <c r="K339" s="1" t="s">
        <v>84</v>
      </c>
      <c r="L339" s="1" t="s">
        <v>86</v>
      </c>
      <c r="M339" s="1" t="s">
        <v>68</v>
      </c>
      <c r="N339" s="1" t="s">
        <v>71</v>
      </c>
      <c r="O339" s="1" t="s">
        <v>68</v>
      </c>
      <c r="P339" s="1" t="s">
        <v>1004</v>
      </c>
      <c r="Q339" s="1" t="s">
        <v>68</v>
      </c>
      <c r="R339" s="1" t="s">
        <v>68</v>
      </c>
      <c r="S339" s="1" t="s">
        <v>68</v>
      </c>
      <c r="T339" s="1" t="s">
        <v>123</v>
      </c>
      <c r="U339" s="1" t="s">
        <v>68</v>
      </c>
      <c r="V339" s="1" t="s">
        <v>68</v>
      </c>
      <c r="W339" s="1" t="s">
        <v>68</v>
      </c>
      <c r="X339" s="1" t="s">
        <v>68</v>
      </c>
      <c r="Y339" s="73"/>
      <c r="Z339" s="2" t="s">
        <v>80</v>
      </c>
      <c r="AA339" s="3">
        <v>-9676.26</v>
      </c>
      <c r="AB339" s="4">
        <v>-3146139.18</v>
      </c>
      <c r="AC339" s="73">
        <v>46216</v>
      </c>
      <c r="AD339" s="73">
        <v>46209</v>
      </c>
      <c r="AE339" s="73"/>
      <c r="AF339" s="73">
        <v>46216</v>
      </c>
      <c r="AG339" s="3">
        <v>-9676260</v>
      </c>
      <c r="AH339" s="353" t="str">
        <f t="shared" si="18"/>
        <v>303</v>
      </c>
      <c r="AI339" s="3" t="str">
        <f t="shared" si="19"/>
        <v>57</v>
      </c>
      <c r="AJ339" s="64" t="str">
        <f>VLOOKUP(T339,'GL Name'!A:B,2,0)</f>
        <v>ต้นทุนผลิตกึ่งสำเร็จ</v>
      </c>
      <c r="AL339" s="13">
        <f t="shared" si="20"/>
        <v>325.1400003720446</v>
      </c>
      <c r="AM339" s="13" t="str">
        <f>VLOOKUP(I339,'Order 301-305 (เรียง)'!A:B,2,0)</f>
        <v>59000002</v>
      </c>
      <c r="AN339" t="str">
        <f>VLOOKUP(I339,'Order 301-305 (เรียง)'!A:C,3,0)</f>
        <v>GOLD BLEND ALL CAFE'  ขนาด 500 G.</v>
      </c>
    </row>
    <row r="340" spans="1:40" x14ac:dyDescent="0.3">
      <c r="A340" s="1" t="s">
        <v>106</v>
      </c>
      <c r="B340" s="1" t="s">
        <v>107</v>
      </c>
      <c r="C340" s="1" t="s">
        <v>64</v>
      </c>
      <c r="D340" s="1" t="s">
        <v>77</v>
      </c>
      <c r="E340" s="1" t="s">
        <v>78</v>
      </c>
      <c r="F340" s="1" t="s">
        <v>1001</v>
      </c>
      <c r="G340" s="1" t="s">
        <v>103</v>
      </c>
      <c r="H340" s="1" t="s">
        <v>286</v>
      </c>
      <c r="I340" s="1" t="s">
        <v>1002</v>
      </c>
      <c r="J340" s="1" t="s">
        <v>1003</v>
      </c>
      <c r="K340" s="1" t="s">
        <v>84</v>
      </c>
      <c r="L340" s="1" t="s">
        <v>92</v>
      </c>
      <c r="M340" s="1" t="s">
        <v>68</v>
      </c>
      <c r="N340" s="1" t="s">
        <v>71</v>
      </c>
      <c r="O340" s="1" t="s">
        <v>68</v>
      </c>
      <c r="P340" s="1" t="s">
        <v>1004</v>
      </c>
      <c r="Q340" s="1" t="s">
        <v>68</v>
      </c>
      <c r="R340" s="1" t="s">
        <v>68</v>
      </c>
      <c r="S340" s="1" t="s">
        <v>68</v>
      </c>
      <c r="T340" s="1" t="s">
        <v>108</v>
      </c>
      <c r="U340" s="1" t="s">
        <v>68</v>
      </c>
      <c r="V340" s="1" t="s">
        <v>68</v>
      </c>
      <c r="W340" s="1" t="s">
        <v>68</v>
      </c>
      <c r="X340" s="1" t="s">
        <v>68</v>
      </c>
      <c r="Y340" s="73"/>
      <c r="Z340" s="2" t="s">
        <v>102</v>
      </c>
      <c r="AA340" s="3">
        <v>-19609</v>
      </c>
      <c r="AB340" s="4">
        <v>-16584.66</v>
      </c>
      <c r="AC340" s="73">
        <v>46216</v>
      </c>
      <c r="AD340" s="73">
        <v>46209</v>
      </c>
      <c r="AE340" s="73"/>
      <c r="AF340" s="73">
        <v>46216</v>
      </c>
      <c r="AG340" s="3">
        <v>-19609</v>
      </c>
      <c r="AH340" s="353" t="str">
        <f t="shared" si="18"/>
        <v>303</v>
      </c>
      <c r="AI340" s="3" t="str">
        <f t="shared" si="19"/>
        <v>58</v>
      </c>
      <c r="AJ340" s="64" t="str">
        <f>VLOOKUP(T340,'GL Name'!A:B,2,0)</f>
        <v>ต้นทุนผลิตหีบห่อ</v>
      </c>
      <c r="AL340" s="13">
        <f t="shared" si="20"/>
        <v>0.84576775970217755</v>
      </c>
      <c r="AM340" s="13" t="str">
        <f>VLOOKUP(I340,'Order 301-305 (เรียง)'!A:B,2,0)</f>
        <v>59000002</v>
      </c>
      <c r="AN340" t="str">
        <f>VLOOKUP(I340,'Order 301-305 (เรียง)'!A:C,3,0)</f>
        <v>GOLD BLEND ALL CAFE'  ขนาด 500 G.</v>
      </c>
    </row>
    <row r="341" spans="1:40" x14ac:dyDescent="0.3">
      <c r="A341" s="1" t="s">
        <v>119</v>
      </c>
      <c r="B341" s="1" t="s">
        <v>120</v>
      </c>
      <c r="C341" s="1" t="s">
        <v>64</v>
      </c>
      <c r="D341" s="1" t="s">
        <v>77</v>
      </c>
      <c r="E341" s="1" t="s">
        <v>78</v>
      </c>
      <c r="F341" s="1" t="s">
        <v>1001</v>
      </c>
      <c r="G341" s="1" t="s">
        <v>103</v>
      </c>
      <c r="H341" s="1" t="s">
        <v>302</v>
      </c>
      <c r="I341" s="1" t="s">
        <v>1002</v>
      </c>
      <c r="J341" s="1" t="s">
        <v>1003</v>
      </c>
      <c r="K341" s="1" t="s">
        <v>84</v>
      </c>
      <c r="L341" s="1" t="s">
        <v>89</v>
      </c>
      <c r="M341" s="1" t="s">
        <v>68</v>
      </c>
      <c r="N341" s="1" t="s">
        <v>71</v>
      </c>
      <c r="O341" s="1" t="s">
        <v>68</v>
      </c>
      <c r="P341" s="1" t="s">
        <v>1004</v>
      </c>
      <c r="Q341" s="1" t="s">
        <v>68</v>
      </c>
      <c r="R341" s="1" t="s">
        <v>68</v>
      </c>
      <c r="S341" s="1" t="s">
        <v>68</v>
      </c>
      <c r="T341" s="1" t="s">
        <v>108</v>
      </c>
      <c r="U341" s="1" t="s">
        <v>68</v>
      </c>
      <c r="V341" s="1" t="s">
        <v>68</v>
      </c>
      <c r="W341" s="1" t="s">
        <v>68</v>
      </c>
      <c r="X341" s="1" t="s">
        <v>68</v>
      </c>
      <c r="Y341" s="73"/>
      <c r="Z341" s="2" t="s">
        <v>102</v>
      </c>
      <c r="AA341" s="3">
        <v>-19609</v>
      </c>
      <c r="AB341" s="4">
        <v>-40855.1</v>
      </c>
      <c r="AC341" s="73">
        <v>46216</v>
      </c>
      <c r="AD341" s="73">
        <v>46209</v>
      </c>
      <c r="AE341" s="73"/>
      <c r="AF341" s="73">
        <v>46216</v>
      </c>
      <c r="AG341" s="3">
        <v>-19609</v>
      </c>
      <c r="AH341" s="353" t="str">
        <f t="shared" si="18"/>
        <v>303</v>
      </c>
      <c r="AI341" s="3" t="str">
        <f t="shared" si="19"/>
        <v>58</v>
      </c>
      <c r="AJ341" s="64" t="str">
        <f>VLOOKUP(T341,'GL Name'!A:B,2,0)</f>
        <v>ต้นทุนผลิตหีบห่อ</v>
      </c>
      <c r="AL341" s="13">
        <f t="shared" si="20"/>
        <v>2.0834871742567187</v>
      </c>
      <c r="AM341" s="13" t="str">
        <f>VLOOKUP(I341,'Order 301-305 (เรียง)'!A:B,2,0)</f>
        <v>59000002</v>
      </c>
      <c r="AN341" t="str">
        <f>VLOOKUP(I341,'Order 301-305 (เรียง)'!A:C,3,0)</f>
        <v>GOLD BLEND ALL CAFE'  ขนาด 500 G.</v>
      </c>
    </row>
    <row r="342" spans="1:40" x14ac:dyDescent="0.3">
      <c r="A342" s="1" t="s">
        <v>121</v>
      </c>
      <c r="B342" s="1" t="s">
        <v>122</v>
      </c>
      <c r="C342" s="1" t="s">
        <v>64</v>
      </c>
      <c r="D342" s="1" t="s">
        <v>77</v>
      </c>
      <c r="E342" s="1" t="s">
        <v>78</v>
      </c>
      <c r="F342" s="1" t="s">
        <v>1001</v>
      </c>
      <c r="G342" s="1" t="s">
        <v>103</v>
      </c>
      <c r="H342" s="1" t="s">
        <v>316</v>
      </c>
      <c r="I342" s="1" t="s">
        <v>1002</v>
      </c>
      <c r="J342" s="1" t="s">
        <v>1003</v>
      </c>
      <c r="K342" s="1" t="s">
        <v>84</v>
      </c>
      <c r="L342" s="1" t="s">
        <v>95</v>
      </c>
      <c r="M342" s="1" t="s">
        <v>68</v>
      </c>
      <c r="N342" s="1" t="s">
        <v>71</v>
      </c>
      <c r="O342" s="1" t="s">
        <v>68</v>
      </c>
      <c r="P342" s="1" t="s">
        <v>1004</v>
      </c>
      <c r="Q342" s="1" t="s">
        <v>68</v>
      </c>
      <c r="R342" s="1" t="s">
        <v>68</v>
      </c>
      <c r="S342" s="1" t="s">
        <v>68</v>
      </c>
      <c r="T342" s="1" t="s">
        <v>108</v>
      </c>
      <c r="U342" s="1" t="s">
        <v>68</v>
      </c>
      <c r="V342" s="1" t="s">
        <v>68</v>
      </c>
      <c r="W342" s="1" t="s">
        <v>68</v>
      </c>
      <c r="X342" s="1" t="s">
        <v>68</v>
      </c>
      <c r="Y342" s="73"/>
      <c r="Z342" s="2" t="s">
        <v>102</v>
      </c>
      <c r="AA342" s="3">
        <v>-3235</v>
      </c>
      <c r="AB342" s="4">
        <v>-16175</v>
      </c>
      <c r="AC342" s="73">
        <v>46216</v>
      </c>
      <c r="AD342" s="73">
        <v>46209</v>
      </c>
      <c r="AE342" s="73"/>
      <c r="AF342" s="73">
        <v>46216</v>
      </c>
      <c r="AG342" s="3">
        <v>-3235</v>
      </c>
      <c r="AH342" s="353" t="str">
        <f t="shared" si="18"/>
        <v>303</v>
      </c>
      <c r="AI342" s="3" t="str">
        <f t="shared" si="19"/>
        <v>58</v>
      </c>
      <c r="AJ342" s="64" t="str">
        <f>VLOOKUP(T342,'GL Name'!A:B,2,0)</f>
        <v>ต้นทุนผลิตหีบห่อ</v>
      </c>
      <c r="AL342" s="13">
        <f t="shared" si="20"/>
        <v>5</v>
      </c>
      <c r="AM342" s="13" t="str">
        <f>VLOOKUP(I342,'Order 301-305 (เรียง)'!A:B,2,0)</f>
        <v>59000002</v>
      </c>
      <c r="AN342" t="str">
        <f>VLOOKUP(I342,'Order 301-305 (เรียง)'!A:C,3,0)</f>
        <v>GOLD BLEND ALL CAFE'  ขนาด 500 G.</v>
      </c>
    </row>
    <row r="343" spans="1:40" x14ac:dyDescent="0.3">
      <c r="A343" s="1" t="s">
        <v>81</v>
      </c>
      <c r="B343" s="1" t="s">
        <v>82</v>
      </c>
      <c r="C343" s="1" t="s">
        <v>64</v>
      </c>
      <c r="D343" s="1" t="s">
        <v>115</v>
      </c>
      <c r="E343" s="1" t="s">
        <v>116</v>
      </c>
      <c r="F343" s="1" t="s">
        <v>1001</v>
      </c>
      <c r="G343" s="1" t="s">
        <v>83</v>
      </c>
      <c r="H343" s="1" t="s">
        <v>1005</v>
      </c>
      <c r="I343" s="1" t="s">
        <v>1002</v>
      </c>
      <c r="J343" s="1" t="s">
        <v>1003</v>
      </c>
      <c r="K343" s="1" t="s">
        <v>84</v>
      </c>
      <c r="L343" s="1" t="s">
        <v>70</v>
      </c>
      <c r="M343" s="1" t="s">
        <v>68</v>
      </c>
      <c r="N343" s="1" t="s">
        <v>71</v>
      </c>
      <c r="O343" s="1" t="s">
        <v>68</v>
      </c>
      <c r="P343" s="1" t="s">
        <v>72</v>
      </c>
      <c r="Q343" s="1" t="s">
        <v>68</v>
      </c>
      <c r="R343" s="1" t="s">
        <v>68</v>
      </c>
      <c r="S343" s="1" t="s">
        <v>68</v>
      </c>
      <c r="T343" s="1" t="s">
        <v>117</v>
      </c>
      <c r="U343" s="1" t="s">
        <v>68</v>
      </c>
      <c r="V343" s="1" t="s">
        <v>68</v>
      </c>
      <c r="W343" s="1" t="s">
        <v>68</v>
      </c>
      <c r="X343" s="1" t="s">
        <v>68</v>
      </c>
      <c r="Y343" s="73"/>
      <c r="Z343" s="2" t="s">
        <v>74</v>
      </c>
      <c r="AA343" s="3">
        <v>19344</v>
      </c>
      <c r="AB343" s="4">
        <v>3285771.84</v>
      </c>
      <c r="AC343" s="73">
        <v>46216</v>
      </c>
      <c r="AD343" s="73">
        <v>46209</v>
      </c>
      <c r="AE343" s="73"/>
      <c r="AF343" s="73">
        <v>46216</v>
      </c>
      <c r="AG343" s="3">
        <v>9672000</v>
      </c>
      <c r="AH343" s="353" t="str">
        <f t="shared" si="18"/>
        <v>303</v>
      </c>
      <c r="AI343" s="3" t="str">
        <f t="shared" si="19"/>
        <v>59</v>
      </c>
      <c r="AJ343" s="64" t="str">
        <f>VLOOKUP(T343,'GL Name'!A:B,2,0)</f>
        <v>ต้นทุนผลิตโอน F/G</v>
      </c>
      <c r="AL343" s="13">
        <f t="shared" si="20"/>
        <v>169.85999999999999</v>
      </c>
      <c r="AM343" s="13" t="str">
        <f>VLOOKUP(I343,'Order 301-305 (เรียง)'!A:B,2,0)</f>
        <v>59000002</v>
      </c>
      <c r="AN343" t="str">
        <f>VLOOKUP(I343,'Order 301-305 (เรียง)'!A:C,3,0)</f>
        <v>GOLD BLEND ALL CAFE'  ขนาด 500 G.</v>
      </c>
    </row>
    <row r="344" spans="1:40" x14ac:dyDescent="0.3">
      <c r="A344" s="1" t="s">
        <v>13</v>
      </c>
      <c r="B344" s="1" t="s">
        <v>14</v>
      </c>
      <c r="C344" s="1" t="s">
        <v>64</v>
      </c>
      <c r="D344" s="1" t="s">
        <v>77</v>
      </c>
      <c r="E344" s="1" t="s">
        <v>78</v>
      </c>
      <c r="F344" s="1" t="s">
        <v>1006</v>
      </c>
      <c r="G344" s="1" t="s">
        <v>279</v>
      </c>
      <c r="H344" s="1" t="s">
        <v>327</v>
      </c>
      <c r="I344" s="1" t="s">
        <v>1007</v>
      </c>
      <c r="J344" s="1" t="s">
        <v>1008</v>
      </c>
      <c r="K344" s="1" t="s">
        <v>84</v>
      </c>
      <c r="L344" s="1" t="s">
        <v>86</v>
      </c>
      <c r="M344" s="1" t="s">
        <v>68</v>
      </c>
      <c r="N344" s="1" t="s">
        <v>71</v>
      </c>
      <c r="O344" s="1" t="s">
        <v>68</v>
      </c>
      <c r="P344" s="1" t="s">
        <v>1009</v>
      </c>
      <c r="Q344" s="1" t="s">
        <v>68</v>
      </c>
      <c r="R344" s="1" t="s">
        <v>68</v>
      </c>
      <c r="S344" s="1" t="s">
        <v>68</v>
      </c>
      <c r="T344" s="1" t="s">
        <v>123</v>
      </c>
      <c r="U344" s="1" t="s">
        <v>68</v>
      </c>
      <c r="V344" s="1" t="s">
        <v>68</v>
      </c>
      <c r="W344" s="1" t="s">
        <v>68</v>
      </c>
      <c r="X344" s="1" t="s">
        <v>68</v>
      </c>
      <c r="Y344" s="73"/>
      <c r="Z344" s="2" t="s">
        <v>80</v>
      </c>
      <c r="AA344" s="3">
        <v>-8942.2000000000007</v>
      </c>
      <c r="AB344" s="4">
        <v>-2421905.4500000002</v>
      </c>
      <c r="AC344" s="73">
        <v>46216</v>
      </c>
      <c r="AD344" s="73">
        <v>46210</v>
      </c>
      <c r="AE344" s="73"/>
      <c r="AF344" s="73">
        <v>46216</v>
      </c>
      <c r="AG344" s="3">
        <v>-8942200</v>
      </c>
      <c r="AH344" s="353" t="str">
        <f t="shared" si="18"/>
        <v>302</v>
      </c>
      <c r="AI344" s="3" t="str">
        <f t="shared" si="19"/>
        <v>57</v>
      </c>
      <c r="AJ344" s="64" t="str">
        <f>VLOOKUP(T344,'GL Name'!A:B,2,0)</f>
        <v>ต้นทุนผลิตกึ่งสำเร็จ</v>
      </c>
      <c r="AL344" s="13">
        <f t="shared" si="20"/>
        <v>270.84000022365859</v>
      </c>
      <c r="AM344" s="13" t="str">
        <f>VLOOKUP(I344,'Order 301-305 (เรียง)'!A:B,2,0)</f>
        <v>59000002</v>
      </c>
      <c r="AN344" t="str">
        <f>VLOOKUP(I344,'Order 301-305 (เรียง)'!A:C,3,0)</f>
        <v>GOLD BLEND ALL CAFE'  ขนาด 500 G.</v>
      </c>
    </row>
    <row r="345" spans="1:40" x14ac:dyDescent="0.3">
      <c r="A345" s="1" t="s">
        <v>15</v>
      </c>
      <c r="B345" s="1" t="s">
        <v>233</v>
      </c>
      <c r="C345" s="1" t="s">
        <v>64</v>
      </c>
      <c r="D345" s="1" t="s">
        <v>77</v>
      </c>
      <c r="E345" s="1" t="s">
        <v>78</v>
      </c>
      <c r="F345" s="1" t="s">
        <v>1006</v>
      </c>
      <c r="G345" s="1" t="s">
        <v>279</v>
      </c>
      <c r="H345" s="1" t="s">
        <v>1010</v>
      </c>
      <c r="I345" s="1" t="s">
        <v>1007</v>
      </c>
      <c r="J345" s="1" t="s">
        <v>1008</v>
      </c>
      <c r="K345" s="1" t="s">
        <v>84</v>
      </c>
      <c r="L345" s="1" t="s">
        <v>95</v>
      </c>
      <c r="M345" s="1" t="s">
        <v>68</v>
      </c>
      <c r="N345" s="1" t="s">
        <v>71</v>
      </c>
      <c r="O345" s="1" t="s">
        <v>68</v>
      </c>
      <c r="P345" s="1" t="s">
        <v>72</v>
      </c>
      <c r="Q345" s="1" t="s">
        <v>68</v>
      </c>
      <c r="R345" s="1" t="s">
        <v>233</v>
      </c>
      <c r="S345" s="1" t="s">
        <v>68</v>
      </c>
      <c r="T345" s="1" t="s">
        <v>123</v>
      </c>
      <c r="U345" s="1" t="s">
        <v>68</v>
      </c>
      <c r="V345" s="1" t="s">
        <v>68</v>
      </c>
      <c r="W345" s="1" t="s">
        <v>68</v>
      </c>
      <c r="X345" s="1" t="s">
        <v>68</v>
      </c>
      <c r="Y345" s="73"/>
      <c r="Z345" s="2" t="s">
        <v>80</v>
      </c>
      <c r="AA345" s="3">
        <v>-820.68</v>
      </c>
      <c r="AB345" s="4">
        <v>-222264.76</v>
      </c>
      <c r="AC345" s="73">
        <v>46216</v>
      </c>
      <c r="AD345" s="73">
        <v>46210</v>
      </c>
      <c r="AE345" s="73"/>
      <c r="AF345" s="73">
        <v>46216</v>
      </c>
      <c r="AG345" s="3">
        <v>-820680</v>
      </c>
      <c r="AH345" s="353" t="str">
        <f t="shared" si="18"/>
        <v>302</v>
      </c>
      <c r="AI345" s="3" t="str">
        <f t="shared" si="19"/>
        <v>57</v>
      </c>
      <c r="AJ345" s="64" t="str">
        <f>VLOOKUP(T345,'GL Name'!A:B,2,0)</f>
        <v>ต้นทุนผลิตกึ่งสำเร็จ</v>
      </c>
      <c r="AL345" s="13">
        <f t="shared" si="20"/>
        <v>270.82999463859244</v>
      </c>
      <c r="AM345" s="13" t="str">
        <f>VLOOKUP(I345,'Order 301-305 (เรียง)'!A:B,2,0)</f>
        <v>59000002</v>
      </c>
      <c r="AN345" t="str">
        <f>VLOOKUP(I345,'Order 301-305 (เรียง)'!A:C,3,0)</f>
        <v>GOLD BLEND ALL CAFE'  ขนาด 500 G.</v>
      </c>
    </row>
    <row r="346" spans="1:40" x14ac:dyDescent="0.3">
      <c r="A346" s="1" t="s">
        <v>15</v>
      </c>
      <c r="B346" s="1" t="s">
        <v>233</v>
      </c>
      <c r="C346" s="1" t="s">
        <v>64</v>
      </c>
      <c r="D346" s="1" t="s">
        <v>77</v>
      </c>
      <c r="E346" s="1" t="s">
        <v>78</v>
      </c>
      <c r="F346" s="1" t="s">
        <v>1006</v>
      </c>
      <c r="G346" s="1" t="s">
        <v>279</v>
      </c>
      <c r="H346" s="1" t="s">
        <v>999</v>
      </c>
      <c r="I346" s="1" t="s">
        <v>1007</v>
      </c>
      <c r="J346" s="1" t="s">
        <v>1008</v>
      </c>
      <c r="K346" s="1" t="s">
        <v>84</v>
      </c>
      <c r="L346" s="1" t="s">
        <v>92</v>
      </c>
      <c r="M346" s="1" t="s">
        <v>68</v>
      </c>
      <c r="N346" s="1" t="s">
        <v>71</v>
      </c>
      <c r="O346" s="1" t="s">
        <v>68</v>
      </c>
      <c r="P346" s="1" t="s">
        <v>1009</v>
      </c>
      <c r="Q346" s="1" t="s">
        <v>68</v>
      </c>
      <c r="R346" s="1" t="s">
        <v>68</v>
      </c>
      <c r="S346" s="1" t="s">
        <v>68</v>
      </c>
      <c r="T346" s="1" t="s">
        <v>123</v>
      </c>
      <c r="U346" s="1" t="s">
        <v>68</v>
      </c>
      <c r="V346" s="1" t="s">
        <v>68</v>
      </c>
      <c r="W346" s="1" t="s">
        <v>68</v>
      </c>
      <c r="X346" s="1" t="s">
        <v>68</v>
      </c>
      <c r="Y346" s="73"/>
      <c r="Z346" s="2" t="s">
        <v>80</v>
      </c>
      <c r="AA346" s="3">
        <v>-222.9</v>
      </c>
      <c r="AB346" s="4">
        <v>-60368.01</v>
      </c>
      <c r="AC346" s="73">
        <v>46216</v>
      </c>
      <c r="AD346" s="73">
        <v>46210</v>
      </c>
      <c r="AE346" s="73"/>
      <c r="AF346" s="73">
        <v>46216</v>
      </c>
      <c r="AG346" s="3">
        <v>-222900</v>
      </c>
      <c r="AH346" s="353" t="str">
        <f t="shared" si="18"/>
        <v>302</v>
      </c>
      <c r="AI346" s="3" t="str">
        <f t="shared" si="19"/>
        <v>57</v>
      </c>
      <c r="AJ346" s="64" t="str">
        <f>VLOOKUP(T346,'GL Name'!A:B,2,0)</f>
        <v>ต้นทุนผลิตกึ่งสำเร็จ</v>
      </c>
      <c r="AL346" s="13">
        <f t="shared" si="20"/>
        <v>270.83001345895019</v>
      </c>
      <c r="AM346" s="13" t="str">
        <f>VLOOKUP(I346,'Order 301-305 (เรียง)'!A:B,2,0)</f>
        <v>59000002</v>
      </c>
      <c r="AN346" t="str">
        <f>VLOOKUP(I346,'Order 301-305 (เรียง)'!A:C,3,0)</f>
        <v>GOLD BLEND ALL CAFE'  ขนาด 500 G.</v>
      </c>
    </row>
    <row r="347" spans="1:40" x14ac:dyDescent="0.3">
      <c r="A347" s="1" t="s">
        <v>19</v>
      </c>
      <c r="B347" s="1" t="s">
        <v>20</v>
      </c>
      <c r="C347" s="1" t="s">
        <v>64</v>
      </c>
      <c r="D347" s="1" t="s">
        <v>77</v>
      </c>
      <c r="E347" s="1" t="s">
        <v>78</v>
      </c>
      <c r="F347" s="1" t="s">
        <v>1006</v>
      </c>
      <c r="G347" s="1" t="s">
        <v>279</v>
      </c>
      <c r="H347" s="1" t="s">
        <v>304</v>
      </c>
      <c r="I347" s="1" t="s">
        <v>1007</v>
      </c>
      <c r="J347" s="1" t="s">
        <v>1008</v>
      </c>
      <c r="K347" s="1" t="s">
        <v>84</v>
      </c>
      <c r="L347" s="1" t="s">
        <v>89</v>
      </c>
      <c r="M347" s="1" t="s">
        <v>68</v>
      </c>
      <c r="N347" s="1" t="s">
        <v>71</v>
      </c>
      <c r="O347" s="1" t="s">
        <v>68</v>
      </c>
      <c r="P347" s="1" t="s">
        <v>1009</v>
      </c>
      <c r="Q347" s="1" t="s">
        <v>68</v>
      </c>
      <c r="R347" s="1" t="s">
        <v>68</v>
      </c>
      <c r="S347" s="1" t="s">
        <v>68</v>
      </c>
      <c r="T347" s="1" t="s">
        <v>123</v>
      </c>
      <c r="U347" s="1" t="s">
        <v>68</v>
      </c>
      <c r="V347" s="1" t="s">
        <v>68</v>
      </c>
      <c r="W347" s="1" t="s">
        <v>68</v>
      </c>
      <c r="X347" s="1" t="s">
        <v>68</v>
      </c>
      <c r="Y347" s="73"/>
      <c r="Z347" s="2" t="s">
        <v>80</v>
      </c>
      <c r="AA347" s="3">
        <v>-2497.64</v>
      </c>
      <c r="AB347" s="4">
        <v>-399447.57</v>
      </c>
      <c r="AC347" s="73">
        <v>46216</v>
      </c>
      <c r="AD347" s="73">
        <v>46210</v>
      </c>
      <c r="AE347" s="73"/>
      <c r="AF347" s="73">
        <v>46216</v>
      </c>
      <c r="AG347" s="3">
        <v>-2497640</v>
      </c>
      <c r="AH347" s="353" t="str">
        <f t="shared" si="18"/>
        <v>302</v>
      </c>
      <c r="AI347" s="3" t="str">
        <f t="shared" si="19"/>
        <v>57</v>
      </c>
      <c r="AJ347" s="64" t="str">
        <f>VLOOKUP(T347,'GL Name'!A:B,2,0)</f>
        <v>ต้นทุนผลิตกึ่งสำเร็จ</v>
      </c>
      <c r="AL347" s="13">
        <f t="shared" si="20"/>
        <v>159.93000192181421</v>
      </c>
      <c r="AM347" s="13" t="str">
        <f>VLOOKUP(I347,'Order 301-305 (เรียง)'!A:B,2,0)</f>
        <v>59000002</v>
      </c>
      <c r="AN347" t="str">
        <f>VLOOKUP(I347,'Order 301-305 (เรียง)'!A:C,3,0)</f>
        <v>GOLD BLEND ALL CAFE'  ขนาด 500 G.</v>
      </c>
    </row>
    <row r="348" spans="1:40" x14ac:dyDescent="0.3">
      <c r="A348" s="1" t="s">
        <v>23</v>
      </c>
      <c r="B348" s="1" t="s">
        <v>24</v>
      </c>
      <c r="C348" s="1" t="s">
        <v>64</v>
      </c>
      <c r="D348" s="1" t="s">
        <v>115</v>
      </c>
      <c r="E348" s="1" t="s">
        <v>116</v>
      </c>
      <c r="F348" s="1" t="s">
        <v>1006</v>
      </c>
      <c r="G348" s="1" t="s">
        <v>103</v>
      </c>
      <c r="H348" s="1" t="s">
        <v>1011</v>
      </c>
      <c r="I348" s="1" t="s">
        <v>1007</v>
      </c>
      <c r="J348" s="1" t="s">
        <v>1008</v>
      </c>
      <c r="K348" s="1" t="s">
        <v>84</v>
      </c>
      <c r="L348" s="1" t="s">
        <v>70</v>
      </c>
      <c r="M348" s="1" t="s">
        <v>68</v>
      </c>
      <c r="N348" s="1" t="s">
        <v>71</v>
      </c>
      <c r="O348" s="1" t="s">
        <v>68</v>
      </c>
      <c r="P348" s="1" t="s">
        <v>72</v>
      </c>
      <c r="Q348" s="1" t="s">
        <v>68</v>
      </c>
      <c r="R348" s="1" t="s">
        <v>68</v>
      </c>
      <c r="S348" s="1" t="s">
        <v>68</v>
      </c>
      <c r="T348" s="1" t="s">
        <v>124</v>
      </c>
      <c r="U348" s="1" t="s">
        <v>68</v>
      </c>
      <c r="V348" s="1" t="s">
        <v>68</v>
      </c>
      <c r="W348" s="1" t="s">
        <v>68</v>
      </c>
      <c r="X348" s="1" t="s">
        <v>68</v>
      </c>
      <c r="Y348" s="73"/>
      <c r="Z348" s="2" t="s">
        <v>80</v>
      </c>
      <c r="AA348" s="3">
        <v>10060.59</v>
      </c>
      <c r="AB348" s="4">
        <v>3271100.23</v>
      </c>
      <c r="AC348" s="73">
        <v>46216</v>
      </c>
      <c r="AD348" s="73">
        <v>46210</v>
      </c>
      <c r="AE348" s="73"/>
      <c r="AF348" s="73">
        <v>46216</v>
      </c>
      <c r="AG348" s="3">
        <v>10060590</v>
      </c>
      <c r="AH348" s="353" t="str">
        <f t="shared" si="18"/>
        <v>302</v>
      </c>
      <c r="AI348" s="3" t="str">
        <f t="shared" si="19"/>
        <v>57</v>
      </c>
      <c r="AJ348" s="64" t="str">
        <f>VLOOKUP(T348,'GL Name'!A:B,2,0)</f>
        <v>ต้นทุนผลิตโอน Semi</v>
      </c>
      <c r="AL348" s="13">
        <f t="shared" si="20"/>
        <v>325.13999974156587</v>
      </c>
      <c r="AM348" s="13" t="str">
        <f>VLOOKUP(I348,'Order 301-305 (เรียง)'!A:B,2,0)</f>
        <v>59000002</v>
      </c>
      <c r="AN348" t="str">
        <f>VLOOKUP(I348,'Order 301-305 (เรียง)'!A:C,3,0)</f>
        <v>GOLD BLEND ALL CAFE'  ขนาด 500 G.</v>
      </c>
    </row>
    <row r="349" spans="1:40" x14ac:dyDescent="0.3">
      <c r="A349" s="1" t="s">
        <v>13</v>
      </c>
      <c r="B349" s="1" t="s">
        <v>14</v>
      </c>
      <c r="C349" s="1" t="s">
        <v>64</v>
      </c>
      <c r="D349" s="1" t="s">
        <v>77</v>
      </c>
      <c r="E349" s="1" t="s">
        <v>78</v>
      </c>
      <c r="F349" s="1" t="s">
        <v>1012</v>
      </c>
      <c r="G349" s="1" t="s">
        <v>279</v>
      </c>
      <c r="H349" s="1" t="s">
        <v>327</v>
      </c>
      <c r="I349" s="1" t="s">
        <v>1013</v>
      </c>
      <c r="J349" s="1" t="s">
        <v>1014</v>
      </c>
      <c r="K349" s="1" t="s">
        <v>84</v>
      </c>
      <c r="L349" s="1" t="s">
        <v>86</v>
      </c>
      <c r="M349" s="1" t="s">
        <v>68</v>
      </c>
      <c r="N349" s="1" t="s">
        <v>71</v>
      </c>
      <c r="O349" s="1" t="s">
        <v>68</v>
      </c>
      <c r="P349" s="1" t="s">
        <v>1015</v>
      </c>
      <c r="Q349" s="1" t="s">
        <v>68</v>
      </c>
      <c r="R349" s="1" t="s">
        <v>68</v>
      </c>
      <c r="S349" s="1" t="s">
        <v>68</v>
      </c>
      <c r="T349" s="1" t="s">
        <v>123</v>
      </c>
      <c r="U349" s="1" t="s">
        <v>68</v>
      </c>
      <c r="V349" s="1" t="s">
        <v>68</v>
      </c>
      <c r="W349" s="1" t="s">
        <v>68</v>
      </c>
      <c r="X349" s="1" t="s">
        <v>68</v>
      </c>
      <c r="Y349" s="73"/>
      <c r="Z349" s="2" t="s">
        <v>80</v>
      </c>
      <c r="AA349" s="3">
        <v>-8601</v>
      </c>
      <c r="AB349" s="4">
        <v>-2329494.84</v>
      </c>
      <c r="AC349" s="73">
        <v>46216</v>
      </c>
      <c r="AD349" s="73">
        <v>46211</v>
      </c>
      <c r="AE349" s="73"/>
      <c r="AF349" s="73">
        <v>46216</v>
      </c>
      <c r="AG349" s="3">
        <v>-8601000</v>
      </c>
      <c r="AH349" s="353" t="str">
        <f t="shared" si="18"/>
        <v>302</v>
      </c>
      <c r="AI349" s="3" t="str">
        <f t="shared" si="19"/>
        <v>57</v>
      </c>
      <c r="AJ349" s="64" t="str">
        <f>VLOOKUP(T349,'GL Name'!A:B,2,0)</f>
        <v>ต้นทุนผลิตกึ่งสำเร็จ</v>
      </c>
      <c r="AL349" s="13">
        <f t="shared" si="20"/>
        <v>270.83999999999997</v>
      </c>
      <c r="AM349" s="13" t="str">
        <f>VLOOKUP(I349,'Order 301-305 (เรียง)'!A:B,2,0)</f>
        <v>59000002</v>
      </c>
      <c r="AN349" t="str">
        <f>VLOOKUP(I349,'Order 301-305 (เรียง)'!A:C,3,0)</f>
        <v>GOLD BLEND ALL CAFE'  ขนาด 500 G.</v>
      </c>
    </row>
    <row r="350" spans="1:40" x14ac:dyDescent="0.3">
      <c r="A350" s="1" t="s">
        <v>15</v>
      </c>
      <c r="B350" s="1" t="s">
        <v>233</v>
      </c>
      <c r="C350" s="1" t="s">
        <v>64</v>
      </c>
      <c r="D350" s="1" t="s">
        <v>77</v>
      </c>
      <c r="E350" s="1" t="s">
        <v>78</v>
      </c>
      <c r="F350" s="1" t="s">
        <v>1012</v>
      </c>
      <c r="G350" s="1" t="s">
        <v>279</v>
      </c>
      <c r="H350" s="1" t="s">
        <v>1010</v>
      </c>
      <c r="I350" s="1" t="s">
        <v>1013</v>
      </c>
      <c r="J350" s="1" t="s">
        <v>1014</v>
      </c>
      <c r="K350" s="1" t="s">
        <v>84</v>
      </c>
      <c r="L350" s="1" t="s">
        <v>92</v>
      </c>
      <c r="M350" s="1" t="s">
        <v>68</v>
      </c>
      <c r="N350" s="1" t="s">
        <v>71</v>
      </c>
      <c r="O350" s="1" t="s">
        <v>68</v>
      </c>
      <c r="P350" s="1" t="s">
        <v>1015</v>
      </c>
      <c r="Q350" s="1" t="s">
        <v>68</v>
      </c>
      <c r="R350" s="1" t="s">
        <v>68</v>
      </c>
      <c r="S350" s="1" t="s">
        <v>68</v>
      </c>
      <c r="T350" s="1" t="s">
        <v>123</v>
      </c>
      <c r="U350" s="1" t="s">
        <v>68</v>
      </c>
      <c r="V350" s="1" t="s">
        <v>68</v>
      </c>
      <c r="W350" s="1" t="s">
        <v>68</v>
      </c>
      <c r="X350" s="1" t="s">
        <v>68</v>
      </c>
      <c r="Y350" s="73"/>
      <c r="Z350" s="2" t="s">
        <v>80</v>
      </c>
      <c r="AA350" s="3">
        <v>-1003.08</v>
      </c>
      <c r="AB350" s="4">
        <v>-271664.15999999997</v>
      </c>
      <c r="AC350" s="73">
        <v>46216</v>
      </c>
      <c r="AD350" s="73">
        <v>46211</v>
      </c>
      <c r="AE350" s="73"/>
      <c r="AF350" s="73">
        <v>46216</v>
      </c>
      <c r="AG350" s="3">
        <v>-1003080</v>
      </c>
      <c r="AH350" s="353" t="str">
        <f t="shared" ref="AH350:AH413" si="21">LEFT(I350,3)</f>
        <v>302</v>
      </c>
      <c r="AI350" s="3" t="str">
        <f t="shared" ref="AI350:AI413" si="22">LEFT(A350,2)</f>
        <v>57</v>
      </c>
      <c r="AJ350" s="64" t="str">
        <f>VLOOKUP(T350,'GL Name'!A:B,2,0)</f>
        <v>ต้นทุนผลิตกึ่งสำเร็จ</v>
      </c>
      <c r="AL350" s="13">
        <f t="shared" ref="AL350:AL413" si="23">AB350/AA350</f>
        <v>270.830003588946</v>
      </c>
      <c r="AM350" s="13" t="str">
        <f>VLOOKUP(I350,'Order 301-305 (เรียง)'!A:B,2,0)</f>
        <v>59000002</v>
      </c>
      <c r="AN350" t="str">
        <f>VLOOKUP(I350,'Order 301-305 (เรียง)'!A:C,3,0)</f>
        <v>GOLD BLEND ALL CAFE'  ขนาด 500 G.</v>
      </c>
    </row>
    <row r="351" spans="1:40" x14ac:dyDescent="0.3">
      <c r="A351" s="1" t="s">
        <v>19</v>
      </c>
      <c r="B351" s="1" t="s">
        <v>20</v>
      </c>
      <c r="C351" s="1" t="s">
        <v>64</v>
      </c>
      <c r="D351" s="1" t="s">
        <v>77</v>
      </c>
      <c r="E351" s="1" t="s">
        <v>78</v>
      </c>
      <c r="F351" s="1" t="s">
        <v>1012</v>
      </c>
      <c r="G351" s="1" t="s">
        <v>279</v>
      </c>
      <c r="H351" s="1" t="s">
        <v>304</v>
      </c>
      <c r="I351" s="1" t="s">
        <v>1013</v>
      </c>
      <c r="J351" s="1" t="s">
        <v>1014</v>
      </c>
      <c r="K351" s="1" t="s">
        <v>84</v>
      </c>
      <c r="L351" s="1" t="s">
        <v>89</v>
      </c>
      <c r="M351" s="1" t="s">
        <v>68</v>
      </c>
      <c r="N351" s="1" t="s">
        <v>71</v>
      </c>
      <c r="O351" s="1" t="s">
        <v>68</v>
      </c>
      <c r="P351" s="1" t="s">
        <v>1015</v>
      </c>
      <c r="Q351" s="1" t="s">
        <v>68</v>
      </c>
      <c r="R351" s="1" t="s">
        <v>68</v>
      </c>
      <c r="S351" s="1" t="s">
        <v>68</v>
      </c>
      <c r="T351" s="1" t="s">
        <v>123</v>
      </c>
      <c r="U351" s="1" t="s">
        <v>68</v>
      </c>
      <c r="V351" s="1" t="s">
        <v>68</v>
      </c>
      <c r="W351" s="1" t="s">
        <v>68</v>
      </c>
      <c r="X351" s="1" t="s">
        <v>68</v>
      </c>
      <c r="Y351" s="73"/>
      <c r="Z351" s="2" t="s">
        <v>80</v>
      </c>
      <c r="AA351" s="3">
        <v>-2402.7199999999998</v>
      </c>
      <c r="AB351" s="4">
        <v>-384267.01</v>
      </c>
      <c r="AC351" s="73">
        <v>46216</v>
      </c>
      <c r="AD351" s="73">
        <v>46211</v>
      </c>
      <c r="AE351" s="73"/>
      <c r="AF351" s="73">
        <v>46216</v>
      </c>
      <c r="AG351" s="3">
        <v>-2402720</v>
      </c>
      <c r="AH351" s="353" t="str">
        <f t="shared" si="21"/>
        <v>302</v>
      </c>
      <c r="AI351" s="3" t="str">
        <f t="shared" si="22"/>
        <v>57</v>
      </c>
      <c r="AJ351" s="64" t="str">
        <f>VLOOKUP(T351,'GL Name'!A:B,2,0)</f>
        <v>ต้นทุนผลิตกึ่งสำเร็จ</v>
      </c>
      <c r="AL351" s="13">
        <f t="shared" si="23"/>
        <v>159.93000016647801</v>
      </c>
      <c r="AM351" s="13" t="str">
        <f>VLOOKUP(I351,'Order 301-305 (เรียง)'!A:B,2,0)</f>
        <v>59000002</v>
      </c>
      <c r="AN351" t="str">
        <f>VLOOKUP(I351,'Order 301-305 (เรียง)'!A:C,3,0)</f>
        <v>GOLD BLEND ALL CAFE'  ขนาด 500 G.</v>
      </c>
    </row>
    <row r="352" spans="1:40" x14ac:dyDescent="0.3">
      <c r="A352" s="1" t="s">
        <v>23</v>
      </c>
      <c r="B352" s="1" t="s">
        <v>24</v>
      </c>
      <c r="C352" s="1" t="s">
        <v>64</v>
      </c>
      <c r="D352" s="1" t="s">
        <v>115</v>
      </c>
      <c r="E352" s="1" t="s">
        <v>116</v>
      </c>
      <c r="F352" s="1" t="s">
        <v>1012</v>
      </c>
      <c r="G352" s="1" t="s">
        <v>103</v>
      </c>
      <c r="H352" s="1" t="s">
        <v>1016</v>
      </c>
      <c r="I352" s="1" t="s">
        <v>1013</v>
      </c>
      <c r="J352" s="1" t="s">
        <v>1014</v>
      </c>
      <c r="K352" s="1" t="s">
        <v>84</v>
      </c>
      <c r="L352" s="1" t="s">
        <v>70</v>
      </c>
      <c r="M352" s="1" t="s">
        <v>68</v>
      </c>
      <c r="N352" s="1" t="s">
        <v>71</v>
      </c>
      <c r="O352" s="1" t="s">
        <v>68</v>
      </c>
      <c r="P352" s="1" t="s">
        <v>72</v>
      </c>
      <c r="Q352" s="1" t="s">
        <v>68</v>
      </c>
      <c r="R352" s="1" t="s">
        <v>68</v>
      </c>
      <c r="S352" s="1" t="s">
        <v>68</v>
      </c>
      <c r="T352" s="1" t="s">
        <v>124</v>
      </c>
      <c r="U352" s="1" t="s">
        <v>68</v>
      </c>
      <c r="V352" s="1" t="s">
        <v>68</v>
      </c>
      <c r="W352" s="1" t="s">
        <v>68</v>
      </c>
      <c r="X352" s="1" t="s">
        <v>68</v>
      </c>
      <c r="Y352" s="73"/>
      <c r="Z352" s="2" t="s">
        <v>80</v>
      </c>
      <c r="AA352" s="3">
        <v>9645.68</v>
      </c>
      <c r="AB352" s="4">
        <v>3136196.4</v>
      </c>
      <c r="AC352" s="73">
        <v>46216</v>
      </c>
      <c r="AD352" s="73">
        <v>46211</v>
      </c>
      <c r="AE352" s="73"/>
      <c r="AF352" s="73">
        <v>46216</v>
      </c>
      <c r="AG352" s="3">
        <v>9645680</v>
      </c>
      <c r="AH352" s="353" t="str">
        <f t="shared" si="21"/>
        <v>302</v>
      </c>
      <c r="AI352" s="3" t="str">
        <f t="shared" si="22"/>
        <v>57</v>
      </c>
      <c r="AJ352" s="64" t="str">
        <f>VLOOKUP(T352,'GL Name'!A:B,2,0)</f>
        <v>ต้นทุนผลิตโอน Semi</v>
      </c>
      <c r="AL352" s="13">
        <f t="shared" si="23"/>
        <v>325.14000049763206</v>
      </c>
      <c r="AM352" s="13" t="str">
        <f>VLOOKUP(I352,'Order 301-305 (เรียง)'!A:B,2,0)</f>
        <v>59000002</v>
      </c>
      <c r="AN352" t="str">
        <f>VLOOKUP(I352,'Order 301-305 (เรียง)'!A:C,3,0)</f>
        <v>GOLD BLEND ALL CAFE'  ขนาด 500 G.</v>
      </c>
    </row>
    <row r="353" spans="1:40" x14ac:dyDescent="0.3">
      <c r="A353" s="1" t="s">
        <v>13</v>
      </c>
      <c r="B353" s="1" t="s">
        <v>14</v>
      </c>
      <c r="C353" s="1" t="s">
        <v>64</v>
      </c>
      <c r="D353" s="1" t="s">
        <v>77</v>
      </c>
      <c r="E353" s="1" t="s">
        <v>78</v>
      </c>
      <c r="F353" s="1" t="s">
        <v>1017</v>
      </c>
      <c r="G353" s="1" t="s">
        <v>279</v>
      </c>
      <c r="H353" s="1" t="s">
        <v>561</v>
      </c>
      <c r="I353" s="1" t="s">
        <v>1018</v>
      </c>
      <c r="J353" s="1" t="s">
        <v>1019</v>
      </c>
      <c r="K353" s="1" t="s">
        <v>84</v>
      </c>
      <c r="L353" s="1" t="s">
        <v>89</v>
      </c>
      <c r="M353" s="1" t="s">
        <v>68</v>
      </c>
      <c r="N353" s="1" t="s">
        <v>71</v>
      </c>
      <c r="O353" s="1" t="s">
        <v>68</v>
      </c>
      <c r="P353" s="1" t="s">
        <v>72</v>
      </c>
      <c r="Q353" s="1" t="s">
        <v>68</v>
      </c>
      <c r="R353" s="1" t="s">
        <v>14</v>
      </c>
      <c r="S353" s="1" t="s">
        <v>68</v>
      </c>
      <c r="T353" s="1" t="s">
        <v>123</v>
      </c>
      <c r="U353" s="1" t="s">
        <v>68</v>
      </c>
      <c r="V353" s="1" t="s">
        <v>68</v>
      </c>
      <c r="W353" s="1" t="s">
        <v>68</v>
      </c>
      <c r="X353" s="1" t="s">
        <v>68</v>
      </c>
      <c r="Y353" s="73"/>
      <c r="Z353" s="2" t="s">
        <v>80</v>
      </c>
      <c r="AA353" s="3">
        <v>-4641.9399999999996</v>
      </c>
      <c r="AB353" s="4">
        <v>-1257223.03</v>
      </c>
      <c r="AC353" s="73">
        <v>46216</v>
      </c>
      <c r="AD353" s="73">
        <v>46212</v>
      </c>
      <c r="AE353" s="73"/>
      <c r="AF353" s="73">
        <v>46216</v>
      </c>
      <c r="AG353" s="3">
        <v>-4641940</v>
      </c>
      <c r="AH353" s="353" t="str">
        <f t="shared" si="21"/>
        <v>302</v>
      </c>
      <c r="AI353" s="3" t="str">
        <f t="shared" si="22"/>
        <v>57</v>
      </c>
      <c r="AJ353" s="64" t="str">
        <f>VLOOKUP(T353,'GL Name'!A:B,2,0)</f>
        <v>ต้นทุนผลิตกึ่งสำเร็จ</v>
      </c>
      <c r="AL353" s="13">
        <f t="shared" si="23"/>
        <v>270.8400000861709</v>
      </c>
      <c r="AM353" s="13" t="str">
        <f>VLOOKUP(I353,'Order 301-305 (เรียง)'!A:B,2,0)</f>
        <v>59000002</v>
      </c>
      <c r="AN353" t="str">
        <f>VLOOKUP(I353,'Order 301-305 (เรียง)'!A:C,3,0)</f>
        <v>GOLD BLEND ALL CAFE'  ขนาด 500 G.</v>
      </c>
    </row>
    <row r="354" spans="1:40" x14ac:dyDescent="0.3">
      <c r="A354" s="1" t="s">
        <v>13</v>
      </c>
      <c r="B354" s="1" t="s">
        <v>14</v>
      </c>
      <c r="C354" s="1" t="s">
        <v>64</v>
      </c>
      <c r="D354" s="1" t="s">
        <v>77</v>
      </c>
      <c r="E354" s="1" t="s">
        <v>78</v>
      </c>
      <c r="F354" s="1" t="s">
        <v>1017</v>
      </c>
      <c r="G354" s="1" t="s">
        <v>279</v>
      </c>
      <c r="H354" s="1" t="s">
        <v>662</v>
      </c>
      <c r="I354" s="1" t="s">
        <v>1018</v>
      </c>
      <c r="J354" s="1" t="s">
        <v>1019</v>
      </c>
      <c r="K354" s="1" t="s">
        <v>84</v>
      </c>
      <c r="L354" s="1" t="s">
        <v>86</v>
      </c>
      <c r="M354" s="1" t="s">
        <v>68</v>
      </c>
      <c r="N354" s="1" t="s">
        <v>71</v>
      </c>
      <c r="O354" s="1" t="s">
        <v>68</v>
      </c>
      <c r="P354" s="1" t="s">
        <v>1020</v>
      </c>
      <c r="Q354" s="1" t="s">
        <v>68</v>
      </c>
      <c r="R354" s="1" t="s">
        <v>68</v>
      </c>
      <c r="S354" s="1" t="s">
        <v>68</v>
      </c>
      <c r="T354" s="1" t="s">
        <v>123</v>
      </c>
      <c r="U354" s="1" t="s">
        <v>68</v>
      </c>
      <c r="V354" s="1" t="s">
        <v>68</v>
      </c>
      <c r="W354" s="1" t="s">
        <v>68</v>
      </c>
      <c r="X354" s="1" t="s">
        <v>68</v>
      </c>
      <c r="Y354" s="73"/>
      <c r="Z354" s="2" t="s">
        <v>80</v>
      </c>
      <c r="AA354" s="3">
        <v>-4767.3599999999997</v>
      </c>
      <c r="AB354" s="4">
        <v>-1291191.78</v>
      </c>
      <c r="AC354" s="73">
        <v>46216</v>
      </c>
      <c r="AD354" s="73">
        <v>46212</v>
      </c>
      <c r="AE354" s="73"/>
      <c r="AF354" s="73">
        <v>46216</v>
      </c>
      <c r="AG354" s="3">
        <v>-4767360</v>
      </c>
      <c r="AH354" s="353" t="str">
        <f t="shared" si="21"/>
        <v>302</v>
      </c>
      <c r="AI354" s="3" t="str">
        <f t="shared" si="22"/>
        <v>57</v>
      </c>
      <c r="AJ354" s="64" t="str">
        <f>VLOOKUP(T354,'GL Name'!A:B,2,0)</f>
        <v>ต้นทุนผลิตกึ่งสำเร็จ</v>
      </c>
      <c r="AL354" s="13">
        <f t="shared" si="23"/>
        <v>270.83999949657675</v>
      </c>
      <c r="AM354" s="13" t="str">
        <f>VLOOKUP(I354,'Order 301-305 (เรียง)'!A:B,2,0)</f>
        <v>59000002</v>
      </c>
      <c r="AN354" t="str">
        <f>VLOOKUP(I354,'Order 301-305 (เรียง)'!A:C,3,0)</f>
        <v>GOLD BLEND ALL CAFE'  ขนาด 500 G.</v>
      </c>
    </row>
    <row r="355" spans="1:40" x14ac:dyDescent="0.3">
      <c r="A355" s="1" t="s">
        <v>19</v>
      </c>
      <c r="B355" s="1" t="s">
        <v>20</v>
      </c>
      <c r="C355" s="1" t="s">
        <v>64</v>
      </c>
      <c r="D355" s="1" t="s">
        <v>77</v>
      </c>
      <c r="E355" s="1" t="s">
        <v>78</v>
      </c>
      <c r="F355" s="1" t="s">
        <v>1017</v>
      </c>
      <c r="G355" s="1" t="s">
        <v>279</v>
      </c>
      <c r="H355" s="1" t="s">
        <v>304</v>
      </c>
      <c r="I355" s="1" t="s">
        <v>1018</v>
      </c>
      <c r="J355" s="1" t="s">
        <v>1019</v>
      </c>
      <c r="K355" s="1" t="s">
        <v>84</v>
      </c>
      <c r="L355" s="1" t="s">
        <v>92</v>
      </c>
      <c r="M355" s="1" t="s">
        <v>68</v>
      </c>
      <c r="N355" s="1" t="s">
        <v>71</v>
      </c>
      <c r="O355" s="1" t="s">
        <v>68</v>
      </c>
      <c r="P355" s="1" t="s">
        <v>1020</v>
      </c>
      <c r="Q355" s="1" t="s">
        <v>68</v>
      </c>
      <c r="R355" s="1" t="s">
        <v>68</v>
      </c>
      <c r="S355" s="1" t="s">
        <v>68</v>
      </c>
      <c r="T355" s="1" t="s">
        <v>123</v>
      </c>
      <c r="U355" s="1" t="s">
        <v>68</v>
      </c>
      <c r="V355" s="1" t="s">
        <v>68</v>
      </c>
      <c r="W355" s="1" t="s">
        <v>68</v>
      </c>
      <c r="X355" s="1" t="s">
        <v>68</v>
      </c>
      <c r="Y355" s="73"/>
      <c r="Z355" s="2" t="s">
        <v>80</v>
      </c>
      <c r="AA355" s="3">
        <v>-2359.12</v>
      </c>
      <c r="AB355" s="4">
        <v>-377294.06</v>
      </c>
      <c r="AC355" s="73">
        <v>46216</v>
      </c>
      <c r="AD355" s="73">
        <v>46212</v>
      </c>
      <c r="AE355" s="73"/>
      <c r="AF355" s="73">
        <v>46216</v>
      </c>
      <c r="AG355" s="3">
        <v>-2359120</v>
      </c>
      <c r="AH355" s="353" t="str">
        <f t="shared" si="21"/>
        <v>302</v>
      </c>
      <c r="AI355" s="3" t="str">
        <f t="shared" si="22"/>
        <v>57</v>
      </c>
      <c r="AJ355" s="64" t="str">
        <f>VLOOKUP(T355,'GL Name'!A:B,2,0)</f>
        <v>ต้นทุนผลิตกึ่งสำเร็จ</v>
      </c>
      <c r="AL355" s="13">
        <f t="shared" si="23"/>
        <v>159.929999321781</v>
      </c>
      <c r="AM355" s="13" t="str">
        <f>VLOOKUP(I355,'Order 301-305 (เรียง)'!A:B,2,0)</f>
        <v>59000002</v>
      </c>
      <c r="AN355" t="str">
        <f>VLOOKUP(I355,'Order 301-305 (เรียง)'!A:C,3,0)</f>
        <v>GOLD BLEND ALL CAFE'  ขนาด 500 G.</v>
      </c>
    </row>
    <row r="356" spans="1:40" x14ac:dyDescent="0.3">
      <c r="A356" s="1" t="s">
        <v>23</v>
      </c>
      <c r="B356" s="1" t="s">
        <v>24</v>
      </c>
      <c r="C356" s="1" t="s">
        <v>64</v>
      </c>
      <c r="D356" s="1" t="s">
        <v>115</v>
      </c>
      <c r="E356" s="1" t="s">
        <v>116</v>
      </c>
      <c r="F356" s="1" t="s">
        <v>1017</v>
      </c>
      <c r="G356" s="1" t="s">
        <v>103</v>
      </c>
      <c r="H356" s="1" t="s">
        <v>1021</v>
      </c>
      <c r="I356" s="1" t="s">
        <v>1018</v>
      </c>
      <c r="J356" s="1" t="s">
        <v>1019</v>
      </c>
      <c r="K356" s="1" t="s">
        <v>84</v>
      </c>
      <c r="L356" s="1" t="s">
        <v>70</v>
      </c>
      <c r="M356" s="1" t="s">
        <v>68</v>
      </c>
      <c r="N356" s="1" t="s">
        <v>71</v>
      </c>
      <c r="O356" s="1" t="s">
        <v>68</v>
      </c>
      <c r="P356" s="1" t="s">
        <v>72</v>
      </c>
      <c r="Q356" s="1" t="s">
        <v>68</v>
      </c>
      <c r="R356" s="1" t="s">
        <v>68</v>
      </c>
      <c r="S356" s="1" t="s">
        <v>68</v>
      </c>
      <c r="T356" s="1" t="s">
        <v>124</v>
      </c>
      <c r="U356" s="1" t="s">
        <v>68</v>
      </c>
      <c r="V356" s="1" t="s">
        <v>68</v>
      </c>
      <c r="W356" s="1" t="s">
        <v>68</v>
      </c>
      <c r="X356" s="1" t="s">
        <v>68</v>
      </c>
      <c r="Y356" s="73"/>
      <c r="Z356" s="2" t="s">
        <v>80</v>
      </c>
      <c r="AA356" s="3">
        <v>9465.5499999999993</v>
      </c>
      <c r="AB356" s="4">
        <v>3077628.93</v>
      </c>
      <c r="AC356" s="73">
        <v>46216</v>
      </c>
      <c r="AD356" s="73">
        <v>46212</v>
      </c>
      <c r="AE356" s="73"/>
      <c r="AF356" s="73">
        <v>46216</v>
      </c>
      <c r="AG356" s="3">
        <v>9465550</v>
      </c>
      <c r="AH356" s="353" t="str">
        <f t="shared" si="21"/>
        <v>302</v>
      </c>
      <c r="AI356" s="3" t="str">
        <f t="shared" si="22"/>
        <v>57</v>
      </c>
      <c r="AJ356" s="64" t="str">
        <f>VLOOKUP(T356,'GL Name'!A:B,2,0)</f>
        <v>ต้นทุนผลิตโอน Semi</v>
      </c>
      <c r="AL356" s="13">
        <f t="shared" si="23"/>
        <v>325.14000031693882</v>
      </c>
      <c r="AM356" s="13" t="str">
        <f>VLOOKUP(I356,'Order 301-305 (เรียง)'!A:B,2,0)</f>
        <v>59000002</v>
      </c>
      <c r="AN356" t="str">
        <f>VLOOKUP(I356,'Order 301-305 (เรียง)'!A:C,3,0)</f>
        <v>GOLD BLEND ALL CAFE'  ขนาด 500 G.</v>
      </c>
    </row>
    <row r="357" spans="1:40" x14ac:dyDescent="0.3">
      <c r="A357" s="1" t="s">
        <v>23</v>
      </c>
      <c r="B357" s="1" t="s">
        <v>24</v>
      </c>
      <c r="C357" s="1" t="s">
        <v>64</v>
      </c>
      <c r="D357" s="1" t="s">
        <v>77</v>
      </c>
      <c r="E357" s="1" t="s">
        <v>78</v>
      </c>
      <c r="F357" s="1" t="s">
        <v>1022</v>
      </c>
      <c r="G357" s="1" t="s">
        <v>103</v>
      </c>
      <c r="H357" s="1" t="s">
        <v>1011</v>
      </c>
      <c r="I357" s="1" t="s">
        <v>1023</v>
      </c>
      <c r="J357" s="1" t="s">
        <v>1024</v>
      </c>
      <c r="K357" s="1" t="s">
        <v>84</v>
      </c>
      <c r="L357" s="1" t="s">
        <v>86</v>
      </c>
      <c r="M357" s="1" t="s">
        <v>68</v>
      </c>
      <c r="N357" s="1" t="s">
        <v>71</v>
      </c>
      <c r="O357" s="1" t="s">
        <v>68</v>
      </c>
      <c r="P357" s="1" t="s">
        <v>1025</v>
      </c>
      <c r="Q357" s="1" t="s">
        <v>68</v>
      </c>
      <c r="R357" s="1" t="s">
        <v>68</v>
      </c>
      <c r="S357" s="1" t="s">
        <v>68</v>
      </c>
      <c r="T357" s="1" t="s">
        <v>123</v>
      </c>
      <c r="U357" s="1" t="s">
        <v>68</v>
      </c>
      <c r="V357" s="1" t="s">
        <v>68</v>
      </c>
      <c r="W357" s="1" t="s">
        <v>68</v>
      </c>
      <c r="X357" s="1" t="s">
        <v>68</v>
      </c>
      <c r="Y357" s="73"/>
      <c r="Z357" s="2" t="s">
        <v>80</v>
      </c>
      <c r="AA357" s="3">
        <v>-10060.59</v>
      </c>
      <c r="AB357" s="4">
        <v>-3271100.23</v>
      </c>
      <c r="AC357" s="73">
        <v>46216</v>
      </c>
      <c r="AD357" s="73">
        <v>46210</v>
      </c>
      <c r="AE357" s="73"/>
      <c r="AF357" s="73">
        <v>46216</v>
      </c>
      <c r="AG357" s="3">
        <v>-10060590</v>
      </c>
      <c r="AH357" s="353" t="str">
        <f t="shared" si="21"/>
        <v>303</v>
      </c>
      <c r="AI357" s="3" t="str">
        <f t="shared" si="22"/>
        <v>57</v>
      </c>
      <c r="AJ357" s="64" t="str">
        <f>VLOOKUP(T357,'GL Name'!A:B,2,0)</f>
        <v>ต้นทุนผลิตกึ่งสำเร็จ</v>
      </c>
      <c r="AL357" s="13">
        <f t="shared" si="23"/>
        <v>325.13999974156587</v>
      </c>
      <c r="AM357" s="13" t="str">
        <f>VLOOKUP(I357,'Order 301-305 (เรียง)'!A:B,2,0)</f>
        <v>59000002</v>
      </c>
      <c r="AN357" t="str">
        <f>VLOOKUP(I357,'Order 301-305 (เรียง)'!A:C,3,0)</f>
        <v>GOLD BLEND ALL CAFE'  ขนาด 500 G.</v>
      </c>
    </row>
    <row r="358" spans="1:40" x14ac:dyDescent="0.3">
      <c r="A358" s="1" t="s">
        <v>106</v>
      </c>
      <c r="B358" s="1" t="s">
        <v>107</v>
      </c>
      <c r="C358" s="1" t="s">
        <v>64</v>
      </c>
      <c r="D358" s="1" t="s">
        <v>77</v>
      </c>
      <c r="E358" s="1" t="s">
        <v>78</v>
      </c>
      <c r="F358" s="1" t="s">
        <v>1022</v>
      </c>
      <c r="G358" s="1" t="s">
        <v>103</v>
      </c>
      <c r="H358" s="1" t="s">
        <v>286</v>
      </c>
      <c r="I358" s="1" t="s">
        <v>1023</v>
      </c>
      <c r="J358" s="1" t="s">
        <v>1024</v>
      </c>
      <c r="K358" s="1" t="s">
        <v>84</v>
      </c>
      <c r="L358" s="1" t="s">
        <v>92</v>
      </c>
      <c r="M358" s="1" t="s">
        <v>68</v>
      </c>
      <c r="N358" s="1" t="s">
        <v>71</v>
      </c>
      <c r="O358" s="1" t="s">
        <v>68</v>
      </c>
      <c r="P358" s="1" t="s">
        <v>1025</v>
      </c>
      <c r="Q358" s="1" t="s">
        <v>68</v>
      </c>
      <c r="R358" s="1" t="s">
        <v>68</v>
      </c>
      <c r="S358" s="1" t="s">
        <v>68</v>
      </c>
      <c r="T358" s="1" t="s">
        <v>108</v>
      </c>
      <c r="U358" s="1" t="s">
        <v>68</v>
      </c>
      <c r="V358" s="1" t="s">
        <v>68</v>
      </c>
      <c r="W358" s="1" t="s">
        <v>68</v>
      </c>
      <c r="X358" s="1" t="s">
        <v>68</v>
      </c>
      <c r="Y358" s="73"/>
      <c r="Z358" s="2" t="s">
        <v>102</v>
      </c>
      <c r="AA358" s="3">
        <v>-20454</v>
      </c>
      <c r="AB358" s="4">
        <v>-17299.330000000002</v>
      </c>
      <c r="AC358" s="73">
        <v>46216</v>
      </c>
      <c r="AD358" s="73">
        <v>46210</v>
      </c>
      <c r="AE358" s="73"/>
      <c r="AF358" s="73">
        <v>46216</v>
      </c>
      <c r="AG358" s="3">
        <v>-20454</v>
      </c>
      <c r="AH358" s="353" t="str">
        <f t="shared" si="21"/>
        <v>303</v>
      </c>
      <c r="AI358" s="3" t="str">
        <f t="shared" si="22"/>
        <v>58</v>
      </c>
      <c r="AJ358" s="64" t="str">
        <f>VLOOKUP(T358,'GL Name'!A:B,2,0)</f>
        <v>ต้นทุนผลิตหีบห่อ</v>
      </c>
      <c r="AL358" s="13">
        <f t="shared" si="23"/>
        <v>0.84576757602424957</v>
      </c>
      <c r="AM358" s="13" t="str">
        <f>VLOOKUP(I358,'Order 301-305 (เรียง)'!A:B,2,0)</f>
        <v>59000002</v>
      </c>
      <c r="AN358" t="str">
        <f>VLOOKUP(I358,'Order 301-305 (เรียง)'!A:C,3,0)</f>
        <v>GOLD BLEND ALL CAFE'  ขนาด 500 G.</v>
      </c>
    </row>
    <row r="359" spans="1:40" x14ac:dyDescent="0.3">
      <c r="A359" s="1" t="s">
        <v>119</v>
      </c>
      <c r="B359" s="1" t="s">
        <v>120</v>
      </c>
      <c r="C359" s="1" t="s">
        <v>64</v>
      </c>
      <c r="D359" s="1" t="s">
        <v>77</v>
      </c>
      <c r="E359" s="1" t="s">
        <v>78</v>
      </c>
      <c r="F359" s="1" t="s">
        <v>1022</v>
      </c>
      <c r="G359" s="1" t="s">
        <v>103</v>
      </c>
      <c r="H359" s="1" t="s">
        <v>302</v>
      </c>
      <c r="I359" s="1" t="s">
        <v>1023</v>
      </c>
      <c r="J359" s="1" t="s">
        <v>1024</v>
      </c>
      <c r="K359" s="1" t="s">
        <v>84</v>
      </c>
      <c r="L359" s="1" t="s">
        <v>89</v>
      </c>
      <c r="M359" s="1" t="s">
        <v>68</v>
      </c>
      <c r="N359" s="1" t="s">
        <v>71</v>
      </c>
      <c r="O359" s="1" t="s">
        <v>68</v>
      </c>
      <c r="P359" s="1" t="s">
        <v>1025</v>
      </c>
      <c r="Q359" s="1" t="s">
        <v>68</v>
      </c>
      <c r="R359" s="1" t="s">
        <v>68</v>
      </c>
      <c r="S359" s="1" t="s">
        <v>68</v>
      </c>
      <c r="T359" s="1" t="s">
        <v>108</v>
      </c>
      <c r="U359" s="1" t="s">
        <v>68</v>
      </c>
      <c r="V359" s="1" t="s">
        <v>68</v>
      </c>
      <c r="W359" s="1" t="s">
        <v>68</v>
      </c>
      <c r="X359" s="1" t="s">
        <v>68</v>
      </c>
      <c r="Y359" s="73"/>
      <c r="Z359" s="2" t="s">
        <v>102</v>
      </c>
      <c r="AA359" s="3">
        <v>-20454</v>
      </c>
      <c r="AB359" s="4">
        <v>-42615.64</v>
      </c>
      <c r="AC359" s="73">
        <v>46216</v>
      </c>
      <c r="AD359" s="73">
        <v>46210</v>
      </c>
      <c r="AE359" s="73"/>
      <c r="AF359" s="73">
        <v>46216</v>
      </c>
      <c r="AG359" s="3">
        <v>-20454</v>
      </c>
      <c r="AH359" s="353" t="str">
        <f t="shared" si="21"/>
        <v>303</v>
      </c>
      <c r="AI359" s="3" t="str">
        <f t="shared" si="22"/>
        <v>58</v>
      </c>
      <c r="AJ359" s="64" t="str">
        <f>VLOOKUP(T359,'GL Name'!A:B,2,0)</f>
        <v>ต้นทุนผลิตหีบห่อ</v>
      </c>
      <c r="AL359" s="13">
        <f t="shared" si="23"/>
        <v>2.083486848538183</v>
      </c>
      <c r="AM359" s="13" t="str">
        <f>VLOOKUP(I359,'Order 301-305 (เรียง)'!A:B,2,0)</f>
        <v>59000002</v>
      </c>
      <c r="AN359" t="str">
        <f>VLOOKUP(I359,'Order 301-305 (เรียง)'!A:C,3,0)</f>
        <v>GOLD BLEND ALL CAFE'  ขนาด 500 G.</v>
      </c>
    </row>
    <row r="360" spans="1:40" x14ac:dyDescent="0.3">
      <c r="A360" s="1" t="s">
        <v>121</v>
      </c>
      <c r="B360" s="1" t="s">
        <v>122</v>
      </c>
      <c r="C360" s="1" t="s">
        <v>64</v>
      </c>
      <c r="D360" s="1" t="s">
        <v>77</v>
      </c>
      <c r="E360" s="1" t="s">
        <v>78</v>
      </c>
      <c r="F360" s="1" t="s">
        <v>1022</v>
      </c>
      <c r="G360" s="1" t="s">
        <v>103</v>
      </c>
      <c r="H360" s="1" t="s">
        <v>316</v>
      </c>
      <c r="I360" s="1" t="s">
        <v>1023</v>
      </c>
      <c r="J360" s="1" t="s">
        <v>1024</v>
      </c>
      <c r="K360" s="1" t="s">
        <v>84</v>
      </c>
      <c r="L360" s="1" t="s">
        <v>95</v>
      </c>
      <c r="M360" s="1" t="s">
        <v>68</v>
      </c>
      <c r="N360" s="1" t="s">
        <v>71</v>
      </c>
      <c r="O360" s="1" t="s">
        <v>68</v>
      </c>
      <c r="P360" s="1" t="s">
        <v>1025</v>
      </c>
      <c r="Q360" s="1" t="s">
        <v>68</v>
      </c>
      <c r="R360" s="1" t="s">
        <v>68</v>
      </c>
      <c r="S360" s="1" t="s">
        <v>68</v>
      </c>
      <c r="T360" s="1" t="s">
        <v>108</v>
      </c>
      <c r="U360" s="1" t="s">
        <v>68</v>
      </c>
      <c r="V360" s="1" t="s">
        <v>68</v>
      </c>
      <c r="W360" s="1" t="s">
        <v>68</v>
      </c>
      <c r="X360" s="1" t="s">
        <v>68</v>
      </c>
      <c r="Y360" s="73"/>
      <c r="Z360" s="2" t="s">
        <v>102</v>
      </c>
      <c r="AA360" s="3">
        <v>-3363</v>
      </c>
      <c r="AB360" s="4">
        <v>-16815</v>
      </c>
      <c r="AC360" s="73">
        <v>46216</v>
      </c>
      <c r="AD360" s="73">
        <v>46210</v>
      </c>
      <c r="AE360" s="73"/>
      <c r="AF360" s="73">
        <v>46216</v>
      </c>
      <c r="AG360" s="3">
        <v>-3363</v>
      </c>
      <c r="AH360" s="353" t="str">
        <f t="shared" si="21"/>
        <v>303</v>
      </c>
      <c r="AI360" s="3" t="str">
        <f t="shared" si="22"/>
        <v>58</v>
      </c>
      <c r="AJ360" s="64" t="str">
        <f>VLOOKUP(T360,'GL Name'!A:B,2,0)</f>
        <v>ต้นทุนผลิตหีบห่อ</v>
      </c>
      <c r="AL360" s="13">
        <f t="shared" si="23"/>
        <v>5</v>
      </c>
      <c r="AM360" s="13" t="str">
        <f>VLOOKUP(I360,'Order 301-305 (เรียง)'!A:B,2,0)</f>
        <v>59000002</v>
      </c>
      <c r="AN360" t="str">
        <f>VLOOKUP(I360,'Order 301-305 (เรียง)'!A:C,3,0)</f>
        <v>GOLD BLEND ALL CAFE'  ขนาด 500 G.</v>
      </c>
    </row>
    <row r="361" spans="1:40" x14ac:dyDescent="0.3">
      <c r="A361" s="1" t="s">
        <v>81</v>
      </c>
      <c r="B361" s="1" t="s">
        <v>82</v>
      </c>
      <c r="C361" s="1" t="s">
        <v>64</v>
      </c>
      <c r="D361" s="1" t="s">
        <v>115</v>
      </c>
      <c r="E361" s="1" t="s">
        <v>116</v>
      </c>
      <c r="F361" s="1" t="s">
        <v>1022</v>
      </c>
      <c r="G361" s="1" t="s">
        <v>83</v>
      </c>
      <c r="H361" s="1" t="s">
        <v>1026</v>
      </c>
      <c r="I361" s="1" t="s">
        <v>1023</v>
      </c>
      <c r="J361" s="1" t="s">
        <v>1024</v>
      </c>
      <c r="K361" s="1" t="s">
        <v>84</v>
      </c>
      <c r="L361" s="1" t="s">
        <v>70</v>
      </c>
      <c r="M361" s="1" t="s">
        <v>68</v>
      </c>
      <c r="N361" s="1" t="s">
        <v>71</v>
      </c>
      <c r="O361" s="1" t="s">
        <v>68</v>
      </c>
      <c r="P361" s="1" t="s">
        <v>72</v>
      </c>
      <c r="Q361" s="1" t="s">
        <v>68</v>
      </c>
      <c r="R361" s="1" t="s">
        <v>68</v>
      </c>
      <c r="S361" s="1" t="s">
        <v>68</v>
      </c>
      <c r="T361" s="1" t="s">
        <v>117</v>
      </c>
      <c r="U361" s="1" t="s">
        <v>68</v>
      </c>
      <c r="V361" s="1" t="s">
        <v>68</v>
      </c>
      <c r="W361" s="1" t="s">
        <v>68</v>
      </c>
      <c r="X361" s="1" t="s">
        <v>68</v>
      </c>
      <c r="Y361" s="73"/>
      <c r="Z361" s="2" t="s">
        <v>74</v>
      </c>
      <c r="AA361" s="3">
        <v>20106</v>
      </c>
      <c r="AB361" s="4">
        <v>3415205.16</v>
      </c>
      <c r="AC361" s="73">
        <v>46216</v>
      </c>
      <c r="AD361" s="73">
        <v>46210</v>
      </c>
      <c r="AE361" s="73"/>
      <c r="AF361" s="73">
        <v>46216</v>
      </c>
      <c r="AG361" s="3">
        <v>10053000</v>
      </c>
      <c r="AH361" s="353" t="str">
        <f t="shared" si="21"/>
        <v>303</v>
      </c>
      <c r="AI361" s="3" t="str">
        <f t="shared" si="22"/>
        <v>59</v>
      </c>
      <c r="AJ361" s="64" t="str">
        <f>VLOOKUP(T361,'GL Name'!A:B,2,0)</f>
        <v>ต้นทุนผลิตโอน F/G</v>
      </c>
      <c r="AL361" s="13">
        <f t="shared" si="23"/>
        <v>169.86</v>
      </c>
      <c r="AM361" s="13" t="str">
        <f>VLOOKUP(I361,'Order 301-305 (เรียง)'!A:B,2,0)</f>
        <v>59000002</v>
      </c>
      <c r="AN361" t="str">
        <f>VLOOKUP(I361,'Order 301-305 (เรียง)'!A:C,3,0)</f>
        <v>GOLD BLEND ALL CAFE'  ขนาด 500 G.</v>
      </c>
    </row>
    <row r="362" spans="1:40" x14ac:dyDescent="0.3">
      <c r="A362" s="1" t="s">
        <v>23</v>
      </c>
      <c r="B362" s="1" t="s">
        <v>24</v>
      </c>
      <c r="C362" s="1" t="s">
        <v>64</v>
      </c>
      <c r="D362" s="1" t="s">
        <v>77</v>
      </c>
      <c r="E362" s="1" t="s">
        <v>78</v>
      </c>
      <c r="F362" s="1" t="s">
        <v>1027</v>
      </c>
      <c r="G362" s="1" t="s">
        <v>103</v>
      </c>
      <c r="H362" s="1" t="s">
        <v>1016</v>
      </c>
      <c r="I362" s="1" t="s">
        <v>1028</v>
      </c>
      <c r="J362" s="1" t="s">
        <v>1029</v>
      </c>
      <c r="K362" s="1" t="s">
        <v>84</v>
      </c>
      <c r="L362" s="1" t="s">
        <v>86</v>
      </c>
      <c r="M362" s="1" t="s">
        <v>68</v>
      </c>
      <c r="N362" s="1" t="s">
        <v>71</v>
      </c>
      <c r="O362" s="1" t="s">
        <v>68</v>
      </c>
      <c r="P362" s="1" t="s">
        <v>1030</v>
      </c>
      <c r="Q362" s="1" t="s">
        <v>68</v>
      </c>
      <c r="R362" s="1" t="s">
        <v>68</v>
      </c>
      <c r="S362" s="1" t="s">
        <v>68</v>
      </c>
      <c r="T362" s="1" t="s">
        <v>123</v>
      </c>
      <c r="U362" s="1" t="s">
        <v>68</v>
      </c>
      <c r="V362" s="1" t="s">
        <v>68</v>
      </c>
      <c r="W362" s="1" t="s">
        <v>68</v>
      </c>
      <c r="X362" s="1" t="s">
        <v>68</v>
      </c>
      <c r="Y362" s="73"/>
      <c r="Z362" s="2" t="s">
        <v>80</v>
      </c>
      <c r="AA362" s="3">
        <v>-9645.68</v>
      </c>
      <c r="AB362" s="4">
        <v>-3136196.4</v>
      </c>
      <c r="AC362" s="73">
        <v>46216</v>
      </c>
      <c r="AD362" s="73">
        <v>46211</v>
      </c>
      <c r="AE362" s="73"/>
      <c r="AF362" s="73">
        <v>46216</v>
      </c>
      <c r="AG362" s="3">
        <v>-9645680</v>
      </c>
      <c r="AH362" s="353" t="str">
        <f t="shared" si="21"/>
        <v>303</v>
      </c>
      <c r="AI362" s="3" t="str">
        <f t="shared" si="22"/>
        <v>57</v>
      </c>
      <c r="AJ362" s="64" t="str">
        <f>VLOOKUP(T362,'GL Name'!A:B,2,0)</f>
        <v>ต้นทุนผลิตกึ่งสำเร็จ</v>
      </c>
      <c r="AL362" s="13">
        <f t="shared" si="23"/>
        <v>325.14000049763206</v>
      </c>
      <c r="AM362" s="13" t="str">
        <f>VLOOKUP(I362,'Order 301-305 (เรียง)'!A:B,2,0)</f>
        <v>59000002</v>
      </c>
      <c r="AN362" t="str">
        <f>VLOOKUP(I362,'Order 301-305 (เรียง)'!A:C,3,0)</f>
        <v>GOLD BLEND ALL CAFE'  ขนาด 500 G.</v>
      </c>
    </row>
    <row r="363" spans="1:40" x14ac:dyDescent="0.3">
      <c r="A363" s="1" t="s">
        <v>106</v>
      </c>
      <c r="B363" s="1" t="s">
        <v>107</v>
      </c>
      <c r="C363" s="1" t="s">
        <v>64</v>
      </c>
      <c r="D363" s="1" t="s">
        <v>77</v>
      </c>
      <c r="E363" s="1" t="s">
        <v>78</v>
      </c>
      <c r="F363" s="1" t="s">
        <v>1027</v>
      </c>
      <c r="G363" s="1" t="s">
        <v>103</v>
      </c>
      <c r="H363" s="1" t="s">
        <v>286</v>
      </c>
      <c r="I363" s="1" t="s">
        <v>1028</v>
      </c>
      <c r="J363" s="1" t="s">
        <v>1029</v>
      </c>
      <c r="K363" s="1" t="s">
        <v>84</v>
      </c>
      <c r="L363" s="1" t="s">
        <v>92</v>
      </c>
      <c r="M363" s="1" t="s">
        <v>68</v>
      </c>
      <c r="N363" s="1" t="s">
        <v>71</v>
      </c>
      <c r="O363" s="1" t="s">
        <v>68</v>
      </c>
      <c r="P363" s="1" t="s">
        <v>1030</v>
      </c>
      <c r="Q363" s="1" t="s">
        <v>68</v>
      </c>
      <c r="R363" s="1" t="s">
        <v>68</v>
      </c>
      <c r="S363" s="1" t="s">
        <v>68</v>
      </c>
      <c r="T363" s="1" t="s">
        <v>108</v>
      </c>
      <c r="U363" s="1" t="s">
        <v>68</v>
      </c>
      <c r="V363" s="1" t="s">
        <v>68</v>
      </c>
      <c r="W363" s="1" t="s">
        <v>68</v>
      </c>
      <c r="X363" s="1" t="s">
        <v>68</v>
      </c>
      <c r="Y363" s="73"/>
      <c r="Z363" s="2" t="s">
        <v>102</v>
      </c>
      <c r="AA363" s="3">
        <v>-19555</v>
      </c>
      <c r="AB363" s="4">
        <v>-16538.990000000002</v>
      </c>
      <c r="AC363" s="73">
        <v>46216</v>
      </c>
      <c r="AD363" s="73">
        <v>46211</v>
      </c>
      <c r="AE363" s="73"/>
      <c r="AF363" s="73">
        <v>46216</v>
      </c>
      <c r="AG363" s="3">
        <v>-19555</v>
      </c>
      <c r="AH363" s="353" t="str">
        <f t="shared" si="21"/>
        <v>303</v>
      </c>
      <c r="AI363" s="3" t="str">
        <f t="shared" si="22"/>
        <v>58</v>
      </c>
      <c r="AJ363" s="64" t="str">
        <f>VLOOKUP(T363,'GL Name'!A:B,2,0)</f>
        <v>ต้นทุนผลิตหีบห่อ</v>
      </c>
      <c r="AL363" s="13">
        <f t="shared" si="23"/>
        <v>0.84576783431347491</v>
      </c>
      <c r="AM363" s="13" t="str">
        <f>VLOOKUP(I363,'Order 301-305 (เรียง)'!A:B,2,0)</f>
        <v>59000002</v>
      </c>
      <c r="AN363" t="str">
        <f>VLOOKUP(I363,'Order 301-305 (เรียง)'!A:C,3,0)</f>
        <v>GOLD BLEND ALL CAFE'  ขนาด 500 G.</v>
      </c>
    </row>
    <row r="364" spans="1:40" x14ac:dyDescent="0.3">
      <c r="A364" s="1" t="s">
        <v>119</v>
      </c>
      <c r="B364" s="1" t="s">
        <v>120</v>
      </c>
      <c r="C364" s="1" t="s">
        <v>64</v>
      </c>
      <c r="D364" s="1" t="s">
        <v>77</v>
      </c>
      <c r="E364" s="1" t="s">
        <v>78</v>
      </c>
      <c r="F364" s="1" t="s">
        <v>1027</v>
      </c>
      <c r="G364" s="1" t="s">
        <v>103</v>
      </c>
      <c r="H364" s="1" t="s">
        <v>307</v>
      </c>
      <c r="I364" s="1" t="s">
        <v>1028</v>
      </c>
      <c r="J364" s="1" t="s">
        <v>1029</v>
      </c>
      <c r="K364" s="1" t="s">
        <v>84</v>
      </c>
      <c r="L364" s="1" t="s">
        <v>111</v>
      </c>
      <c r="M364" s="1" t="s">
        <v>68</v>
      </c>
      <c r="N364" s="1" t="s">
        <v>71</v>
      </c>
      <c r="O364" s="1" t="s">
        <v>68</v>
      </c>
      <c r="P364" s="1" t="s">
        <v>72</v>
      </c>
      <c r="Q364" s="1" t="s">
        <v>68</v>
      </c>
      <c r="R364" s="1" t="s">
        <v>120</v>
      </c>
      <c r="S364" s="1" t="s">
        <v>68</v>
      </c>
      <c r="T364" s="1" t="s">
        <v>108</v>
      </c>
      <c r="U364" s="1" t="s">
        <v>68</v>
      </c>
      <c r="V364" s="1" t="s">
        <v>68</v>
      </c>
      <c r="W364" s="1" t="s">
        <v>68</v>
      </c>
      <c r="X364" s="1" t="s">
        <v>68</v>
      </c>
      <c r="Y364" s="73"/>
      <c r="Z364" s="2" t="s">
        <v>102</v>
      </c>
      <c r="AA364" s="3">
        <v>-18939</v>
      </c>
      <c r="AB364" s="4">
        <v>-39459.160000000003</v>
      </c>
      <c r="AC364" s="73">
        <v>46216</v>
      </c>
      <c r="AD364" s="73">
        <v>46211</v>
      </c>
      <c r="AE364" s="73"/>
      <c r="AF364" s="73">
        <v>46216</v>
      </c>
      <c r="AG364" s="3">
        <v>-18939</v>
      </c>
      <c r="AH364" s="353" t="str">
        <f t="shared" si="21"/>
        <v>303</v>
      </c>
      <c r="AI364" s="3" t="str">
        <f t="shared" si="22"/>
        <v>58</v>
      </c>
      <c r="AJ364" s="64" t="str">
        <f>VLOOKUP(T364,'GL Name'!A:B,2,0)</f>
        <v>ต้นทุนผลิตหีบห่อ</v>
      </c>
      <c r="AL364" s="13">
        <f t="shared" si="23"/>
        <v>2.0834869845292783</v>
      </c>
      <c r="AM364" s="13" t="str">
        <f>VLOOKUP(I364,'Order 301-305 (เรียง)'!A:B,2,0)</f>
        <v>59000002</v>
      </c>
      <c r="AN364" t="str">
        <f>VLOOKUP(I364,'Order 301-305 (เรียง)'!A:C,3,0)</f>
        <v>GOLD BLEND ALL CAFE'  ขนาด 500 G.</v>
      </c>
    </row>
    <row r="365" spans="1:40" x14ac:dyDescent="0.3">
      <c r="A365" s="1" t="s">
        <v>119</v>
      </c>
      <c r="B365" s="1" t="s">
        <v>120</v>
      </c>
      <c r="C365" s="1" t="s">
        <v>64</v>
      </c>
      <c r="D365" s="1" t="s">
        <v>77</v>
      </c>
      <c r="E365" s="1" t="s">
        <v>78</v>
      </c>
      <c r="F365" s="1" t="s">
        <v>1027</v>
      </c>
      <c r="G365" s="1" t="s">
        <v>103</v>
      </c>
      <c r="H365" s="1" t="s">
        <v>302</v>
      </c>
      <c r="I365" s="1" t="s">
        <v>1028</v>
      </c>
      <c r="J365" s="1" t="s">
        <v>1029</v>
      </c>
      <c r="K365" s="1" t="s">
        <v>84</v>
      </c>
      <c r="L365" s="1" t="s">
        <v>89</v>
      </c>
      <c r="M365" s="1" t="s">
        <v>68</v>
      </c>
      <c r="N365" s="1" t="s">
        <v>71</v>
      </c>
      <c r="O365" s="1" t="s">
        <v>68</v>
      </c>
      <c r="P365" s="1" t="s">
        <v>1030</v>
      </c>
      <c r="Q365" s="1" t="s">
        <v>68</v>
      </c>
      <c r="R365" s="1" t="s">
        <v>68</v>
      </c>
      <c r="S365" s="1" t="s">
        <v>68</v>
      </c>
      <c r="T365" s="1" t="s">
        <v>108</v>
      </c>
      <c r="U365" s="1" t="s">
        <v>68</v>
      </c>
      <c r="V365" s="1" t="s">
        <v>68</v>
      </c>
      <c r="W365" s="1" t="s">
        <v>68</v>
      </c>
      <c r="X365" s="1" t="s">
        <v>68</v>
      </c>
      <c r="Y365" s="73"/>
      <c r="Z365" s="2" t="s">
        <v>102</v>
      </c>
      <c r="AA365" s="3">
        <v>-616</v>
      </c>
      <c r="AB365" s="4">
        <v>-1283.43</v>
      </c>
      <c r="AC365" s="73">
        <v>46216</v>
      </c>
      <c r="AD365" s="73">
        <v>46211</v>
      </c>
      <c r="AE365" s="73"/>
      <c r="AF365" s="73">
        <v>46216</v>
      </c>
      <c r="AG365" s="3">
        <v>-616</v>
      </c>
      <c r="AH365" s="353" t="str">
        <f t="shared" si="21"/>
        <v>303</v>
      </c>
      <c r="AI365" s="3" t="str">
        <f t="shared" si="22"/>
        <v>58</v>
      </c>
      <c r="AJ365" s="64" t="str">
        <f>VLOOKUP(T365,'GL Name'!A:B,2,0)</f>
        <v>ต้นทุนผลิตหีบห่อ</v>
      </c>
      <c r="AL365" s="13">
        <f t="shared" si="23"/>
        <v>2.0834902597402598</v>
      </c>
      <c r="AM365" s="13" t="str">
        <f>VLOOKUP(I365,'Order 301-305 (เรียง)'!A:B,2,0)</f>
        <v>59000002</v>
      </c>
      <c r="AN365" t="str">
        <f>VLOOKUP(I365,'Order 301-305 (เรียง)'!A:C,3,0)</f>
        <v>GOLD BLEND ALL CAFE'  ขนาด 500 G.</v>
      </c>
    </row>
    <row r="366" spans="1:40" x14ac:dyDescent="0.3">
      <c r="A366" s="1" t="s">
        <v>121</v>
      </c>
      <c r="B366" s="1" t="s">
        <v>122</v>
      </c>
      <c r="C366" s="1" t="s">
        <v>64</v>
      </c>
      <c r="D366" s="1" t="s">
        <v>77</v>
      </c>
      <c r="E366" s="1" t="s">
        <v>78</v>
      </c>
      <c r="F366" s="1" t="s">
        <v>1027</v>
      </c>
      <c r="G366" s="1" t="s">
        <v>103</v>
      </c>
      <c r="H366" s="1" t="s">
        <v>316</v>
      </c>
      <c r="I366" s="1" t="s">
        <v>1028</v>
      </c>
      <c r="J366" s="1" t="s">
        <v>1029</v>
      </c>
      <c r="K366" s="1" t="s">
        <v>84</v>
      </c>
      <c r="L366" s="1" t="s">
        <v>95</v>
      </c>
      <c r="M366" s="1" t="s">
        <v>68</v>
      </c>
      <c r="N366" s="1" t="s">
        <v>71</v>
      </c>
      <c r="O366" s="1" t="s">
        <v>68</v>
      </c>
      <c r="P366" s="1" t="s">
        <v>1030</v>
      </c>
      <c r="Q366" s="1" t="s">
        <v>68</v>
      </c>
      <c r="R366" s="1" t="s">
        <v>68</v>
      </c>
      <c r="S366" s="1" t="s">
        <v>68</v>
      </c>
      <c r="T366" s="1" t="s">
        <v>108</v>
      </c>
      <c r="U366" s="1" t="s">
        <v>68</v>
      </c>
      <c r="V366" s="1" t="s">
        <v>68</v>
      </c>
      <c r="W366" s="1" t="s">
        <v>68</v>
      </c>
      <c r="X366" s="1" t="s">
        <v>68</v>
      </c>
      <c r="Y366" s="73"/>
      <c r="Z366" s="2" t="s">
        <v>102</v>
      </c>
      <c r="AA366" s="3">
        <v>-3225</v>
      </c>
      <c r="AB366" s="4">
        <v>-16125</v>
      </c>
      <c r="AC366" s="73">
        <v>46216</v>
      </c>
      <c r="AD366" s="73">
        <v>46211</v>
      </c>
      <c r="AE366" s="73"/>
      <c r="AF366" s="73">
        <v>46216</v>
      </c>
      <c r="AG366" s="3">
        <v>-3225</v>
      </c>
      <c r="AH366" s="353" t="str">
        <f t="shared" si="21"/>
        <v>303</v>
      </c>
      <c r="AI366" s="3" t="str">
        <f t="shared" si="22"/>
        <v>58</v>
      </c>
      <c r="AJ366" s="64" t="str">
        <f>VLOOKUP(T366,'GL Name'!A:B,2,0)</f>
        <v>ต้นทุนผลิตหีบห่อ</v>
      </c>
      <c r="AL366" s="13">
        <f t="shared" si="23"/>
        <v>5</v>
      </c>
      <c r="AM366" s="13" t="str">
        <f>VLOOKUP(I366,'Order 301-305 (เรียง)'!A:B,2,0)</f>
        <v>59000002</v>
      </c>
      <c r="AN366" t="str">
        <f>VLOOKUP(I366,'Order 301-305 (เรียง)'!A:C,3,0)</f>
        <v>GOLD BLEND ALL CAFE'  ขนาด 500 G.</v>
      </c>
    </row>
    <row r="367" spans="1:40" x14ac:dyDescent="0.3">
      <c r="A367" s="1" t="s">
        <v>81</v>
      </c>
      <c r="B367" s="1" t="s">
        <v>82</v>
      </c>
      <c r="C367" s="1" t="s">
        <v>64</v>
      </c>
      <c r="D367" s="1" t="s">
        <v>115</v>
      </c>
      <c r="E367" s="1" t="s">
        <v>116</v>
      </c>
      <c r="F367" s="1" t="s">
        <v>1027</v>
      </c>
      <c r="G367" s="1" t="s">
        <v>83</v>
      </c>
      <c r="H367" s="1" t="s">
        <v>1031</v>
      </c>
      <c r="I367" s="1" t="s">
        <v>1028</v>
      </c>
      <c r="J367" s="1" t="s">
        <v>1029</v>
      </c>
      <c r="K367" s="1" t="s">
        <v>84</v>
      </c>
      <c r="L367" s="1" t="s">
        <v>70</v>
      </c>
      <c r="M367" s="1" t="s">
        <v>68</v>
      </c>
      <c r="N367" s="1" t="s">
        <v>71</v>
      </c>
      <c r="O367" s="1" t="s">
        <v>68</v>
      </c>
      <c r="P367" s="1" t="s">
        <v>72</v>
      </c>
      <c r="Q367" s="1" t="s">
        <v>68</v>
      </c>
      <c r="R367" s="1" t="s">
        <v>68</v>
      </c>
      <c r="S367" s="1" t="s">
        <v>68</v>
      </c>
      <c r="T367" s="1" t="s">
        <v>117</v>
      </c>
      <c r="U367" s="1" t="s">
        <v>68</v>
      </c>
      <c r="V367" s="1" t="s">
        <v>68</v>
      </c>
      <c r="W367" s="1" t="s">
        <v>68</v>
      </c>
      <c r="X367" s="1" t="s">
        <v>68</v>
      </c>
      <c r="Y367" s="73"/>
      <c r="Z367" s="2" t="s">
        <v>74</v>
      </c>
      <c r="AA367" s="3">
        <v>19284</v>
      </c>
      <c r="AB367" s="4">
        <v>3275580.24</v>
      </c>
      <c r="AC367" s="73">
        <v>46216</v>
      </c>
      <c r="AD367" s="73">
        <v>46211</v>
      </c>
      <c r="AE367" s="73"/>
      <c r="AF367" s="73">
        <v>46216</v>
      </c>
      <c r="AG367" s="3">
        <v>9642000</v>
      </c>
      <c r="AH367" s="353" t="str">
        <f t="shared" si="21"/>
        <v>303</v>
      </c>
      <c r="AI367" s="3" t="str">
        <f t="shared" si="22"/>
        <v>59</v>
      </c>
      <c r="AJ367" s="64" t="str">
        <f>VLOOKUP(T367,'GL Name'!A:B,2,0)</f>
        <v>ต้นทุนผลิตโอน F/G</v>
      </c>
      <c r="AL367" s="13">
        <f t="shared" si="23"/>
        <v>169.86</v>
      </c>
      <c r="AM367" s="13" t="str">
        <f>VLOOKUP(I367,'Order 301-305 (เรียง)'!A:B,2,0)</f>
        <v>59000002</v>
      </c>
      <c r="AN367" t="str">
        <f>VLOOKUP(I367,'Order 301-305 (เรียง)'!A:C,3,0)</f>
        <v>GOLD BLEND ALL CAFE'  ขนาด 500 G.</v>
      </c>
    </row>
    <row r="368" spans="1:40" x14ac:dyDescent="0.3">
      <c r="A368" s="1" t="s">
        <v>23</v>
      </c>
      <c r="B368" s="1" t="s">
        <v>24</v>
      </c>
      <c r="C368" s="1" t="s">
        <v>64</v>
      </c>
      <c r="D368" s="1" t="s">
        <v>77</v>
      </c>
      <c r="E368" s="1" t="s">
        <v>78</v>
      </c>
      <c r="F368" s="1" t="s">
        <v>1032</v>
      </c>
      <c r="G368" s="1" t="s">
        <v>103</v>
      </c>
      <c r="H368" s="1" t="s">
        <v>1021</v>
      </c>
      <c r="I368" s="1" t="s">
        <v>1033</v>
      </c>
      <c r="J368" s="1" t="s">
        <v>1034</v>
      </c>
      <c r="K368" s="1" t="s">
        <v>84</v>
      </c>
      <c r="L368" s="1" t="s">
        <v>86</v>
      </c>
      <c r="M368" s="1" t="s">
        <v>68</v>
      </c>
      <c r="N368" s="1" t="s">
        <v>71</v>
      </c>
      <c r="O368" s="1" t="s">
        <v>68</v>
      </c>
      <c r="P368" s="1" t="s">
        <v>1035</v>
      </c>
      <c r="Q368" s="1" t="s">
        <v>68</v>
      </c>
      <c r="R368" s="1" t="s">
        <v>68</v>
      </c>
      <c r="S368" s="1" t="s">
        <v>68</v>
      </c>
      <c r="T368" s="1" t="s">
        <v>123</v>
      </c>
      <c r="U368" s="1" t="s">
        <v>68</v>
      </c>
      <c r="V368" s="1" t="s">
        <v>68</v>
      </c>
      <c r="W368" s="1" t="s">
        <v>68</v>
      </c>
      <c r="X368" s="1" t="s">
        <v>68</v>
      </c>
      <c r="Y368" s="73"/>
      <c r="Z368" s="2" t="s">
        <v>80</v>
      </c>
      <c r="AA368" s="3">
        <v>-9465.5499999999993</v>
      </c>
      <c r="AB368" s="4">
        <v>-3077628.93</v>
      </c>
      <c r="AC368" s="73">
        <v>46216</v>
      </c>
      <c r="AD368" s="73">
        <v>46212</v>
      </c>
      <c r="AE368" s="73"/>
      <c r="AF368" s="73">
        <v>46216</v>
      </c>
      <c r="AG368" s="3">
        <v>-9465550</v>
      </c>
      <c r="AH368" s="353" t="str">
        <f t="shared" si="21"/>
        <v>303</v>
      </c>
      <c r="AI368" s="3" t="str">
        <f t="shared" si="22"/>
        <v>57</v>
      </c>
      <c r="AJ368" s="64" t="str">
        <f>VLOOKUP(T368,'GL Name'!A:B,2,0)</f>
        <v>ต้นทุนผลิตกึ่งสำเร็จ</v>
      </c>
      <c r="AL368" s="13">
        <f t="shared" si="23"/>
        <v>325.14000031693882</v>
      </c>
      <c r="AM368" s="13" t="str">
        <f>VLOOKUP(I368,'Order 301-305 (เรียง)'!A:B,2,0)</f>
        <v>59000002</v>
      </c>
      <c r="AN368" t="str">
        <f>VLOOKUP(I368,'Order 301-305 (เรียง)'!A:C,3,0)</f>
        <v>GOLD BLEND ALL CAFE'  ขนาด 500 G.</v>
      </c>
    </row>
    <row r="369" spans="1:40" x14ac:dyDescent="0.3">
      <c r="A369" s="1" t="s">
        <v>106</v>
      </c>
      <c r="B369" s="1" t="s">
        <v>107</v>
      </c>
      <c r="C369" s="1" t="s">
        <v>64</v>
      </c>
      <c r="D369" s="1" t="s">
        <v>77</v>
      </c>
      <c r="E369" s="1" t="s">
        <v>78</v>
      </c>
      <c r="F369" s="1" t="s">
        <v>1032</v>
      </c>
      <c r="G369" s="1" t="s">
        <v>103</v>
      </c>
      <c r="H369" s="1" t="s">
        <v>220</v>
      </c>
      <c r="I369" s="1" t="s">
        <v>1033</v>
      </c>
      <c r="J369" s="1" t="s">
        <v>1034</v>
      </c>
      <c r="K369" s="1" t="s">
        <v>84</v>
      </c>
      <c r="L369" s="1" t="s">
        <v>111</v>
      </c>
      <c r="M369" s="1" t="s">
        <v>68</v>
      </c>
      <c r="N369" s="1" t="s">
        <v>71</v>
      </c>
      <c r="O369" s="1" t="s">
        <v>68</v>
      </c>
      <c r="P369" s="1" t="s">
        <v>72</v>
      </c>
      <c r="Q369" s="1" t="s">
        <v>68</v>
      </c>
      <c r="R369" s="1" t="s">
        <v>107</v>
      </c>
      <c r="S369" s="1" t="s">
        <v>68</v>
      </c>
      <c r="T369" s="1" t="s">
        <v>108</v>
      </c>
      <c r="U369" s="1" t="s">
        <v>68</v>
      </c>
      <c r="V369" s="1" t="s">
        <v>68</v>
      </c>
      <c r="W369" s="1" t="s">
        <v>68</v>
      </c>
      <c r="X369" s="1" t="s">
        <v>68</v>
      </c>
      <c r="Y369" s="73"/>
      <c r="Z369" s="2" t="s">
        <v>102</v>
      </c>
      <c r="AA369" s="3">
        <v>-10925</v>
      </c>
      <c r="AB369" s="4">
        <v>-9240.01</v>
      </c>
      <c r="AC369" s="73">
        <v>46216</v>
      </c>
      <c r="AD369" s="73">
        <v>46212</v>
      </c>
      <c r="AE369" s="73"/>
      <c r="AF369" s="73">
        <v>46216</v>
      </c>
      <c r="AG369" s="3">
        <v>-10925</v>
      </c>
      <c r="AH369" s="353" t="str">
        <f t="shared" si="21"/>
        <v>303</v>
      </c>
      <c r="AI369" s="3" t="str">
        <f t="shared" si="22"/>
        <v>58</v>
      </c>
      <c r="AJ369" s="64" t="str">
        <f>VLOOKUP(T369,'GL Name'!A:B,2,0)</f>
        <v>ต้นทุนผลิตหีบห่อ</v>
      </c>
      <c r="AL369" s="13">
        <f t="shared" si="23"/>
        <v>0.84576750572082382</v>
      </c>
      <c r="AM369" s="13" t="str">
        <f>VLOOKUP(I369,'Order 301-305 (เรียง)'!A:B,2,0)</f>
        <v>59000002</v>
      </c>
      <c r="AN369" t="str">
        <f>VLOOKUP(I369,'Order 301-305 (เรียง)'!A:C,3,0)</f>
        <v>GOLD BLEND ALL CAFE'  ขนาด 500 G.</v>
      </c>
    </row>
    <row r="370" spans="1:40" x14ac:dyDescent="0.3">
      <c r="A370" s="1" t="s">
        <v>106</v>
      </c>
      <c r="B370" s="1" t="s">
        <v>107</v>
      </c>
      <c r="C370" s="1" t="s">
        <v>64</v>
      </c>
      <c r="D370" s="1" t="s">
        <v>77</v>
      </c>
      <c r="E370" s="1" t="s">
        <v>78</v>
      </c>
      <c r="F370" s="1" t="s">
        <v>1032</v>
      </c>
      <c r="G370" s="1" t="s">
        <v>103</v>
      </c>
      <c r="H370" s="1" t="s">
        <v>286</v>
      </c>
      <c r="I370" s="1" t="s">
        <v>1033</v>
      </c>
      <c r="J370" s="1" t="s">
        <v>1034</v>
      </c>
      <c r="K370" s="1" t="s">
        <v>84</v>
      </c>
      <c r="L370" s="1" t="s">
        <v>92</v>
      </c>
      <c r="M370" s="1" t="s">
        <v>68</v>
      </c>
      <c r="N370" s="1" t="s">
        <v>71</v>
      </c>
      <c r="O370" s="1" t="s">
        <v>68</v>
      </c>
      <c r="P370" s="1" t="s">
        <v>1035</v>
      </c>
      <c r="Q370" s="1" t="s">
        <v>68</v>
      </c>
      <c r="R370" s="1" t="s">
        <v>68</v>
      </c>
      <c r="S370" s="1" t="s">
        <v>68</v>
      </c>
      <c r="T370" s="1" t="s">
        <v>108</v>
      </c>
      <c r="U370" s="1" t="s">
        <v>68</v>
      </c>
      <c r="V370" s="1" t="s">
        <v>68</v>
      </c>
      <c r="W370" s="1" t="s">
        <v>68</v>
      </c>
      <c r="X370" s="1" t="s">
        <v>68</v>
      </c>
      <c r="Y370" s="73"/>
      <c r="Z370" s="2" t="s">
        <v>102</v>
      </c>
      <c r="AA370" s="3">
        <v>-8283</v>
      </c>
      <c r="AB370" s="4">
        <v>-7005.49</v>
      </c>
      <c r="AC370" s="73">
        <v>46216</v>
      </c>
      <c r="AD370" s="73">
        <v>46212</v>
      </c>
      <c r="AE370" s="73"/>
      <c r="AF370" s="73">
        <v>46216</v>
      </c>
      <c r="AG370" s="3">
        <v>-8283</v>
      </c>
      <c r="AH370" s="353" t="str">
        <f t="shared" si="21"/>
        <v>303</v>
      </c>
      <c r="AI370" s="3" t="str">
        <f t="shared" si="22"/>
        <v>58</v>
      </c>
      <c r="AJ370" s="64" t="str">
        <f>VLOOKUP(T370,'GL Name'!A:B,2,0)</f>
        <v>ต้นทุนผลิตหีบห่อ</v>
      </c>
      <c r="AL370" s="13">
        <f t="shared" si="23"/>
        <v>0.84576723409392729</v>
      </c>
      <c r="AM370" s="13" t="str">
        <f>VLOOKUP(I370,'Order 301-305 (เรียง)'!A:B,2,0)</f>
        <v>59000002</v>
      </c>
      <c r="AN370" t="str">
        <f>VLOOKUP(I370,'Order 301-305 (เรียง)'!A:C,3,0)</f>
        <v>GOLD BLEND ALL CAFE'  ขนาด 500 G.</v>
      </c>
    </row>
    <row r="371" spans="1:40" x14ac:dyDescent="0.3">
      <c r="A371" s="1" t="s">
        <v>119</v>
      </c>
      <c r="B371" s="1" t="s">
        <v>120</v>
      </c>
      <c r="C371" s="1" t="s">
        <v>64</v>
      </c>
      <c r="D371" s="1" t="s">
        <v>77</v>
      </c>
      <c r="E371" s="1" t="s">
        <v>78</v>
      </c>
      <c r="F371" s="1" t="s">
        <v>1032</v>
      </c>
      <c r="G371" s="1" t="s">
        <v>103</v>
      </c>
      <c r="H371" s="1" t="s">
        <v>307</v>
      </c>
      <c r="I371" s="1" t="s">
        <v>1033</v>
      </c>
      <c r="J371" s="1" t="s">
        <v>1034</v>
      </c>
      <c r="K371" s="1" t="s">
        <v>84</v>
      </c>
      <c r="L371" s="1" t="s">
        <v>89</v>
      </c>
      <c r="M371" s="1" t="s">
        <v>68</v>
      </c>
      <c r="N371" s="1" t="s">
        <v>71</v>
      </c>
      <c r="O371" s="1" t="s">
        <v>68</v>
      </c>
      <c r="P371" s="1" t="s">
        <v>1035</v>
      </c>
      <c r="Q371" s="1" t="s">
        <v>68</v>
      </c>
      <c r="R371" s="1" t="s">
        <v>68</v>
      </c>
      <c r="S371" s="1" t="s">
        <v>68</v>
      </c>
      <c r="T371" s="1" t="s">
        <v>108</v>
      </c>
      <c r="U371" s="1" t="s">
        <v>68</v>
      </c>
      <c r="V371" s="1" t="s">
        <v>68</v>
      </c>
      <c r="W371" s="1" t="s">
        <v>68</v>
      </c>
      <c r="X371" s="1" t="s">
        <v>68</v>
      </c>
      <c r="Y371" s="73"/>
      <c r="Z371" s="2" t="s">
        <v>102</v>
      </c>
      <c r="AA371" s="3">
        <v>-19208</v>
      </c>
      <c r="AB371" s="4">
        <v>-40019.620000000003</v>
      </c>
      <c r="AC371" s="73">
        <v>46216</v>
      </c>
      <c r="AD371" s="73">
        <v>46212</v>
      </c>
      <c r="AE371" s="73"/>
      <c r="AF371" s="73">
        <v>46216</v>
      </c>
      <c r="AG371" s="3">
        <v>-19208</v>
      </c>
      <c r="AH371" s="353" t="str">
        <f t="shared" si="21"/>
        <v>303</v>
      </c>
      <c r="AI371" s="3" t="str">
        <f t="shared" si="22"/>
        <v>58</v>
      </c>
      <c r="AJ371" s="64" t="str">
        <f>VLOOKUP(T371,'GL Name'!A:B,2,0)</f>
        <v>ต้นทุนผลิตหีบห่อ</v>
      </c>
      <c r="AL371" s="13">
        <f t="shared" si="23"/>
        <v>2.0834870887130363</v>
      </c>
      <c r="AM371" s="13" t="str">
        <f>VLOOKUP(I371,'Order 301-305 (เรียง)'!A:B,2,0)</f>
        <v>59000002</v>
      </c>
      <c r="AN371" t="str">
        <f>VLOOKUP(I371,'Order 301-305 (เรียง)'!A:C,3,0)</f>
        <v>GOLD BLEND ALL CAFE'  ขนาด 500 G.</v>
      </c>
    </row>
    <row r="372" spans="1:40" x14ac:dyDescent="0.3">
      <c r="A372" s="1" t="s">
        <v>121</v>
      </c>
      <c r="B372" s="1" t="s">
        <v>122</v>
      </c>
      <c r="C372" s="1" t="s">
        <v>64</v>
      </c>
      <c r="D372" s="1" t="s">
        <v>77</v>
      </c>
      <c r="E372" s="1" t="s">
        <v>78</v>
      </c>
      <c r="F372" s="1" t="s">
        <v>1032</v>
      </c>
      <c r="G372" s="1" t="s">
        <v>103</v>
      </c>
      <c r="H372" s="1" t="s">
        <v>316</v>
      </c>
      <c r="I372" s="1" t="s">
        <v>1033</v>
      </c>
      <c r="J372" s="1" t="s">
        <v>1034</v>
      </c>
      <c r="K372" s="1" t="s">
        <v>84</v>
      </c>
      <c r="L372" s="1" t="s">
        <v>95</v>
      </c>
      <c r="M372" s="1" t="s">
        <v>68</v>
      </c>
      <c r="N372" s="1" t="s">
        <v>71</v>
      </c>
      <c r="O372" s="1" t="s">
        <v>68</v>
      </c>
      <c r="P372" s="1" t="s">
        <v>1035</v>
      </c>
      <c r="Q372" s="1" t="s">
        <v>68</v>
      </c>
      <c r="R372" s="1" t="s">
        <v>68</v>
      </c>
      <c r="S372" s="1" t="s">
        <v>68</v>
      </c>
      <c r="T372" s="1" t="s">
        <v>108</v>
      </c>
      <c r="U372" s="1" t="s">
        <v>68</v>
      </c>
      <c r="V372" s="1" t="s">
        <v>68</v>
      </c>
      <c r="W372" s="1" t="s">
        <v>68</v>
      </c>
      <c r="X372" s="1" t="s">
        <v>68</v>
      </c>
      <c r="Y372" s="73"/>
      <c r="Z372" s="2" t="s">
        <v>102</v>
      </c>
      <c r="AA372" s="3">
        <v>-1916</v>
      </c>
      <c r="AB372" s="4">
        <v>-9580</v>
      </c>
      <c r="AC372" s="73">
        <v>46216</v>
      </c>
      <c r="AD372" s="73">
        <v>46212</v>
      </c>
      <c r="AE372" s="73"/>
      <c r="AF372" s="73">
        <v>46216</v>
      </c>
      <c r="AG372" s="3">
        <v>-1916</v>
      </c>
      <c r="AH372" s="353" t="str">
        <f t="shared" si="21"/>
        <v>303</v>
      </c>
      <c r="AI372" s="3" t="str">
        <f t="shared" si="22"/>
        <v>58</v>
      </c>
      <c r="AJ372" s="64" t="str">
        <f>VLOOKUP(T372,'GL Name'!A:B,2,0)</f>
        <v>ต้นทุนผลิตหีบห่อ</v>
      </c>
      <c r="AL372" s="13">
        <f t="shared" si="23"/>
        <v>5</v>
      </c>
      <c r="AM372" s="13" t="str">
        <f>VLOOKUP(I372,'Order 301-305 (เรียง)'!A:B,2,0)</f>
        <v>59000002</v>
      </c>
      <c r="AN372" t="str">
        <f>VLOOKUP(I372,'Order 301-305 (เรียง)'!A:C,3,0)</f>
        <v>GOLD BLEND ALL CAFE'  ขนาด 500 G.</v>
      </c>
    </row>
    <row r="373" spans="1:40" x14ac:dyDescent="0.3">
      <c r="A373" s="1" t="s">
        <v>121</v>
      </c>
      <c r="B373" s="1" t="s">
        <v>122</v>
      </c>
      <c r="C373" s="1" t="s">
        <v>64</v>
      </c>
      <c r="D373" s="1" t="s">
        <v>77</v>
      </c>
      <c r="E373" s="1" t="s">
        <v>78</v>
      </c>
      <c r="F373" s="1" t="s">
        <v>1032</v>
      </c>
      <c r="G373" s="1" t="s">
        <v>103</v>
      </c>
      <c r="H373" s="1" t="s">
        <v>772</v>
      </c>
      <c r="I373" s="1" t="s">
        <v>1033</v>
      </c>
      <c r="J373" s="1" t="s">
        <v>1034</v>
      </c>
      <c r="K373" s="1" t="s">
        <v>84</v>
      </c>
      <c r="L373" s="1" t="s">
        <v>112</v>
      </c>
      <c r="M373" s="1" t="s">
        <v>68</v>
      </c>
      <c r="N373" s="1" t="s">
        <v>71</v>
      </c>
      <c r="O373" s="1" t="s">
        <v>68</v>
      </c>
      <c r="P373" s="1" t="s">
        <v>72</v>
      </c>
      <c r="Q373" s="1" t="s">
        <v>68</v>
      </c>
      <c r="R373" s="1" t="s">
        <v>122</v>
      </c>
      <c r="S373" s="1" t="s">
        <v>68</v>
      </c>
      <c r="T373" s="1" t="s">
        <v>108</v>
      </c>
      <c r="U373" s="1" t="s">
        <v>68</v>
      </c>
      <c r="V373" s="1" t="s">
        <v>68</v>
      </c>
      <c r="W373" s="1" t="s">
        <v>68</v>
      </c>
      <c r="X373" s="1" t="s">
        <v>68</v>
      </c>
      <c r="Y373" s="73"/>
      <c r="Z373" s="2" t="s">
        <v>102</v>
      </c>
      <c r="AA373" s="3">
        <v>-1272</v>
      </c>
      <c r="AB373" s="4">
        <v>-6360</v>
      </c>
      <c r="AC373" s="73">
        <v>46216</v>
      </c>
      <c r="AD373" s="73">
        <v>46212</v>
      </c>
      <c r="AE373" s="73"/>
      <c r="AF373" s="73">
        <v>46216</v>
      </c>
      <c r="AG373" s="3">
        <v>-1272</v>
      </c>
      <c r="AH373" s="353" t="str">
        <f t="shared" si="21"/>
        <v>303</v>
      </c>
      <c r="AI373" s="3" t="str">
        <f t="shared" si="22"/>
        <v>58</v>
      </c>
      <c r="AJ373" s="64" t="str">
        <f>VLOOKUP(T373,'GL Name'!A:B,2,0)</f>
        <v>ต้นทุนผลิตหีบห่อ</v>
      </c>
      <c r="AL373" s="13">
        <f t="shared" si="23"/>
        <v>5</v>
      </c>
      <c r="AM373" s="13" t="str">
        <f>VLOOKUP(I373,'Order 301-305 (เรียง)'!A:B,2,0)</f>
        <v>59000002</v>
      </c>
      <c r="AN373" t="str">
        <f>VLOOKUP(I373,'Order 301-305 (เรียง)'!A:C,3,0)</f>
        <v>GOLD BLEND ALL CAFE'  ขนาด 500 G.</v>
      </c>
    </row>
    <row r="374" spans="1:40" x14ac:dyDescent="0.3">
      <c r="A374" s="1" t="s">
        <v>81</v>
      </c>
      <c r="B374" s="1" t="s">
        <v>82</v>
      </c>
      <c r="C374" s="1" t="s">
        <v>64</v>
      </c>
      <c r="D374" s="1" t="s">
        <v>115</v>
      </c>
      <c r="E374" s="1" t="s">
        <v>116</v>
      </c>
      <c r="F374" s="1" t="s">
        <v>1032</v>
      </c>
      <c r="G374" s="1" t="s">
        <v>83</v>
      </c>
      <c r="H374" s="1" t="s">
        <v>1036</v>
      </c>
      <c r="I374" s="1" t="s">
        <v>1033</v>
      </c>
      <c r="J374" s="1" t="s">
        <v>1034</v>
      </c>
      <c r="K374" s="1" t="s">
        <v>84</v>
      </c>
      <c r="L374" s="1" t="s">
        <v>70</v>
      </c>
      <c r="M374" s="1" t="s">
        <v>68</v>
      </c>
      <c r="N374" s="1" t="s">
        <v>71</v>
      </c>
      <c r="O374" s="1" t="s">
        <v>68</v>
      </c>
      <c r="P374" s="1" t="s">
        <v>72</v>
      </c>
      <c r="Q374" s="1" t="s">
        <v>68</v>
      </c>
      <c r="R374" s="1" t="s">
        <v>68</v>
      </c>
      <c r="S374" s="1" t="s">
        <v>68</v>
      </c>
      <c r="T374" s="1" t="s">
        <v>117</v>
      </c>
      <c r="U374" s="1" t="s">
        <v>68</v>
      </c>
      <c r="V374" s="1" t="s">
        <v>68</v>
      </c>
      <c r="W374" s="1" t="s">
        <v>68</v>
      </c>
      <c r="X374" s="1" t="s">
        <v>68</v>
      </c>
      <c r="Y374" s="73"/>
      <c r="Z374" s="2" t="s">
        <v>74</v>
      </c>
      <c r="AA374" s="3">
        <v>18925</v>
      </c>
      <c r="AB374" s="4">
        <v>3214600.5</v>
      </c>
      <c r="AC374" s="73">
        <v>46216</v>
      </c>
      <c r="AD374" s="73">
        <v>46212</v>
      </c>
      <c r="AE374" s="73"/>
      <c r="AF374" s="73">
        <v>46216</v>
      </c>
      <c r="AG374" s="3">
        <v>9462500</v>
      </c>
      <c r="AH374" s="353" t="str">
        <f t="shared" si="21"/>
        <v>303</v>
      </c>
      <c r="AI374" s="3" t="str">
        <f t="shared" si="22"/>
        <v>59</v>
      </c>
      <c r="AJ374" s="64" t="str">
        <f>VLOOKUP(T374,'GL Name'!A:B,2,0)</f>
        <v>ต้นทุนผลิตโอน F/G</v>
      </c>
      <c r="AL374" s="13">
        <f t="shared" si="23"/>
        <v>169.86</v>
      </c>
      <c r="AM374" s="13" t="str">
        <f>VLOOKUP(I374,'Order 301-305 (เรียง)'!A:B,2,0)</f>
        <v>59000002</v>
      </c>
      <c r="AN374" t="str">
        <f>VLOOKUP(I374,'Order 301-305 (เรียง)'!A:C,3,0)</f>
        <v>GOLD BLEND ALL CAFE'  ขนาด 500 G.</v>
      </c>
    </row>
    <row r="375" spans="1:40" x14ac:dyDescent="0.3">
      <c r="A375" s="1" t="s">
        <v>62</v>
      </c>
      <c r="B375" s="1" t="s">
        <v>63</v>
      </c>
      <c r="C375" s="1" t="s">
        <v>64</v>
      </c>
      <c r="D375" s="1" t="s">
        <v>65</v>
      </c>
      <c r="E375" s="1" t="s">
        <v>66</v>
      </c>
      <c r="F375" s="1" t="s">
        <v>1037</v>
      </c>
      <c r="G375" s="1" t="s">
        <v>67</v>
      </c>
      <c r="H375" s="1" t="s">
        <v>281</v>
      </c>
      <c r="I375" s="1" t="s">
        <v>68</v>
      </c>
      <c r="J375" s="1" t="s">
        <v>1038</v>
      </c>
      <c r="K375" s="1" t="s">
        <v>96</v>
      </c>
      <c r="L375" s="1" t="s">
        <v>70</v>
      </c>
      <c r="M375" s="1" t="s">
        <v>68</v>
      </c>
      <c r="N375" s="1" t="s">
        <v>71</v>
      </c>
      <c r="O375" s="1" t="s">
        <v>68</v>
      </c>
      <c r="P375" s="1" t="s">
        <v>72</v>
      </c>
      <c r="Q375" s="1" t="s">
        <v>68</v>
      </c>
      <c r="R375" s="1" t="s">
        <v>68</v>
      </c>
      <c r="S375" s="1" t="s">
        <v>68</v>
      </c>
      <c r="T375" s="1" t="s">
        <v>73</v>
      </c>
      <c r="U375" s="1" t="s">
        <v>68</v>
      </c>
      <c r="V375" s="1" t="s">
        <v>68</v>
      </c>
      <c r="W375" s="1" t="s">
        <v>68</v>
      </c>
      <c r="X375" s="1" t="s">
        <v>1039</v>
      </c>
      <c r="Y375" s="73"/>
      <c r="Z375" s="2" t="s">
        <v>74</v>
      </c>
      <c r="AA375" s="3">
        <v>-2</v>
      </c>
      <c r="AB375" s="4">
        <v>-339.64</v>
      </c>
      <c r="AC375" s="73">
        <v>46216</v>
      </c>
      <c r="AD375" s="73">
        <v>46216</v>
      </c>
      <c r="AE375" s="73"/>
      <c r="AF375" s="73">
        <v>46216</v>
      </c>
      <c r="AG375" s="3">
        <v>-1000</v>
      </c>
      <c r="AH375" s="353" t="str">
        <f t="shared" si="21"/>
        <v/>
      </c>
      <c r="AI375" s="3" t="str">
        <f t="shared" si="22"/>
        <v>59</v>
      </c>
      <c r="AJ375" s="64" t="str">
        <f>VLOOKUP(T375,'GL Name'!A:B,2,0)</f>
        <v>ต้นทุนขาย</v>
      </c>
      <c r="AL375" s="13">
        <f t="shared" si="23"/>
        <v>169.82</v>
      </c>
      <c r="AM375" s="13" t="e">
        <f>VLOOKUP(I375,'Order 301-305 (เรียง)'!A:B,2,0)</f>
        <v>#N/A</v>
      </c>
      <c r="AN375" t="e">
        <f>VLOOKUP(I375,'Order 301-305 (เรียง)'!A:C,3,0)</f>
        <v>#N/A</v>
      </c>
    </row>
    <row r="376" spans="1:40" x14ac:dyDescent="0.3">
      <c r="A376" s="1" t="s">
        <v>17</v>
      </c>
      <c r="B376" s="1" t="s">
        <v>18</v>
      </c>
      <c r="C376" s="1" t="s">
        <v>64</v>
      </c>
      <c r="D376" s="1" t="s">
        <v>93</v>
      </c>
      <c r="E376" s="1" t="s">
        <v>94</v>
      </c>
      <c r="F376" s="1" t="s">
        <v>1040</v>
      </c>
      <c r="G376" s="1" t="s">
        <v>232</v>
      </c>
      <c r="H376" s="1" t="s">
        <v>304</v>
      </c>
      <c r="I376" s="1" t="s">
        <v>68</v>
      </c>
      <c r="J376" s="1" t="s">
        <v>1041</v>
      </c>
      <c r="K376" s="1" t="s">
        <v>118</v>
      </c>
      <c r="L376" s="1" t="s">
        <v>70</v>
      </c>
      <c r="M376" s="1" t="s">
        <v>68</v>
      </c>
      <c r="N376" s="1" t="s">
        <v>71</v>
      </c>
      <c r="O376" s="1" t="s">
        <v>68</v>
      </c>
      <c r="P376" s="1" t="s">
        <v>72</v>
      </c>
      <c r="Q376" s="1" t="s">
        <v>68</v>
      </c>
      <c r="R376" s="1" t="s">
        <v>68</v>
      </c>
      <c r="S376" s="1" t="s">
        <v>68</v>
      </c>
      <c r="T376" s="1" t="s">
        <v>68</v>
      </c>
      <c r="U376" s="1" t="s">
        <v>68</v>
      </c>
      <c r="V376" s="1" t="s">
        <v>68</v>
      </c>
      <c r="W376" s="1" t="s">
        <v>68</v>
      </c>
      <c r="X376" s="1" t="s">
        <v>68</v>
      </c>
      <c r="Y376" s="73"/>
      <c r="Z376" s="2" t="s">
        <v>80</v>
      </c>
      <c r="AA376" s="3">
        <v>-8983.2999999999993</v>
      </c>
      <c r="AB376" s="4">
        <v>0</v>
      </c>
      <c r="AC376" s="73">
        <v>46216</v>
      </c>
      <c r="AD376" s="73">
        <v>46216</v>
      </c>
      <c r="AE376" s="73"/>
      <c r="AF376" s="73">
        <v>46216</v>
      </c>
      <c r="AG376" s="3">
        <v>-8983300</v>
      </c>
      <c r="AH376" s="353" t="str">
        <f t="shared" si="21"/>
        <v/>
      </c>
      <c r="AI376" s="3" t="str">
        <f t="shared" si="22"/>
        <v>54</v>
      </c>
      <c r="AJ376" s="64" t="e">
        <f>VLOOKUP(T376,'GL Name'!A:B,2,0)</f>
        <v>#N/A</v>
      </c>
      <c r="AL376" s="13">
        <f t="shared" si="23"/>
        <v>0</v>
      </c>
      <c r="AM376" s="13" t="e">
        <f>VLOOKUP(I376,'Order 301-305 (เรียง)'!A:B,2,0)</f>
        <v>#N/A</v>
      </c>
      <c r="AN376" t="e">
        <f>VLOOKUP(I376,'Order 301-305 (เรียง)'!A:C,3,0)</f>
        <v>#N/A</v>
      </c>
    </row>
    <row r="377" spans="1:40" x14ac:dyDescent="0.3">
      <c r="A377" s="1" t="s">
        <v>17</v>
      </c>
      <c r="B377" s="1" t="s">
        <v>18</v>
      </c>
      <c r="C377" s="1" t="s">
        <v>64</v>
      </c>
      <c r="D377" s="1" t="s">
        <v>93</v>
      </c>
      <c r="E377" s="1" t="s">
        <v>94</v>
      </c>
      <c r="F377" s="1" t="s">
        <v>1040</v>
      </c>
      <c r="G377" s="1" t="s">
        <v>278</v>
      </c>
      <c r="H377" s="1" t="s">
        <v>304</v>
      </c>
      <c r="I377" s="1" t="s">
        <v>68</v>
      </c>
      <c r="J377" s="1" t="s">
        <v>1041</v>
      </c>
      <c r="K377" s="1" t="s">
        <v>118</v>
      </c>
      <c r="L377" s="1" t="s">
        <v>86</v>
      </c>
      <c r="M377" s="1" t="s">
        <v>68</v>
      </c>
      <c r="N377" s="1" t="s">
        <v>71</v>
      </c>
      <c r="O377" s="1" t="s">
        <v>68</v>
      </c>
      <c r="P377" s="1" t="s">
        <v>72</v>
      </c>
      <c r="Q377" s="1" t="s">
        <v>68</v>
      </c>
      <c r="R377" s="1" t="s">
        <v>68</v>
      </c>
      <c r="S377" s="1" t="s">
        <v>68</v>
      </c>
      <c r="T377" s="1" t="s">
        <v>68</v>
      </c>
      <c r="U377" s="1" t="s">
        <v>68</v>
      </c>
      <c r="V377" s="1" t="s">
        <v>68</v>
      </c>
      <c r="W377" s="1" t="s">
        <v>68</v>
      </c>
      <c r="X377" s="1" t="s">
        <v>68</v>
      </c>
      <c r="Y377" s="73"/>
      <c r="Z377" s="2" t="s">
        <v>80</v>
      </c>
      <c r="AA377" s="3">
        <v>8983.2999999999993</v>
      </c>
      <c r="AB377" s="4">
        <v>0</v>
      </c>
      <c r="AC377" s="73">
        <v>46216</v>
      </c>
      <c r="AD377" s="73">
        <v>46216</v>
      </c>
      <c r="AE377" s="73"/>
      <c r="AF377" s="73">
        <v>46216</v>
      </c>
      <c r="AG377" s="3">
        <v>8983300</v>
      </c>
      <c r="AH377" s="353" t="str">
        <f t="shared" si="21"/>
        <v/>
      </c>
      <c r="AI377" s="3" t="str">
        <f t="shared" si="22"/>
        <v>54</v>
      </c>
      <c r="AJ377" s="64" t="e">
        <f>VLOOKUP(T377,'GL Name'!A:B,2,0)</f>
        <v>#N/A</v>
      </c>
      <c r="AL377" s="13">
        <f t="shared" si="23"/>
        <v>0</v>
      </c>
      <c r="AM377" s="13" t="e">
        <f>VLOOKUP(I377,'Order 301-305 (เรียง)'!A:B,2,0)</f>
        <v>#N/A</v>
      </c>
      <c r="AN377" t="e">
        <f>VLOOKUP(I377,'Order 301-305 (เรียง)'!A:C,3,0)</f>
        <v>#N/A</v>
      </c>
    </row>
    <row r="378" spans="1:40" x14ac:dyDescent="0.3">
      <c r="A378" s="1" t="s">
        <v>62</v>
      </c>
      <c r="B378" s="1" t="s">
        <v>63</v>
      </c>
      <c r="C378" s="1" t="s">
        <v>64</v>
      </c>
      <c r="D378" s="1" t="s">
        <v>65</v>
      </c>
      <c r="E378" s="1" t="s">
        <v>66</v>
      </c>
      <c r="F378" s="1" t="s">
        <v>1042</v>
      </c>
      <c r="G378" s="1" t="s">
        <v>67</v>
      </c>
      <c r="H378" s="1" t="s">
        <v>287</v>
      </c>
      <c r="I378" s="1" t="s">
        <v>68</v>
      </c>
      <c r="J378" s="1" t="s">
        <v>1043</v>
      </c>
      <c r="K378" s="1" t="s">
        <v>69</v>
      </c>
      <c r="L378" s="1" t="s">
        <v>70</v>
      </c>
      <c r="M378" s="1" t="s">
        <v>68</v>
      </c>
      <c r="N378" s="1" t="s">
        <v>71</v>
      </c>
      <c r="O378" s="1" t="s">
        <v>68</v>
      </c>
      <c r="P378" s="1" t="s">
        <v>72</v>
      </c>
      <c r="Q378" s="1" t="s">
        <v>68</v>
      </c>
      <c r="R378" s="1" t="s">
        <v>68</v>
      </c>
      <c r="S378" s="1" t="s">
        <v>68</v>
      </c>
      <c r="T378" s="1" t="s">
        <v>73</v>
      </c>
      <c r="U378" s="1" t="s">
        <v>68</v>
      </c>
      <c r="V378" s="1" t="s">
        <v>68</v>
      </c>
      <c r="W378" s="1" t="s">
        <v>68</v>
      </c>
      <c r="X378" s="1" t="s">
        <v>1044</v>
      </c>
      <c r="Y378" s="73"/>
      <c r="Z378" s="2" t="s">
        <v>74</v>
      </c>
      <c r="AA378" s="3">
        <v>-40</v>
      </c>
      <c r="AB378" s="4">
        <v>-6792.8</v>
      </c>
      <c r="AC378" s="73">
        <v>46216</v>
      </c>
      <c r="AD378" s="73">
        <v>46216</v>
      </c>
      <c r="AE378" s="73"/>
      <c r="AF378" s="73">
        <v>46216</v>
      </c>
      <c r="AG378" s="3">
        <v>-20000</v>
      </c>
      <c r="AH378" s="353" t="str">
        <f t="shared" si="21"/>
        <v/>
      </c>
      <c r="AI378" s="3" t="str">
        <f t="shared" si="22"/>
        <v>59</v>
      </c>
      <c r="AJ378" s="64" t="str">
        <f>VLOOKUP(T378,'GL Name'!A:B,2,0)</f>
        <v>ต้นทุนขาย</v>
      </c>
      <c r="AL378" s="13">
        <f t="shared" si="23"/>
        <v>169.82</v>
      </c>
      <c r="AM378" s="13" t="e">
        <f>VLOOKUP(I378,'Order 301-305 (เรียง)'!A:B,2,0)</f>
        <v>#N/A</v>
      </c>
      <c r="AN378" t="e">
        <f>VLOOKUP(I378,'Order 301-305 (เรียง)'!A:C,3,0)</f>
        <v>#N/A</v>
      </c>
    </row>
    <row r="379" spans="1:40" x14ac:dyDescent="0.3">
      <c r="A379" s="1" t="s">
        <v>62</v>
      </c>
      <c r="B379" s="1" t="s">
        <v>63</v>
      </c>
      <c r="C379" s="1" t="s">
        <v>64</v>
      </c>
      <c r="D379" s="1" t="s">
        <v>65</v>
      </c>
      <c r="E379" s="1" t="s">
        <v>66</v>
      </c>
      <c r="F379" s="1" t="s">
        <v>1045</v>
      </c>
      <c r="G379" s="1" t="s">
        <v>67</v>
      </c>
      <c r="H379" s="1" t="s">
        <v>287</v>
      </c>
      <c r="I379" s="1" t="s">
        <v>68</v>
      </c>
      <c r="J379" s="1" t="s">
        <v>1046</v>
      </c>
      <c r="K379" s="1" t="s">
        <v>69</v>
      </c>
      <c r="L379" s="1" t="s">
        <v>70</v>
      </c>
      <c r="M379" s="1" t="s">
        <v>68</v>
      </c>
      <c r="N379" s="1" t="s">
        <v>71</v>
      </c>
      <c r="O379" s="1" t="s">
        <v>68</v>
      </c>
      <c r="P379" s="1" t="s">
        <v>72</v>
      </c>
      <c r="Q379" s="1" t="s">
        <v>68</v>
      </c>
      <c r="R379" s="1" t="s">
        <v>68</v>
      </c>
      <c r="S379" s="1" t="s">
        <v>68</v>
      </c>
      <c r="T379" s="1" t="s">
        <v>73</v>
      </c>
      <c r="U379" s="1" t="s">
        <v>68</v>
      </c>
      <c r="V379" s="1" t="s">
        <v>68</v>
      </c>
      <c r="W379" s="1" t="s">
        <v>68</v>
      </c>
      <c r="X379" s="1" t="s">
        <v>1047</v>
      </c>
      <c r="Y379" s="73"/>
      <c r="Z379" s="2" t="s">
        <v>74</v>
      </c>
      <c r="AA379" s="3">
        <v>-60</v>
      </c>
      <c r="AB379" s="4">
        <v>-10189.200000000001</v>
      </c>
      <c r="AC379" s="73">
        <v>46216</v>
      </c>
      <c r="AD379" s="73">
        <v>46216</v>
      </c>
      <c r="AE379" s="73"/>
      <c r="AF379" s="73">
        <v>46216</v>
      </c>
      <c r="AG379" s="3">
        <v>-30000</v>
      </c>
      <c r="AH379" s="353" t="str">
        <f t="shared" si="21"/>
        <v/>
      </c>
      <c r="AI379" s="3" t="str">
        <f t="shared" si="22"/>
        <v>59</v>
      </c>
      <c r="AJ379" s="64" t="str">
        <f>VLOOKUP(T379,'GL Name'!A:B,2,0)</f>
        <v>ต้นทุนขาย</v>
      </c>
      <c r="AL379" s="13">
        <f t="shared" si="23"/>
        <v>169.82000000000002</v>
      </c>
      <c r="AM379" s="13" t="e">
        <f>VLOOKUP(I379,'Order 301-305 (เรียง)'!A:B,2,0)</f>
        <v>#N/A</v>
      </c>
      <c r="AN379" t="e">
        <f>VLOOKUP(I379,'Order 301-305 (เรียง)'!A:C,3,0)</f>
        <v>#N/A</v>
      </c>
    </row>
    <row r="380" spans="1:40" x14ac:dyDescent="0.3">
      <c r="A380" s="1" t="s">
        <v>62</v>
      </c>
      <c r="B380" s="1" t="s">
        <v>63</v>
      </c>
      <c r="C380" s="1" t="s">
        <v>64</v>
      </c>
      <c r="D380" s="1" t="s">
        <v>65</v>
      </c>
      <c r="E380" s="1" t="s">
        <v>66</v>
      </c>
      <c r="F380" s="1" t="s">
        <v>1048</v>
      </c>
      <c r="G380" s="1" t="s">
        <v>67</v>
      </c>
      <c r="H380" s="1" t="s">
        <v>281</v>
      </c>
      <c r="I380" s="1" t="s">
        <v>68</v>
      </c>
      <c r="J380" s="1" t="s">
        <v>1049</v>
      </c>
      <c r="K380" s="1" t="s">
        <v>96</v>
      </c>
      <c r="L380" s="1" t="s">
        <v>70</v>
      </c>
      <c r="M380" s="1" t="s">
        <v>68</v>
      </c>
      <c r="N380" s="1" t="s">
        <v>71</v>
      </c>
      <c r="O380" s="1" t="s">
        <v>68</v>
      </c>
      <c r="P380" s="1" t="s">
        <v>72</v>
      </c>
      <c r="Q380" s="1" t="s">
        <v>68</v>
      </c>
      <c r="R380" s="1" t="s">
        <v>68</v>
      </c>
      <c r="S380" s="1" t="s">
        <v>68</v>
      </c>
      <c r="T380" s="1" t="s">
        <v>73</v>
      </c>
      <c r="U380" s="1" t="s">
        <v>68</v>
      </c>
      <c r="V380" s="1" t="s">
        <v>68</v>
      </c>
      <c r="W380" s="1" t="s">
        <v>68</v>
      </c>
      <c r="X380" s="1" t="s">
        <v>1050</v>
      </c>
      <c r="Y380" s="73"/>
      <c r="Z380" s="2" t="s">
        <v>74</v>
      </c>
      <c r="AA380" s="3">
        <v>-2</v>
      </c>
      <c r="AB380" s="4">
        <v>-339.64</v>
      </c>
      <c r="AC380" s="73">
        <v>46216</v>
      </c>
      <c r="AD380" s="73">
        <v>46216</v>
      </c>
      <c r="AE380" s="73"/>
      <c r="AF380" s="73">
        <v>46216</v>
      </c>
      <c r="AG380" s="3">
        <v>-1000</v>
      </c>
      <c r="AH380" s="353" t="str">
        <f t="shared" si="21"/>
        <v/>
      </c>
      <c r="AI380" s="3" t="str">
        <f t="shared" si="22"/>
        <v>59</v>
      </c>
      <c r="AJ380" s="64" t="str">
        <f>VLOOKUP(T380,'GL Name'!A:B,2,0)</f>
        <v>ต้นทุนขาย</v>
      </c>
      <c r="AL380" s="13">
        <f t="shared" si="23"/>
        <v>169.82</v>
      </c>
      <c r="AM380" s="13" t="e">
        <f>VLOOKUP(I380,'Order 301-305 (เรียง)'!A:B,2,0)</f>
        <v>#N/A</v>
      </c>
      <c r="AN380" t="e">
        <f>VLOOKUP(I380,'Order 301-305 (เรียง)'!A:C,3,0)</f>
        <v>#N/A</v>
      </c>
    </row>
    <row r="381" spans="1:40" x14ac:dyDescent="0.3">
      <c r="A381" s="1" t="s">
        <v>62</v>
      </c>
      <c r="B381" s="1" t="s">
        <v>63</v>
      </c>
      <c r="C381" s="1" t="s">
        <v>64</v>
      </c>
      <c r="D381" s="1" t="s">
        <v>65</v>
      </c>
      <c r="E381" s="1" t="s">
        <v>66</v>
      </c>
      <c r="F381" s="1" t="s">
        <v>1051</v>
      </c>
      <c r="G381" s="1" t="s">
        <v>67</v>
      </c>
      <c r="H381" s="1" t="s">
        <v>281</v>
      </c>
      <c r="I381" s="1" t="s">
        <v>68</v>
      </c>
      <c r="J381" s="1" t="s">
        <v>1052</v>
      </c>
      <c r="K381" s="1" t="s">
        <v>96</v>
      </c>
      <c r="L381" s="1" t="s">
        <v>70</v>
      </c>
      <c r="M381" s="1" t="s">
        <v>68</v>
      </c>
      <c r="N381" s="1" t="s">
        <v>71</v>
      </c>
      <c r="O381" s="1" t="s">
        <v>68</v>
      </c>
      <c r="P381" s="1" t="s">
        <v>72</v>
      </c>
      <c r="Q381" s="1" t="s">
        <v>68</v>
      </c>
      <c r="R381" s="1" t="s">
        <v>68</v>
      </c>
      <c r="S381" s="1" t="s">
        <v>68</v>
      </c>
      <c r="T381" s="1" t="s">
        <v>73</v>
      </c>
      <c r="U381" s="1" t="s">
        <v>68</v>
      </c>
      <c r="V381" s="1" t="s">
        <v>68</v>
      </c>
      <c r="W381" s="1" t="s">
        <v>68</v>
      </c>
      <c r="X381" s="1" t="s">
        <v>1053</v>
      </c>
      <c r="Y381" s="73"/>
      <c r="Z381" s="2" t="s">
        <v>74</v>
      </c>
      <c r="AA381" s="3">
        <v>-2</v>
      </c>
      <c r="AB381" s="4">
        <v>-339.64</v>
      </c>
      <c r="AC381" s="73">
        <v>46216</v>
      </c>
      <c r="AD381" s="73">
        <v>46216</v>
      </c>
      <c r="AE381" s="73"/>
      <c r="AF381" s="73">
        <v>46216</v>
      </c>
      <c r="AG381" s="3">
        <v>-1000</v>
      </c>
      <c r="AH381" s="353" t="str">
        <f t="shared" si="21"/>
        <v/>
      </c>
      <c r="AI381" s="3" t="str">
        <f t="shared" si="22"/>
        <v>59</v>
      </c>
      <c r="AJ381" s="64" t="str">
        <f>VLOOKUP(T381,'GL Name'!A:B,2,0)</f>
        <v>ต้นทุนขาย</v>
      </c>
      <c r="AL381" s="13">
        <f t="shared" si="23"/>
        <v>169.82</v>
      </c>
      <c r="AM381" s="13" t="e">
        <f>VLOOKUP(I381,'Order 301-305 (เรียง)'!A:B,2,0)</f>
        <v>#N/A</v>
      </c>
      <c r="AN381" t="e">
        <f>VLOOKUP(I381,'Order 301-305 (เรียง)'!A:C,3,0)</f>
        <v>#N/A</v>
      </c>
    </row>
    <row r="382" spans="1:40" x14ac:dyDescent="0.3">
      <c r="A382" s="1" t="s">
        <v>17</v>
      </c>
      <c r="B382" s="1" t="s">
        <v>18</v>
      </c>
      <c r="C382" s="1" t="s">
        <v>64</v>
      </c>
      <c r="D382" s="1" t="s">
        <v>77</v>
      </c>
      <c r="E382" s="1" t="s">
        <v>78</v>
      </c>
      <c r="F382" s="1" t="s">
        <v>1054</v>
      </c>
      <c r="G382" s="1" t="s">
        <v>278</v>
      </c>
      <c r="H382" s="1" t="s">
        <v>304</v>
      </c>
      <c r="I382" s="1" t="s">
        <v>1055</v>
      </c>
      <c r="J382" s="1" t="s">
        <v>1056</v>
      </c>
      <c r="K382" s="1" t="s">
        <v>290</v>
      </c>
      <c r="L382" s="1" t="s">
        <v>70</v>
      </c>
      <c r="M382" s="1" t="s">
        <v>68</v>
      </c>
      <c r="N382" s="1" t="s">
        <v>71</v>
      </c>
      <c r="O382" s="1" t="s">
        <v>68</v>
      </c>
      <c r="P382" s="1" t="s">
        <v>1057</v>
      </c>
      <c r="Q382" s="1" t="s">
        <v>68</v>
      </c>
      <c r="R382" s="1" t="s">
        <v>68</v>
      </c>
      <c r="S382" s="1" t="s">
        <v>68</v>
      </c>
      <c r="T382" s="1" t="s">
        <v>79</v>
      </c>
      <c r="U382" s="1" t="s">
        <v>68</v>
      </c>
      <c r="V382" s="1" t="s">
        <v>68</v>
      </c>
      <c r="W382" s="1" t="s">
        <v>68</v>
      </c>
      <c r="X382" s="1" t="s">
        <v>68</v>
      </c>
      <c r="Y382" s="73"/>
      <c r="Z382" s="2" t="s">
        <v>80</v>
      </c>
      <c r="AA382" s="3">
        <v>-8983.2999999999993</v>
      </c>
      <c r="AB382" s="4">
        <v>-1399591.58</v>
      </c>
      <c r="AC382" s="73">
        <v>46216</v>
      </c>
      <c r="AD382" s="73">
        <v>46214</v>
      </c>
      <c r="AE382" s="73"/>
      <c r="AF382" s="73">
        <v>46216</v>
      </c>
      <c r="AG382" s="3">
        <v>-8983300</v>
      </c>
      <c r="AH382" s="353" t="str">
        <f t="shared" si="21"/>
        <v>301</v>
      </c>
      <c r="AI382" s="3" t="str">
        <f t="shared" si="22"/>
        <v>54</v>
      </c>
      <c r="AJ382" s="64" t="str">
        <f>VLOOKUP(T382,'GL Name'!A:B,2,0)</f>
        <v>ต้นทุนผลิต-วัตถุดิบ</v>
      </c>
      <c r="AL382" s="13">
        <f t="shared" si="23"/>
        <v>155.799269756103</v>
      </c>
      <c r="AM382" s="13" t="str">
        <f>VLOOKUP(I382,'Order 301-305 (เรียง)'!A:B,2,0)</f>
        <v>Semi</v>
      </c>
      <c r="AN382" t="str">
        <f>VLOOKUP(I382,'Order 301-305 (เรียง)'!A:C,3,0)</f>
        <v>Semi เมล็ดกาแฟ</v>
      </c>
    </row>
    <row r="383" spans="1:40" x14ac:dyDescent="0.3">
      <c r="A383" s="1" t="s">
        <v>81</v>
      </c>
      <c r="B383" s="1" t="s">
        <v>82</v>
      </c>
      <c r="C383" s="1" t="s">
        <v>64</v>
      </c>
      <c r="D383" s="1" t="s">
        <v>87</v>
      </c>
      <c r="E383" s="1" t="s">
        <v>88</v>
      </c>
      <c r="F383" s="1" t="s">
        <v>1133</v>
      </c>
      <c r="G383" s="1" t="s">
        <v>83</v>
      </c>
      <c r="H383" s="1" t="s">
        <v>769</v>
      </c>
      <c r="I383" s="1" t="s">
        <v>68</v>
      </c>
      <c r="J383" s="1" t="s">
        <v>1134</v>
      </c>
      <c r="K383" s="1" t="s">
        <v>118</v>
      </c>
      <c r="L383" s="1" t="s">
        <v>70</v>
      </c>
      <c r="M383" s="1" t="s">
        <v>68</v>
      </c>
      <c r="N383" s="1" t="s">
        <v>71</v>
      </c>
      <c r="O383" s="1" t="s">
        <v>68</v>
      </c>
      <c r="P383" s="1" t="s">
        <v>1135</v>
      </c>
      <c r="Q383" s="1" t="s">
        <v>68</v>
      </c>
      <c r="R383" s="1" t="s">
        <v>1137</v>
      </c>
      <c r="S383" s="1" t="s">
        <v>90</v>
      </c>
      <c r="T383" s="1" t="s">
        <v>91</v>
      </c>
      <c r="U383" s="1" t="s">
        <v>68</v>
      </c>
      <c r="V383" s="1" t="s">
        <v>68</v>
      </c>
      <c r="W383" s="1" t="s">
        <v>68</v>
      </c>
      <c r="X383" s="1" t="s">
        <v>68</v>
      </c>
      <c r="Y383" s="73"/>
      <c r="Z383" s="2" t="s">
        <v>74</v>
      </c>
      <c r="AA383" s="3">
        <v>-3</v>
      </c>
      <c r="AB383" s="4">
        <v>-509.58</v>
      </c>
      <c r="AC383" s="73">
        <v>46216</v>
      </c>
      <c r="AD383" s="73">
        <v>46216</v>
      </c>
      <c r="AE383" s="73"/>
      <c r="AF383" s="73">
        <v>46217</v>
      </c>
      <c r="AG383" s="3">
        <v>-1500</v>
      </c>
      <c r="AH383" s="353" t="str">
        <f t="shared" si="21"/>
        <v/>
      </c>
      <c r="AI383" s="3" t="str">
        <f t="shared" si="22"/>
        <v>59</v>
      </c>
      <c r="AJ383" s="64" t="str">
        <f>VLOOKUP(T383,'GL Name'!A:B,2,0)</f>
        <v>ค่าวิจัยคุณภาพสินค้า</v>
      </c>
      <c r="AL383" s="13">
        <f t="shared" si="23"/>
        <v>169.85999999999999</v>
      </c>
      <c r="AM383" s="13" t="e">
        <f>VLOOKUP(I383,'Order 301-305 (เรียง)'!A:B,2,0)</f>
        <v>#N/A</v>
      </c>
      <c r="AN383" t="e">
        <f>VLOOKUP(I383,'Order 301-305 (เรียง)'!A:C,3,0)</f>
        <v>#N/A</v>
      </c>
    </row>
    <row r="384" spans="1:40" x14ac:dyDescent="0.3">
      <c r="A384" s="1" t="s">
        <v>81</v>
      </c>
      <c r="B384" s="1" t="s">
        <v>82</v>
      </c>
      <c r="C384" s="1" t="s">
        <v>64</v>
      </c>
      <c r="D384" s="1" t="s">
        <v>87</v>
      </c>
      <c r="E384" s="1" t="s">
        <v>88</v>
      </c>
      <c r="F384" s="1" t="s">
        <v>1133</v>
      </c>
      <c r="G384" s="1" t="s">
        <v>83</v>
      </c>
      <c r="H384" s="1" t="s">
        <v>769</v>
      </c>
      <c r="I384" s="1" t="s">
        <v>68</v>
      </c>
      <c r="J384" s="1" t="s">
        <v>1134</v>
      </c>
      <c r="K384" s="1" t="s">
        <v>118</v>
      </c>
      <c r="L384" s="1" t="s">
        <v>86</v>
      </c>
      <c r="M384" s="1" t="s">
        <v>68</v>
      </c>
      <c r="N384" s="1" t="s">
        <v>71</v>
      </c>
      <c r="O384" s="1" t="s">
        <v>68</v>
      </c>
      <c r="P384" s="1" t="s">
        <v>1135</v>
      </c>
      <c r="Q384" s="1" t="s">
        <v>68</v>
      </c>
      <c r="R384" s="1" t="s">
        <v>1136</v>
      </c>
      <c r="S384" s="1" t="s">
        <v>90</v>
      </c>
      <c r="T384" s="1" t="s">
        <v>91</v>
      </c>
      <c r="U384" s="1" t="s">
        <v>68</v>
      </c>
      <c r="V384" s="1" t="s">
        <v>68</v>
      </c>
      <c r="W384" s="1" t="s">
        <v>68</v>
      </c>
      <c r="X384" s="1" t="s">
        <v>68</v>
      </c>
      <c r="Y384" s="73"/>
      <c r="Z384" s="2" t="s">
        <v>74</v>
      </c>
      <c r="AA384" s="3">
        <v>-6</v>
      </c>
      <c r="AB384" s="4">
        <v>-1019.16</v>
      </c>
      <c r="AC384" s="73">
        <v>46216</v>
      </c>
      <c r="AD384" s="73">
        <v>46216</v>
      </c>
      <c r="AE384" s="73"/>
      <c r="AF384" s="73">
        <v>46217</v>
      </c>
      <c r="AG384" s="3">
        <v>-3000</v>
      </c>
      <c r="AH384" s="353" t="str">
        <f t="shared" si="21"/>
        <v/>
      </c>
      <c r="AI384" s="3" t="str">
        <f t="shared" si="22"/>
        <v>59</v>
      </c>
      <c r="AJ384" s="64" t="str">
        <f>VLOOKUP(T384,'GL Name'!A:B,2,0)</f>
        <v>ค่าวิจัยคุณภาพสินค้า</v>
      </c>
      <c r="AL384" s="13">
        <f t="shared" si="23"/>
        <v>169.85999999999999</v>
      </c>
      <c r="AM384" s="13" t="e">
        <f>VLOOKUP(I384,'Order 301-305 (เรียง)'!A:B,2,0)</f>
        <v>#N/A</v>
      </c>
      <c r="AN384" t="e">
        <f>VLOOKUP(I384,'Order 301-305 (เรียง)'!A:C,3,0)</f>
        <v>#N/A</v>
      </c>
    </row>
    <row r="385" spans="1:40" x14ac:dyDescent="0.3">
      <c r="A385" s="1" t="s">
        <v>62</v>
      </c>
      <c r="B385" s="1" t="s">
        <v>63</v>
      </c>
      <c r="C385" s="1" t="s">
        <v>64</v>
      </c>
      <c r="D385" s="1" t="s">
        <v>65</v>
      </c>
      <c r="E385" s="1" t="s">
        <v>66</v>
      </c>
      <c r="F385" s="1" t="s">
        <v>1138</v>
      </c>
      <c r="G385" s="1" t="s">
        <v>67</v>
      </c>
      <c r="H385" s="1" t="s">
        <v>287</v>
      </c>
      <c r="I385" s="1" t="s">
        <v>68</v>
      </c>
      <c r="J385" s="1" t="s">
        <v>1139</v>
      </c>
      <c r="K385" s="1" t="s">
        <v>231</v>
      </c>
      <c r="L385" s="1" t="s">
        <v>70</v>
      </c>
      <c r="M385" s="1" t="s">
        <v>68</v>
      </c>
      <c r="N385" s="1" t="s">
        <v>71</v>
      </c>
      <c r="O385" s="1" t="s">
        <v>68</v>
      </c>
      <c r="P385" s="1" t="s">
        <v>72</v>
      </c>
      <c r="Q385" s="1" t="s">
        <v>68</v>
      </c>
      <c r="R385" s="1" t="s">
        <v>68</v>
      </c>
      <c r="S385" s="1" t="s">
        <v>68</v>
      </c>
      <c r="T385" s="1" t="s">
        <v>73</v>
      </c>
      <c r="U385" s="1" t="s">
        <v>68</v>
      </c>
      <c r="V385" s="1" t="s">
        <v>68</v>
      </c>
      <c r="W385" s="1" t="s">
        <v>68</v>
      </c>
      <c r="X385" s="1" t="s">
        <v>1140</v>
      </c>
      <c r="Y385" s="73"/>
      <c r="Z385" s="2" t="s">
        <v>74</v>
      </c>
      <c r="AA385" s="3">
        <v>-10</v>
      </c>
      <c r="AB385" s="4">
        <v>-1698.2</v>
      </c>
      <c r="AC385" s="73">
        <v>46217</v>
      </c>
      <c r="AD385" s="73">
        <v>46217</v>
      </c>
      <c r="AE385" s="73"/>
      <c r="AF385" s="73">
        <v>46217</v>
      </c>
      <c r="AG385" s="3">
        <v>-5000</v>
      </c>
      <c r="AH385" s="353" t="str">
        <f t="shared" si="21"/>
        <v/>
      </c>
      <c r="AI385" s="3" t="str">
        <f t="shared" si="22"/>
        <v>59</v>
      </c>
      <c r="AJ385" s="64" t="str">
        <f>VLOOKUP(T385,'GL Name'!A:B,2,0)</f>
        <v>ต้นทุนขาย</v>
      </c>
      <c r="AL385" s="13">
        <f t="shared" si="23"/>
        <v>169.82</v>
      </c>
      <c r="AM385" s="13" t="e">
        <f>VLOOKUP(I385,'Order 301-305 (เรียง)'!A:B,2,0)</f>
        <v>#N/A</v>
      </c>
      <c r="AN385" t="e">
        <f>VLOOKUP(I385,'Order 301-305 (เรียง)'!A:C,3,0)</f>
        <v>#N/A</v>
      </c>
    </row>
    <row r="386" spans="1:40" x14ac:dyDescent="0.3">
      <c r="A386" s="1" t="s">
        <v>106</v>
      </c>
      <c r="B386" s="1" t="s">
        <v>107</v>
      </c>
      <c r="C386" s="1" t="s">
        <v>64</v>
      </c>
      <c r="D386" s="1" t="s">
        <v>125</v>
      </c>
      <c r="E386" s="1" t="s">
        <v>289</v>
      </c>
      <c r="F386" s="1" t="s">
        <v>1141</v>
      </c>
      <c r="G386" s="1" t="s">
        <v>103</v>
      </c>
      <c r="H386" s="1" t="s">
        <v>286</v>
      </c>
      <c r="I386" s="1" t="s">
        <v>68</v>
      </c>
      <c r="J386" s="1" t="s">
        <v>1142</v>
      </c>
      <c r="K386" s="1" t="s">
        <v>294</v>
      </c>
      <c r="L386" s="1" t="s">
        <v>111</v>
      </c>
      <c r="M386" s="1" t="s">
        <v>68</v>
      </c>
      <c r="N386" s="1" t="s">
        <v>71</v>
      </c>
      <c r="O386" s="1" t="s">
        <v>68</v>
      </c>
      <c r="P386" s="1" t="s">
        <v>72</v>
      </c>
      <c r="Q386" s="1" t="s">
        <v>68</v>
      </c>
      <c r="R386" s="1" t="s">
        <v>68</v>
      </c>
      <c r="S386" s="1" t="s">
        <v>68</v>
      </c>
      <c r="T386" s="1" t="s">
        <v>68</v>
      </c>
      <c r="U386" s="1" t="s">
        <v>68</v>
      </c>
      <c r="V386" s="1" t="s">
        <v>68</v>
      </c>
      <c r="W386" s="1" t="s">
        <v>68</v>
      </c>
      <c r="X386" s="1" t="s">
        <v>68</v>
      </c>
      <c r="Y386" s="73"/>
      <c r="Z386" s="2" t="s">
        <v>102</v>
      </c>
      <c r="AA386" s="3">
        <v>20000</v>
      </c>
      <c r="AB386" s="4">
        <v>0</v>
      </c>
      <c r="AC386" s="73">
        <v>46217</v>
      </c>
      <c r="AD386" s="73">
        <v>46217</v>
      </c>
      <c r="AE386" s="73"/>
      <c r="AF386" s="73">
        <v>46217</v>
      </c>
      <c r="AG386" s="3">
        <v>20000</v>
      </c>
      <c r="AH386" s="353" t="str">
        <f t="shared" si="21"/>
        <v/>
      </c>
      <c r="AI386" s="3" t="str">
        <f t="shared" si="22"/>
        <v>58</v>
      </c>
      <c r="AJ386" s="64" t="e">
        <f>VLOOKUP(T386,'GL Name'!A:B,2,0)</f>
        <v>#N/A</v>
      </c>
      <c r="AL386" s="13">
        <f t="shared" si="23"/>
        <v>0</v>
      </c>
      <c r="AM386" s="13" t="e">
        <f>VLOOKUP(I386,'Order 301-305 (เรียง)'!A:B,2,0)</f>
        <v>#N/A</v>
      </c>
      <c r="AN386" t="e">
        <f>VLOOKUP(I386,'Order 301-305 (เรียง)'!A:C,3,0)</f>
        <v>#N/A</v>
      </c>
    </row>
    <row r="387" spans="1:40" x14ac:dyDescent="0.3">
      <c r="A387" s="1" t="s">
        <v>106</v>
      </c>
      <c r="B387" s="1" t="s">
        <v>107</v>
      </c>
      <c r="C387" s="1" t="s">
        <v>64</v>
      </c>
      <c r="D387" s="1" t="s">
        <v>125</v>
      </c>
      <c r="E387" s="1" t="s">
        <v>289</v>
      </c>
      <c r="F387" s="1" t="s">
        <v>1141</v>
      </c>
      <c r="G387" s="1" t="s">
        <v>101</v>
      </c>
      <c r="H387" s="1" t="s">
        <v>286</v>
      </c>
      <c r="I387" s="1" t="s">
        <v>68</v>
      </c>
      <c r="J387" s="1" t="s">
        <v>1142</v>
      </c>
      <c r="K387" s="1" t="s">
        <v>294</v>
      </c>
      <c r="L387" s="1" t="s">
        <v>95</v>
      </c>
      <c r="M387" s="1" t="s">
        <v>68</v>
      </c>
      <c r="N387" s="1" t="s">
        <v>71</v>
      </c>
      <c r="O387" s="1" t="s">
        <v>68</v>
      </c>
      <c r="P387" s="1" t="s">
        <v>72</v>
      </c>
      <c r="Q387" s="1" t="s">
        <v>68</v>
      </c>
      <c r="R387" s="1" t="s">
        <v>68</v>
      </c>
      <c r="S387" s="1" t="s">
        <v>68</v>
      </c>
      <c r="T387" s="1" t="s">
        <v>68</v>
      </c>
      <c r="U387" s="1" t="s">
        <v>68</v>
      </c>
      <c r="V387" s="1" t="s">
        <v>68</v>
      </c>
      <c r="W387" s="1" t="s">
        <v>68</v>
      </c>
      <c r="X387" s="1" t="s">
        <v>68</v>
      </c>
      <c r="Y387" s="73"/>
      <c r="Z387" s="2" t="s">
        <v>102</v>
      </c>
      <c r="AA387" s="3">
        <v>-20000</v>
      </c>
      <c r="AB387" s="4">
        <v>0</v>
      </c>
      <c r="AC387" s="73">
        <v>46217</v>
      </c>
      <c r="AD387" s="73">
        <v>46217</v>
      </c>
      <c r="AE387" s="73"/>
      <c r="AF387" s="73">
        <v>46217</v>
      </c>
      <c r="AG387" s="3">
        <v>-20000</v>
      </c>
      <c r="AH387" s="353" t="str">
        <f t="shared" si="21"/>
        <v/>
      </c>
      <c r="AI387" s="3" t="str">
        <f t="shared" si="22"/>
        <v>58</v>
      </c>
      <c r="AJ387" s="64" t="e">
        <f>VLOOKUP(T387,'GL Name'!A:B,2,0)</f>
        <v>#N/A</v>
      </c>
      <c r="AL387" s="13">
        <f t="shared" si="23"/>
        <v>0</v>
      </c>
      <c r="AM387" s="13" t="e">
        <f>VLOOKUP(I387,'Order 301-305 (เรียง)'!A:B,2,0)</f>
        <v>#N/A</v>
      </c>
      <c r="AN387" t="e">
        <f>VLOOKUP(I387,'Order 301-305 (เรียง)'!A:C,3,0)</f>
        <v>#N/A</v>
      </c>
    </row>
    <row r="388" spans="1:40" x14ac:dyDescent="0.3">
      <c r="A388" s="1" t="s">
        <v>119</v>
      </c>
      <c r="B388" s="1" t="s">
        <v>120</v>
      </c>
      <c r="C388" s="1" t="s">
        <v>64</v>
      </c>
      <c r="D388" s="1" t="s">
        <v>125</v>
      </c>
      <c r="E388" s="1" t="s">
        <v>289</v>
      </c>
      <c r="F388" s="1" t="s">
        <v>1141</v>
      </c>
      <c r="G388" s="1" t="s">
        <v>101</v>
      </c>
      <c r="H388" s="1" t="s">
        <v>316</v>
      </c>
      <c r="I388" s="1" t="s">
        <v>68</v>
      </c>
      <c r="J388" s="1" t="s">
        <v>1142</v>
      </c>
      <c r="K388" s="1" t="s">
        <v>294</v>
      </c>
      <c r="L388" s="1" t="s">
        <v>92</v>
      </c>
      <c r="M388" s="1" t="s">
        <v>68</v>
      </c>
      <c r="N388" s="1" t="s">
        <v>71</v>
      </c>
      <c r="O388" s="1" t="s">
        <v>68</v>
      </c>
      <c r="P388" s="1" t="s">
        <v>72</v>
      </c>
      <c r="Q388" s="1" t="s">
        <v>68</v>
      </c>
      <c r="R388" s="1" t="s">
        <v>68</v>
      </c>
      <c r="S388" s="1" t="s">
        <v>68</v>
      </c>
      <c r="T388" s="1" t="s">
        <v>68</v>
      </c>
      <c r="U388" s="1" t="s">
        <v>68</v>
      </c>
      <c r="V388" s="1" t="s">
        <v>68</v>
      </c>
      <c r="W388" s="1" t="s">
        <v>68</v>
      </c>
      <c r="X388" s="1" t="s">
        <v>68</v>
      </c>
      <c r="Y388" s="73"/>
      <c r="Z388" s="2" t="s">
        <v>102</v>
      </c>
      <c r="AA388" s="3">
        <v>-26168</v>
      </c>
      <c r="AB388" s="4">
        <v>0</v>
      </c>
      <c r="AC388" s="73">
        <v>46217</v>
      </c>
      <c r="AD388" s="73">
        <v>46217</v>
      </c>
      <c r="AE388" s="73"/>
      <c r="AF388" s="73">
        <v>46217</v>
      </c>
      <c r="AG388" s="3">
        <v>-26168</v>
      </c>
      <c r="AH388" s="353" t="str">
        <f t="shared" si="21"/>
        <v/>
      </c>
      <c r="AI388" s="3" t="str">
        <f t="shared" si="22"/>
        <v>58</v>
      </c>
      <c r="AJ388" s="64" t="e">
        <f>VLOOKUP(T388,'GL Name'!A:B,2,0)</f>
        <v>#N/A</v>
      </c>
      <c r="AL388" s="13">
        <f t="shared" si="23"/>
        <v>0</v>
      </c>
      <c r="AM388" s="13" t="e">
        <f>VLOOKUP(I388,'Order 301-305 (เรียง)'!A:B,2,0)</f>
        <v>#N/A</v>
      </c>
      <c r="AN388" t="e">
        <f>VLOOKUP(I388,'Order 301-305 (เรียง)'!A:C,3,0)</f>
        <v>#N/A</v>
      </c>
    </row>
    <row r="389" spans="1:40" x14ac:dyDescent="0.3">
      <c r="A389" s="1" t="s">
        <v>119</v>
      </c>
      <c r="B389" s="1" t="s">
        <v>120</v>
      </c>
      <c r="C389" s="1" t="s">
        <v>64</v>
      </c>
      <c r="D389" s="1" t="s">
        <v>125</v>
      </c>
      <c r="E389" s="1" t="s">
        <v>289</v>
      </c>
      <c r="F389" s="1" t="s">
        <v>1141</v>
      </c>
      <c r="G389" s="1" t="s">
        <v>103</v>
      </c>
      <c r="H389" s="1" t="s">
        <v>307</v>
      </c>
      <c r="I389" s="1" t="s">
        <v>68</v>
      </c>
      <c r="J389" s="1" t="s">
        <v>1142</v>
      </c>
      <c r="K389" s="1" t="s">
        <v>294</v>
      </c>
      <c r="L389" s="1" t="s">
        <v>86</v>
      </c>
      <c r="M389" s="1" t="s">
        <v>68</v>
      </c>
      <c r="N389" s="1" t="s">
        <v>71</v>
      </c>
      <c r="O389" s="1" t="s">
        <v>68</v>
      </c>
      <c r="P389" s="1" t="s">
        <v>72</v>
      </c>
      <c r="Q389" s="1" t="s">
        <v>68</v>
      </c>
      <c r="R389" s="1" t="s">
        <v>68</v>
      </c>
      <c r="S389" s="1" t="s">
        <v>68</v>
      </c>
      <c r="T389" s="1" t="s">
        <v>68</v>
      </c>
      <c r="U389" s="1" t="s">
        <v>68</v>
      </c>
      <c r="V389" s="1" t="s">
        <v>68</v>
      </c>
      <c r="W389" s="1" t="s">
        <v>68</v>
      </c>
      <c r="X389" s="1" t="s">
        <v>68</v>
      </c>
      <c r="Y389" s="73"/>
      <c r="Z389" s="2" t="s">
        <v>102</v>
      </c>
      <c r="AA389" s="3">
        <v>9832</v>
      </c>
      <c r="AB389" s="4">
        <v>0</v>
      </c>
      <c r="AC389" s="73">
        <v>46217</v>
      </c>
      <c r="AD389" s="73">
        <v>46217</v>
      </c>
      <c r="AE389" s="73"/>
      <c r="AF389" s="73">
        <v>46217</v>
      </c>
      <c r="AG389" s="3">
        <v>9832</v>
      </c>
      <c r="AH389" s="353" t="str">
        <f t="shared" si="21"/>
        <v/>
      </c>
      <c r="AI389" s="3" t="str">
        <f t="shared" si="22"/>
        <v>58</v>
      </c>
      <c r="AJ389" s="64" t="e">
        <f>VLOOKUP(T389,'GL Name'!A:B,2,0)</f>
        <v>#N/A</v>
      </c>
      <c r="AL389" s="13">
        <f t="shared" si="23"/>
        <v>0</v>
      </c>
      <c r="AM389" s="13" t="e">
        <f>VLOOKUP(I389,'Order 301-305 (เรียง)'!A:B,2,0)</f>
        <v>#N/A</v>
      </c>
      <c r="AN389" t="e">
        <f>VLOOKUP(I389,'Order 301-305 (เรียง)'!A:C,3,0)</f>
        <v>#N/A</v>
      </c>
    </row>
    <row r="390" spans="1:40" x14ac:dyDescent="0.3">
      <c r="A390" s="1" t="s">
        <v>119</v>
      </c>
      <c r="B390" s="1" t="s">
        <v>120</v>
      </c>
      <c r="C390" s="1" t="s">
        <v>64</v>
      </c>
      <c r="D390" s="1" t="s">
        <v>125</v>
      </c>
      <c r="E390" s="1" t="s">
        <v>289</v>
      </c>
      <c r="F390" s="1" t="s">
        <v>1141</v>
      </c>
      <c r="G390" s="1" t="s">
        <v>103</v>
      </c>
      <c r="H390" s="1" t="s">
        <v>316</v>
      </c>
      <c r="I390" s="1" t="s">
        <v>68</v>
      </c>
      <c r="J390" s="1" t="s">
        <v>1142</v>
      </c>
      <c r="K390" s="1" t="s">
        <v>294</v>
      </c>
      <c r="L390" s="1" t="s">
        <v>89</v>
      </c>
      <c r="M390" s="1" t="s">
        <v>68</v>
      </c>
      <c r="N390" s="1" t="s">
        <v>71</v>
      </c>
      <c r="O390" s="1" t="s">
        <v>68</v>
      </c>
      <c r="P390" s="1" t="s">
        <v>72</v>
      </c>
      <c r="Q390" s="1" t="s">
        <v>68</v>
      </c>
      <c r="R390" s="1" t="s">
        <v>68</v>
      </c>
      <c r="S390" s="1" t="s">
        <v>68</v>
      </c>
      <c r="T390" s="1" t="s">
        <v>68</v>
      </c>
      <c r="U390" s="1" t="s">
        <v>68</v>
      </c>
      <c r="V390" s="1" t="s">
        <v>68</v>
      </c>
      <c r="W390" s="1" t="s">
        <v>68</v>
      </c>
      <c r="X390" s="1" t="s">
        <v>68</v>
      </c>
      <c r="Y390" s="73"/>
      <c r="Z390" s="2" t="s">
        <v>102</v>
      </c>
      <c r="AA390" s="3">
        <v>26168</v>
      </c>
      <c r="AB390" s="4">
        <v>0</v>
      </c>
      <c r="AC390" s="73">
        <v>46217</v>
      </c>
      <c r="AD390" s="73">
        <v>46217</v>
      </c>
      <c r="AE390" s="73"/>
      <c r="AF390" s="73">
        <v>46217</v>
      </c>
      <c r="AG390" s="3">
        <v>26168</v>
      </c>
      <c r="AH390" s="353" t="str">
        <f t="shared" si="21"/>
        <v/>
      </c>
      <c r="AI390" s="3" t="str">
        <f t="shared" si="22"/>
        <v>58</v>
      </c>
      <c r="AJ390" s="64" t="e">
        <f>VLOOKUP(T390,'GL Name'!A:B,2,0)</f>
        <v>#N/A</v>
      </c>
      <c r="AL390" s="13">
        <f t="shared" si="23"/>
        <v>0</v>
      </c>
      <c r="AM390" s="13" t="e">
        <f>VLOOKUP(I390,'Order 301-305 (เรียง)'!A:B,2,0)</f>
        <v>#N/A</v>
      </c>
      <c r="AN390" t="e">
        <f>VLOOKUP(I390,'Order 301-305 (เรียง)'!A:C,3,0)</f>
        <v>#N/A</v>
      </c>
    </row>
    <row r="391" spans="1:40" x14ac:dyDescent="0.3">
      <c r="A391" s="1" t="s">
        <v>119</v>
      </c>
      <c r="B391" s="1" t="s">
        <v>120</v>
      </c>
      <c r="C391" s="1" t="s">
        <v>64</v>
      </c>
      <c r="D391" s="1" t="s">
        <v>125</v>
      </c>
      <c r="E391" s="1" t="s">
        <v>289</v>
      </c>
      <c r="F391" s="1" t="s">
        <v>1141</v>
      </c>
      <c r="G391" s="1" t="s">
        <v>101</v>
      </c>
      <c r="H391" s="1" t="s">
        <v>307</v>
      </c>
      <c r="I391" s="1" t="s">
        <v>68</v>
      </c>
      <c r="J391" s="1" t="s">
        <v>1142</v>
      </c>
      <c r="K391" s="1" t="s">
        <v>294</v>
      </c>
      <c r="L391" s="1" t="s">
        <v>70</v>
      </c>
      <c r="M391" s="1" t="s">
        <v>68</v>
      </c>
      <c r="N391" s="1" t="s">
        <v>71</v>
      </c>
      <c r="O391" s="1" t="s">
        <v>68</v>
      </c>
      <c r="P391" s="1" t="s">
        <v>72</v>
      </c>
      <c r="Q391" s="1" t="s">
        <v>68</v>
      </c>
      <c r="R391" s="1" t="s">
        <v>68</v>
      </c>
      <c r="S391" s="1" t="s">
        <v>68</v>
      </c>
      <c r="T391" s="1" t="s">
        <v>68</v>
      </c>
      <c r="U391" s="1" t="s">
        <v>68</v>
      </c>
      <c r="V391" s="1" t="s">
        <v>68</v>
      </c>
      <c r="W391" s="1" t="s">
        <v>68</v>
      </c>
      <c r="X391" s="1" t="s">
        <v>68</v>
      </c>
      <c r="Y391" s="73"/>
      <c r="Z391" s="2" t="s">
        <v>102</v>
      </c>
      <c r="AA391" s="3">
        <v>-9832</v>
      </c>
      <c r="AB391" s="4">
        <v>0</v>
      </c>
      <c r="AC391" s="73">
        <v>46217</v>
      </c>
      <c r="AD391" s="73">
        <v>46217</v>
      </c>
      <c r="AE391" s="73"/>
      <c r="AF391" s="73">
        <v>46217</v>
      </c>
      <c r="AG391" s="3">
        <v>-9832</v>
      </c>
      <c r="AH391" s="353" t="str">
        <f t="shared" si="21"/>
        <v/>
      </c>
      <c r="AI391" s="3" t="str">
        <f t="shared" si="22"/>
        <v>58</v>
      </c>
      <c r="AJ391" s="64" t="e">
        <f>VLOOKUP(T391,'GL Name'!A:B,2,0)</f>
        <v>#N/A</v>
      </c>
      <c r="AL391" s="13">
        <f t="shared" si="23"/>
        <v>0</v>
      </c>
      <c r="AM391" s="13" t="e">
        <f>VLOOKUP(I391,'Order 301-305 (เรียง)'!A:B,2,0)</f>
        <v>#N/A</v>
      </c>
      <c r="AN391" t="e">
        <f>VLOOKUP(I391,'Order 301-305 (เรียง)'!A:C,3,0)</f>
        <v>#N/A</v>
      </c>
    </row>
    <row r="392" spans="1:40" x14ac:dyDescent="0.3">
      <c r="A392" s="1" t="s">
        <v>121</v>
      </c>
      <c r="B392" s="1" t="s">
        <v>122</v>
      </c>
      <c r="C392" s="1" t="s">
        <v>64</v>
      </c>
      <c r="D392" s="1" t="s">
        <v>125</v>
      </c>
      <c r="E392" s="1" t="s">
        <v>289</v>
      </c>
      <c r="F392" s="1" t="s">
        <v>1141</v>
      </c>
      <c r="G392" s="1" t="s">
        <v>101</v>
      </c>
      <c r="H392" s="1" t="s">
        <v>704</v>
      </c>
      <c r="I392" s="1" t="s">
        <v>68</v>
      </c>
      <c r="J392" s="1" t="s">
        <v>1142</v>
      </c>
      <c r="K392" s="1" t="s">
        <v>294</v>
      </c>
      <c r="L392" s="1" t="s">
        <v>309</v>
      </c>
      <c r="M392" s="1" t="s">
        <v>68</v>
      </c>
      <c r="N392" s="1" t="s">
        <v>71</v>
      </c>
      <c r="O392" s="1" t="s">
        <v>68</v>
      </c>
      <c r="P392" s="1" t="s">
        <v>72</v>
      </c>
      <c r="Q392" s="1" t="s">
        <v>68</v>
      </c>
      <c r="R392" s="1" t="s">
        <v>68</v>
      </c>
      <c r="S392" s="1" t="s">
        <v>68</v>
      </c>
      <c r="T392" s="1" t="s">
        <v>68</v>
      </c>
      <c r="U392" s="1" t="s">
        <v>68</v>
      </c>
      <c r="V392" s="1" t="s">
        <v>68</v>
      </c>
      <c r="W392" s="1" t="s">
        <v>68</v>
      </c>
      <c r="X392" s="1" t="s">
        <v>68</v>
      </c>
      <c r="Y392" s="73"/>
      <c r="Z392" s="2" t="s">
        <v>102</v>
      </c>
      <c r="AA392" s="3">
        <v>-2000</v>
      </c>
      <c r="AB392" s="4">
        <v>0</v>
      </c>
      <c r="AC392" s="73">
        <v>46217</v>
      </c>
      <c r="AD392" s="73">
        <v>46217</v>
      </c>
      <c r="AE392" s="73"/>
      <c r="AF392" s="73">
        <v>46217</v>
      </c>
      <c r="AG392" s="3">
        <v>-2000</v>
      </c>
      <c r="AH392" s="353" t="str">
        <f t="shared" si="21"/>
        <v/>
      </c>
      <c r="AI392" s="3" t="str">
        <f t="shared" si="22"/>
        <v>58</v>
      </c>
      <c r="AJ392" s="64" t="e">
        <f>VLOOKUP(T392,'GL Name'!A:B,2,0)</f>
        <v>#N/A</v>
      </c>
      <c r="AL392" s="13">
        <f t="shared" si="23"/>
        <v>0</v>
      </c>
      <c r="AM392" s="13" t="e">
        <f>VLOOKUP(I392,'Order 301-305 (เรียง)'!A:B,2,0)</f>
        <v>#N/A</v>
      </c>
      <c r="AN392" t="e">
        <f>VLOOKUP(I392,'Order 301-305 (เรียง)'!A:C,3,0)</f>
        <v>#N/A</v>
      </c>
    </row>
    <row r="393" spans="1:40" x14ac:dyDescent="0.3">
      <c r="A393" s="1" t="s">
        <v>121</v>
      </c>
      <c r="B393" s="1" t="s">
        <v>122</v>
      </c>
      <c r="C393" s="1" t="s">
        <v>64</v>
      </c>
      <c r="D393" s="1" t="s">
        <v>125</v>
      </c>
      <c r="E393" s="1" t="s">
        <v>289</v>
      </c>
      <c r="F393" s="1" t="s">
        <v>1141</v>
      </c>
      <c r="G393" s="1" t="s">
        <v>103</v>
      </c>
      <c r="H393" s="1" t="s">
        <v>772</v>
      </c>
      <c r="I393" s="1" t="s">
        <v>68</v>
      </c>
      <c r="J393" s="1" t="s">
        <v>1142</v>
      </c>
      <c r="K393" s="1" t="s">
        <v>294</v>
      </c>
      <c r="L393" s="1" t="s">
        <v>109</v>
      </c>
      <c r="M393" s="1" t="s">
        <v>68</v>
      </c>
      <c r="N393" s="1" t="s">
        <v>71</v>
      </c>
      <c r="O393" s="1" t="s">
        <v>68</v>
      </c>
      <c r="P393" s="1" t="s">
        <v>72</v>
      </c>
      <c r="Q393" s="1" t="s">
        <v>68</v>
      </c>
      <c r="R393" s="1" t="s">
        <v>68</v>
      </c>
      <c r="S393" s="1" t="s">
        <v>68</v>
      </c>
      <c r="T393" s="1" t="s">
        <v>68</v>
      </c>
      <c r="U393" s="1" t="s">
        <v>68</v>
      </c>
      <c r="V393" s="1" t="s">
        <v>68</v>
      </c>
      <c r="W393" s="1" t="s">
        <v>68</v>
      </c>
      <c r="X393" s="1" t="s">
        <v>68</v>
      </c>
      <c r="Y393" s="73"/>
      <c r="Z393" s="2" t="s">
        <v>102</v>
      </c>
      <c r="AA393" s="3">
        <v>680</v>
      </c>
      <c r="AB393" s="4">
        <v>0</v>
      </c>
      <c r="AC393" s="73">
        <v>46217</v>
      </c>
      <c r="AD393" s="73">
        <v>46217</v>
      </c>
      <c r="AE393" s="73"/>
      <c r="AF393" s="73">
        <v>46217</v>
      </c>
      <c r="AG393" s="3">
        <v>680</v>
      </c>
      <c r="AH393" s="353" t="str">
        <f t="shared" si="21"/>
        <v/>
      </c>
      <c r="AI393" s="3" t="str">
        <f t="shared" si="22"/>
        <v>58</v>
      </c>
      <c r="AJ393" s="64" t="e">
        <f>VLOOKUP(T393,'GL Name'!A:B,2,0)</f>
        <v>#N/A</v>
      </c>
      <c r="AL393" s="13">
        <f t="shared" si="23"/>
        <v>0</v>
      </c>
      <c r="AM393" s="13" t="e">
        <f>VLOOKUP(I393,'Order 301-305 (เรียง)'!A:B,2,0)</f>
        <v>#N/A</v>
      </c>
      <c r="AN393" t="e">
        <f>VLOOKUP(I393,'Order 301-305 (เรียง)'!A:C,3,0)</f>
        <v>#N/A</v>
      </c>
    </row>
    <row r="394" spans="1:40" x14ac:dyDescent="0.3">
      <c r="A394" s="1" t="s">
        <v>121</v>
      </c>
      <c r="B394" s="1" t="s">
        <v>122</v>
      </c>
      <c r="C394" s="1" t="s">
        <v>64</v>
      </c>
      <c r="D394" s="1" t="s">
        <v>125</v>
      </c>
      <c r="E394" s="1" t="s">
        <v>289</v>
      </c>
      <c r="F394" s="1" t="s">
        <v>1141</v>
      </c>
      <c r="G394" s="1" t="s">
        <v>103</v>
      </c>
      <c r="H394" s="1" t="s">
        <v>704</v>
      </c>
      <c r="I394" s="1" t="s">
        <v>68</v>
      </c>
      <c r="J394" s="1" t="s">
        <v>1142</v>
      </c>
      <c r="K394" s="1" t="s">
        <v>294</v>
      </c>
      <c r="L394" s="1" t="s">
        <v>310</v>
      </c>
      <c r="M394" s="1" t="s">
        <v>68</v>
      </c>
      <c r="N394" s="1" t="s">
        <v>71</v>
      </c>
      <c r="O394" s="1" t="s">
        <v>68</v>
      </c>
      <c r="P394" s="1" t="s">
        <v>72</v>
      </c>
      <c r="Q394" s="1" t="s">
        <v>68</v>
      </c>
      <c r="R394" s="1" t="s">
        <v>68</v>
      </c>
      <c r="S394" s="1" t="s">
        <v>68</v>
      </c>
      <c r="T394" s="1" t="s">
        <v>68</v>
      </c>
      <c r="U394" s="1" t="s">
        <v>68</v>
      </c>
      <c r="V394" s="1" t="s">
        <v>68</v>
      </c>
      <c r="W394" s="1" t="s">
        <v>68</v>
      </c>
      <c r="X394" s="1" t="s">
        <v>68</v>
      </c>
      <c r="Y394" s="73"/>
      <c r="Z394" s="2" t="s">
        <v>102</v>
      </c>
      <c r="AA394" s="3">
        <v>2000</v>
      </c>
      <c r="AB394" s="4">
        <v>0</v>
      </c>
      <c r="AC394" s="73">
        <v>46217</v>
      </c>
      <c r="AD394" s="73">
        <v>46217</v>
      </c>
      <c r="AE394" s="73"/>
      <c r="AF394" s="73">
        <v>46217</v>
      </c>
      <c r="AG394" s="3">
        <v>2000</v>
      </c>
      <c r="AH394" s="353" t="str">
        <f t="shared" si="21"/>
        <v/>
      </c>
      <c r="AI394" s="3" t="str">
        <f t="shared" si="22"/>
        <v>58</v>
      </c>
      <c r="AJ394" s="64" t="e">
        <f>VLOOKUP(T394,'GL Name'!A:B,2,0)</f>
        <v>#N/A</v>
      </c>
      <c r="AL394" s="13">
        <f t="shared" si="23"/>
        <v>0</v>
      </c>
      <c r="AM394" s="13" t="e">
        <f>VLOOKUP(I394,'Order 301-305 (เรียง)'!A:B,2,0)</f>
        <v>#N/A</v>
      </c>
      <c r="AN394" t="e">
        <f>VLOOKUP(I394,'Order 301-305 (เรียง)'!A:C,3,0)</f>
        <v>#N/A</v>
      </c>
    </row>
    <row r="395" spans="1:40" x14ac:dyDescent="0.3">
      <c r="A395" s="1" t="s">
        <v>121</v>
      </c>
      <c r="B395" s="1" t="s">
        <v>122</v>
      </c>
      <c r="C395" s="1" t="s">
        <v>64</v>
      </c>
      <c r="D395" s="1" t="s">
        <v>125</v>
      </c>
      <c r="E395" s="1" t="s">
        <v>289</v>
      </c>
      <c r="F395" s="1" t="s">
        <v>1141</v>
      </c>
      <c r="G395" s="1" t="s">
        <v>101</v>
      </c>
      <c r="H395" s="1" t="s">
        <v>772</v>
      </c>
      <c r="I395" s="1" t="s">
        <v>68</v>
      </c>
      <c r="J395" s="1" t="s">
        <v>1142</v>
      </c>
      <c r="K395" s="1" t="s">
        <v>294</v>
      </c>
      <c r="L395" s="1" t="s">
        <v>112</v>
      </c>
      <c r="M395" s="1" t="s">
        <v>68</v>
      </c>
      <c r="N395" s="1" t="s">
        <v>71</v>
      </c>
      <c r="O395" s="1" t="s">
        <v>68</v>
      </c>
      <c r="P395" s="1" t="s">
        <v>72</v>
      </c>
      <c r="Q395" s="1" t="s">
        <v>68</v>
      </c>
      <c r="R395" s="1" t="s">
        <v>68</v>
      </c>
      <c r="S395" s="1" t="s">
        <v>68</v>
      </c>
      <c r="T395" s="1" t="s">
        <v>68</v>
      </c>
      <c r="U395" s="1" t="s">
        <v>68</v>
      </c>
      <c r="V395" s="1" t="s">
        <v>68</v>
      </c>
      <c r="W395" s="1" t="s">
        <v>68</v>
      </c>
      <c r="X395" s="1" t="s">
        <v>68</v>
      </c>
      <c r="Y395" s="73"/>
      <c r="Z395" s="2" t="s">
        <v>102</v>
      </c>
      <c r="AA395" s="3">
        <v>-680</v>
      </c>
      <c r="AB395" s="4">
        <v>0</v>
      </c>
      <c r="AC395" s="73">
        <v>46217</v>
      </c>
      <c r="AD395" s="73">
        <v>46217</v>
      </c>
      <c r="AE395" s="73"/>
      <c r="AF395" s="73">
        <v>46217</v>
      </c>
      <c r="AG395" s="3">
        <v>-680</v>
      </c>
      <c r="AH395" s="353" t="str">
        <f t="shared" si="21"/>
        <v/>
      </c>
      <c r="AI395" s="3" t="str">
        <f t="shared" si="22"/>
        <v>58</v>
      </c>
      <c r="AJ395" s="64" t="e">
        <f>VLOOKUP(T395,'GL Name'!A:B,2,0)</f>
        <v>#N/A</v>
      </c>
      <c r="AL395" s="13">
        <f t="shared" si="23"/>
        <v>0</v>
      </c>
      <c r="AM395" s="13" t="e">
        <f>VLOOKUP(I395,'Order 301-305 (เรียง)'!A:B,2,0)</f>
        <v>#N/A</v>
      </c>
      <c r="AN395" t="e">
        <f>VLOOKUP(I395,'Order 301-305 (เรียง)'!A:C,3,0)</f>
        <v>#N/A</v>
      </c>
    </row>
    <row r="396" spans="1:40" x14ac:dyDescent="0.3">
      <c r="A396" s="1" t="s">
        <v>81</v>
      </c>
      <c r="B396" s="1" t="s">
        <v>82</v>
      </c>
      <c r="C396" s="1" t="s">
        <v>64</v>
      </c>
      <c r="D396" s="1" t="s">
        <v>65</v>
      </c>
      <c r="E396" s="1" t="s">
        <v>66</v>
      </c>
      <c r="F396" s="1" t="s">
        <v>1143</v>
      </c>
      <c r="G396" s="1" t="s">
        <v>83</v>
      </c>
      <c r="H396" s="1" t="s">
        <v>1144</v>
      </c>
      <c r="I396" s="1" t="s">
        <v>68</v>
      </c>
      <c r="J396" s="1" t="s">
        <v>1145</v>
      </c>
      <c r="K396" s="1" t="s">
        <v>118</v>
      </c>
      <c r="L396" s="1" t="s">
        <v>86</v>
      </c>
      <c r="M396" s="1" t="s">
        <v>68</v>
      </c>
      <c r="N396" s="1" t="s">
        <v>71</v>
      </c>
      <c r="O396" s="1" t="s">
        <v>68</v>
      </c>
      <c r="P396" s="1" t="s">
        <v>72</v>
      </c>
      <c r="Q396" s="1" t="s">
        <v>68</v>
      </c>
      <c r="R396" s="1" t="s">
        <v>68</v>
      </c>
      <c r="S396" s="1" t="s">
        <v>68</v>
      </c>
      <c r="T396" s="1" t="s">
        <v>73</v>
      </c>
      <c r="U396" s="1" t="s">
        <v>68</v>
      </c>
      <c r="V396" s="1" t="s">
        <v>68</v>
      </c>
      <c r="W396" s="1" t="s">
        <v>68</v>
      </c>
      <c r="X396" s="1" t="s">
        <v>1146</v>
      </c>
      <c r="Y396" s="73"/>
      <c r="Z396" s="2" t="s">
        <v>85</v>
      </c>
      <c r="AA396" s="3">
        <v>-1725</v>
      </c>
      <c r="AB396" s="4">
        <v>-1758051</v>
      </c>
      <c r="AC396" s="73">
        <v>46217</v>
      </c>
      <c r="AD396" s="73">
        <v>46217</v>
      </c>
      <c r="AE396" s="73"/>
      <c r="AF396" s="73">
        <v>46217</v>
      </c>
      <c r="AG396" s="3">
        <v>-5175000</v>
      </c>
      <c r="AH396" s="353" t="str">
        <f t="shared" si="21"/>
        <v/>
      </c>
      <c r="AI396" s="3" t="str">
        <f t="shared" si="22"/>
        <v>59</v>
      </c>
      <c r="AJ396" s="64" t="str">
        <f>VLOOKUP(T396,'GL Name'!A:B,2,0)</f>
        <v>ต้นทุนขาย</v>
      </c>
      <c r="AL396" s="13">
        <f t="shared" si="23"/>
        <v>1019.16</v>
      </c>
      <c r="AM396" s="13" t="e">
        <f>VLOOKUP(I396,'Order 301-305 (เรียง)'!A:B,2,0)</f>
        <v>#N/A</v>
      </c>
      <c r="AN396" t="e">
        <f>VLOOKUP(I396,'Order 301-305 (เรียง)'!A:C,3,0)</f>
        <v>#N/A</v>
      </c>
    </row>
    <row r="397" spans="1:40" x14ac:dyDescent="0.3">
      <c r="A397" s="1" t="s">
        <v>81</v>
      </c>
      <c r="B397" s="1" t="s">
        <v>82</v>
      </c>
      <c r="C397" s="1" t="s">
        <v>64</v>
      </c>
      <c r="D397" s="1" t="s">
        <v>65</v>
      </c>
      <c r="E397" s="1" t="s">
        <v>66</v>
      </c>
      <c r="F397" s="1" t="s">
        <v>1143</v>
      </c>
      <c r="G397" s="1" t="s">
        <v>83</v>
      </c>
      <c r="H397" s="1" t="s">
        <v>769</v>
      </c>
      <c r="I397" s="1" t="s">
        <v>68</v>
      </c>
      <c r="J397" s="1" t="s">
        <v>1145</v>
      </c>
      <c r="K397" s="1" t="s">
        <v>118</v>
      </c>
      <c r="L397" s="1" t="s">
        <v>70</v>
      </c>
      <c r="M397" s="1" t="s">
        <v>68</v>
      </c>
      <c r="N397" s="1" t="s">
        <v>71</v>
      </c>
      <c r="O397" s="1" t="s">
        <v>68</v>
      </c>
      <c r="P397" s="1" t="s">
        <v>72</v>
      </c>
      <c r="Q397" s="1" t="s">
        <v>68</v>
      </c>
      <c r="R397" s="1" t="s">
        <v>68</v>
      </c>
      <c r="S397" s="1" t="s">
        <v>68</v>
      </c>
      <c r="T397" s="1" t="s">
        <v>73</v>
      </c>
      <c r="U397" s="1" t="s">
        <v>68</v>
      </c>
      <c r="V397" s="1" t="s">
        <v>68</v>
      </c>
      <c r="W397" s="1" t="s">
        <v>68</v>
      </c>
      <c r="X397" s="1" t="s">
        <v>1146</v>
      </c>
      <c r="Y397" s="73"/>
      <c r="Z397" s="2" t="s">
        <v>85</v>
      </c>
      <c r="AA397" s="3">
        <v>-195</v>
      </c>
      <c r="AB397" s="4">
        <v>-198736.2</v>
      </c>
      <c r="AC397" s="73">
        <v>46217</v>
      </c>
      <c r="AD397" s="73">
        <v>46217</v>
      </c>
      <c r="AE397" s="73"/>
      <c r="AF397" s="73">
        <v>46217</v>
      </c>
      <c r="AG397" s="3">
        <v>-585000</v>
      </c>
      <c r="AH397" s="353" t="str">
        <f t="shared" si="21"/>
        <v/>
      </c>
      <c r="AI397" s="3" t="str">
        <f t="shared" si="22"/>
        <v>59</v>
      </c>
      <c r="AJ397" s="64" t="str">
        <f>VLOOKUP(T397,'GL Name'!A:B,2,0)</f>
        <v>ต้นทุนขาย</v>
      </c>
      <c r="AL397" s="13">
        <f t="shared" si="23"/>
        <v>1019.1600000000001</v>
      </c>
      <c r="AM397" s="13" t="e">
        <f>VLOOKUP(I397,'Order 301-305 (เรียง)'!A:B,2,0)</f>
        <v>#N/A</v>
      </c>
      <c r="AN397" t="e">
        <f>VLOOKUP(I397,'Order 301-305 (เรียง)'!A:C,3,0)</f>
        <v>#N/A</v>
      </c>
    </row>
    <row r="398" spans="1:40" x14ac:dyDescent="0.3">
      <c r="A398" s="1" t="s">
        <v>81</v>
      </c>
      <c r="B398" s="1" t="s">
        <v>82</v>
      </c>
      <c r="C398" s="1" t="s">
        <v>64</v>
      </c>
      <c r="D398" s="1" t="s">
        <v>65</v>
      </c>
      <c r="E398" s="1" t="s">
        <v>66</v>
      </c>
      <c r="F398" s="1" t="s">
        <v>1147</v>
      </c>
      <c r="G398" s="1" t="s">
        <v>83</v>
      </c>
      <c r="H398" s="1" t="s">
        <v>1148</v>
      </c>
      <c r="I398" s="1" t="s">
        <v>68</v>
      </c>
      <c r="J398" s="1" t="s">
        <v>1149</v>
      </c>
      <c r="K398" s="1" t="s">
        <v>118</v>
      </c>
      <c r="L398" s="1" t="s">
        <v>86</v>
      </c>
      <c r="M398" s="1" t="s">
        <v>68</v>
      </c>
      <c r="N398" s="1" t="s">
        <v>71</v>
      </c>
      <c r="O398" s="1" t="s">
        <v>68</v>
      </c>
      <c r="P398" s="1" t="s">
        <v>72</v>
      </c>
      <c r="Q398" s="1" t="s">
        <v>68</v>
      </c>
      <c r="R398" s="1" t="s">
        <v>68</v>
      </c>
      <c r="S398" s="1" t="s">
        <v>68</v>
      </c>
      <c r="T398" s="1" t="s">
        <v>73</v>
      </c>
      <c r="U398" s="1" t="s">
        <v>68</v>
      </c>
      <c r="V398" s="1" t="s">
        <v>68</v>
      </c>
      <c r="W398" s="1" t="s">
        <v>68</v>
      </c>
      <c r="X398" s="1" t="s">
        <v>1150</v>
      </c>
      <c r="Y398" s="73"/>
      <c r="Z398" s="2" t="s">
        <v>85</v>
      </c>
      <c r="AA398" s="3">
        <v>-802</v>
      </c>
      <c r="AB398" s="4">
        <v>-817366.32</v>
      </c>
      <c r="AC398" s="73">
        <v>46217</v>
      </c>
      <c r="AD398" s="73">
        <v>46217</v>
      </c>
      <c r="AE398" s="73"/>
      <c r="AF398" s="73">
        <v>46217</v>
      </c>
      <c r="AG398" s="3">
        <v>-2406000</v>
      </c>
      <c r="AH398" s="353" t="str">
        <f t="shared" si="21"/>
        <v/>
      </c>
      <c r="AI398" s="3" t="str">
        <f t="shared" si="22"/>
        <v>59</v>
      </c>
      <c r="AJ398" s="64" t="str">
        <f>VLOOKUP(T398,'GL Name'!A:B,2,0)</f>
        <v>ต้นทุนขาย</v>
      </c>
      <c r="AL398" s="13">
        <f t="shared" si="23"/>
        <v>1019.16</v>
      </c>
      <c r="AM398" s="13" t="e">
        <f>VLOOKUP(I398,'Order 301-305 (เรียง)'!A:B,2,0)</f>
        <v>#N/A</v>
      </c>
      <c r="AN398" t="e">
        <f>VLOOKUP(I398,'Order 301-305 (เรียง)'!A:C,3,0)</f>
        <v>#N/A</v>
      </c>
    </row>
    <row r="399" spans="1:40" x14ac:dyDescent="0.3">
      <c r="A399" s="1" t="s">
        <v>81</v>
      </c>
      <c r="B399" s="1" t="s">
        <v>82</v>
      </c>
      <c r="C399" s="1" t="s">
        <v>64</v>
      </c>
      <c r="D399" s="1" t="s">
        <v>65</v>
      </c>
      <c r="E399" s="1" t="s">
        <v>66</v>
      </c>
      <c r="F399" s="1" t="s">
        <v>1147</v>
      </c>
      <c r="G399" s="1" t="s">
        <v>83</v>
      </c>
      <c r="H399" s="1" t="s">
        <v>1144</v>
      </c>
      <c r="I399" s="1" t="s">
        <v>68</v>
      </c>
      <c r="J399" s="1" t="s">
        <v>1149</v>
      </c>
      <c r="K399" s="1" t="s">
        <v>118</v>
      </c>
      <c r="L399" s="1" t="s">
        <v>70</v>
      </c>
      <c r="M399" s="1" t="s">
        <v>68</v>
      </c>
      <c r="N399" s="1" t="s">
        <v>71</v>
      </c>
      <c r="O399" s="1" t="s">
        <v>68</v>
      </c>
      <c r="P399" s="1" t="s">
        <v>72</v>
      </c>
      <c r="Q399" s="1" t="s">
        <v>68</v>
      </c>
      <c r="R399" s="1" t="s">
        <v>68</v>
      </c>
      <c r="S399" s="1" t="s">
        <v>68</v>
      </c>
      <c r="T399" s="1" t="s">
        <v>73</v>
      </c>
      <c r="U399" s="1" t="s">
        <v>68</v>
      </c>
      <c r="V399" s="1" t="s">
        <v>68</v>
      </c>
      <c r="W399" s="1" t="s">
        <v>68</v>
      </c>
      <c r="X399" s="1" t="s">
        <v>1150</v>
      </c>
      <c r="Y399" s="73"/>
      <c r="Z399" s="2" t="s">
        <v>85</v>
      </c>
      <c r="AA399" s="3">
        <v>-1118</v>
      </c>
      <c r="AB399" s="4">
        <v>-1139420.8799999999</v>
      </c>
      <c r="AC399" s="73">
        <v>46217</v>
      </c>
      <c r="AD399" s="73">
        <v>46217</v>
      </c>
      <c r="AE399" s="73"/>
      <c r="AF399" s="73">
        <v>46217</v>
      </c>
      <c r="AG399" s="3">
        <v>-3354000</v>
      </c>
      <c r="AH399" s="353" t="str">
        <f t="shared" si="21"/>
        <v/>
      </c>
      <c r="AI399" s="3" t="str">
        <f t="shared" si="22"/>
        <v>59</v>
      </c>
      <c r="AJ399" s="64" t="str">
        <f>VLOOKUP(T399,'GL Name'!A:B,2,0)</f>
        <v>ต้นทุนขาย</v>
      </c>
      <c r="AL399" s="13">
        <f t="shared" si="23"/>
        <v>1019.1599999999999</v>
      </c>
      <c r="AM399" s="13" t="e">
        <f>VLOOKUP(I399,'Order 301-305 (เรียง)'!A:B,2,0)</f>
        <v>#N/A</v>
      </c>
      <c r="AN399" t="e">
        <f>VLOOKUP(I399,'Order 301-305 (เรียง)'!A:C,3,0)</f>
        <v>#N/A</v>
      </c>
    </row>
    <row r="400" spans="1:40" x14ac:dyDescent="0.3">
      <c r="A400" s="1" t="s">
        <v>81</v>
      </c>
      <c r="B400" s="1" t="s">
        <v>82</v>
      </c>
      <c r="C400" s="1" t="s">
        <v>64</v>
      </c>
      <c r="D400" s="1" t="s">
        <v>87</v>
      </c>
      <c r="E400" s="1" t="s">
        <v>88</v>
      </c>
      <c r="F400" s="1" t="s">
        <v>1151</v>
      </c>
      <c r="G400" s="1" t="s">
        <v>83</v>
      </c>
      <c r="H400" s="1" t="s">
        <v>769</v>
      </c>
      <c r="I400" s="1" t="s">
        <v>68</v>
      </c>
      <c r="J400" s="1" t="s">
        <v>1152</v>
      </c>
      <c r="K400" s="1" t="s">
        <v>118</v>
      </c>
      <c r="L400" s="1" t="s">
        <v>70</v>
      </c>
      <c r="M400" s="1" t="s">
        <v>68</v>
      </c>
      <c r="N400" s="1" t="s">
        <v>71</v>
      </c>
      <c r="O400" s="1" t="s">
        <v>68</v>
      </c>
      <c r="P400" s="1" t="s">
        <v>1153</v>
      </c>
      <c r="Q400" s="1" t="s">
        <v>68</v>
      </c>
      <c r="R400" s="1" t="s">
        <v>308</v>
      </c>
      <c r="S400" s="1" t="s">
        <v>90</v>
      </c>
      <c r="T400" s="1" t="s">
        <v>91</v>
      </c>
      <c r="U400" s="1" t="s">
        <v>68</v>
      </c>
      <c r="V400" s="1" t="s">
        <v>68</v>
      </c>
      <c r="W400" s="1" t="s">
        <v>68</v>
      </c>
      <c r="X400" s="1" t="s">
        <v>68</v>
      </c>
      <c r="Y400" s="73"/>
      <c r="Z400" s="2" t="s">
        <v>74</v>
      </c>
      <c r="AA400" s="3">
        <v>-4</v>
      </c>
      <c r="AB400" s="4">
        <v>-679.44</v>
      </c>
      <c r="AC400" s="73">
        <v>46217</v>
      </c>
      <c r="AD400" s="73">
        <v>46217</v>
      </c>
      <c r="AE400" s="73"/>
      <c r="AF400" s="73">
        <v>46217</v>
      </c>
      <c r="AG400" s="3">
        <v>-2000</v>
      </c>
      <c r="AH400" s="353" t="str">
        <f t="shared" si="21"/>
        <v/>
      </c>
      <c r="AI400" s="3" t="str">
        <f t="shared" si="22"/>
        <v>59</v>
      </c>
      <c r="AJ400" s="64" t="str">
        <f>VLOOKUP(T400,'GL Name'!A:B,2,0)</f>
        <v>ค่าวิจัยคุณภาพสินค้า</v>
      </c>
      <c r="AL400" s="13">
        <f t="shared" si="23"/>
        <v>169.86</v>
      </c>
      <c r="AM400" s="13" t="e">
        <f>VLOOKUP(I400,'Order 301-305 (เรียง)'!A:B,2,0)</f>
        <v>#N/A</v>
      </c>
      <c r="AN400" t="e">
        <f>VLOOKUP(I400,'Order 301-305 (เรียง)'!A:C,3,0)</f>
        <v>#N/A</v>
      </c>
    </row>
    <row r="401" spans="1:40" x14ac:dyDescent="0.3">
      <c r="A401" s="1" t="s">
        <v>81</v>
      </c>
      <c r="B401" s="1" t="s">
        <v>82</v>
      </c>
      <c r="C401" s="1" t="s">
        <v>64</v>
      </c>
      <c r="D401" s="1" t="s">
        <v>87</v>
      </c>
      <c r="E401" s="1" t="s">
        <v>88</v>
      </c>
      <c r="F401" s="1" t="s">
        <v>1151</v>
      </c>
      <c r="G401" s="1" t="s">
        <v>83</v>
      </c>
      <c r="H401" s="1" t="s">
        <v>1144</v>
      </c>
      <c r="I401" s="1" t="s">
        <v>68</v>
      </c>
      <c r="J401" s="1" t="s">
        <v>1152</v>
      </c>
      <c r="K401" s="1" t="s">
        <v>118</v>
      </c>
      <c r="L401" s="1" t="s">
        <v>86</v>
      </c>
      <c r="M401" s="1" t="s">
        <v>68</v>
      </c>
      <c r="N401" s="1" t="s">
        <v>71</v>
      </c>
      <c r="O401" s="1" t="s">
        <v>68</v>
      </c>
      <c r="P401" s="1" t="s">
        <v>1153</v>
      </c>
      <c r="Q401" s="1" t="s">
        <v>68</v>
      </c>
      <c r="R401" s="1" t="s">
        <v>308</v>
      </c>
      <c r="S401" s="1" t="s">
        <v>90</v>
      </c>
      <c r="T401" s="1" t="s">
        <v>91</v>
      </c>
      <c r="U401" s="1" t="s">
        <v>68</v>
      </c>
      <c r="V401" s="1" t="s">
        <v>68</v>
      </c>
      <c r="W401" s="1" t="s">
        <v>68</v>
      </c>
      <c r="X401" s="1" t="s">
        <v>68</v>
      </c>
      <c r="Y401" s="73"/>
      <c r="Z401" s="2" t="s">
        <v>74</v>
      </c>
      <c r="AA401" s="3">
        <v>-4</v>
      </c>
      <c r="AB401" s="4">
        <v>-679.44</v>
      </c>
      <c r="AC401" s="73">
        <v>46217</v>
      </c>
      <c r="AD401" s="73">
        <v>46217</v>
      </c>
      <c r="AE401" s="73"/>
      <c r="AF401" s="73">
        <v>46217</v>
      </c>
      <c r="AG401" s="3">
        <v>-2000</v>
      </c>
      <c r="AH401" s="353" t="str">
        <f t="shared" si="21"/>
        <v/>
      </c>
      <c r="AI401" s="3" t="str">
        <f t="shared" si="22"/>
        <v>59</v>
      </c>
      <c r="AJ401" s="64" t="str">
        <f>VLOOKUP(T401,'GL Name'!A:B,2,0)</f>
        <v>ค่าวิจัยคุณภาพสินค้า</v>
      </c>
      <c r="AL401" s="13">
        <f t="shared" si="23"/>
        <v>169.86</v>
      </c>
      <c r="AM401" s="13" t="e">
        <f>VLOOKUP(I401,'Order 301-305 (เรียง)'!A:B,2,0)</f>
        <v>#N/A</v>
      </c>
      <c r="AN401" t="e">
        <f>VLOOKUP(I401,'Order 301-305 (เรียง)'!A:C,3,0)</f>
        <v>#N/A</v>
      </c>
    </row>
    <row r="402" spans="1:40" x14ac:dyDescent="0.3">
      <c r="A402" s="1" t="s">
        <v>62</v>
      </c>
      <c r="B402" s="1" t="s">
        <v>63</v>
      </c>
      <c r="C402" s="1" t="s">
        <v>64</v>
      </c>
      <c r="D402" s="1" t="s">
        <v>65</v>
      </c>
      <c r="E402" s="1" t="s">
        <v>66</v>
      </c>
      <c r="F402" s="1" t="s">
        <v>1154</v>
      </c>
      <c r="G402" s="1" t="s">
        <v>67</v>
      </c>
      <c r="H402" s="1" t="s">
        <v>287</v>
      </c>
      <c r="I402" s="1" t="s">
        <v>68</v>
      </c>
      <c r="J402" s="1" t="s">
        <v>1155</v>
      </c>
      <c r="K402" s="1" t="s">
        <v>231</v>
      </c>
      <c r="L402" s="1" t="s">
        <v>70</v>
      </c>
      <c r="M402" s="1" t="s">
        <v>68</v>
      </c>
      <c r="N402" s="1" t="s">
        <v>71</v>
      </c>
      <c r="O402" s="1" t="s">
        <v>68</v>
      </c>
      <c r="P402" s="1" t="s">
        <v>72</v>
      </c>
      <c r="Q402" s="1" t="s">
        <v>68</v>
      </c>
      <c r="R402" s="1" t="s">
        <v>68</v>
      </c>
      <c r="S402" s="1" t="s">
        <v>68</v>
      </c>
      <c r="T402" s="1" t="s">
        <v>73</v>
      </c>
      <c r="U402" s="1" t="s">
        <v>68</v>
      </c>
      <c r="V402" s="1" t="s">
        <v>68</v>
      </c>
      <c r="W402" s="1" t="s">
        <v>68</v>
      </c>
      <c r="X402" s="1" t="s">
        <v>1156</v>
      </c>
      <c r="Y402" s="73"/>
      <c r="Z402" s="2" t="s">
        <v>74</v>
      </c>
      <c r="AA402" s="3">
        <v>-12</v>
      </c>
      <c r="AB402" s="4">
        <v>-2037.84</v>
      </c>
      <c r="AC402" s="73">
        <v>46217</v>
      </c>
      <c r="AD402" s="73">
        <v>46217</v>
      </c>
      <c r="AE402" s="73"/>
      <c r="AF402" s="73">
        <v>46217</v>
      </c>
      <c r="AG402" s="3">
        <v>-6000</v>
      </c>
      <c r="AH402" s="353" t="str">
        <f t="shared" si="21"/>
        <v/>
      </c>
      <c r="AI402" s="3" t="str">
        <f t="shared" si="22"/>
        <v>59</v>
      </c>
      <c r="AJ402" s="64" t="str">
        <f>VLOOKUP(T402,'GL Name'!A:B,2,0)</f>
        <v>ต้นทุนขาย</v>
      </c>
      <c r="AL402" s="13">
        <f t="shared" si="23"/>
        <v>169.82</v>
      </c>
      <c r="AM402" s="13" t="e">
        <f>VLOOKUP(I402,'Order 301-305 (เรียง)'!A:B,2,0)</f>
        <v>#N/A</v>
      </c>
      <c r="AN402" t="e">
        <f>VLOOKUP(I402,'Order 301-305 (เรียง)'!A:C,3,0)</f>
        <v>#N/A</v>
      </c>
    </row>
    <row r="403" spans="1:40" x14ac:dyDescent="0.3">
      <c r="A403" s="1" t="s">
        <v>15</v>
      </c>
      <c r="B403" s="1" t="s">
        <v>233</v>
      </c>
      <c r="C403" s="1" t="s">
        <v>64</v>
      </c>
      <c r="D403" s="1" t="s">
        <v>77</v>
      </c>
      <c r="E403" s="1" t="s">
        <v>78</v>
      </c>
      <c r="F403" s="1" t="s">
        <v>1157</v>
      </c>
      <c r="G403" s="1" t="s">
        <v>279</v>
      </c>
      <c r="H403" s="1" t="s">
        <v>1010</v>
      </c>
      <c r="I403" s="1" t="s">
        <v>996</v>
      </c>
      <c r="J403" s="1" t="s">
        <v>1158</v>
      </c>
      <c r="K403" s="1" t="s">
        <v>84</v>
      </c>
      <c r="L403" s="1" t="s">
        <v>70</v>
      </c>
      <c r="M403" s="1" t="s">
        <v>68</v>
      </c>
      <c r="N403" s="1" t="s">
        <v>71</v>
      </c>
      <c r="O403" s="1" t="s">
        <v>68</v>
      </c>
      <c r="P403" s="1" t="s">
        <v>998</v>
      </c>
      <c r="Q403" s="1" t="s">
        <v>68</v>
      </c>
      <c r="R403" s="1" t="s">
        <v>68</v>
      </c>
      <c r="S403" s="1" t="s">
        <v>68</v>
      </c>
      <c r="T403" s="1" t="s">
        <v>123</v>
      </c>
      <c r="U403" s="1" t="s">
        <v>68</v>
      </c>
      <c r="V403" s="1" t="s">
        <v>68</v>
      </c>
      <c r="W403" s="1" t="s">
        <v>68</v>
      </c>
      <c r="X403" s="1" t="s">
        <v>68</v>
      </c>
      <c r="Y403" s="73"/>
      <c r="Z403" s="2" t="s">
        <v>80</v>
      </c>
      <c r="AA403" s="3">
        <v>-0.56000000000000005</v>
      </c>
      <c r="AB403" s="4">
        <v>-151.66</v>
      </c>
      <c r="AC403" s="73">
        <v>46217</v>
      </c>
      <c r="AD403" s="73">
        <v>46209</v>
      </c>
      <c r="AE403" s="73"/>
      <c r="AF403" s="73">
        <v>46217</v>
      </c>
      <c r="AG403" s="3">
        <v>-560</v>
      </c>
      <c r="AH403" s="353" t="str">
        <f t="shared" si="21"/>
        <v>302</v>
      </c>
      <c r="AI403" s="3" t="str">
        <f t="shared" si="22"/>
        <v>57</v>
      </c>
      <c r="AJ403" s="64" t="str">
        <f>VLOOKUP(T403,'GL Name'!A:B,2,0)</f>
        <v>ต้นทุนผลิตกึ่งสำเร็จ</v>
      </c>
      <c r="AL403" s="13">
        <f t="shared" si="23"/>
        <v>270.82142857142856</v>
      </c>
      <c r="AM403" s="13" t="str">
        <f>VLOOKUP(I403,'Order 301-305 (เรียง)'!A:B,2,0)</f>
        <v>59000002</v>
      </c>
      <c r="AN403" t="str">
        <f>VLOOKUP(I403,'Order 301-305 (เรียง)'!A:C,3,0)</f>
        <v>GOLD BLEND ALL CAFE'  ขนาด 500 G.</v>
      </c>
    </row>
    <row r="404" spans="1:40" x14ac:dyDescent="0.3">
      <c r="A404" s="1" t="s">
        <v>81</v>
      </c>
      <c r="B404" s="1" t="s">
        <v>82</v>
      </c>
      <c r="C404" s="1" t="s">
        <v>64</v>
      </c>
      <c r="D404" s="1" t="s">
        <v>87</v>
      </c>
      <c r="E404" s="1" t="s">
        <v>88</v>
      </c>
      <c r="F404" s="1" t="s">
        <v>1163</v>
      </c>
      <c r="G404" s="1" t="s">
        <v>83</v>
      </c>
      <c r="H404" s="1" t="s">
        <v>1148</v>
      </c>
      <c r="I404" s="1" t="s">
        <v>68</v>
      </c>
      <c r="J404" s="1" t="s">
        <v>1164</v>
      </c>
      <c r="K404" s="1" t="s">
        <v>223</v>
      </c>
      <c r="L404" s="1" t="s">
        <v>70</v>
      </c>
      <c r="M404" s="1" t="s">
        <v>68</v>
      </c>
      <c r="N404" s="1" t="s">
        <v>71</v>
      </c>
      <c r="O404" s="1" t="s">
        <v>68</v>
      </c>
      <c r="P404" s="1" t="s">
        <v>1165</v>
      </c>
      <c r="Q404" s="1" t="s">
        <v>68</v>
      </c>
      <c r="R404" s="1" t="s">
        <v>1167</v>
      </c>
      <c r="S404" s="1" t="s">
        <v>90</v>
      </c>
      <c r="T404" s="1" t="s">
        <v>91</v>
      </c>
      <c r="U404" s="1" t="s">
        <v>68</v>
      </c>
      <c r="V404" s="1" t="s">
        <v>68</v>
      </c>
      <c r="W404" s="1" t="s">
        <v>68</v>
      </c>
      <c r="X404" s="1" t="s">
        <v>68</v>
      </c>
      <c r="Y404" s="73"/>
      <c r="Z404" s="2" t="s">
        <v>74</v>
      </c>
      <c r="AA404" s="3">
        <v>-4</v>
      </c>
      <c r="AB404" s="4">
        <v>-679.44</v>
      </c>
      <c r="AC404" s="73">
        <v>46217</v>
      </c>
      <c r="AD404" s="73">
        <v>46217</v>
      </c>
      <c r="AE404" s="73"/>
      <c r="AF404" s="73">
        <v>46217</v>
      </c>
      <c r="AG404" s="3">
        <v>-2000</v>
      </c>
      <c r="AH404" s="353" t="str">
        <f t="shared" si="21"/>
        <v/>
      </c>
      <c r="AI404" s="3" t="str">
        <f t="shared" si="22"/>
        <v>59</v>
      </c>
      <c r="AJ404" s="64" t="str">
        <f>VLOOKUP(T404,'GL Name'!A:B,2,0)</f>
        <v>ค่าวิจัยคุณภาพสินค้า</v>
      </c>
      <c r="AL404" s="13">
        <f t="shared" si="23"/>
        <v>169.86</v>
      </c>
      <c r="AM404" s="13" t="e">
        <f>VLOOKUP(I404,'Order 301-305 (เรียง)'!A:B,2,0)</f>
        <v>#N/A</v>
      </c>
      <c r="AN404" t="e">
        <f>VLOOKUP(I404,'Order 301-305 (เรียง)'!A:C,3,0)</f>
        <v>#N/A</v>
      </c>
    </row>
    <row r="405" spans="1:40" x14ac:dyDescent="0.3">
      <c r="A405" s="1" t="s">
        <v>81</v>
      </c>
      <c r="B405" s="1" t="s">
        <v>82</v>
      </c>
      <c r="C405" s="1" t="s">
        <v>64</v>
      </c>
      <c r="D405" s="1" t="s">
        <v>87</v>
      </c>
      <c r="E405" s="1" t="s">
        <v>88</v>
      </c>
      <c r="F405" s="1" t="s">
        <v>1163</v>
      </c>
      <c r="G405" s="1" t="s">
        <v>83</v>
      </c>
      <c r="H405" s="1" t="s">
        <v>1148</v>
      </c>
      <c r="I405" s="1" t="s">
        <v>68</v>
      </c>
      <c r="J405" s="1" t="s">
        <v>1164</v>
      </c>
      <c r="K405" s="1" t="s">
        <v>223</v>
      </c>
      <c r="L405" s="1" t="s">
        <v>86</v>
      </c>
      <c r="M405" s="1" t="s">
        <v>68</v>
      </c>
      <c r="N405" s="1" t="s">
        <v>71</v>
      </c>
      <c r="O405" s="1" t="s">
        <v>68</v>
      </c>
      <c r="P405" s="1" t="s">
        <v>1165</v>
      </c>
      <c r="Q405" s="1" t="s">
        <v>68</v>
      </c>
      <c r="R405" s="1" t="s">
        <v>1166</v>
      </c>
      <c r="S405" s="1" t="s">
        <v>90</v>
      </c>
      <c r="T405" s="1" t="s">
        <v>91</v>
      </c>
      <c r="U405" s="1" t="s">
        <v>68</v>
      </c>
      <c r="V405" s="1" t="s">
        <v>68</v>
      </c>
      <c r="W405" s="1" t="s">
        <v>68</v>
      </c>
      <c r="X405" s="1" t="s">
        <v>68</v>
      </c>
      <c r="Y405" s="73"/>
      <c r="Z405" s="2" t="s">
        <v>74</v>
      </c>
      <c r="AA405" s="3">
        <v>-3</v>
      </c>
      <c r="AB405" s="4">
        <v>-509.58</v>
      </c>
      <c r="AC405" s="73">
        <v>46217</v>
      </c>
      <c r="AD405" s="73">
        <v>46217</v>
      </c>
      <c r="AE405" s="73"/>
      <c r="AF405" s="73">
        <v>46217</v>
      </c>
      <c r="AG405" s="3">
        <v>-1500</v>
      </c>
      <c r="AH405" s="353" t="str">
        <f t="shared" si="21"/>
        <v/>
      </c>
      <c r="AI405" s="3" t="str">
        <f t="shared" si="22"/>
        <v>59</v>
      </c>
      <c r="AJ405" s="64" t="str">
        <f>VLOOKUP(T405,'GL Name'!A:B,2,0)</f>
        <v>ค่าวิจัยคุณภาพสินค้า</v>
      </c>
      <c r="AL405" s="13">
        <f t="shared" si="23"/>
        <v>169.85999999999999</v>
      </c>
      <c r="AM405" s="13" t="e">
        <f>VLOOKUP(I405,'Order 301-305 (เรียง)'!A:B,2,0)</f>
        <v>#N/A</v>
      </c>
      <c r="AN405" t="e">
        <f>VLOOKUP(I405,'Order 301-305 (เรียง)'!A:C,3,0)</f>
        <v>#N/A</v>
      </c>
    </row>
    <row r="406" spans="1:40" x14ac:dyDescent="0.3">
      <c r="A406" s="1" t="s">
        <v>62</v>
      </c>
      <c r="B406" s="1" t="s">
        <v>63</v>
      </c>
      <c r="C406" s="1" t="s">
        <v>64</v>
      </c>
      <c r="D406" s="1" t="s">
        <v>65</v>
      </c>
      <c r="E406" s="1" t="s">
        <v>66</v>
      </c>
      <c r="F406" s="1" t="s">
        <v>1169</v>
      </c>
      <c r="G406" s="1" t="s">
        <v>83</v>
      </c>
      <c r="H406" s="1" t="s">
        <v>287</v>
      </c>
      <c r="I406" s="1" t="s">
        <v>68</v>
      </c>
      <c r="J406" s="1" t="s">
        <v>1170</v>
      </c>
      <c r="K406" s="1" t="s">
        <v>69</v>
      </c>
      <c r="L406" s="1" t="s">
        <v>70</v>
      </c>
      <c r="M406" s="1" t="s">
        <v>68</v>
      </c>
      <c r="N406" s="1" t="s">
        <v>71</v>
      </c>
      <c r="O406" s="1" t="s">
        <v>68</v>
      </c>
      <c r="P406" s="1" t="s">
        <v>72</v>
      </c>
      <c r="Q406" s="1" t="s">
        <v>68</v>
      </c>
      <c r="R406" s="1" t="s">
        <v>68</v>
      </c>
      <c r="S406" s="1" t="s">
        <v>68</v>
      </c>
      <c r="T406" s="1" t="s">
        <v>73</v>
      </c>
      <c r="U406" s="1" t="s">
        <v>68</v>
      </c>
      <c r="V406" s="1" t="s">
        <v>68</v>
      </c>
      <c r="W406" s="1" t="s">
        <v>68</v>
      </c>
      <c r="X406" s="1" t="s">
        <v>1171</v>
      </c>
      <c r="Y406" s="73"/>
      <c r="Z406" s="2" t="s">
        <v>74</v>
      </c>
      <c r="AA406" s="3">
        <v>-20</v>
      </c>
      <c r="AB406" s="4">
        <v>-3396.4</v>
      </c>
      <c r="AC406" s="73">
        <v>46218</v>
      </c>
      <c r="AD406" s="73">
        <v>46218</v>
      </c>
      <c r="AE406" s="73"/>
      <c r="AF406" s="73">
        <v>46218</v>
      </c>
      <c r="AG406" s="3">
        <v>-10000</v>
      </c>
      <c r="AH406" s="353" t="str">
        <f t="shared" si="21"/>
        <v/>
      </c>
      <c r="AI406" s="3" t="str">
        <f t="shared" si="22"/>
        <v>59</v>
      </c>
      <c r="AJ406" s="64" t="str">
        <f>VLOOKUP(T406,'GL Name'!A:B,2,0)</f>
        <v>ต้นทุนขาย</v>
      </c>
      <c r="AL406" s="13">
        <f t="shared" si="23"/>
        <v>169.82</v>
      </c>
      <c r="AM406" s="13" t="e">
        <f>VLOOKUP(I406,'Order 301-305 (เรียง)'!A:B,2,0)</f>
        <v>#N/A</v>
      </c>
      <c r="AN406" t="e">
        <f>VLOOKUP(I406,'Order 301-305 (เรียง)'!A:C,3,0)</f>
        <v>#N/A</v>
      </c>
    </row>
    <row r="407" spans="1:40" x14ac:dyDescent="0.3">
      <c r="A407" s="1" t="s">
        <v>62</v>
      </c>
      <c r="B407" s="1" t="s">
        <v>63</v>
      </c>
      <c r="C407" s="1" t="s">
        <v>64</v>
      </c>
      <c r="D407" s="1" t="s">
        <v>1172</v>
      </c>
      <c r="E407" s="1" t="s">
        <v>1173</v>
      </c>
      <c r="F407" s="1" t="s">
        <v>1174</v>
      </c>
      <c r="G407" s="1" t="s">
        <v>67</v>
      </c>
      <c r="H407" s="1" t="s">
        <v>287</v>
      </c>
      <c r="I407" s="1" t="s">
        <v>68</v>
      </c>
      <c r="J407" s="1" t="s">
        <v>1175</v>
      </c>
      <c r="K407" s="1" t="s">
        <v>69</v>
      </c>
      <c r="L407" s="1" t="s">
        <v>70</v>
      </c>
      <c r="M407" s="1" t="s">
        <v>68</v>
      </c>
      <c r="N407" s="1" t="s">
        <v>71</v>
      </c>
      <c r="O407" s="1" t="s">
        <v>68</v>
      </c>
      <c r="P407" s="1" t="s">
        <v>1176</v>
      </c>
      <c r="Q407" s="1" t="s">
        <v>68</v>
      </c>
      <c r="R407" s="1" t="s">
        <v>1177</v>
      </c>
      <c r="S407" s="1" t="s">
        <v>1178</v>
      </c>
      <c r="T407" s="1" t="s">
        <v>100</v>
      </c>
      <c r="U407" s="1" t="s">
        <v>68</v>
      </c>
      <c r="V407" s="1" t="s">
        <v>68</v>
      </c>
      <c r="W407" s="1" t="s">
        <v>68</v>
      </c>
      <c r="X407" s="1" t="s">
        <v>68</v>
      </c>
      <c r="Y407" s="73"/>
      <c r="Z407" s="2" t="s">
        <v>74</v>
      </c>
      <c r="AA407" s="3">
        <v>-60</v>
      </c>
      <c r="AB407" s="4">
        <v>-10189.200000000001</v>
      </c>
      <c r="AC407" s="73">
        <v>46218</v>
      </c>
      <c r="AD407" s="73">
        <v>46218</v>
      </c>
      <c r="AE407" s="73"/>
      <c r="AF407" s="73">
        <v>46218</v>
      </c>
      <c r="AG407" s="3">
        <v>-30000</v>
      </c>
      <c r="AH407" s="353" t="str">
        <f t="shared" si="21"/>
        <v/>
      </c>
      <c r="AI407" s="3" t="str">
        <f t="shared" si="22"/>
        <v>59</v>
      </c>
      <c r="AJ407" s="64" t="str">
        <f>VLOOKUP(T407,'GL Name'!A:B,2,0)</f>
        <v>วัสดุสิ้นเปลือง</v>
      </c>
      <c r="AL407" s="13">
        <f t="shared" si="23"/>
        <v>169.82000000000002</v>
      </c>
      <c r="AM407" s="13" t="e">
        <f>VLOOKUP(I407,'Order 301-305 (เรียง)'!A:B,2,0)</f>
        <v>#N/A</v>
      </c>
      <c r="AN407" t="e">
        <f>VLOOKUP(I407,'Order 301-305 (เรียง)'!A:C,3,0)</f>
        <v>#N/A</v>
      </c>
    </row>
    <row r="408" spans="1:40" x14ac:dyDescent="0.3">
      <c r="A408" s="1" t="s">
        <v>106</v>
      </c>
      <c r="B408" s="1" t="s">
        <v>107</v>
      </c>
      <c r="C408" s="1" t="s">
        <v>64</v>
      </c>
      <c r="D408" s="1" t="s">
        <v>125</v>
      </c>
      <c r="E408" s="1" t="s">
        <v>289</v>
      </c>
      <c r="F408" s="1" t="s">
        <v>1179</v>
      </c>
      <c r="G408" s="1" t="s">
        <v>101</v>
      </c>
      <c r="H408" s="1" t="s">
        <v>286</v>
      </c>
      <c r="I408" s="1" t="s">
        <v>68</v>
      </c>
      <c r="J408" s="1" t="s">
        <v>1180</v>
      </c>
      <c r="K408" s="1" t="s">
        <v>294</v>
      </c>
      <c r="L408" s="1" t="s">
        <v>92</v>
      </c>
      <c r="M408" s="1" t="s">
        <v>68</v>
      </c>
      <c r="N408" s="1" t="s">
        <v>71</v>
      </c>
      <c r="O408" s="1" t="s">
        <v>68</v>
      </c>
      <c r="P408" s="1" t="s">
        <v>72</v>
      </c>
      <c r="Q408" s="1" t="s">
        <v>68</v>
      </c>
      <c r="R408" s="1" t="s">
        <v>68</v>
      </c>
      <c r="S408" s="1" t="s">
        <v>68</v>
      </c>
      <c r="T408" s="1" t="s">
        <v>68</v>
      </c>
      <c r="U408" s="1" t="s">
        <v>68</v>
      </c>
      <c r="V408" s="1" t="s">
        <v>68</v>
      </c>
      <c r="W408" s="1" t="s">
        <v>68</v>
      </c>
      <c r="X408" s="1" t="s">
        <v>68</v>
      </c>
      <c r="Y408" s="73"/>
      <c r="Z408" s="2" t="s">
        <v>102</v>
      </c>
      <c r="AA408" s="3">
        <v>-20000</v>
      </c>
      <c r="AB408" s="4">
        <v>0</v>
      </c>
      <c r="AC408" s="73">
        <v>46218</v>
      </c>
      <c r="AD408" s="73">
        <v>46218</v>
      </c>
      <c r="AE408" s="73"/>
      <c r="AF408" s="73">
        <v>46218</v>
      </c>
      <c r="AG408" s="3">
        <v>-20000</v>
      </c>
      <c r="AH408" s="353" t="str">
        <f t="shared" si="21"/>
        <v/>
      </c>
      <c r="AI408" s="3" t="str">
        <f t="shared" si="22"/>
        <v>58</v>
      </c>
      <c r="AJ408" s="64" t="e">
        <f>VLOOKUP(T408,'GL Name'!A:B,2,0)</f>
        <v>#N/A</v>
      </c>
      <c r="AL408" s="13">
        <f t="shared" si="23"/>
        <v>0</v>
      </c>
      <c r="AM408" s="13" t="e">
        <f>VLOOKUP(I408,'Order 301-305 (เรียง)'!A:B,2,0)</f>
        <v>#N/A</v>
      </c>
      <c r="AN408" t="e">
        <f>VLOOKUP(I408,'Order 301-305 (เรียง)'!A:C,3,0)</f>
        <v>#N/A</v>
      </c>
    </row>
    <row r="409" spans="1:40" x14ac:dyDescent="0.3">
      <c r="A409" s="1" t="s">
        <v>106</v>
      </c>
      <c r="B409" s="1" t="s">
        <v>107</v>
      </c>
      <c r="C409" s="1" t="s">
        <v>64</v>
      </c>
      <c r="D409" s="1" t="s">
        <v>125</v>
      </c>
      <c r="E409" s="1" t="s">
        <v>289</v>
      </c>
      <c r="F409" s="1" t="s">
        <v>1179</v>
      </c>
      <c r="G409" s="1" t="s">
        <v>103</v>
      </c>
      <c r="H409" s="1" t="s">
        <v>286</v>
      </c>
      <c r="I409" s="1" t="s">
        <v>68</v>
      </c>
      <c r="J409" s="1" t="s">
        <v>1180</v>
      </c>
      <c r="K409" s="1" t="s">
        <v>294</v>
      </c>
      <c r="L409" s="1" t="s">
        <v>89</v>
      </c>
      <c r="M409" s="1" t="s">
        <v>68</v>
      </c>
      <c r="N409" s="1" t="s">
        <v>71</v>
      </c>
      <c r="O409" s="1" t="s">
        <v>68</v>
      </c>
      <c r="P409" s="1" t="s">
        <v>72</v>
      </c>
      <c r="Q409" s="1" t="s">
        <v>68</v>
      </c>
      <c r="R409" s="1" t="s">
        <v>68</v>
      </c>
      <c r="S409" s="1" t="s">
        <v>68</v>
      </c>
      <c r="T409" s="1" t="s">
        <v>68</v>
      </c>
      <c r="U409" s="1" t="s">
        <v>68</v>
      </c>
      <c r="V409" s="1" t="s">
        <v>68</v>
      </c>
      <c r="W409" s="1" t="s">
        <v>68</v>
      </c>
      <c r="X409" s="1" t="s">
        <v>68</v>
      </c>
      <c r="Y409" s="73"/>
      <c r="Z409" s="2" t="s">
        <v>102</v>
      </c>
      <c r="AA409" s="3">
        <v>20000</v>
      </c>
      <c r="AB409" s="4">
        <v>0</v>
      </c>
      <c r="AC409" s="73">
        <v>46218</v>
      </c>
      <c r="AD409" s="73">
        <v>46218</v>
      </c>
      <c r="AE409" s="73"/>
      <c r="AF409" s="73">
        <v>46218</v>
      </c>
      <c r="AG409" s="3">
        <v>20000</v>
      </c>
      <c r="AH409" s="353" t="str">
        <f t="shared" si="21"/>
        <v/>
      </c>
      <c r="AI409" s="3" t="str">
        <f t="shared" si="22"/>
        <v>58</v>
      </c>
      <c r="AJ409" s="64" t="e">
        <f>VLOOKUP(T409,'GL Name'!A:B,2,0)</f>
        <v>#N/A</v>
      </c>
      <c r="AL409" s="13">
        <f t="shared" si="23"/>
        <v>0</v>
      </c>
      <c r="AM409" s="13" t="e">
        <f>VLOOKUP(I409,'Order 301-305 (เรียง)'!A:B,2,0)</f>
        <v>#N/A</v>
      </c>
      <c r="AN409" t="e">
        <f>VLOOKUP(I409,'Order 301-305 (เรียง)'!A:C,3,0)</f>
        <v>#N/A</v>
      </c>
    </row>
    <row r="410" spans="1:40" x14ac:dyDescent="0.3">
      <c r="A410" s="1" t="s">
        <v>121</v>
      </c>
      <c r="B410" s="1" t="s">
        <v>122</v>
      </c>
      <c r="C410" s="1" t="s">
        <v>64</v>
      </c>
      <c r="D410" s="1" t="s">
        <v>125</v>
      </c>
      <c r="E410" s="1" t="s">
        <v>289</v>
      </c>
      <c r="F410" s="1" t="s">
        <v>1179</v>
      </c>
      <c r="G410" s="1" t="s">
        <v>101</v>
      </c>
      <c r="H410" s="1" t="s">
        <v>704</v>
      </c>
      <c r="I410" s="1" t="s">
        <v>68</v>
      </c>
      <c r="J410" s="1" t="s">
        <v>1180</v>
      </c>
      <c r="K410" s="1" t="s">
        <v>294</v>
      </c>
      <c r="L410" s="1" t="s">
        <v>70</v>
      </c>
      <c r="M410" s="1" t="s">
        <v>68</v>
      </c>
      <c r="N410" s="1" t="s">
        <v>71</v>
      </c>
      <c r="O410" s="1" t="s">
        <v>68</v>
      </c>
      <c r="P410" s="1" t="s">
        <v>72</v>
      </c>
      <c r="Q410" s="1" t="s">
        <v>68</v>
      </c>
      <c r="R410" s="1" t="s">
        <v>68</v>
      </c>
      <c r="S410" s="1" t="s">
        <v>68</v>
      </c>
      <c r="T410" s="1" t="s">
        <v>68</v>
      </c>
      <c r="U410" s="1" t="s">
        <v>68</v>
      </c>
      <c r="V410" s="1" t="s">
        <v>68</v>
      </c>
      <c r="W410" s="1" t="s">
        <v>68</v>
      </c>
      <c r="X410" s="1" t="s">
        <v>68</v>
      </c>
      <c r="Y410" s="73"/>
      <c r="Z410" s="2" t="s">
        <v>102</v>
      </c>
      <c r="AA410" s="3">
        <v>-3000</v>
      </c>
      <c r="AB410" s="4">
        <v>0</v>
      </c>
      <c r="AC410" s="73">
        <v>46218</v>
      </c>
      <c r="AD410" s="73">
        <v>46218</v>
      </c>
      <c r="AE410" s="73"/>
      <c r="AF410" s="73">
        <v>46218</v>
      </c>
      <c r="AG410" s="3">
        <v>-3000</v>
      </c>
      <c r="AH410" s="353" t="str">
        <f t="shared" si="21"/>
        <v/>
      </c>
      <c r="AI410" s="3" t="str">
        <f t="shared" si="22"/>
        <v>58</v>
      </c>
      <c r="AJ410" s="64" t="e">
        <f>VLOOKUP(T410,'GL Name'!A:B,2,0)</f>
        <v>#N/A</v>
      </c>
      <c r="AL410" s="13">
        <f t="shared" si="23"/>
        <v>0</v>
      </c>
      <c r="AM410" s="13" t="e">
        <f>VLOOKUP(I410,'Order 301-305 (เรียง)'!A:B,2,0)</f>
        <v>#N/A</v>
      </c>
      <c r="AN410" t="e">
        <f>VLOOKUP(I410,'Order 301-305 (เรียง)'!A:C,3,0)</f>
        <v>#N/A</v>
      </c>
    </row>
    <row r="411" spans="1:40" x14ac:dyDescent="0.3">
      <c r="A411" s="1" t="s">
        <v>121</v>
      </c>
      <c r="B411" s="1" t="s">
        <v>122</v>
      </c>
      <c r="C411" s="1" t="s">
        <v>64</v>
      </c>
      <c r="D411" s="1" t="s">
        <v>125</v>
      </c>
      <c r="E411" s="1" t="s">
        <v>289</v>
      </c>
      <c r="F411" s="1" t="s">
        <v>1179</v>
      </c>
      <c r="G411" s="1" t="s">
        <v>103</v>
      </c>
      <c r="H411" s="1" t="s">
        <v>704</v>
      </c>
      <c r="I411" s="1" t="s">
        <v>68</v>
      </c>
      <c r="J411" s="1" t="s">
        <v>1180</v>
      </c>
      <c r="K411" s="1" t="s">
        <v>294</v>
      </c>
      <c r="L411" s="1" t="s">
        <v>86</v>
      </c>
      <c r="M411" s="1" t="s">
        <v>68</v>
      </c>
      <c r="N411" s="1" t="s">
        <v>71</v>
      </c>
      <c r="O411" s="1" t="s">
        <v>68</v>
      </c>
      <c r="P411" s="1" t="s">
        <v>72</v>
      </c>
      <c r="Q411" s="1" t="s">
        <v>68</v>
      </c>
      <c r="R411" s="1" t="s">
        <v>68</v>
      </c>
      <c r="S411" s="1" t="s">
        <v>68</v>
      </c>
      <c r="T411" s="1" t="s">
        <v>68</v>
      </c>
      <c r="U411" s="1" t="s">
        <v>68</v>
      </c>
      <c r="V411" s="1" t="s">
        <v>68</v>
      </c>
      <c r="W411" s="1" t="s">
        <v>68</v>
      </c>
      <c r="X411" s="1" t="s">
        <v>68</v>
      </c>
      <c r="Y411" s="73"/>
      <c r="Z411" s="2" t="s">
        <v>102</v>
      </c>
      <c r="AA411" s="3">
        <v>3000</v>
      </c>
      <c r="AB411" s="4">
        <v>0</v>
      </c>
      <c r="AC411" s="73">
        <v>46218</v>
      </c>
      <c r="AD411" s="73">
        <v>46218</v>
      </c>
      <c r="AE411" s="73"/>
      <c r="AF411" s="73">
        <v>46218</v>
      </c>
      <c r="AG411" s="3">
        <v>3000</v>
      </c>
      <c r="AH411" s="353" t="str">
        <f t="shared" si="21"/>
        <v/>
      </c>
      <c r="AI411" s="3" t="str">
        <f t="shared" si="22"/>
        <v>58</v>
      </c>
      <c r="AJ411" s="64" t="e">
        <f>VLOOKUP(T411,'GL Name'!A:B,2,0)</f>
        <v>#N/A</v>
      </c>
      <c r="AL411" s="13">
        <f t="shared" si="23"/>
        <v>0</v>
      </c>
      <c r="AM411" s="13" t="e">
        <f>VLOOKUP(I411,'Order 301-305 (เรียง)'!A:B,2,0)</f>
        <v>#N/A</v>
      </c>
      <c r="AN411" t="e">
        <f>VLOOKUP(I411,'Order 301-305 (เรียง)'!A:C,3,0)</f>
        <v>#N/A</v>
      </c>
    </row>
    <row r="412" spans="1:40" x14ac:dyDescent="0.3">
      <c r="A412" s="1" t="s">
        <v>62</v>
      </c>
      <c r="B412" s="1" t="s">
        <v>63</v>
      </c>
      <c r="C412" s="1" t="s">
        <v>64</v>
      </c>
      <c r="D412" s="1" t="s">
        <v>1181</v>
      </c>
      <c r="E412" s="1" t="s">
        <v>1182</v>
      </c>
      <c r="F412" s="1" t="s">
        <v>1183</v>
      </c>
      <c r="G412" s="1" t="s">
        <v>83</v>
      </c>
      <c r="H412" s="1" t="s">
        <v>287</v>
      </c>
      <c r="I412" s="1" t="s">
        <v>68</v>
      </c>
      <c r="J412" s="1" t="s">
        <v>1184</v>
      </c>
      <c r="K412" s="1" t="s">
        <v>69</v>
      </c>
      <c r="L412" s="1" t="s">
        <v>70</v>
      </c>
      <c r="M412" s="1" t="s">
        <v>68</v>
      </c>
      <c r="N412" s="1" t="s">
        <v>71</v>
      </c>
      <c r="O412" s="1" t="s">
        <v>68</v>
      </c>
      <c r="P412" s="1" t="s">
        <v>72</v>
      </c>
      <c r="Q412" s="1" t="s">
        <v>68</v>
      </c>
      <c r="R412" s="1" t="s">
        <v>68</v>
      </c>
      <c r="S412" s="1" t="s">
        <v>68</v>
      </c>
      <c r="T412" s="1" t="s">
        <v>73</v>
      </c>
      <c r="U412" s="1" t="s">
        <v>68</v>
      </c>
      <c r="V412" s="1" t="s">
        <v>68</v>
      </c>
      <c r="W412" s="1" t="s">
        <v>68</v>
      </c>
      <c r="X412" s="1" t="s">
        <v>1171</v>
      </c>
      <c r="Y412" s="73"/>
      <c r="Z412" s="2" t="s">
        <v>74</v>
      </c>
      <c r="AA412" s="3">
        <v>20</v>
      </c>
      <c r="AB412" s="4">
        <v>3396.4</v>
      </c>
      <c r="AC412" s="73">
        <v>46218</v>
      </c>
      <c r="AD412" s="73">
        <v>46218</v>
      </c>
      <c r="AE412" s="73"/>
      <c r="AF412" s="73">
        <v>46218</v>
      </c>
      <c r="AG412" s="3">
        <v>10000</v>
      </c>
      <c r="AH412" s="353" t="str">
        <f t="shared" si="21"/>
        <v/>
      </c>
      <c r="AI412" s="3" t="str">
        <f t="shared" si="22"/>
        <v>59</v>
      </c>
      <c r="AJ412" s="64" t="str">
        <f>VLOOKUP(T412,'GL Name'!A:B,2,0)</f>
        <v>ต้นทุนขาย</v>
      </c>
      <c r="AL412" s="13">
        <f t="shared" si="23"/>
        <v>169.82</v>
      </c>
      <c r="AM412" s="13" t="e">
        <f>VLOOKUP(I412,'Order 301-305 (เรียง)'!A:B,2,0)</f>
        <v>#N/A</v>
      </c>
      <c r="AN412" t="e">
        <f>VLOOKUP(I412,'Order 301-305 (เรียง)'!A:C,3,0)</f>
        <v>#N/A</v>
      </c>
    </row>
    <row r="413" spans="1:40" x14ac:dyDescent="0.3">
      <c r="A413" s="1" t="s">
        <v>62</v>
      </c>
      <c r="B413" s="1" t="s">
        <v>63</v>
      </c>
      <c r="C413" s="1" t="s">
        <v>64</v>
      </c>
      <c r="D413" s="1" t="s">
        <v>65</v>
      </c>
      <c r="E413" s="1" t="s">
        <v>66</v>
      </c>
      <c r="F413" s="1" t="s">
        <v>1185</v>
      </c>
      <c r="G413" s="1" t="s">
        <v>67</v>
      </c>
      <c r="H413" s="1" t="s">
        <v>287</v>
      </c>
      <c r="I413" s="1" t="s">
        <v>68</v>
      </c>
      <c r="J413" s="1" t="s">
        <v>1186</v>
      </c>
      <c r="K413" s="1" t="s">
        <v>69</v>
      </c>
      <c r="L413" s="1" t="s">
        <v>70</v>
      </c>
      <c r="M413" s="1" t="s">
        <v>68</v>
      </c>
      <c r="N413" s="1" t="s">
        <v>71</v>
      </c>
      <c r="O413" s="1" t="s">
        <v>68</v>
      </c>
      <c r="P413" s="1" t="s">
        <v>72</v>
      </c>
      <c r="Q413" s="1" t="s">
        <v>68</v>
      </c>
      <c r="R413" s="1" t="s">
        <v>68</v>
      </c>
      <c r="S413" s="1" t="s">
        <v>68</v>
      </c>
      <c r="T413" s="1" t="s">
        <v>73</v>
      </c>
      <c r="U413" s="1" t="s">
        <v>68</v>
      </c>
      <c r="V413" s="1" t="s">
        <v>68</v>
      </c>
      <c r="W413" s="1" t="s">
        <v>68</v>
      </c>
      <c r="X413" s="1" t="s">
        <v>1187</v>
      </c>
      <c r="Y413" s="73"/>
      <c r="Z413" s="2" t="s">
        <v>74</v>
      </c>
      <c r="AA413" s="3">
        <v>-20</v>
      </c>
      <c r="AB413" s="4">
        <v>-3396.4</v>
      </c>
      <c r="AC413" s="73">
        <v>46218</v>
      </c>
      <c r="AD413" s="73">
        <v>46218</v>
      </c>
      <c r="AE413" s="73"/>
      <c r="AF413" s="73">
        <v>46218</v>
      </c>
      <c r="AG413" s="3">
        <v>-10000</v>
      </c>
      <c r="AH413" s="353" t="str">
        <f t="shared" si="21"/>
        <v/>
      </c>
      <c r="AI413" s="3" t="str">
        <f t="shared" si="22"/>
        <v>59</v>
      </c>
      <c r="AJ413" s="64" t="str">
        <f>VLOOKUP(T413,'GL Name'!A:B,2,0)</f>
        <v>ต้นทุนขาย</v>
      </c>
      <c r="AL413" s="13">
        <f t="shared" si="23"/>
        <v>169.82</v>
      </c>
      <c r="AM413" s="13" t="e">
        <f>VLOOKUP(I413,'Order 301-305 (เรียง)'!A:B,2,0)</f>
        <v>#N/A</v>
      </c>
      <c r="AN413" t="e">
        <f>VLOOKUP(I413,'Order 301-305 (เรียง)'!A:C,3,0)</f>
        <v>#N/A</v>
      </c>
    </row>
    <row r="414" spans="1:40" x14ac:dyDescent="0.3">
      <c r="A414" s="1" t="s">
        <v>81</v>
      </c>
      <c r="B414" s="1" t="s">
        <v>82</v>
      </c>
      <c r="C414" s="1" t="s">
        <v>64</v>
      </c>
      <c r="D414" s="1" t="s">
        <v>65</v>
      </c>
      <c r="E414" s="1" t="s">
        <v>66</v>
      </c>
      <c r="F414" s="1" t="s">
        <v>1188</v>
      </c>
      <c r="G414" s="1" t="s">
        <v>83</v>
      </c>
      <c r="H414" s="1" t="s">
        <v>1148</v>
      </c>
      <c r="I414" s="1" t="s">
        <v>68</v>
      </c>
      <c r="J414" s="1" t="s">
        <v>1189</v>
      </c>
      <c r="K414" s="1" t="s">
        <v>118</v>
      </c>
      <c r="L414" s="1" t="s">
        <v>70</v>
      </c>
      <c r="M414" s="1" t="s">
        <v>68</v>
      </c>
      <c r="N414" s="1" t="s">
        <v>71</v>
      </c>
      <c r="O414" s="1" t="s">
        <v>68</v>
      </c>
      <c r="P414" s="1" t="s">
        <v>72</v>
      </c>
      <c r="Q414" s="1" t="s">
        <v>68</v>
      </c>
      <c r="R414" s="1" t="s">
        <v>68</v>
      </c>
      <c r="S414" s="1" t="s">
        <v>68</v>
      </c>
      <c r="T414" s="1" t="s">
        <v>73</v>
      </c>
      <c r="U414" s="1" t="s">
        <v>68</v>
      </c>
      <c r="V414" s="1" t="s">
        <v>68</v>
      </c>
      <c r="W414" s="1" t="s">
        <v>68</v>
      </c>
      <c r="X414" s="1" t="s">
        <v>1190</v>
      </c>
      <c r="Y414" s="73"/>
      <c r="Z414" s="2" t="s">
        <v>85</v>
      </c>
      <c r="AA414" s="3">
        <v>-1958</v>
      </c>
      <c r="AB414" s="4">
        <v>-1995515.28</v>
      </c>
      <c r="AC414" s="73">
        <v>46218</v>
      </c>
      <c r="AD414" s="73">
        <v>46218</v>
      </c>
      <c r="AE414" s="73"/>
      <c r="AF414" s="73">
        <v>46218</v>
      </c>
      <c r="AG414" s="3">
        <v>-5874000</v>
      </c>
      <c r="AH414" s="353" t="str">
        <f t="shared" ref="AH414:AH428" si="24">LEFT(I414,3)</f>
        <v/>
      </c>
      <c r="AI414" s="3" t="str">
        <f t="shared" ref="AI414:AI428" si="25">LEFT(A414,2)</f>
        <v>59</v>
      </c>
      <c r="AJ414" s="64" t="str">
        <f>VLOOKUP(T414,'GL Name'!A:B,2,0)</f>
        <v>ต้นทุนขาย</v>
      </c>
      <c r="AL414" s="13">
        <f t="shared" ref="AL414:AL428" si="26">AB414/AA414</f>
        <v>1019.16</v>
      </c>
      <c r="AM414" s="13" t="e">
        <f>VLOOKUP(I414,'Order 301-305 (เรียง)'!A:B,2,0)</f>
        <v>#N/A</v>
      </c>
      <c r="AN414" t="e">
        <f>VLOOKUP(I414,'Order 301-305 (เรียง)'!A:C,3,0)</f>
        <v>#N/A</v>
      </c>
    </row>
    <row r="415" spans="1:40" x14ac:dyDescent="0.3">
      <c r="A415" s="1" t="s">
        <v>81</v>
      </c>
      <c r="B415" s="1" t="s">
        <v>82</v>
      </c>
      <c r="C415" s="1" t="s">
        <v>64</v>
      </c>
      <c r="D415" s="1" t="s">
        <v>65</v>
      </c>
      <c r="E415" s="1" t="s">
        <v>66</v>
      </c>
      <c r="F415" s="1" t="s">
        <v>1188</v>
      </c>
      <c r="G415" s="1" t="s">
        <v>83</v>
      </c>
      <c r="H415" s="1" t="s">
        <v>617</v>
      </c>
      <c r="I415" s="1" t="s">
        <v>68</v>
      </c>
      <c r="J415" s="1" t="s">
        <v>1189</v>
      </c>
      <c r="K415" s="1" t="s">
        <v>118</v>
      </c>
      <c r="L415" s="1" t="s">
        <v>86</v>
      </c>
      <c r="M415" s="1" t="s">
        <v>68</v>
      </c>
      <c r="N415" s="1" t="s">
        <v>71</v>
      </c>
      <c r="O415" s="1" t="s">
        <v>68</v>
      </c>
      <c r="P415" s="1" t="s">
        <v>72</v>
      </c>
      <c r="Q415" s="1" t="s">
        <v>68</v>
      </c>
      <c r="R415" s="1" t="s">
        <v>68</v>
      </c>
      <c r="S415" s="1" t="s">
        <v>68</v>
      </c>
      <c r="T415" s="1" t="s">
        <v>73</v>
      </c>
      <c r="U415" s="1" t="s">
        <v>68</v>
      </c>
      <c r="V415" s="1" t="s">
        <v>68</v>
      </c>
      <c r="W415" s="1" t="s">
        <v>68</v>
      </c>
      <c r="X415" s="1" t="s">
        <v>1190</v>
      </c>
      <c r="Y415" s="73"/>
      <c r="Z415" s="2" t="s">
        <v>85</v>
      </c>
      <c r="AA415" s="3">
        <v>-922</v>
      </c>
      <c r="AB415" s="4">
        <v>-939665.52</v>
      </c>
      <c r="AC415" s="73">
        <v>46218</v>
      </c>
      <c r="AD415" s="73">
        <v>46218</v>
      </c>
      <c r="AE415" s="73"/>
      <c r="AF415" s="73">
        <v>46218</v>
      </c>
      <c r="AG415" s="3">
        <v>-2766000</v>
      </c>
      <c r="AH415" s="353" t="str">
        <f t="shared" si="24"/>
        <v/>
      </c>
      <c r="AI415" s="3" t="str">
        <f t="shared" si="25"/>
        <v>59</v>
      </c>
      <c r="AJ415" s="64" t="str">
        <f>VLOOKUP(T415,'GL Name'!A:B,2,0)</f>
        <v>ต้นทุนขาย</v>
      </c>
      <c r="AL415" s="13">
        <f t="shared" si="26"/>
        <v>1019.16</v>
      </c>
      <c r="AM415" s="13" t="e">
        <f>VLOOKUP(I415,'Order 301-305 (เรียง)'!A:B,2,0)</f>
        <v>#N/A</v>
      </c>
      <c r="AN415" t="e">
        <f>VLOOKUP(I415,'Order 301-305 (เรียง)'!A:C,3,0)</f>
        <v>#N/A</v>
      </c>
    </row>
    <row r="416" spans="1:40" x14ac:dyDescent="0.3">
      <c r="A416" s="1" t="s">
        <v>81</v>
      </c>
      <c r="B416" s="1" t="s">
        <v>82</v>
      </c>
      <c r="C416" s="1" t="s">
        <v>64</v>
      </c>
      <c r="D416" s="1" t="s">
        <v>87</v>
      </c>
      <c r="E416" s="1" t="s">
        <v>88</v>
      </c>
      <c r="F416" s="1" t="s">
        <v>1191</v>
      </c>
      <c r="G416" s="1" t="s">
        <v>83</v>
      </c>
      <c r="H416" s="1" t="s">
        <v>1148</v>
      </c>
      <c r="I416" s="1" t="s">
        <v>68</v>
      </c>
      <c r="J416" s="1" t="s">
        <v>1192</v>
      </c>
      <c r="K416" s="1" t="s">
        <v>118</v>
      </c>
      <c r="L416" s="1" t="s">
        <v>70</v>
      </c>
      <c r="M416" s="1" t="s">
        <v>68</v>
      </c>
      <c r="N416" s="1" t="s">
        <v>71</v>
      </c>
      <c r="O416" s="1" t="s">
        <v>68</v>
      </c>
      <c r="P416" s="1" t="s">
        <v>1193</v>
      </c>
      <c r="Q416" s="1" t="s">
        <v>68</v>
      </c>
      <c r="R416" s="1" t="s">
        <v>308</v>
      </c>
      <c r="S416" s="1" t="s">
        <v>90</v>
      </c>
      <c r="T416" s="1" t="s">
        <v>91</v>
      </c>
      <c r="U416" s="1" t="s">
        <v>68</v>
      </c>
      <c r="V416" s="1" t="s">
        <v>68</v>
      </c>
      <c r="W416" s="1" t="s">
        <v>68</v>
      </c>
      <c r="X416" s="1" t="s">
        <v>68</v>
      </c>
      <c r="Y416" s="73"/>
      <c r="Z416" s="2" t="s">
        <v>74</v>
      </c>
      <c r="AA416" s="3">
        <v>-2</v>
      </c>
      <c r="AB416" s="4">
        <v>-339.72</v>
      </c>
      <c r="AC416" s="73">
        <v>46219</v>
      </c>
      <c r="AD416" s="73">
        <v>46219</v>
      </c>
      <c r="AE416" s="73"/>
      <c r="AF416" s="73">
        <v>46218</v>
      </c>
      <c r="AG416" s="3">
        <v>-1000</v>
      </c>
      <c r="AH416" s="353" t="str">
        <f t="shared" si="24"/>
        <v/>
      </c>
      <c r="AI416" s="3" t="str">
        <f t="shared" si="25"/>
        <v>59</v>
      </c>
      <c r="AJ416" s="64" t="str">
        <f>VLOOKUP(T416,'GL Name'!A:B,2,0)</f>
        <v>ค่าวิจัยคุณภาพสินค้า</v>
      </c>
      <c r="AL416" s="13">
        <f t="shared" si="26"/>
        <v>169.86</v>
      </c>
      <c r="AM416" s="13" t="e">
        <f>VLOOKUP(I416,'Order 301-305 (เรียง)'!A:B,2,0)</f>
        <v>#N/A</v>
      </c>
      <c r="AN416" t="e">
        <f>VLOOKUP(I416,'Order 301-305 (เรียง)'!A:C,3,0)</f>
        <v>#N/A</v>
      </c>
    </row>
    <row r="417" spans="1:40" x14ac:dyDescent="0.3">
      <c r="A417" s="1" t="s">
        <v>81</v>
      </c>
      <c r="B417" s="1" t="s">
        <v>82</v>
      </c>
      <c r="C417" s="1" t="s">
        <v>64</v>
      </c>
      <c r="D417" s="1" t="s">
        <v>87</v>
      </c>
      <c r="E417" s="1" t="s">
        <v>88</v>
      </c>
      <c r="F417" s="1" t="s">
        <v>1197</v>
      </c>
      <c r="G417" s="1" t="s">
        <v>83</v>
      </c>
      <c r="H417" s="1" t="s">
        <v>617</v>
      </c>
      <c r="I417" s="1" t="s">
        <v>68</v>
      </c>
      <c r="J417" s="1" t="s">
        <v>1198</v>
      </c>
      <c r="K417" s="1" t="s">
        <v>223</v>
      </c>
      <c r="L417" s="1" t="s">
        <v>92</v>
      </c>
      <c r="M417" s="1" t="s">
        <v>68</v>
      </c>
      <c r="N417" s="1" t="s">
        <v>71</v>
      </c>
      <c r="O417" s="1" t="s">
        <v>68</v>
      </c>
      <c r="P417" s="1" t="s">
        <v>1199</v>
      </c>
      <c r="Q417" s="1" t="s">
        <v>68</v>
      </c>
      <c r="R417" s="1" t="s">
        <v>1200</v>
      </c>
      <c r="S417" s="1" t="s">
        <v>90</v>
      </c>
      <c r="T417" s="1" t="s">
        <v>91</v>
      </c>
      <c r="U417" s="1" t="s">
        <v>68</v>
      </c>
      <c r="V417" s="1" t="s">
        <v>68</v>
      </c>
      <c r="W417" s="1" t="s">
        <v>68</v>
      </c>
      <c r="X417" s="1" t="s">
        <v>68</v>
      </c>
      <c r="Y417" s="73"/>
      <c r="Z417" s="2" t="s">
        <v>74</v>
      </c>
      <c r="AA417" s="3">
        <v>-5</v>
      </c>
      <c r="AB417" s="4">
        <v>-849.3</v>
      </c>
      <c r="AC417" s="73">
        <v>46218</v>
      </c>
      <c r="AD417" s="73">
        <v>46218</v>
      </c>
      <c r="AE417" s="73"/>
      <c r="AF417" s="73">
        <v>46218</v>
      </c>
      <c r="AG417" s="3">
        <v>-2500</v>
      </c>
      <c r="AH417" s="353" t="str">
        <f t="shared" si="24"/>
        <v/>
      </c>
      <c r="AI417" s="3" t="str">
        <f t="shared" si="25"/>
        <v>59</v>
      </c>
      <c r="AJ417" s="64" t="str">
        <f>VLOOKUP(T417,'GL Name'!A:B,2,0)</f>
        <v>ค่าวิจัยคุณภาพสินค้า</v>
      </c>
      <c r="AL417" s="13">
        <f t="shared" si="26"/>
        <v>169.85999999999999</v>
      </c>
      <c r="AM417" s="13" t="e">
        <f>VLOOKUP(I417,'Order 301-305 (เรียง)'!A:B,2,0)</f>
        <v>#N/A</v>
      </c>
      <c r="AN417" t="e">
        <f>VLOOKUP(I417,'Order 301-305 (เรียง)'!A:C,3,0)</f>
        <v>#N/A</v>
      </c>
    </row>
    <row r="418" spans="1:40" x14ac:dyDescent="0.3">
      <c r="A418" s="1" t="s">
        <v>81</v>
      </c>
      <c r="B418" s="1" t="s">
        <v>82</v>
      </c>
      <c r="C418" s="1" t="s">
        <v>64</v>
      </c>
      <c r="D418" s="1" t="s">
        <v>87</v>
      </c>
      <c r="E418" s="1" t="s">
        <v>88</v>
      </c>
      <c r="F418" s="1" t="s">
        <v>1197</v>
      </c>
      <c r="G418" s="1" t="s">
        <v>83</v>
      </c>
      <c r="H418" s="1" t="s">
        <v>1148</v>
      </c>
      <c r="I418" s="1" t="s">
        <v>68</v>
      </c>
      <c r="J418" s="1" t="s">
        <v>1198</v>
      </c>
      <c r="K418" s="1" t="s">
        <v>223</v>
      </c>
      <c r="L418" s="1" t="s">
        <v>86</v>
      </c>
      <c r="M418" s="1" t="s">
        <v>68</v>
      </c>
      <c r="N418" s="1" t="s">
        <v>71</v>
      </c>
      <c r="O418" s="1" t="s">
        <v>68</v>
      </c>
      <c r="P418" s="1" t="s">
        <v>1199</v>
      </c>
      <c r="Q418" s="1" t="s">
        <v>68</v>
      </c>
      <c r="R418" s="1" t="s">
        <v>1200</v>
      </c>
      <c r="S418" s="1" t="s">
        <v>90</v>
      </c>
      <c r="T418" s="1" t="s">
        <v>91</v>
      </c>
      <c r="U418" s="1" t="s">
        <v>68</v>
      </c>
      <c r="V418" s="1" t="s">
        <v>68</v>
      </c>
      <c r="W418" s="1" t="s">
        <v>68</v>
      </c>
      <c r="X418" s="1" t="s">
        <v>68</v>
      </c>
      <c r="Y418" s="73"/>
      <c r="Z418" s="2" t="s">
        <v>74</v>
      </c>
      <c r="AA418" s="3">
        <v>-3</v>
      </c>
      <c r="AB418" s="4">
        <v>-509.58</v>
      </c>
      <c r="AC418" s="73">
        <v>46218</v>
      </c>
      <c r="AD418" s="73">
        <v>46218</v>
      </c>
      <c r="AE418" s="73"/>
      <c r="AF418" s="73">
        <v>46218</v>
      </c>
      <c r="AG418" s="3">
        <v>-1500</v>
      </c>
      <c r="AH418" s="353" t="str">
        <f t="shared" si="24"/>
        <v/>
      </c>
      <c r="AI418" s="3" t="str">
        <f t="shared" si="25"/>
        <v>59</v>
      </c>
      <c r="AJ418" s="64" t="str">
        <f>VLOOKUP(T418,'GL Name'!A:B,2,0)</f>
        <v>ค่าวิจัยคุณภาพสินค้า</v>
      </c>
      <c r="AL418" s="13">
        <f t="shared" si="26"/>
        <v>169.85999999999999</v>
      </c>
      <c r="AM418" s="13" t="e">
        <f>VLOOKUP(I418,'Order 301-305 (เรียง)'!A:B,2,0)</f>
        <v>#N/A</v>
      </c>
      <c r="AN418" t="e">
        <f>VLOOKUP(I418,'Order 301-305 (เรียง)'!A:C,3,0)</f>
        <v>#N/A</v>
      </c>
    </row>
    <row r="419" spans="1:40" x14ac:dyDescent="0.3">
      <c r="A419" s="1" t="s">
        <v>81</v>
      </c>
      <c r="B419" s="1" t="s">
        <v>82</v>
      </c>
      <c r="C419" s="1" t="s">
        <v>64</v>
      </c>
      <c r="D419" s="1" t="s">
        <v>87</v>
      </c>
      <c r="E419" s="1" t="s">
        <v>88</v>
      </c>
      <c r="F419" s="1" t="s">
        <v>1197</v>
      </c>
      <c r="G419" s="1" t="s">
        <v>83</v>
      </c>
      <c r="H419" s="1" t="s">
        <v>617</v>
      </c>
      <c r="I419" s="1" t="s">
        <v>68</v>
      </c>
      <c r="J419" s="1" t="s">
        <v>1198</v>
      </c>
      <c r="K419" s="1" t="s">
        <v>223</v>
      </c>
      <c r="L419" s="1" t="s">
        <v>70</v>
      </c>
      <c r="M419" s="1" t="s">
        <v>68</v>
      </c>
      <c r="N419" s="1" t="s">
        <v>71</v>
      </c>
      <c r="O419" s="1" t="s">
        <v>68</v>
      </c>
      <c r="P419" s="1" t="s">
        <v>1199</v>
      </c>
      <c r="Q419" s="1" t="s">
        <v>68</v>
      </c>
      <c r="R419" s="1" t="s">
        <v>1201</v>
      </c>
      <c r="S419" s="1" t="s">
        <v>90</v>
      </c>
      <c r="T419" s="1" t="s">
        <v>91</v>
      </c>
      <c r="U419" s="1" t="s">
        <v>68</v>
      </c>
      <c r="V419" s="1" t="s">
        <v>68</v>
      </c>
      <c r="W419" s="1" t="s">
        <v>68</v>
      </c>
      <c r="X419" s="1" t="s">
        <v>68</v>
      </c>
      <c r="Y419" s="73"/>
      <c r="Z419" s="2" t="s">
        <v>74</v>
      </c>
      <c r="AA419" s="3">
        <v>-8</v>
      </c>
      <c r="AB419" s="4">
        <v>-1358.88</v>
      </c>
      <c r="AC419" s="73">
        <v>46218</v>
      </c>
      <c r="AD419" s="73">
        <v>46218</v>
      </c>
      <c r="AE419" s="73"/>
      <c r="AF419" s="73">
        <v>46218</v>
      </c>
      <c r="AG419" s="3">
        <v>-4000</v>
      </c>
      <c r="AH419" s="353" t="str">
        <f t="shared" si="24"/>
        <v/>
      </c>
      <c r="AI419" s="3" t="str">
        <f t="shared" si="25"/>
        <v>59</v>
      </c>
      <c r="AJ419" s="64" t="str">
        <f>VLOOKUP(T419,'GL Name'!A:B,2,0)</f>
        <v>ค่าวิจัยคุณภาพสินค้า</v>
      </c>
      <c r="AL419" s="13">
        <f t="shared" si="26"/>
        <v>169.86</v>
      </c>
      <c r="AM419" s="13" t="e">
        <f>VLOOKUP(I419,'Order 301-305 (เรียง)'!A:B,2,0)</f>
        <v>#N/A</v>
      </c>
      <c r="AN419" t="e">
        <f>VLOOKUP(I419,'Order 301-305 (เรียง)'!A:C,3,0)</f>
        <v>#N/A</v>
      </c>
    </row>
    <row r="420" spans="1:40" x14ac:dyDescent="0.3">
      <c r="A420" s="1" t="s">
        <v>81</v>
      </c>
      <c r="B420" s="1" t="s">
        <v>82</v>
      </c>
      <c r="C420" s="1" t="s">
        <v>64</v>
      </c>
      <c r="D420" s="1" t="s">
        <v>87</v>
      </c>
      <c r="E420" s="1" t="s">
        <v>88</v>
      </c>
      <c r="F420" s="1" t="s">
        <v>1202</v>
      </c>
      <c r="G420" s="1" t="s">
        <v>83</v>
      </c>
      <c r="H420" s="1" t="s">
        <v>617</v>
      </c>
      <c r="I420" s="1" t="s">
        <v>68</v>
      </c>
      <c r="J420" s="1" t="s">
        <v>1203</v>
      </c>
      <c r="K420" s="1" t="s">
        <v>223</v>
      </c>
      <c r="L420" s="1" t="s">
        <v>70</v>
      </c>
      <c r="M420" s="1" t="s">
        <v>68</v>
      </c>
      <c r="N420" s="1" t="s">
        <v>71</v>
      </c>
      <c r="O420" s="1" t="s">
        <v>68</v>
      </c>
      <c r="P420" s="1" t="s">
        <v>1204</v>
      </c>
      <c r="Q420" s="1" t="s">
        <v>68</v>
      </c>
      <c r="R420" s="1" t="s">
        <v>1205</v>
      </c>
      <c r="S420" s="1" t="s">
        <v>90</v>
      </c>
      <c r="T420" s="1" t="s">
        <v>91</v>
      </c>
      <c r="U420" s="1" t="s">
        <v>68</v>
      </c>
      <c r="V420" s="1" t="s">
        <v>68</v>
      </c>
      <c r="W420" s="1" t="s">
        <v>68</v>
      </c>
      <c r="X420" s="1" t="s">
        <v>68</v>
      </c>
      <c r="Y420" s="73"/>
      <c r="Z420" s="2" t="s">
        <v>74</v>
      </c>
      <c r="AA420" s="3">
        <v>-2</v>
      </c>
      <c r="AB420" s="4">
        <v>-339.72</v>
      </c>
      <c r="AC420" s="73">
        <v>46218</v>
      </c>
      <c r="AD420" s="73">
        <v>46218</v>
      </c>
      <c r="AE420" s="73"/>
      <c r="AF420" s="73">
        <v>46218</v>
      </c>
      <c r="AG420" s="3">
        <v>-1000</v>
      </c>
      <c r="AH420" s="353" t="str">
        <f t="shared" si="24"/>
        <v/>
      </c>
      <c r="AI420" s="3" t="str">
        <f t="shared" si="25"/>
        <v>59</v>
      </c>
      <c r="AJ420" s="64" t="str">
        <f>VLOOKUP(T420,'GL Name'!A:B,2,0)</f>
        <v>ค่าวิจัยคุณภาพสินค้า</v>
      </c>
      <c r="AL420" s="13">
        <f t="shared" si="26"/>
        <v>169.86</v>
      </c>
      <c r="AM420" s="13" t="e">
        <f>VLOOKUP(I420,'Order 301-305 (เรียง)'!A:B,2,0)</f>
        <v>#N/A</v>
      </c>
      <c r="AN420" t="e">
        <f>VLOOKUP(I420,'Order 301-305 (เรียง)'!A:C,3,0)</f>
        <v>#N/A</v>
      </c>
    </row>
    <row r="421" spans="1:40" x14ac:dyDescent="0.3">
      <c r="A421" s="1" t="s">
        <v>81</v>
      </c>
      <c r="B421" s="1" t="s">
        <v>82</v>
      </c>
      <c r="C421" s="1" t="s">
        <v>64</v>
      </c>
      <c r="D421" s="1" t="s">
        <v>65</v>
      </c>
      <c r="E421" s="1" t="s">
        <v>66</v>
      </c>
      <c r="F421" s="1" t="s">
        <v>1207</v>
      </c>
      <c r="G421" s="1" t="s">
        <v>83</v>
      </c>
      <c r="H421" s="1" t="s">
        <v>989</v>
      </c>
      <c r="I421" s="1" t="s">
        <v>68</v>
      </c>
      <c r="J421" s="1" t="s">
        <v>1208</v>
      </c>
      <c r="K421" s="1" t="s">
        <v>118</v>
      </c>
      <c r="L421" s="1" t="s">
        <v>92</v>
      </c>
      <c r="M421" s="1" t="s">
        <v>68</v>
      </c>
      <c r="N421" s="1" t="s">
        <v>71</v>
      </c>
      <c r="O421" s="1" t="s">
        <v>68</v>
      </c>
      <c r="P421" s="1" t="s">
        <v>72</v>
      </c>
      <c r="Q421" s="1" t="s">
        <v>68</v>
      </c>
      <c r="R421" s="1" t="s">
        <v>68</v>
      </c>
      <c r="S421" s="1" t="s">
        <v>68</v>
      </c>
      <c r="T421" s="1" t="s">
        <v>73</v>
      </c>
      <c r="U421" s="1" t="s">
        <v>68</v>
      </c>
      <c r="V421" s="1" t="s">
        <v>68</v>
      </c>
      <c r="W421" s="1" t="s">
        <v>68</v>
      </c>
      <c r="X421" s="1" t="s">
        <v>1209</v>
      </c>
      <c r="Y421" s="73"/>
      <c r="Z421" s="2" t="s">
        <v>85</v>
      </c>
      <c r="AA421" s="3">
        <v>-589</v>
      </c>
      <c r="AB421" s="4">
        <v>-600285.24</v>
      </c>
      <c r="AC421" s="73">
        <v>46219</v>
      </c>
      <c r="AD421" s="73">
        <v>46219</v>
      </c>
      <c r="AE421" s="73"/>
      <c r="AF421" s="73">
        <v>46219</v>
      </c>
      <c r="AG421" s="3">
        <v>-1767000</v>
      </c>
      <c r="AH421" s="353" t="str">
        <f t="shared" si="24"/>
        <v/>
      </c>
      <c r="AI421" s="3" t="str">
        <f t="shared" si="25"/>
        <v>59</v>
      </c>
      <c r="AJ421" s="64" t="str">
        <f>VLOOKUP(T421,'GL Name'!A:B,2,0)</f>
        <v>ต้นทุนขาย</v>
      </c>
      <c r="AL421" s="13">
        <f t="shared" si="26"/>
        <v>1019.16</v>
      </c>
      <c r="AM421" s="13" t="e">
        <f>VLOOKUP(I421,'Order 301-305 (เรียง)'!A:B,2,0)</f>
        <v>#N/A</v>
      </c>
      <c r="AN421" t="e">
        <f>VLOOKUP(I421,'Order 301-305 (เรียง)'!A:C,3,0)</f>
        <v>#N/A</v>
      </c>
    </row>
    <row r="422" spans="1:40" x14ac:dyDescent="0.3">
      <c r="A422" s="1" t="s">
        <v>81</v>
      </c>
      <c r="B422" s="1" t="s">
        <v>82</v>
      </c>
      <c r="C422" s="1" t="s">
        <v>64</v>
      </c>
      <c r="D422" s="1" t="s">
        <v>65</v>
      </c>
      <c r="E422" s="1" t="s">
        <v>66</v>
      </c>
      <c r="F422" s="1" t="s">
        <v>1207</v>
      </c>
      <c r="G422" s="1" t="s">
        <v>83</v>
      </c>
      <c r="H422" s="1" t="s">
        <v>655</v>
      </c>
      <c r="I422" s="1" t="s">
        <v>68</v>
      </c>
      <c r="J422" s="1" t="s">
        <v>1208</v>
      </c>
      <c r="K422" s="1" t="s">
        <v>118</v>
      </c>
      <c r="L422" s="1" t="s">
        <v>86</v>
      </c>
      <c r="M422" s="1" t="s">
        <v>68</v>
      </c>
      <c r="N422" s="1" t="s">
        <v>71</v>
      </c>
      <c r="O422" s="1" t="s">
        <v>68</v>
      </c>
      <c r="P422" s="1" t="s">
        <v>72</v>
      </c>
      <c r="Q422" s="1" t="s">
        <v>68</v>
      </c>
      <c r="R422" s="1" t="s">
        <v>68</v>
      </c>
      <c r="S422" s="1" t="s">
        <v>68</v>
      </c>
      <c r="T422" s="1" t="s">
        <v>73</v>
      </c>
      <c r="U422" s="1" t="s">
        <v>68</v>
      </c>
      <c r="V422" s="1" t="s">
        <v>68</v>
      </c>
      <c r="W422" s="1" t="s">
        <v>68</v>
      </c>
      <c r="X422" s="1" t="s">
        <v>1209</v>
      </c>
      <c r="Y422" s="73"/>
      <c r="Z422" s="2" t="s">
        <v>85</v>
      </c>
      <c r="AA422" s="3">
        <v>-520</v>
      </c>
      <c r="AB422" s="4">
        <v>-529963.19999999995</v>
      </c>
      <c r="AC422" s="73">
        <v>46219</v>
      </c>
      <c r="AD422" s="73">
        <v>46219</v>
      </c>
      <c r="AE422" s="73"/>
      <c r="AF422" s="73">
        <v>46219</v>
      </c>
      <c r="AG422" s="3">
        <v>-1560000</v>
      </c>
      <c r="AH422" s="353" t="str">
        <f t="shared" si="24"/>
        <v/>
      </c>
      <c r="AI422" s="3" t="str">
        <f t="shared" si="25"/>
        <v>59</v>
      </c>
      <c r="AJ422" s="64" t="str">
        <f>VLOOKUP(T422,'GL Name'!A:B,2,0)</f>
        <v>ต้นทุนขาย</v>
      </c>
      <c r="AL422" s="13">
        <f t="shared" si="26"/>
        <v>1019.1599999999999</v>
      </c>
      <c r="AM422" s="13" t="e">
        <f>VLOOKUP(I422,'Order 301-305 (เรียง)'!A:B,2,0)</f>
        <v>#N/A</v>
      </c>
      <c r="AN422" t="e">
        <f>VLOOKUP(I422,'Order 301-305 (เรียง)'!A:C,3,0)</f>
        <v>#N/A</v>
      </c>
    </row>
    <row r="423" spans="1:40" x14ac:dyDescent="0.3">
      <c r="A423" s="1" t="s">
        <v>81</v>
      </c>
      <c r="B423" s="1" t="s">
        <v>82</v>
      </c>
      <c r="C423" s="1" t="s">
        <v>64</v>
      </c>
      <c r="D423" s="1" t="s">
        <v>65</v>
      </c>
      <c r="E423" s="1" t="s">
        <v>66</v>
      </c>
      <c r="F423" s="1" t="s">
        <v>1207</v>
      </c>
      <c r="G423" s="1" t="s">
        <v>83</v>
      </c>
      <c r="H423" s="1" t="s">
        <v>617</v>
      </c>
      <c r="I423" s="1" t="s">
        <v>68</v>
      </c>
      <c r="J423" s="1" t="s">
        <v>1208</v>
      </c>
      <c r="K423" s="1" t="s">
        <v>118</v>
      </c>
      <c r="L423" s="1" t="s">
        <v>70</v>
      </c>
      <c r="M423" s="1" t="s">
        <v>68</v>
      </c>
      <c r="N423" s="1" t="s">
        <v>71</v>
      </c>
      <c r="O423" s="1" t="s">
        <v>68</v>
      </c>
      <c r="P423" s="1" t="s">
        <v>72</v>
      </c>
      <c r="Q423" s="1" t="s">
        <v>68</v>
      </c>
      <c r="R423" s="1" t="s">
        <v>68</v>
      </c>
      <c r="S423" s="1" t="s">
        <v>68</v>
      </c>
      <c r="T423" s="1" t="s">
        <v>73</v>
      </c>
      <c r="U423" s="1" t="s">
        <v>68</v>
      </c>
      <c r="V423" s="1" t="s">
        <v>68</v>
      </c>
      <c r="W423" s="1" t="s">
        <v>68</v>
      </c>
      <c r="X423" s="1" t="s">
        <v>1209</v>
      </c>
      <c r="Y423" s="73"/>
      <c r="Z423" s="2" t="s">
        <v>85</v>
      </c>
      <c r="AA423" s="3">
        <v>-811</v>
      </c>
      <c r="AB423" s="4">
        <v>-826538.76</v>
      </c>
      <c r="AC423" s="73">
        <v>46219</v>
      </c>
      <c r="AD423" s="73">
        <v>46219</v>
      </c>
      <c r="AE423" s="73"/>
      <c r="AF423" s="73">
        <v>46219</v>
      </c>
      <c r="AG423" s="3">
        <v>-2433000</v>
      </c>
      <c r="AH423" s="353" t="str">
        <f t="shared" si="24"/>
        <v/>
      </c>
      <c r="AI423" s="3" t="str">
        <f t="shared" si="25"/>
        <v>59</v>
      </c>
      <c r="AJ423" s="64" t="str">
        <f>VLOOKUP(T423,'GL Name'!A:B,2,0)</f>
        <v>ต้นทุนขาย</v>
      </c>
      <c r="AL423" s="13">
        <f t="shared" si="26"/>
        <v>1019.16</v>
      </c>
      <c r="AM423" s="13" t="e">
        <f>VLOOKUP(I423,'Order 301-305 (เรียง)'!A:B,2,0)</f>
        <v>#N/A</v>
      </c>
      <c r="AN423" t="e">
        <f>VLOOKUP(I423,'Order 301-305 (เรียง)'!A:C,3,0)</f>
        <v>#N/A</v>
      </c>
    </row>
    <row r="424" spans="1:40" x14ac:dyDescent="0.3">
      <c r="A424" s="1" t="s">
        <v>81</v>
      </c>
      <c r="B424" s="1" t="s">
        <v>82</v>
      </c>
      <c r="C424" s="1" t="s">
        <v>64</v>
      </c>
      <c r="D424" s="1" t="s">
        <v>65</v>
      </c>
      <c r="E424" s="1" t="s">
        <v>66</v>
      </c>
      <c r="F424" s="1" t="s">
        <v>1210</v>
      </c>
      <c r="G424" s="1" t="s">
        <v>83</v>
      </c>
      <c r="H424" s="1" t="s">
        <v>989</v>
      </c>
      <c r="I424" s="1" t="s">
        <v>68</v>
      </c>
      <c r="J424" s="1" t="s">
        <v>1211</v>
      </c>
      <c r="K424" s="1" t="s">
        <v>118</v>
      </c>
      <c r="L424" s="1" t="s">
        <v>70</v>
      </c>
      <c r="M424" s="1" t="s">
        <v>68</v>
      </c>
      <c r="N424" s="1" t="s">
        <v>71</v>
      </c>
      <c r="O424" s="1" t="s">
        <v>68</v>
      </c>
      <c r="P424" s="1" t="s">
        <v>72</v>
      </c>
      <c r="Q424" s="1" t="s">
        <v>68</v>
      </c>
      <c r="R424" s="1" t="s">
        <v>68</v>
      </c>
      <c r="S424" s="1" t="s">
        <v>68</v>
      </c>
      <c r="T424" s="1" t="s">
        <v>73</v>
      </c>
      <c r="U424" s="1" t="s">
        <v>68</v>
      </c>
      <c r="V424" s="1" t="s">
        <v>68</v>
      </c>
      <c r="W424" s="1" t="s">
        <v>68</v>
      </c>
      <c r="X424" s="1" t="s">
        <v>1212</v>
      </c>
      <c r="Y424" s="73"/>
      <c r="Z424" s="2" t="s">
        <v>85</v>
      </c>
      <c r="AA424" s="3">
        <v>-1920</v>
      </c>
      <c r="AB424" s="4">
        <v>-1956787.2</v>
      </c>
      <c r="AC424" s="73">
        <v>46219</v>
      </c>
      <c r="AD424" s="73">
        <v>46219</v>
      </c>
      <c r="AE424" s="73"/>
      <c r="AF424" s="73">
        <v>46219</v>
      </c>
      <c r="AG424" s="3">
        <v>-5760000</v>
      </c>
      <c r="AH424" s="353" t="str">
        <f t="shared" si="24"/>
        <v/>
      </c>
      <c r="AI424" s="3" t="str">
        <f t="shared" si="25"/>
        <v>59</v>
      </c>
      <c r="AJ424" s="64" t="str">
        <f>VLOOKUP(T424,'GL Name'!A:B,2,0)</f>
        <v>ต้นทุนขาย</v>
      </c>
      <c r="AL424" s="13">
        <f t="shared" si="26"/>
        <v>1019.16</v>
      </c>
      <c r="AM424" s="13" t="e">
        <f>VLOOKUP(I424,'Order 301-305 (เรียง)'!A:B,2,0)</f>
        <v>#N/A</v>
      </c>
      <c r="AN424" t="e">
        <f>VLOOKUP(I424,'Order 301-305 (เรียง)'!A:C,3,0)</f>
        <v>#N/A</v>
      </c>
    </row>
    <row r="425" spans="1:40" x14ac:dyDescent="0.3">
      <c r="A425" s="1" t="s">
        <v>81</v>
      </c>
      <c r="B425" s="1" t="s">
        <v>82</v>
      </c>
      <c r="C425" s="1" t="s">
        <v>64</v>
      </c>
      <c r="D425" s="1" t="s">
        <v>87</v>
      </c>
      <c r="E425" s="1" t="s">
        <v>88</v>
      </c>
      <c r="F425" s="1" t="s">
        <v>1213</v>
      </c>
      <c r="G425" s="1" t="s">
        <v>83</v>
      </c>
      <c r="H425" s="1" t="s">
        <v>617</v>
      </c>
      <c r="I425" s="1" t="s">
        <v>68</v>
      </c>
      <c r="J425" s="1" t="s">
        <v>1214</v>
      </c>
      <c r="K425" s="1" t="s">
        <v>118</v>
      </c>
      <c r="L425" s="1" t="s">
        <v>70</v>
      </c>
      <c r="M425" s="1" t="s">
        <v>68</v>
      </c>
      <c r="N425" s="1" t="s">
        <v>71</v>
      </c>
      <c r="O425" s="1" t="s">
        <v>68</v>
      </c>
      <c r="P425" s="1" t="s">
        <v>1215</v>
      </c>
      <c r="Q425" s="1" t="s">
        <v>68</v>
      </c>
      <c r="R425" s="1" t="s">
        <v>308</v>
      </c>
      <c r="S425" s="1" t="s">
        <v>90</v>
      </c>
      <c r="T425" s="1" t="s">
        <v>91</v>
      </c>
      <c r="U425" s="1" t="s">
        <v>68</v>
      </c>
      <c r="V425" s="1" t="s">
        <v>68</v>
      </c>
      <c r="W425" s="1" t="s">
        <v>68</v>
      </c>
      <c r="X425" s="1" t="s">
        <v>68</v>
      </c>
      <c r="Y425" s="73"/>
      <c r="Z425" s="2" t="s">
        <v>74</v>
      </c>
      <c r="AA425" s="3">
        <v>-4</v>
      </c>
      <c r="AB425" s="4">
        <v>-679.44</v>
      </c>
      <c r="AC425" s="73">
        <v>46220</v>
      </c>
      <c r="AD425" s="73">
        <v>46220</v>
      </c>
      <c r="AE425" s="73"/>
      <c r="AF425" s="73">
        <v>46219</v>
      </c>
      <c r="AG425" s="3">
        <v>-2000</v>
      </c>
      <c r="AH425" s="353" t="str">
        <f t="shared" si="24"/>
        <v/>
      </c>
      <c r="AI425" s="3" t="str">
        <f t="shared" si="25"/>
        <v>59</v>
      </c>
      <c r="AJ425" s="64" t="str">
        <f>VLOOKUP(T425,'GL Name'!A:B,2,0)</f>
        <v>ค่าวิจัยคุณภาพสินค้า</v>
      </c>
      <c r="AL425" s="13">
        <f t="shared" si="26"/>
        <v>169.86</v>
      </c>
      <c r="AM425" s="13" t="e">
        <f>VLOOKUP(I425,'Order 301-305 (เรียง)'!A:B,2,0)</f>
        <v>#N/A</v>
      </c>
      <c r="AN425" t="e">
        <f>VLOOKUP(I425,'Order 301-305 (เรียง)'!A:C,3,0)</f>
        <v>#N/A</v>
      </c>
    </row>
    <row r="426" spans="1:40" x14ac:dyDescent="0.3">
      <c r="A426" s="1" t="s">
        <v>81</v>
      </c>
      <c r="B426" s="1" t="s">
        <v>82</v>
      </c>
      <c r="C426" s="1" t="s">
        <v>64</v>
      </c>
      <c r="D426" s="1" t="s">
        <v>65</v>
      </c>
      <c r="E426" s="1" t="s">
        <v>66</v>
      </c>
      <c r="F426" s="1" t="s">
        <v>1216</v>
      </c>
      <c r="G426" s="1" t="s">
        <v>83</v>
      </c>
      <c r="H426" s="1" t="s">
        <v>994</v>
      </c>
      <c r="I426" s="1" t="s">
        <v>68</v>
      </c>
      <c r="J426" s="1" t="s">
        <v>1217</v>
      </c>
      <c r="K426" s="1" t="s">
        <v>118</v>
      </c>
      <c r="L426" s="1" t="s">
        <v>86</v>
      </c>
      <c r="M426" s="1" t="s">
        <v>68</v>
      </c>
      <c r="N426" s="1" t="s">
        <v>71</v>
      </c>
      <c r="O426" s="1" t="s">
        <v>68</v>
      </c>
      <c r="P426" s="1" t="s">
        <v>72</v>
      </c>
      <c r="Q426" s="1" t="s">
        <v>68</v>
      </c>
      <c r="R426" s="1" t="s">
        <v>68</v>
      </c>
      <c r="S426" s="1" t="s">
        <v>68</v>
      </c>
      <c r="T426" s="1" t="s">
        <v>73</v>
      </c>
      <c r="U426" s="1" t="s">
        <v>68</v>
      </c>
      <c r="V426" s="1" t="s">
        <v>68</v>
      </c>
      <c r="W426" s="1" t="s">
        <v>68</v>
      </c>
      <c r="X426" s="1" t="s">
        <v>1218</v>
      </c>
      <c r="Y426" s="73"/>
      <c r="Z426" s="2" t="s">
        <v>85</v>
      </c>
      <c r="AA426" s="3">
        <v>-1215</v>
      </c>
      <c r="AB426" s="4">
        <v>-1238279.3999999999</v>
      </c>
      <c r="AC426" s="73">
        <v>46219</v>
      </c>
      <c r="AD426" s="73">
        <v>46219</v>
      </c>
      <c r="AE426" s="73"/>
      <c r="AF426" s="73">
        <v>46219</v>
      </c>
      <c r="AG426" s="3">
        <v>-3645000</v>
      </c>
      <c r="AH426" s="353" t="str">
        <f t="shared" si="24"/>
        <v/>
      </c>
      <c r="AI426" s="3" t="str">
        <f t="shared" si="25"/>
        <v>59</v>
      </c>
      <c r="AJ426" s="64" t="str">
        <f>VLOOKUP(T426,'GL Name'!A:B,2,0)</f>
        <v>ต้นทุนขาย</v>
      </c>
      <c r="AL426" s="13">
        <f t="shared" si="26"/>
        <v>1019.16</v>
      </c>
      <c r="AM426" s="13" t="e">
        <f>VLOOKUP(I426,'Order 301-305 (เรียง)'!A:B,2,0)</f>
        <v>#N/A</v>
      </c>
      <c r="AN426" t="e">
        <f>VLOOKUP(I426,'Order 301-305 (เรียง)'!A:C,3,0)</f>
        <v>#N/A</v>
      </c>
    </row>
    <row r="427" spans="1:40" x14ac:dyDescent="0.3">
      <c r="A427" s="1" t="s">
        <v>81</v>
      </c>
      <c r="B427" s="1" t="s">
        <v>82</v>
      </c>
      <c r="C427" s="1" t="s">
        <v>64</v>
      </c>
      <c r="D427" s="1" t="s">
        <v>65</v>
      </c>
      <c r="E427" s="1" t="s">
        <v>66</v>
      </c>
      <c r="F427" s="1" t="s">
        <v>1216</v>
      </c>
      <c r="G427" s="1" t="s">
        <v>83</v>
      </c>
      <c r="H427" s="1" t="s">
        <v>989</v>
      </c>
      <c r="I427" s="1" t="s">
        <v>68</v>
      </c>
      <c r="J427" s="1" t="s">
        <v>1217</v>
      </c>
      <c r="K427" s="1" t="s">
        <v>118</v>
      </c>
      <c r="L427" s="1" t="s">
        <v>70</v>
      </c>
      <c r="M427" s="1" t="s">
        <v>68</v>
      </c>
      <c r="N427" s="1" t="s">
        <v>71</v>
      </c>
      <c r="O427" s="1" t="s">
        <v>68</v>
      </c>
      <c r="P427" s="1" t="s">
        <v>72</v>
      </c>
      <c r="Q427" s="1" t="s">
        <v>68</v>
      </c>
      <c r="R427" s="1" t="s">
        <v>68</v>
      </c>
      <c r="S427" s="1" t="s">
        <v>68</v>
      </c>
      <c r="T427" s="1" t="s">
        <v>73</v>
      </c>
      <c r="U427" s="1" t="s">
        <v>68</v>
      </c>
      <c r="V427" s="1" t="s">
        <v>68</v>
      </c>
      <c r="W427" s="1" t="s">
        <v>68</v>
      </c>
      <c r="X427" s="1" t="s">
        <v>1218</v>
      </c>
      <c r="Y427" s="73"/>
      <c r="Z427" s="2" t="s">
        <v>85</v>
      </c>
      <c r="AA427" s="3">
        <v>-705</v>
      </c>
      <c r="AB427" s="4">
        <v>-718507.8</v>
      </c>
      <c r="AC427" s="73">
        <v>46219</v>
      </c>
      <c r="AD427" s="73">
        <v>46219</v>
      </c>
      <c r="AE427" s="73"/>
      <c r="AF427" s="73">
        <v>46219</v>
      </c>
      <c r="AG427" s="3">
        <v>-2115000</v>
      </c>
      <c r="AH427" s="353" t="str">
        <f t="shared" si="24"/>
        <v/>
      </c>
      <c r="AI427" s="3" t="str">
        <f t="shared" si="25"/>
        <v>59</v>
      </c>
      <c r="AJ427" s="64" t="str">
        <f>VLOOKUP(T427,'GL Name'!A:B,2,0)</f>
        <v>ต้นทุนขาย</v>
      </c>
      <c r="AL427" s="13">
        <f t="shared" si="26"/>
        <v>1019.1600000000001</v>
      </c>
      <c r="AM427" s="13" t="e">
        <f>VLOOKUP(I427,'Order 301-305 (เรียง)'!A:B,2,0)</f>
        <v>#N/A</v>
      </c>
      <c r="AN427" t="e">
        <f>VLOOKUP(I427,'Order 301-305 (เรียง)'!A:C,3,0)</f>
        <v>#N/A</v>
      </c>
    </row>
    <row r="428" spans="1:40" x14ac:dyDescent="0.3">
      <c r="A428" s="1" t="s">
        <v>106</v>
      </c>
      <c r="B428" s="1" t="s">
        <v>107</v>
      </c>
      <c r="C428" s="1" t="s">
        <v>64</v>
      </c>
      <c r="D428" s="1" t="s">
        <v>125</v>
      </c>
      <c r="E428" s="1" t="s">
        <v>289</v>
      </c>
      <c r="F428" s="1" t="s">
        <v>1219</v>
      </c>
      <c r="G428" s="1" t="s">
        <v>103</v>
      </c>
      <c r="H428" s="1" t="s">
        <v>286</v>
      </c>
      <c r="I428" s="1" t="s">
        <v>68</v>
      </c>
      <c r="J428" s="1" t="s">
        <v>1220</v>
      </c>
      <c r="K428" s="1" t="s">
        <v>294</v>
      </c>
      <c r="L428" s="1" t="s">
        <v>111</v>
      </c>
      <c r="M428" s="1" t="s">
        <v>68</v>
      </c>
      <c r="N428" s="1" t="s">
        <v>71</v>
      </c>
      <c r="O428" s="1" t="s">
        <v>68</v>
      </c>
      <c r="P428" s="1" t="s">
        <v>72</v>
      </c>
      <c r="Q428" s="1" t="s">
        <v>68</v>
      </c>
      <c r="R428" s="1" t="s">
        <v>68</v>
      </c>
      <c r="S428" s="1" t="s">
        <v>68</v>
      </c>
      <c r="T428" s="1" t="s">
        <v>68</v>
      </c>
      <c r="U428" s="1" t="s">
        <v>68</v>
      </c>
      <c r="V428" s="1" t="s">
        <v>68</v>
      </c>
      <c r="W428" s="1" t="s">
        <v>68</v>
      </c>
      <c r="X428" s="1" t="s">
        <v>68</v>
      </c>
      <c r="Y428" s="73"/>
      <c r="Z428" s="2" t="s">
        <v>102</v>
      </c>
      <c r="AA428" s="3">
        <v>20000</v>
      </c>
      <c r="AB428" s="4">
        <v>0</v>
      </c>
      <c r="AC428" s="73">
        <v>46219</v>
      </c>
      <c r="AD428" s="73">
        <v>46219</v>
      </c>
      <c r="AE428" s="73"/>
      <c r="AF428" s="73">
        <v>46219</v>
      </c>
      <c r="AG428" s="3">
        <v>20000</v>
      </c>
      <c r="AH428" s="353" t="str">
        <f t="shared" si="24"/>
        <v/>
      </c>
      <c r="AI428" s="3" t="str">
        <f t="shared" si="25"/>
        <v>58</v>
      </c>
      <c r="AJ428" s="64" t="e">
        <f>VLOOKUP(T428,'GL Name'!A:B,2,0)</f>
        <v>#N/A</v>
      </c>
      <c r="AL428" s="13">
        <f t="shared" si="26"/>
        <v>0</v>
      </c>
      <c r="AM428" s="13" t="e">
        <f>VLOOKUP(I428,'Order 301-305 (เรียง)'!A:B,2,0)</f>
        <v>#N/A</v>
      </c>
      <c r="AN428" t="e">
        <f>VLOOKUP(I428,'Order 301-305 (เรียง)'!A:C,3,0)</f>
        <v>#N/A</v>
      </c>
    </row>
    <row r="429" spans="1:40" x14ac:dyDescent="0.3">
      <c r="A429" s="1" t="s">
        <v>106</v>
      </c>
      <c r="B429" s="1" t="s">
        <v>107</v>
      </c>
      <c r="C429" s="1" t="s">
        <v>64</v>
      </c>
      <c r="D429" s="1" t="s">
        <v>125</v>
      </c>
      <c r="E429" s="1" t="s">
        <v>289</v>
      </c>
      <c r="F429" s="1" t="s">
        <v>1219</v>
      </c>
      <c r="G429" s="1" t="s">
        <v>101</v>
      </c>
      <c r="H429" s="1" t="s">
        <v>286</v>
      </c>
      <c r="I429" s="1" t="s">
        <v>68</v>
      </c>
      <c r="J429" s="1" t="s">
        <v>1220</v>
      </c>
      <c r="K429" s="1" t="s">
        <v>294</v>
      </c>
      <c r="L429" s="1" t="s">
        <v>95</v>
      </c>
      <c r="M429" s="1" t="s">
        <v>68</v>
      </c>
      <c r="N429" s="1" t="s">
        <v>71</v>
      </c>
      <c r="O429" s="1" t="s">
        <v>68</v>
      </c>
      <c r="P429" s="1" t="s">
        <v>72</v>
      </c>
      <c r="Q429" s="1" t="s">
        <v>68</v>
      </c>
      <c r="R429" s="1" t="s">
        <v>68</v>
      </c>
      <c r="S429" s="1" t="s">
        <v>68</v>
      </c>
      <c r="T429" s="1" t="s">
        <v>68</v>
      </c>
      <c r="U429" s="1" t="s">
        <v>68</v>
      </c>
      <c r="V429" s="1" t="s">
        <v>68</v>
      </c>
      <c r="W429" s="1" t="s">
        <v>68</v>
      </c>
      <c r="X429" s="1" t="s">
        <v>68</v>
      </c>
      <c r="Y429" s="73"/>
      <c r="Z429" s="2" t="s">
        <v>102</v>
      </c>
      <c r="AA429" s="3">
        <v>-20000</v>
      </c>
      <c r="AB429" s="4">
        <v>0</v>
      </c>
      <c r="AC429" s="73">
        <v>46219</v>
      </c>
      <c r="AD429" s="73">
        <v>46219</v>
      </c>
      <c r="AE429" s="73"/>
      <c r="AF429" s="73">
        <v>46219</v>
      </c>
      <c r="AG429" s="3">
        <v>-20000</v>
      </c>
      <c r="AH429" s="353" t="str">
        <f t="shared" ref="AH429:AH450" si="27">LEFT(I429,3)</f>
        <v/>
      </c>
      <c r="AI429" s="3" t="str">
        <f t="shared" ref="AI429:AI450" si="28">LEFT(A429,2)</f>
        <v>58</v>
      </c>
      <c r="AJ429" s="64" t="e">
        <f>VLOOKUP(T429,'GL Name'!A:B,2,0)</f>
        <v>#N/A</v>
      </c>
      <c r="AL429" s="13">
        <f t="shared" ref="AL429:AL450" si="29">AB429/AA429</f>
        <v>0</v>
      </c>
      <c r="AM429" s="13" t="e">
        <f>VLOOKUP(I429,'Order 301-305 (เรียง)'!A:B,2,0)</f>
        <v>#N/A</v>
      </c>
      <c r="AN429" t="e">
        <f>VLOOKUP(I429,'Order 301-305 (เรียง)'!A:C,3,0)</f>
        <v>#N/A</v>
      </c>
    </row>
    <row r="430" spans="1:40" x14ac:dyDescent="0.3">
      <c r="A430" s="1" t="s">
        <v>119</v>
      </c>
      <c r="B430" s="1" t="s">
        <v>120</v>
      </c>
      <c r="C430" s="1" t="s">
        <v>64</v>
      </c>
      <c r="D430" s="1" t="s">
        <v>125</v>
      </c>
      <c r="E430" s="1" t="s">
        <v>289</v>
      </c>
      <c r="F430" s="1" t="s">
        <v>1219</v>
      </c>
      <c r="G430" s="1" t="s">
        <v>101</v>
      </c>
      <c r="H430" s="1" t="s">
        <v>316</v>
      </c>
      <c r="I430" s="1" t="s">
        <v>68</v>
      </c>
      <c r="J430" s="1" t="s">
        <v>1220</v>
      </c>
      <c r="K430" s="1" t="s">
        <v>294</v>
      </c>
      <c r="L430" s="1" t="s">
        <v>92</v>
      </c>
      <c r="M430" s="1" t="s">
        <v>68</v>
      </c>
      <c r="N430" s="1" t="s">
        <v>71</v>
      </c>
      <c r="O430" s="1" t="s">
        <v>68</v>
      </c>
      <c r="P430" s="1" t="s">
        <v>72</v>
      </c>
      <c r="Q430" s="1" t="s">
        <v>68</v>
      </c>
      <c r="R430" s="1" t="s">
        <v>68</v>
      </c>
      <c r="S430" s="1" t="s">
        <v>68</v>
      </c>
      <c r="T430" s="1" t="s">
        <v>68</v>
      </c>
      <c r="U430" s="1" t="s">
        <v>68</v>
      </c>
      <c r="V430" s="1" t="s">
        <v>68</v>
      </c>
      <c r="W430" s="1" t="s">
        <v>68</v>
      </c>
      <c r="X430" s="1" t="s">
        <v>68</v>
      </c>
      <c r="Y430" s="73"/>
      <c r="Z430" s="2" t="s">
        <v>102</v>
      </c>
      <c r="AA430" s="3">
        <v>-24000</v>
      </c>
      <c r="AB430" s="4">
        <v>0</v>
      </c>
      <c r="AC430" s="73">
        <v>46219</v>
      </c>
      <c r="AD430" s="73">
        <v>46219</v>
      </c>
      <c r="AE430" s="73"/>
      <c r="AF430" s="73">
        <v>46219</v>
      </c>
      <c r="AG430" s="3">
        <v>-24000</v>
      </c>
      <c r="AH430" s="353" t="str">
        <f t="shared" si="27"/>
        <v/>
      </c>
      <c r="AI430" s="3" t="str">
        <f t="shared" si="28"/>
        <v>58</v>
      </c>
      <c r="AJ430" s="64" t="e">
        <f>VLOOKUP(T430,'GL Name'!A:B,2,0)</f>
        <v>#N/A</v>
      </c>
      <c r="AL430" s="13">
        <f t="shared" si="29"/>
        <v>0</v>
      </c>
      <c r="AM430" s="13" t="e">
        <f>VLOOKUP(I430,'Order 301-305 (เรียง)'!A:B,2,0)</f>
        <v>#N/A</v>
      </c>
      <c r="AN430" t="e">
        <f>VLOOKUP(I430,'Order 301-305 (เรียง)'!A:C,3,0)</f>
        <v>#N/A</v>
      </c>
    </row>
    <row r="431" spans="1:40" x14ac:dyDescent="0.3">
      <c r="A431" s="1" t="s">
        <v>119</v>
      </c>
      <c r="B431" s="1" t="s">
        <v>120</v>
      </c>
      <c r="C431" s="1" t="s">
        <v>64</v>
      </c>
      <c r="D431" s="1" t="s">
        <v>125</v>
      </c>
      <c r="E431" s="1" t="s">
        <v>289</v>
      </c>
      <c r="F431" s="1" t="s">
        <v>1219</v>
      </c>
      <c r="G431" s="1" t="s">
        <v>103</v>
      </c>
      <c r="H431" s="1" t="s">
        <v>316</v>
      </c>
      <c r="I431" s="1" t="s">
        <v>68</v>
      </c>
      <c r="J431" s="1" t="s">
        <v>1220</v>
      </c>
      <c r="K431" s="1" t="s">
        <v>294</v>
      </c>
      <c r="L431" s="1" t="s">
        <v>89</v>
      </c>
      <c r="M431" s="1" t="s">
        <v>68</v>
      </c>
      <c r="N431" s="1" t="s">
        <v>71</v>
      </c>
      <c r="O431" s="1" t="s">
        <v>68</v>
      </c>
      <c r="P431" s="1" t="s">
        <v>72</v>
      </c>
      <c r="Q431" s="1" t="s">
        <v>68</v>
      </c>
      <c r="R431" s="1" t="s">
        <v>68</v>
      </c>
      <c r="S431" s="1" t="s">
        <v>68</v>
      </c>
      <c r="T431" s="1" t="s">
        <v>68</v>
      </c>
      <c r="U431" s="1" t="s">
        <v>68</v>
      </c>
      <c r="V431" s="1" t="s">
        <v>68</v>
      </c>
      <c r="W431" s="1" t="s">
        <v>68</v>
      </c>
      <c r="X431" s="1" t="s">
        <v>68</v>
      </c>
      <c r="Y431" s="73"/>
      <c r="Z431" s="2" t="s">
        <v>102</v>
      </c>
      <c r="AA431" s="3">
        <v>24000</v>
      </c>
      <c r="AB431" s="4">
        <v>0</v>
      </c>
      <c r="AC431" s="73">
        <v>46219</v>
      </c>
      <c r="AD431" s="73">
        <v>46219</v>
      </c>
      <c r="AE431" s="73"/>
      <c r="AF431" s="73">
        <v>46219</v>
      </c>
      <c r="AG431" s="3">
        <v>24000</v>
      </c>
      <c r="AH431" s="353" t="str">
        <f t="shared" si="27"/>
        <v/>
      </c>
      <c r="AI431" s="3" t="str">
        <f t="shared" si="28"/>
        <v>58</v>
      </c>
      <c r="AJ431" s="64" t="e">
        <f>VLOOKUP(T431,'GL Name'!A:B,2,0)</f>
        <v>#N/A</v>
      </c>
      <c r="AL431" s="13">
        <f t="shared" si="29"/>
        <v>0</v>
      </c>
      <c r="AM431" s="13" t="e">
        <f>VLOOKUP(I431,'Order 301-305 (เรียง)'!A:B,2,0)</f>
        <v>#N/A</v>
      </c>
      <c r="AN431" t="e">
        <f>VLOOKUP(I431,'Order 301-305 (เรียง)'!A:C,3,0)</f>
        <v>#N/A</v>
      </c>
    </row>
    <row r="432" spans="1:40" x14ac:dyDescent="0.3">
      <c r="A432" s="1" t="s">
        <v>121</v>
      </c>
      <c r="B432" s="1" t="s">
        <v>122</v>
      </c>
      <c r="C432" s="1" t="s">
        <v>64</v>
      </c>
      <c r="D432" s="1" t="s">
        <v>125</v>
      </c>
      <c r="E432" s="1" t="s">
        <v>289</v>
      </c>
      <c r="F432" s="1" t="s">
        <v>1219</v>
      </c>
      <c r="G432" s="1" t="s">
        <v>101</v>
      </c>
      <c r="H432" s="1" t="s">
        <v>704</v>
      </c>
      <c r="I432" s="1" t="s">
        <v>68</v>
      </c>
      <c r="J432" s="1" t="s">
        <v>1220</v>
      </c>
      <c r="K432" s="1" t="s">
        <v>294</v>
      </c>
      <c r="L432" s="1" t="s">
        <v>70</v>
      </c>
      <c r="M432" s="1" t="s">
        <v>68</v>
      </c>
      <c r="N432" s="1" t="s">
        <v>71</v>
      </c>
      <c r="O432" s="1" t="s">
        <v>68</v>
      </c>
      <c r="P432" s="1" t="s">
        <v>72</v>
      </c>
      <c r="Q432" s="1" t="s">
        <v>68</v>
      </c>
      <c r="R432" s="1" t="s">
        <v>68</v>
      </c>
      <c r="S432" s="1" t="s">
        <v>68</v>
      </c>
      <c r="T432" s="1" t="s">
        <v>68</v>
      </c>
      <c r="U432" s="1" t="s">
        <v>68</v>
      </c>
      <c r="V432" s="1" t="s">
        <v>68</v>
      </c>
      <c r="W432" s="1" t="s">
        <v>68</v>
      </c>
      <c r="X432" s="1" t="s">
        <v>68</v>
      </c>
      <c r="Y432" s="73"/>
      <c r="Z432" s="2" t="s">
        <v>102</v>
      </c>
      <c r="AA432" s="3">
        <v>-2000</v>
      </c>
      <c r="AB432" s="4">
        <v>0</v>
      </c>
      <c r="AC432" s="73">
        <v>46219</v>
      </c>
      <c r="AD432" s="73">
        <v>46219</v>
      </c>
      <c r="AE432" s="73"/>
      <c r="AF432" s="73">
        <v>46219</v>
      </c>
      <c r="AG432" s="3">
        <v>-2000</v>
      </c>
      <c r="AH432" s="353" t="str">
        <f t="shared" si="27"/>
        <v/>
      </c>
      <c r="AI432" s="3" t="str">
        <f t="shared" si="28"/>
        <v>58</v>
      </c>
      <c r="AJ432" s="64" t="e">
        <f>VLOOKUP(T432,'GL Name'!A:B,2,0)</f>
        <v>#N/A</v>
      </c>
      <c r="AL432" s="13">
        <f t="shared" si="29"/>
        <v>0</v>
      </c>
      <c r="AM432" s="13" t="e">
        <f>VLOOKUP(I432,'Order 301-305 (เรียง)'!A:B,2,0)</f>
        <v>#N/A</v>
      </c>
      <c r="AN432" t="e">
        <f>VLOOKUP(I432,'Order 301-305 (เรียง)'!A:C,3,0)</f>
        <v>#N/A</v>
      </c>
    </row>
    <row r="433" spans="1:40" x14ac:dyDescent="0.3">
      <c r="A433" s="1" t="s">
        <v>121</v>
      </c>
      <c r="B433" s="1" t="s">
        <v>122</v>
      </c>
      <c r="C433" s="1" t="s">
        <v>64</v>
      </c>
      <c r="D433" s="1" t="s">
        <v>125</v>
      </c>
      <c r="E433" s="1" t="s">
        <v>289</v>
      </c>
      <c r="F433" s="1" t="s">
        <v>1219</v>
      </c>
      <c r="G433" s="1" t="s">
        <v>103</v>
      </c>
      <c r="H433" s="1" t="s">
        <v>704</v>
      </c>
      <c r="I433" s="1" t="s">
        <v>68</v>
      </c>
      <c r="J433" s="1" t="s">
        <v>1220</v>
      </c>
      <c r="K433" s="1" t="s">
        <v>294</v>
      </c>
      <c r="L433" s="1" t="s">
        <v>86</v>
      </c>
      <c r="M433" s="1" t="s">
        <v>68</v>
      </c>
      <c r="N433" s="1" t="s">
        <v>71</v>
      </c>
      <c r="O433" s="1" t="s">
        <v>68</v>
      </c>
      <c r="P433" s="1" t="s">
        <v>72</v>
      </c>
      <c r="Q433" s="1" t="s">
        <v>68</v>
      </c>
      <c r="R433" s="1" t="s">
        <v>68</v>
      </c>
      <c r="S433" s="1" t="s">
        <v>68</v>
      </c>
      <c r="T433" s="1" t="s">
        <v>68</v>
      </c>
      <c r="U433" s="1" t="s">
        <v>68</v>
      </c>
      <c r="V433" s="1" t="s">
        <v>68</v>
      </c>
      <c r="W433" s="1" t="s">
        <v>68</v>
      </c>
      <c r="X433" s="1" t="s">
        <v>68</v>
      </c>
      <c r="Y433" s="73"/>
      <c r="Z433" s="2" t="s">
        <v>102</v>
      </c>
      <c r="AA433" s="3">
        <v>2000</v>
      </c>
      <c r="AB433" s="4">
        <v>0</v>
      </c>
      <c r="AC433" s="73">
        <v>46219</v>
      </c>
      <c r="AD433" s="73">
        <v>46219</v>
      </c>
      <c r="AE433" s="73"/>
      <c r="AF433" s="73">
        <v>46219</v>
      </c>
      <c r="AG433" s="3">
        <v>2000</v>
      </c>
      <c r="AH433" s="353" t="str">
        <f t="shared" si="27"/>
        <v/>
      </c>
      <c r="AI433" s="3" t="str">
        <f t="shared" si="28"/>
        <v>58</v>
      </c>
      <c r="AJ433" s="64" t="e">
        <f>VLOOKUP(T433,'GL Name'!A:B,2,0)</f>
        <v>#N/A</v>
      </c>
      <c r="AL433" s="13">
        <f t="shared" si="29"/>
        <v>0</v>
      </c>
      <c r="AM433" s="13" t="e">
        <f>VLOOKUP(I433,'Order 301-305 (เรียง)'!A:B,2,0)</f>
        <v>#N/A</v>
      </c>
      <c r="AN433" t="e">
        <f>VLOOKUP(I433,'Order 301-305 (เรียง)'!A:C,3,0)</f>
        <v>#N/A</v>
      </c>
    </row>
    <row r="434" spans="1:40" x14ac:dyDescent="0.3">
      <c r="A434" s="1" t="s">
        <v>81</v>
      </c>
      <c r="B434" s="1" t="s">
        <v>82</v>
      </c>
      <c r="C434" s="1" t="s">
        <v>64</v>
      </c>
      <c r="D434" s="1" t="s">
        <v>87</v>
      </c>
      <c r="E434" s="1" t="s">
        <v>88</v>
      </c>
      <c r="F434" s="1" t="s">
        <v>1221</v>
      </c>
      <c r="G434" s="1" t="s">
        <v>83</v>
      </c>
      <c r="H434" s="1" t="s">
        <v>655</v>
      </c>
      <c r="I434" s="1" t="s">
        <v>68</v>
      </c>
      <c r="J434" s="1" t="s">
        <v>1222</v>
      </c>
      <c r="K434" s="1" t="s">
        <v>118</v>
      </c>
      <c r="L434" s="1" t="s">
        <v>86</v>
      </c>
      <c r="M434" s="1" t="s">
        <v>68</v>
      </c>
      <c r="N434" s="1" t="s">
        <v>71</v>
      </c>
      <c r="O434" s="1" t="s">
        <v>68</v>
      </c>
      <c r="P434" s="1" t="s">
        <v>1223</v>
      </c>
      <c r="Q434" s="1" t="s">
        <v>68</v>
      </c>
      <c r="R434" s="1" t="s">
        <v>308</v>
      </c>
      <c r="S434" s="1" t="s">
        <v>90</v>
      </c>
      <c r="T434" s="1" t="s">
        <v>91</v>
      </c>
      <c r="U434" s="1" t="s">
        <v>68</v>
      </c>
      <c r="V434" s="1" t="s">
        <v>68</v>
      </c>
      <c r="W434" s="1" t="s">
        <v>68</v>
      </c>
      <c r="X434" s="1" t="s">
        <v>68</v>
      </c>
      <c r="Y434" s="73"/>
      <c r="Z434" s="2" t="s">
        <v>74</v>
      </c>
      <c r="AA434" s="3">
        <v>-1</v>
      </c>
      <c r="AB434" s="4">
        <v>-169.86</v>
      </c>
      <c r="AC434" s="73">
        <v>46221</v>
      </c>
      <c r="AD434" s="73">
        <v>46221</v>
      </c>
      <c r="AE434" s="73"/>
      <c r="AF434" s="73">
        <v>46219</v>
      </c>
      <c r="AG434" s="3">
        <v>-500</v>
      </c>
      <c r="AH434" s="353" t="str">
        <f t="shared" si="27"/>
        <v/>
      </c>
      <c r="AI434" s="3" t="str">
        <f t="shared" si="28"/>
        <v>59</v>
      </c>
      <c r="AJ434" s="64" t="str">
        <f>VLOOKUP(T434,'GL Name'!A:B,2,0)</f>
        <v>ค่าวิจัยคุณภาพสินค้า</v>
      </c>
      <c r="AL434" s="13">
        <f t="shared" si="29"/>
        <v>169.86</v>
      </c>
      <c r="AM434" s="13" t="e">
        <f>VLOOKUP(I434,'Order 301-305 (เรียง)'!A:B,2,0)</f>
        <v>#N/A</v>
      </c>
      <c r="AN434" t="e">
        <f>VLOOKUP(I434,'Order 301-305 (เรียง)'!A:C,3,0)</f>
        <v>#N/A</v>
      </c>
    </row>
    <row r="435" spans="1:40" x14ac:dyDescent="0.3">
      <c r="A435" s="1" t="s">
        <v>81</v>
      </c>
      <c r="B435" s="1" t="s">
        <v>82</v>
      </c>
      <c r="C435" s="1" t="s">
        <v>64</v>
      </c>
      <c r="D435" s="1" t="s">
        <v>87</v>
      </c>
      <c r="E435" s="1" t="s">
        <v>88</v>
      </c>
      <c r="F435" s="1" t="s">
        <v>1221</v>
      </c>
      <c r="G435" s="1" t="s">
        <v>83</v>
      </c>
      <c r="H435" s="1" t="s">
        <v>617</v>
      </c>
      <c r="I435" s="1" t="s">
        <v>68</v>
      </c>
      <c r="J435" s="1" t="s">
        <v>1222</v>
      </c>
      <c r="K435" s="1" t="s">
        <v>118</v>
      </c>
      <c r="L435" s="1" t="s">
        <v>70</v>
      </c>
      <c r="M435" s="1" t="s">
        <v>68</v>
      </c>
      <c r="N435" s="1" t="s">
        <v>71</v>
      </c>
      <c r="O435" s="1" t="s">
        <v>68</v>
      </c>
      <c r="P435" s="1" t="s">
        <v>1223</v>
      </c>
      <c r="Q435" s="1" t="s">
        <v>68</v>
      </c>
      <c r="R435" s="1" t="s">
        <v>308</v>
      </c>
      <c r="S435" s="1" t="s">
        <v>90</v>
      </c>
      <c r="T435" s="1" t="s">
        <v>91</v>
      </c>
      <c r="U435" s="1" t="s">
        <v>68</v>
      </c>
      <c r="V435" s="1" t="s">
        <v>68</v>
      </c>
      <c r="W435" s="1" t="s">
        <v>68</v>
      </c>
      <c r="X435" s="1" t="s">
        <v>68</v>
      </c>
      <c r="Y435" s="73"/>
      <c r="Z435" s="2" t="s">
        <v>74</v>
      </c>
      <c r="AA435" s="3">
        <v>-1</v>
      </c>
      <c r="AB435" s="4">
        <v>-169.86</v>
      </c>
      <c r="AC435" s="73">
        <v>46221</v>
      </c>
      <c r="AD435" s="73">
        <v>46221</v>
      </c>
      <c r="AE435" s="73"/>
      <c r="AF435" s="73">
        <v>46219</v>
      </c>
      <c r="AG435" s="3">
        <v>-500</v>
      </c>
      <c r="AH435" s="353" t="str">
        <f t="shared" si="27"/>
        <v/>
      </c>
      <c r="AI435" s="3" t="str">
        <f t="shared" si="28"/>
        <v>59</v>
      </c>
      <c r="AJ435" s="64" t="str">
        <f>VLOOKUP(T435,'GL Name'!A:B,2,0)</f>
        <v>ค่าวิจัยคุณภาพสินค้า</v>
      </c>
      <c r="AL435" s="13">
        <f t="shared" si="29"/>
        <v>169.86</v>
      </c>
      <c r="AM435" s="13" t="e">
        <f>VLOOKUP(I435,'Order 301-305 (เรียง)'!A:B,2,0)</f>
        <v>#N/A</v>
      </c>
      <c r="AN435" t="e">
        <f>VLOOKUP(I435,'Order 301-305 (เรียง)'!A:C,3,0)</f>
        <v>#N/A</v>
      </c>
    </row>
    <row r="436" spans="1:40" x14ac:dyDescent="0.3">
      <c r="A436" s="1" t="s">
        <v>62</v>
      </c>
      <c r="B436" s="1" t="s">
        <v>63</v>
      </c>
      <c r="C436" s="1" t="s">
        <v>64</v>
      </c>
      <c r="D436" s="1" t="s">
        <v>1172</v>
      </c>
      <c r="E436" s="1" t="s">
        <v>1173</v>
      </c>
      <c r="F436" s="1" t="s">
        <v>1224</v>
      </c>
      <c r="G436" s="1" t="s">
        <v>67</v>
      </c>
      <c r="H436" s="1" t="s">
        <v>281</v>
      </c>
      <c r="I436" s="1" t="s">
        <v>68</v>
      </c>
      <c r="J436" s="1" t="s">
        <v>1225</v>
      </c>
      <c r="K436" s="1" t="s">
        <v>69</v>
      </c>
      <c r="L436" s="1" t="s">
        <v>92</v>
      </c>
      <c r="M436" s="1" t="s">
        <v>68</v>
      </c>
      <c r="N436" s="1" t="s">
        <v>71</v>
      </c>
      <c r="O436" s="1" t="s">
        <v>68</v>
      </c>
      <c r="P436" s="1" t="s">
        <v>1226</v>
      </c>
      <c r="Q436" s="1" t="s">
        <v>68</v>
      </c>
      <c r="R436" s="1" t="s">
        <v>1227</v>
      </c>
      <c r="S436" s="1" t="s">
        <v>1228</v>
      </c>
      <c r="T436" s="1" t="s">
        <v>1229</v>
      </c>
      <c r="U436" s="1" t="s">
        <v>68</v>
      </c>
      <c r="V436" s="1" t="s">
        <v>68</v>
      </c>
      <c r="W436" s="1" t="s">
        <v>68</v>
      </c>
      <c r="X436" s="1" t="s">
        <v>68</v>
      </c>
      <c r="Y436" s="73"/>
      <c r="Z436" s="2" t="s">
        <v>74</v>
      </c>
      <c r="AA436" s="3">
        <v>-1</v>
      </c>
      <c r="AB436" s="4">
        <v>-169.82</v>
      </c>
      <c r="AC436" s="73">
        <v>46219</v>
      </c>
      <c r="AD436" s="73">
        <v>46219</v>
      </c>
      <c r="AE436" s="73"/>
      <c r="AF436" s="73">
        <v>46219</v>
      </c>
      <c r="AG436" s="3">
        <v>-500</v>
      </c>
      <c r="AH436" s="353" t="str">
        <f t="shared" si="27"/>
        <v/>
      </c>
      <c r="AI436" s="3" t="str">
        <f t="shared" si="28"/>
        <v>59</v>
      </c>
      <c r="AJ436" s="64" t="e">
        <f>VLOOKUP(T436,'GL Name'!A:B,2,0)</f>
        <v>#N/A</v>
      </c>
      <c r="AL436" s="13">
        <f t="shared" si="29"/>
        <v>169.82</v>
      </c>
      <c r="AM436" s="13" t="e">
        <f>VLOOKUP(I436,'Order 301-305 (เรียง)'!A:B,2,0)</f>
        <v>#N/A</v>
      </c>
      <c r="AN436" t="e">
        <f>VLOOKUP(I436,'Order 301-305 (เรียง)'!A:C,3,0)</f>
        <v>#N/A</v>
      </c>
    </row>
    <row r="437" spans="1:40" x14ac:dyDescent="0.3">
      <c r="A437" s="1" t="s">
        <v>644</v>
      </c>
      <c r="B437" s="1" t="s">
        <v>645</v>
      </c>
      <c r="C437" s="1" t="s">
        <v>64</v>
      </c>
      <c r="D437" s="1" t="s">
        <v>1172</v>
      </c>
      <c r="E437" s="1" t="s">
        <v>1173</v>
      </c>
      <c r="F437" s="1" t="s">
        <v>1224</v>
      </c>
      <c r="G437" s="1" t="s">
        <v>67</v>
      </c>
      <c r="H437" s="1" t="s">
        <v>638</v>
      </c>
      <c r="I437" s="1" t="s">
        <v>68</v>
      </c>
      <c r="J437" s="1" t="s">
        <v>1225</v>
      </c>
      <c r="K437" s="1" t="s">
        <v>69</v>
      </c>
      <c r="L437" s="1" t="s">
        <v>70</v>
      </c>
      <c r="M437" s="1" t="s">
        <v>68</v>
      </c>
      <c r="N437" s="1" t="s">
        <v>71</v>
      </c>
      <c r="O437" s="1" t="s">
        <v>68</v>
      </c>
      <c r="P437" s="1" t="s">
        <v>1226</v>
      </c>
      <c r="Q437" s="1" t="s">
        <v>68</v>
      </c>
      <c r="R437" s="1" t="s">
        <v>1227</v>
      </c>
      <c r="S437" s="1" t="s">
        <v>1228</v>
      </c>
      <c r="T437" s="1" t="s">
        <v>1229</v>
      </c>
      <c r="U437" s="1" t="s">
        <v>68</v>
      </c>
      <c r="V437" s="1" t="s">
        <v>68</v>
      </c>
      <c r="W437" s="1" t="s">
        <v>68</v>
      </c>
      <c r="X437" s="1" t="s">
        <v>68</v>
      </c>
      <c r="Y437" s="73"/>
      <c r="Z437" s="2" t="s">
        <v>74</v>
      </c>
      <c r="AA437" s="3">
        <v>-2</v>
      </c>
      <c r="AB437" s="4">
        <v>-370.04</v>
      </c>
      <c r="AC437" s="73">
        <v>46219</v>
      </c>
      <c r="AD437" s="73">
        <v>46219</v>
      </c>
      <c r="AE437" s="73"/>
      <c r="AF437" s="73">
        <v>46219</v>
      </c>
      <c r="AG437" s="3">
        <v>-1000</v>
      </c>
      <c r="AH437" s="353" t="str">
        <f t="shared" si="27"/>
        <v/>
      </c>
      <c r="AI437" s="3" t="str">
        <f t="shared" si="28"/>
        <v>59</v>
      </c>
      <c r="AJ437" s="64" t="e">
        <f>VLOOKUP(T437,'GL Name'!A:B,2,0)</f>
        <v>#N/A</v>
      </c>
      <c r="AL437" s="13">
        <f t="shared" si="29"/>
        <v>185.02</v>
      </c>
      <c r="AM437" s="13" t="e">
        <f>VLOOKUP(I437,'Order 301-305 (เรียง)'!A:B,2,0)</f>
        <v>#N/A</v>
      </c>
      <c r="AN437" t="e">
        <f>VLOOKUP(I437,'Order 301-305 (เรียง)'!A:C,3,0)</f>
        <v>#N/A</v>
      </c>
    </row>
    <row r="438" spans="1:40" x14ac:dyDescent="0.3">
      <c r="A438" s="1" t="s">
        <v>260</v>
      </c>
      <c r="B438" s="1" t="s">
        <v>261</v>
      </c>
      <c r="C438" s="1" t="s">
        <v>64</v>
      </c>
      <c r="D438" s="1" t="s">
        <v>1172</v>
      </c>
      <c r="E438" s="1" t="s">
        <v>1173</v>
      </c>
      <c r="F438" s="1" t="s">
        <v>1224</v>
      </c>
      <c r="G438" s="1" t="s">
        <v>67</v>
      </c>
      <c r="H438" s="1" t="s">
        <v>1230</v>
      </c>
      <c r="I438" s="1" t="s">
        <v>68</v>
      </c>
      <c r="J438" s="1" t="s">
        <v>1225</v>
      </c>
      <c r="K438" s="1" t="s">
        <v>69</v>
      </c>
      <c r="L438" s="1" t="s">
        <v>86</v>
      </c>
      <c r="M438" s="1" t="s">
        <v>68</v>
      </c>
      <c r="N438" s="1" t="s">
        <v>71</v>
      </c>
      <c r="O438" s="1" t="s">
        <v>68</v>
      </c>
      <c r="P438" s="1" t="s">
        <v>1226</v>
      </c>
      <c r="Q438" s="1" t="s">
        <v>68</v>
      </c>
      <c r="R438" s="1" t="s">
        <v>1227</v>
      </c>
      <c r="S438" s="1" t="s">
        <v>1228</v>
      </c>
      <c r="T438" s="1" t="s">
        <v>1229</v>
      </c>
      <c r="U438" s="1" t="s">
        <v>68</v>
      </c>
      <c r="V438" s="1" t="s">
        <v>68</v>
      </c>
      <c r="W438" s="1" t="s">
        <v>68</v>
      </c>
      <c r="X438" s="1" t="s">
        <v>68</v>
      </c>
      <c r="Y438" s="73"/>
      <c r="Z438" s="2" t="s">
        <v>74</v>
      </c>
      <c r="AA438" s="3">
        <v>-1</v>
      </c>
      <c r="AB438" s="4">
        <v>-189.99</v>
      </c>
      <c r="AC438" s="73">
        <v>46219</v>
      </c>
      <c r="AD438" s="73">
        <v>46219</v>
      </c>
      <c r="AE438" s="73"/>
      <c r="AF438" s="73">
        <v>46219</v>
      </c>
      <c r="AG438" s="3">
        <v>-500</v>
      </c>
      <c r="AH438" s="353" t="str">
        <f t="shared" si="27"/>
        <v/>
      </c>
      <c r="AI438" s="3" t="str">
        <f t="shared" si="28"/>
        <v>59</v>
      </c>
      <c r="AJ438" s="64" t="e">
        <f>VLOOKUP(T438,'GL Name'!A:B,2,0)</f>
        <v>#N/A</v>
      </c>
      <c r="AL438" s="13">
        <f t="shared" si="29"/>
        <v>189.99</v>
      </c>
      <c r="AM438" s="13" t="e">
        <f>VLOOKUP(I438,'Order 301-305 (เรียง)'!A:B,2,0)</f>
        <v>#N/A</v>
      </c>
      <c r="AN438" t="e">
        <f>VLOOKUP(I438,'Order 301-305 (เรียง)'!A:C,3,0)</f>
        <v>#N/A</v>
      </c>
    </row>
    <row r="439" spans="1:40" x14ac:dyDescent="0.3">
      <c r="A439" s="1" t="s">
        <v>9</v>
      </c>
      <c r="B439" s="1" t="s">
        <v>10</v>
      </c>
      <c r="C439" s="1" t="s">
        <v>64</v>
      </c>
      <c r="D439" s="1" t="s">
        <v>93</v>
      </c>
      <c r="E439" s="1" t="s">
        <v>94</v>
      </c>
      <c r="F439" s="1" t="s">
        <v>1231</v>
      </c>
      <c r="G439" s="1" t="s">
        <v>278</v>
      </c>
      <c r="H439" s="1" t="s">
        <v>561</v>
      </c>
      <c r="I439" s="1" t="s">
        <v>68</v>
      </c>
      <c r="J439" s="1" t="s">
        <v>1232</v>
      </c>
      <c r="K439" s="1" t="s">
        <v>223</v>
      </c>
      <c r="L439" s="1" t="s">
        <v>89</v>
      </c>
      <c r="M439" s="1" t="s">
        <v>68</v>
      </c>
      <c r="N439" s="1" t="s">
        <v>71</v>
      </c>
      <c r="O439" s="1" t="s">
        <v>68</v>
      </c>
      <c r="P439" s="1" t="s">
        <v>72</v>
      </c>
      <c r="Q439" s="1" t="s">
        <v>68</v>
      </c>
      <c r="R439" s="1" t="s">
        <v>68</v>
      </c>
      <c r="S439" s="1" t="s">
        <v>68</v>
      </c>
      <c r="T439" s="1" t="s">
        <v>68</v>
      </c>
      <c r="U439" s="1" t="s">
        <v>68</v>
      </c>
      <c r="V439" s="1" t="s">
        <v>68</v>
      </c>
      <c r="W439" s="1" t="s">
        <v>68</v>
      </c>
      <c r="X439" s="1" t="s">
        <v>68</v>
      </c>
      <c r="Y439" s="73"/>
      <c r="Z439" s="2" t="s">
        <v>80</v>
      </c>
      <c r="AA439" s="3">
        <v>15064.9</v>
      </c>
      <c r="AB439" s="4">
        <v>0</v>
      </c>
      <c r="AC439" s="73">
        <v>46219</v>
      </c>
      <c r="AD439" s="73">
        <v>46219</v>
      </c>
      <c r="AE439" s="73"/>
      <c r="AF439" s="73">
        <v>46219</v>
      </c>
      <c r="AG439" s="3">
        <v>15064900</v>
      </c>
      <c r="AH439" s="353" t="str">
        <f t="shared" si="27"/>
        <v/>
      </c>
      <c r="AI439" s="3" t="str">
        <f t="shared" si="28"/>
        <v>54</v>
      </c>
      <c r="AJ439" s="64" t="e">
        <f>VLOOKUP(T439,'GL Name'!A:B,2,0)</f>
        <v>#N/A</v>
      </c>
      <c r="AL439" s="13">
        <f t="shared" si="29"/>
        <v>0</v>
      </c>
      <c r="AM439" s="13" t="e">
        <f>VLOOKUP(I439,'Order 301-305 (เรียง)'!A:B,2,0)</f>
        <v>#N/A</v>
      </c>
      <c r="AN439" t="e">
        <f>VLOOKUP(I439,'Order 301-305 (เรียง)'!A:C,3,0)</f>
        <v>#N/A</v>
      </c>
    </row>
    <row r="440" spans="1:40" x14ac:dyDescent="0.3">
      <c r="A440" s="1" t="s">
        <v>9</v>
      </c>
      <c r="B440" s="1" t="s">
        <v>10</v>
      </c>
      <c r="C440" s="1" t="s">
        <v>64</v>
      </c>
      <c r="D440" s="1" t="s">
        <v>93</v>
      </c>
      <c r="E440" s="1" t="s">
        <v>94</v>
      </c>
      <c r="F440" s="1" t="s">
        <v>1231</v>
      </c>
      <c r="G440" s="1" t="s">
        <v>232</v>
      </c>
      <c r="H440" s="1" t="s">
        <v>561</v>
      </c>
      <c r="I440" s="1" t="s">
        <v>68</v>
      </c>
      <c r="J440" s="1" t="s">
        <v>1232</v>
      </c>
      <c r="K440" s="1" t="s">
        <v>223</v>
      </c>
      <c r="L440" s="1" t="s">
        <v>92</v>
      </c>
      <c r="M440" s="1" t="s">
        <v>68</v>
      </c>
      <c r="N440" s="1" t="s">
        <v>71</v>
      </c>
      <c r="O440" s="1" t="s">
        <v>68</v>
      </c>
      <c r="P440" s="1" t="s">
        <v>72</v>
      </c>
      <c r="Q440" s="1" t="s">
        <v>68</v>
      </c>
      <c r="R440" s="1" t="s">
        <v>68</v>
      </c>
      <c r="S440" s="1" t="s">
        <v>68</v>
      </c>
      <c r="T440" s="1" t="s">
        <v>68</v>
      </c>
      <c r="U440" s="1" t="s">
        <v>68</v>
      </c>
      <c r="V440" s="1" t="s">
        <v>68</v>
      </c>
      <c r="W440" s="1" t="s">
        <v>68</v>
      </c>
      <c r="X440" s="1" t="s">
        <v>68</v>
      </c>
      <c r="Y440" s="73"/>
      <c r="Z440" s="2" t="s">
        <v>80</v>
      </c>
      <c r="AA440" s="3">
        <v>-15064.9</v>
      </c>
      <c r="AB440" s="4">
        <v>0</v>
      </c>
      <c r="AC440" s="73">
        <v>46219</v>
      </c>
      <c r="AD440" s="73">
        <v>46219</v>
      </c>
      <c r="AE440" s="73"/>
      <c r="AF440" s="73">
        <v>46219</v>
      </c>
      <c r="AG440" s="3">
        <v>-15064900</v>
      </c>
      <c r="AH440" s="353" t="str">
        <f t="shared" si="27"/>
        <v/>
      </c>
      <c r="AI440" s="3" t="str">
        <f t="shared" si="28"/>
        <v>54</v>
      </c>
      <c r="AJ440" s="64" t="e">
        <f>VLOOKUP(T440,'GL Name'!A:B,2,0)</f>
        <v>#N/A</v>
      </c>
      <c r="AL440" s="13">
        <f t="shared" si="29"/>
        <v>0</v>
      </c>
      <c r="AM440" s="13" t="e">
        <f>VLOOKUP(I440,'Order 301-305 (เรียง)'!A:B,2,0)</f>
        <v>#N/A</v>
      </c>
      <c r="AN440" t="e">
        <f>VLOOKUP(I440,'Order 301-305 (เรียง)'!A:C,3,0)</f>
        <v>#N/A</v>
      </c>
    </row>
    <row r="441" spans="1:40" x14ac:dyDescent="0.3">
      <c r="A441" s="1" t="s">
        <v>9</v>
      </c>
      <c r="B441" s="1" t="s">
        <v>10</v>
      </c>
      <c r="C441" s="1" t="s">
        <v>64</v>
      </c>
      <c r="D441" s="1" t="s">
        <v>93</v>
      </c>
      <c r="E441" s="1" t="s">
        <v>94</v>
      </c>
      <c r="F441" s="1" t="s">
        <v>1231</v>
      </c>
      <c r="G441" s="1" t="s">
        <v>278</v>
      </c>
      <c r="H441" s="1" t="s">
        <v>944</v>
      </c>
      <c r="I441" s="1" t="s">
        <v>68</v>
      </c>
      <c r="J441" s="1" t="s">
        <v>1232</v>
      </c>
      <c r="K441" s="1" t="s">
        <v>223</v>
      </c>
      <c r="L441" s="1" t="s">
        <v>86</v>
      </c>
      <c r="M441" s="1" t="s">
        <v>68</v>
      </c>
      <c r="N441" s="1" t="s">
        <v>71</v>
      </c>
      <c r="O441" s="1" t="s">
        <v>68</v>
      </c>
      <c r="P441" s="1" t="s">
        <v>72</v>
      </c>
      <c r="Q441" s="1" t="s">
        <v>68</v>
      </c>
      <c r="R441" s="1" t="s">
        <v>68</v>
      </c>
      <c r="S441" s="1" t="s">
        <v>68</v>
      </c>
      <c r="T441" s="1" t="s">
        <v>68</v>
      </c>
      <c r="U441" s="1" t="s">
        <v>68</v>
      </c>
      <c r="V441" s="1" t="s">
        <v>68</v>
      </c>
      <c r="W441" s="1" t="s">
        <v>68</v>
      </c>
      <c r="X441" s="1" t="s">
        <v>68</v>
      </c>
      <c r="Y441" s="73"/>
      <c r="Z441" s="2" t="s">
        <v>80</v>
      </c>
      <c r="AA441" s="3">
        <v>21058.2</v>
      </c>
      <c r="AB441" s="4">
        <v>0</v>
      </c>
      <c r="AC441" s="73">
        <v>46219</v>
      </c>
      <c r="AD441" s="73">
        <v>46219</v>
      </c>
      <c r="AE441" s="73"/>
      <c r="AF441" s="73">
        <v>46219</v>
      </c>
      <c r="AG441" s="3">
        <v>21058200</v>
      </c>
      <c r="AH441" s="353" t="str">
        <f t="shared" si="27"/>
        <v/>
      </c>
      <c r="AI441" s="3" t="str">
        <f t="shared" si="28"/>
        <v>54</v>
      </c>
      <c r="AJ441" s="64" t="e">
        <f>VLOOKUP(T441,'GL Name'!A:B,2,0)</f>
        <v>#N/A</v>
      </c>
      <c r="AL441" s="13">
        <f t="shared" si="29"/>
        <v>0</v>
      </c>
      <c r="AM441" s="13" t="e">
        <f>VLOOKUP(I441,'Order 301-305 (เรียง)'!A:B,2,0)</f>
        <v>#N/A</v>
      </c>
      <c r="AN441" t="e">
        <f>VLOOKUP(I441,'Order 301-305 (เรียง)'!A:C,3,0)</f>
        <v>#N/A</v>
      </c>
    </row>
    <row r="442" spans="1:40" x14ac:dyDescent="0.3">
      <c r="A442" s="1" t="s">
        <v>9</v>
      </c>
      <c r="B442" s="1" t="s">
        <v>10</v>
      </c>
      <c r="C442" s="1" t="s">
        <v>64</v>
      </c>
      <c r="D442" s="1" t="s">
        <v>93</v>
      </c>
      <c r="E442" s="1" t="s">
        <v>94</v>
      </c>
      <c r="F442" s="1" t="s">
        <v>1231</v>
      </c>
      <c r="G442" s="1" t="s">
        <v>232</v>
      </c>
      <c r="H442" s="1" t="s">
        <v>944</v>
      </c>
      <c r="I442" s="1" t="s">
        <v>68</v>
      </c>
      <c r="J442" s="1" t="s">
        <v>1232</v>
      </c>
      <c r="K442" s="1" t="s">
        <v>223</v>
      </c>
      <c r="L442" s="1" t="s">
        <v>70</v>
      </c>
      <c r="M442" s="1" t="s">
        <v>68</v>
      </c>
      <c r="N442" s="1" t="s">
        <v>71</v>
      </c>
      <c r="O442" s="1" t="s">
        <v>68</v>
      </c>
      <c r="P442" s="1" t="s">
        <v>72</v>
      </c>
      <c r="Q442" s="1" t="s">
        <v>68</v>
      </c>
      <c r="R442" s="1" t="s">
        <v>68</v>
      </c>
      <c r="S442" s="1" t="s">
        <v>68</v>
      </c>
      <c r="T442" s="1" t="s">
        <v>68</v>
      </c>
      <c r="U442" s="1" t="s">
        <v>68</v>
      </c>
      <c r="V442" s="1" t="s">
        <v>68</v>
      </c>
      <c r="W442" s="1" t="s">
        <v>68</v>
      </c>
      <c r="X442" s="1" t="s">
        <v>68</v>
      </c>
      <c r="Y442" s="73"/>
      <c r="Z442" s="2" t="s">
        <v>80</v>
      </c>
      <c r="AA442" s="3">
        <v>-21058.2</v>
      </c>
      <c r="AB442" s="4">
        <v>0</v>
      </c>
      <c r="AC442" s="73">
        <v>46219</v>
      </c>
      <c r="AD442" s="73">
        <v>46219</v>
      </c>
      <c r="AE442" s="73"/>
      <c r="AF442" s="73">
        <v>46219</v>
      </c>
      <c r="AG442" s="3">
        <v>-21058200</v>
      </c>
      <c r="AH442" s="353" t="str">
        <f t="shared" si="27"/>
        <v/>
      </c>
      <c r="AI442" s="3" t="str">
        <f t="shared" si="28"/>
        <v>54</v>
      </c>
      <c r="AJ442" s="64" t="e">
        <f>VLOOKUP(T442,'GL Name'!A:B,2,0)</f>
        <v>#N/A</v>
      </c>
      <c r="AL442" s="13">
        <f t="shared" si="29"/>
        <v>0</v>
      </c>
      <c r="AM442" s="13" t="e">
        <f>VLOOKUP(I442,'Order 301-305 (เรียง)'!A:B,2,0)</f>
        <v>#N/A</v>
      </c>
      <c r="AN442" t="e">
        <f>VLOOKUP(I442,'Order 301-305 (เรียง)'!A:C,3,0)</f>
        <v>#N/A</v>
      </c>
    </row>
    <row r="443" spans="1:40" x14ac:dyDescent="0.3">
      <c r="A443" s="1" t="s">
        <v>13</v>
      </c>
      <c r="B443" s="1" t="s">
        <v>14</v>
      </c>
      <c r="C443" s="1" t="s">
        <v>64</v>
      </c>
      <c r="D443" s="1" t="s">
        <v>77</v>
      </c>
      <c r="E443" s="1" t="s">
        <v>78</v>
      </c>
      <c r="F443" s="1" t="s">
        <v>1233</v>
      </c>
      <c r="G443" s="1" t="s">
        <v>279</v>
      </c>
      <c r="H443" s="1" t="s">
        <v>327</v>
      </c>
      <c r="I443" s="1" t="s">
        <v>1206</v>
      </c>
      <c r="J443" s="1" t="s">
        <v>1234</v>
      </c>
      <c r="K443" s="1" t="s">
        <v>84</v>
      </c>
      <c r="L443" s="1" t="s">
        <v>86</v>
      </c>
      <c r="M443" s="1" t="s">
        <v>68</v>
      </c>
      <c r="N443" s="1" t="s">
        <v>71</v>
      </c>
      <c r="O443" s="1" t="s">
        <v>68</v>
      </c>
      <c r="P443" s="1" t="s">
        <v>1235</v>
      </c>
      <c r="Q443" s="1" t="s">
        <v>68</v>
      </c>
      <c r="R443" s="1" t="s">
        <v>68</v>
      </c>
      <c r="S443" s="1" t="s">
        <v>68</v>
      </c>
      <c r="T443" s="1" t="s">
        <v>123</v>
      </c>
      <c r="U443" s="1" t="s">
        <v>68</v>
      </c>
      <c r="V443" s="1" t="s">
        <v>68</v>
      </c>
      <c r="W443" s="1" t="s">
        <v>68</v>
      </c>
      <c r="X443" s="1" t="s">
        <v>68</v>
      </c>
      <c r="Y443" s="73"/>
      <c r="Z443" s="2" t="s">
        <v>80</v>
      </c>
      <c r="AA443" s="3">
        <v>-200.04</v>
      </c>
      <c r="AB443" s="4">
        <v>-54178.83</v>
      </c>
      <c r="AC443" s="73">
        <v>46219</v>
      </c>
      <c r="AD443" s="73">
        <v>46204</v>
      </c>
      <c r="AE443" s="73"/>
      <c r="AF443" s="73">
        <v>46219</v>
      </c>
      <c r="AG443" s="3">
        <v>-200040</v>
      </c>
      <c r="AH443" s="353" t="str">
        <f t="shared" si="27"/>
        <v>302</v>
      </c>
      <c r="AI443" s="3" t="str">
        <f t="shared" si="28"/>
        <v>57</v>
      </c>
      <c r="AJ443" s="64" t="str">
        <f>VLOOKUP(T443,'GL Name'!A:B,2,0)</f>
        <v>ต้นทุนผลิตกึ่งสำเร็จ</v>
      </c>
      <c r="AL443" s="13">
        <f t="shared" si="29"/>
        <v>270.83998200359929</v>
      </c>
      <c r="AM443" s="13" t="str">
        <f>VLOOKUP(I443,'Order 301-305 (เรียง)'!A:B,2,0)</f>
        <v>59000004</v>
      </c>
      <c r="AN443" t="str">
        <f>VLOOKUP(I443,'Order 301-305 (เรียง)'!A:C,3,0)</f>
        <v>Super  Blend  500 G.</v>
      </c>
    </row>
    <row r="444" spans="1:40" x14ac:dyDescent="0.3">
      <c r="A444" s="1" t="s">
        <v>15</v>
      </c>
      <c r="B444" s="1" t="s">
        <v>233</v>
      </c>
      <c r="C444" s="1" t="s">
        <v>64</v>
      </c>
      <c r="D444" s="1" t="s">
        <v>77</v>
      </c>
      <c r="E444" s="1" t="s">
        <v>78</v>
      </c>
      <c r="F444" s="1" t="s">
        <v>1233</v>
      </c>
      <c r="G444" s="1" t="s">
        <v>279</v>
      </c>
      <c r="H444" s="1" t="s">
        <v>1236</v>
      </c>
      <c r="I444" s="1" t="s">
        <v>1206</v>
      </c>
      <c r="J444" s="1" t="s">
        <v>1234</v>
      </c>
      <c r="K444" s="1" t="s">
        <v>84</v>
      </c>
      <c r="L444" s="1" t="s">
        <v>95</v>
      </c>
      <c r="M444" s="1" t="s">
        <v>68</v>
      </c>
      <c r="N444" s="1" t="s">
        <v>71</v>
      </c>
      <c r="O444" s="1" t="s">
        <v>68</v>
      </c>
      <c r="P444" s="1" t="s">
        <v>72</v>
      </c>
      <c r="Q444" s="1" t="s">
        <v>68</v>
      </c>
      <c r="R444" s="1" t="s">
        <v>233</v>
      </c>
      <c r="S444" s="1" t="s">
        <v>68</v>
      </c>
      <c r="T444" s="1" t="s">
        <v>123</v>
      </c>
      <c r="U444" s="1" t="s">
        <v>68</v>
      </c>
      <c r="V444" s="1" t="s">
        <v>68</v>
      </c>
      <c r="W444" s="1" t="s">
        <v>68</v>
      </c>
      <c r="X444" s="1" t="s">
        <v>68</v>
      </c>
      <c r="Y444" s="73"/>
      <c r="Z444" s="2" t="s">
        <v>80</v>
      </c>
      <c r="AA444" s="3">
        <v>-175.86</v>
      </c>
      <c r="AB444" s="4">
        <v>-47628.160000000003</v>
      </c>
      <c r="AC444" s="73">
        <v>46219</v>
      </c>
      <c r="AD444" s="73">
        <v>46204</v>
      </c>
      <c r="AE444" s="73"/>
      <c r="AF444" s="73">
        <v>46219</v>
      </c>
      <c r="AG444" s="3">
        <v>-175860</v>
      </c>
      <c r="AH444" s="353" t="str">
        <f t="shared" si="27"/>
        <v>302</v>
      </c>
      <c r="AI444" s="3" t="str">
        <f t="shared" si="28"/>
        <v>57</v>
      </c>
      <c r="AJ444" s="64" t="str">
        <f>VLOOKUP(T444,'GL Name'!A:B,2,0)</f>
        <v>ต้นทุนผลิตกึ่งสำเร็จ</v>
      </c>
      <c r="AL444" s="13">
        <f t="shared" si="29"/>
        <v>270.82997839190267</v>
      </c>
      <c r="AM444" s="13" t="str">
        <f>VLOOKUP(I444,'Order 301-305 (เรียง)'!A:B,2,0)</f>
        <v>59000004</v>
      </c>
      <c r="AN444" t="str">
        <f>VLOOKUP(I444,'Order 301-305 (เรียง)'!A:C,3,0)</f>
        <v>Super  Blend  500 G.</v>
      </c>
    </row>
    <row r="445" spans="1:40" x14ac:dyDescent="0.3">
      <c r="A445" s="1" t="s">
        <v>15</v>
      </c>
      <c r="B445" s="1" t="s">
        <v>233</v>
      </c>
      <c r="C445" s="1" t="s">
        <v>64</v>
      </c>
      <c r="D445" s="1" t="s">
        <v>77</v>
      </c>
      <c r="E445" s="1" t="s">
        <v>78</v>
      </c>
      <c r="F445" s="1" t="s">
        <v>1233</v>
      </c>
      <c r="G445" s="1" t="s">
        <v>279</v>
      </c>
      <c r="H445" s="1" t="s">
        <v>1010</v>
      </c>
      <c r="I445" s="1" t="s">
        <v>1206</v>
      </c>
      <c r="J445" s="1" t="s">
        <v>1234</v>
      </c>
      <c r="K445" s="1" t="s">
        <v>84</v>
      </c>
      <c r="L445" s="1" t="s">
        <v>89</v>
      </c>
      <c r="M445" s="1" t="s">
        <v>68</v>
      </c>
      <c r="N445" s="1" t="s">
        <v>71</v>
      </c>
      <c r="O445" s="1" t="s">
        <v>68</v>
      </c>
      <c r="P445" s="1" t="s">
        <v>72</v>
      </c>
      <c r="Q445" s="1" t="s">
        <v>68</v>
      </c>
      <c r="R445" s="1" t="s">
        <v>233</v>
      </c>
      <c r="S445" s="1" t="s">
        <v>68</v>
      </c>
      <c r="T445" s="1" t="s">
        <v>123</v>
      </c>
      <c r="U445" s="1" t="s">
        <v>68</v>
      </c>
      <c r="V445" s="1" t="s">
        <v>68</v>
      </c>
      <c r="W445" s="1" t="s">
        <v>68</v>
      </c>
      <c r="X445" s="1" t="s">
        <v>68</v>
      </c>
      <c r="Y445" s="73"/>
      <c r="Z445" s="2" t="s">
        <v>80</v>
      </c>
      <c r="AA445" s="3">
        <v>-9.08</v>
      </c>
      <c r="AB445" s="4">
        <v>-2459.14</v>
      </c>
      <c r="AC445" s="73">
        <v>46219</v>
      </c>
      <c r="AD445" s="73">
        <v>46204</v>
      </c>
      <c r="AE445" s="73"/>
      <c r="AF445" s="73">
        <v>46219</v>
      </c>
      <c r="AG445" s="3">
        <v>-9080</v>
      </c>
      <c r="AH445" s="353" t="str">
        <f t="shared" si="27"/>
        <v>302</v>
      </c>
      <c r="AI445" s="3" t="str">
        <f t="shared" si="28"/>
        <v>57</v>
      </c>
      <c r="AJ445" s="64" t="str">
        <f>VLOOKUP(T445,'GL Name'!A:B,2,0)</f>
        <v>ต้นทุนผลิตกึ่งสำเร็จ</v>
      </c>
      <c r="AL445" s="13">
        <f t="shared" si="29"/>
        <v>270.8303964757709</v>
      </c>
      <c r="AM445" s="13" t="str">
        <f>VLOOKUP(I445,'Order 301-305 (เรียง)'!A:B,2,0)</f>
        <v>59000004</v>
      </c>
      <c r="AN445" t="str">
        <f>VLOOKUP(I445,'Order 301-305 (เรียง)'!A:C,3,0)</f>
        <v>Super  Blend  500 G.</v>
      </c>
    </row>
    <row r="446" spans="1:40" x14ac:dyDescent="0.3">
      <c r="A446" s="1" t="s">
        <v>19</v>
      </c>
      <c r="B446" s="1" t="s">
        <v>20</v>
      </c>
      <c r="C446" s="1" t="s">
        <v>64</v>
      </c>
      <c r="D446" s="1" t="s">
        <v>77</v>
      </c>
      <c r="E446" s="1" t="s">
        <v>78</v>
      </c>
      <c r="F446" s="1" t="s">
        <v>1233</v>
      </c>
      <c r="G446" s="1" t="s">
        <v>279</v>
      </c>
      <c r="H446" s="1" t="s">
        <v>304</v>
      </c>
      <c r="I446" s="1" t="s">
        <v>1206</v>
      </c>
      <c r="J446" s="1" t="s">
        <v>1234</v>
      </c>
      <c r="K446" s="1" t="s">
        <v>84</v>
      </c>
      <c r="L446" s="1" t="s">
        <v>92</v>
      </c>
      <c r="M446" s="1" t="s">
        <v>68</v>
      </c>
      <c r="N446" s="1" t="s">
        <v>71</v>
      </c>
      <c r="O446" s="1" t="s">
        <v>68</v>
      </c>
      <c r="P446" s="1" t="s">
        <v>1235</v>
      </c>
      <c r="Q446" s="1" t="s">
        <v>68</v>
      </c>
      <c r="R446" s="1" t="s">
        <v>68</v>
      </c>
      <c r="S446" s="1" t="s">
        <v>68</v>
      </c>
      <c r="T446" s="1" t="s">
        <v>123</v>
      </c>
      <c r="U446" s="1" t="s">
        <v>68</v>
      </c>
      <c r="V446" s="1" t="s">
        <v>68</v>
      </c>
      <c r="W446" s="1" t="s">
        <v>68</v>
      </c>
      <c r="X446" s="1" t="s">
        <v>68</v>
      </c>
      <c r="Y446" s="73"/>
      <c r="Z446" s="2" t="s">
        <v>80</v>
      </c>
      <c r="AA446" s="3">
        <v>-287.26</v>
      </c>
      <c r="AB446" s="4">
        <v>-45941.49</v>
      </c>
      <c r="AC446" s="73">
        <v>46219</v>
      </c>
      <c r="AD446" s="73">
        <v>46204</v>
      </c>
      <c r="AE446" s="73"/>
      <c r="AF446" s="73">
        <v>46219</v>
      </c>
      <c r="AG446" s="3">
        <v>-287260</v>
      </c>
      <c r="AH446" s="353" t="str">
        <f t="shared" si="27"/>
        <v>302</v>
      </c>
      <c r="AI446" s="3" t="str">
        <f t="shared" si="28"/>
        <v>57</v>
      </c>
      <c r="AJ446" s="64" t="str">
        <f>VLOOKUP(T446,'GL Name'!A:B,2,0)</f>
        <v>ต้นทุนผลิตกึ่งสำเร็จ</v>
      </c>
      <c r="AL446" s="13">
        <f t="shared" si="29"/>
        <v>159.92999373389961</v>
      </c>
      <c r="AM446" s="13" t="str">
        <f>VLOOKUP(I446,'Order 301-305 (เรียง)'!A:B,2,0)</f>
        <v>59000004</v>
      </c>
      <c r="AN446" t="str">
        <f>VLOOKUP(I446,'Order 301-305 (เรียง)'!A:C,3,0)</f>
        <v>Super  Blend  500 G.</v>
      </c>
    </row>
    <row r="447" spans="1:40" x14ac:dyDescent="0.3">
      <c r="A447" s="1" t="s">
        <v>21</v>
      </c>
      <c r="B447" s="1" t="s">
        <v>234</v>
      </c>
      <c r="C447" s="1" t="s">
        <v>64</v>
      </c>
      <c r="D447" s="1" t="s">
        <v>77</v>
      </c>
      <c r="E447" s="1" t="s">
        <v>78</v>
      </c>
      <c r="F447" s="1" t="s">
        <v>1233</v>
      </c>
      <c r="G447" s="1" t="s">
        <v>279</v>
      </c>
      <c r="H447" s="1" t="s">
        <v>1237</v>
      </c>
      <c r="I447" s="1" t="s">
        <v>1206</v>
      </c>
      <c r="J447" s="1" t="s">
        <v>1234</v>
      </c>
      <c r="K447" s="1" t="s">
        <v>84</v>
      </c>
      <c r="L447" s="1" t="s">
        <v>111</v>
      </c>
      <c r="M447" s="1" t="s">
        <v>68</v>
      </c>
      <c r="N447" s="1" t="s">
        <v>71</v>
      </c>
      <c r="O447" s="1" t="s">
        <v>68</v>
      </c>
      <c r="P447" s="1" t="s">
        <v>72</v>
      </c>
      <c r="Q447" s="1" t="s">
        <v>68</v>
      </c>
      <c r="R447" s="1" t="s">
        <v>234</v>
      </c>
      <c r="S447" s="1" t="s">
        <v>68</v>
      </c>
      <c r="T447" s="1" t="s">
        <v>123</v>
      </c>
      <c r="U447" s="1" t="s">
        <v>68</v>
      </c>
      <c r="V447" s="1" t="s">
        <v>68</v>
      </c>
      <c r="W447" s="1" t="s">
        <v>68</v>
      </c>
      <c r="X447" s="1" t="s">
        <v>68</v>
      </c>
      <c r="Y447" s="73"/>
      <c r="Z447" s="2" t="s">
        <v>80</v>
      </c>
      <c r="AA447" s="3">
        <v>-64.78</v>
      </c>
      <c r="AB447" s="4">
        <v>-10360.27</v>
      </c>
      <c r="AC447" s="73">
        <v>46219</v>
      </c>
      <c r="AD447" s="73">
        <v>46204</v>
      </c>
      <c r="AE447" s="73"/>
      <c r="AF447" s="73">
        <v>46219</v>
      </c>
      <c r="AG447" s="3">
        <v>-64780</v>
      </c>
      <c r="AH447" s="353" t="str">
        <f t="shared" si="27"/>
        <v>302</v>
      </c>
      <c r="AI447" s="3" t="str">
        <f t="shared" si="28"/>
        <v>57</v>
      </c>
      <c r="AJ447" s="64" t="str">
        <f>VLOOKUP(T447,'GL Name'!A:B,2,0)</f>
        <v>ต้นทุนผลิตกึ่งสำเร็จ</v>
      </c>
      <c r="AL447" s="13">
        <f t="shared" si="29"/>
        <v>159.93007100957087</v>
      </c>
      <c r="AM447" s="13" t="str">
        <f>VLOOKUP(I447,'Order 301-305 (เรียง)'!A:B,2,0)</f>
        <v>59000004</v>
      </c>
      <c r="AN447" t="str">
        <f>VLOOKUP(I447,'Order 301-305 (เรียง)'!A:C,3,0)</f>
        <v>Super  Blend  500 G.</v>
      </c>
    </row>
    <row r="448" spans="1:40" x14ac:dyDescent="0.3">
      <c r="A448" s="1" t="s">
        <v>21</v>
      </c>
      <c r="B448" s="1" t="s">
        <v>234</v>
      </c>
      <c r="C448" s="1" t="s">
        <v>64</v>
      </c>
      <c r="D448" s="1" t="s">
        <v>77</v>
      </c>
      <c r="E448" s="1" t="s">
        <v>78</v>
      </c>
      <c r="F448" s="1" t="s">
        <v>1233</v>
      </c>
      <c r="G448" s="1" t="s">
        <v>279</v>
      </c>
      <c r="H448" s="1" t="s">
        <v>1238</v>
      </c>
      <c r="I448" s="1" t="s">
        <v>1206</v>
      </c>
      <c r="J448" s="1" t="s">
        <v>1234</v>
      </c>
      <c r="K448" s="1" t="s">
        <v>84</v>
      </c>
      <c r="L448" s="1" t="s">
        <v>112</v>
      </c>
      <c r="M448" s="1" t="s">
        <v>68</v>
      </c>
      <c r="N448" s="1" t="s">
        <v>71</v>
      </c>
      <c r="O448" s="1" t="s">
        <v>68</v>
      </c>
      <c r="P448" s="1" t="s">
        <v>72</v>
      </c>
      <c r="Q448" s="1" t="s">
        <v>68</v>
      </c>
      <c r="R448" s="1" t="s">
        <v>234</v>
      </c>
      <c r="S448" s="1" t="s">
        <v>68</v>
      </c>
      <c r="T448" s="1" t="s">
        <v>123</v>
      </c>
      <c r="U448" s="1" t="s">
        <v>68</v>
      </c>
      <c r="V448" s="1" t="s">
        <v>68</v>
      </c>
      <c r="W448" s="1" t="s">
        <v>68</v>
      </c>
      <c r="X448" s="1" t="s">
        <v>68</v>
      </c>
      <c r="Y448" s="73"/>
      <c r="Z448" s="2" t="s">
        <v>80</v>
      </c>
      <c r="AA448" s="3">
        <v>-224.22</v>
      </c>
      <c r="AB448" s="4">
        <v>-35859.5</v>
      </c>
      <c r="AC448" s="73">
        <v>46219</v>
      </c>
      <c r="AD448" s="73">
        <v>46204</v>
      </c>
      <c r="AE448" s="73"/>
      <c r="AF448" s="73">
        <v>46219</v>
      </c>
      <c r="AG448" s="3">
        <v>-224220</v>
      </c>
      <c r="AH448" s="353" t="str">
        <f t="shared" si="27"/>
        <v>302</v>
      </c>
      <c r="AI448" s="3" t="str">
        <f t="shared" si="28"/>
        <v>57</v>
      </c>
      <c r="AJ448" s="64" t="str">
        <f>VLOOKUP(T448,'GL Name'!A:B,2,0)</f>
        <v>ต้นทุนผลิตกึ่งสำเร็จ</v>
      </c>
      <c r="AL448" s="13">
        <f t="shared" si="29"/>
        <v>159.92997948443494</v>
      </c>
      <c r="AM448" s="13" t="str">
        <f>VLOOKUP(I448,'Order 301-305 (เรียง)'!A:B,2,0)</f>
        <v>59000004</v>
      </c>
      <c r="AN448" t="str">
        <f>VLOOKUP(I448,'Order 301-305 (เรียง)'!A:C,3,0)</f>
        <v>Super  Blend  500 G.</v>
      </c>
    </row>
    <row r="449" spans="1:40" x14ac:dyDescent="0.3">
      <c r="A449" s="1" t="s">
        <v>205</v>
      </c>
      <c r="B449" s="1" t="s">
        <v>206</v>
      </c>
      <c r="C449" s="1" t="s">
        <v>64</v>
      </c>
      <c r="D449" s="1" t="s">
        <v>115</v>
      </c>
      <c r="E449" s="1" t="s">
        <v>116</v>
      </c>
      <c r="F449" s="1" t="s">
        <v>1233</v>
      </c>
      <c r="G449" s="1" t="s">
        <v>103</v>
      </c>
      <c r="H449" s="1" t="s">
        <v>602</v>
      </c>
      <c r="I449" s="1" t="s">
        <v>1206</v>
      </c>
      <c r="J449" s="1" t="s">
        <v>1234</v>
      </c>
      <c r="K449" s="1" t="s">
        <v>84</v>
      </c>
      <c r="L449" s="1" t="s">
        <v>70</v>
      </c>
      <c r="M449" s="1" t="s">
        <v>68</v>
      </c>
      <c r="N449" s="1" t="s">
        <v>71</v>
      </c>
      <c r="O449" s="1" t="s">
        <v>68</v>
      </c>
      <c r="P449" s="1" t="s">
        <v>72</v>
      </c>
      <c r="Q449" s="1" t="s">
        <v>68</v>
      </c>
      <c r="R449" s="1" t="s">
        <v>68</v>
      </c>
      <c r="S449" s="1" t="s">
        <v>68</v>
      </c>
      <c r="T449" s="1" t="s">
        <v>124</v>
      </c>
      <c r="U449" s="1" t="s">
        <v>68</v>
      </c>
      <c r="V449" s="1" t="s">
        <v>68</v>
      </c>
      <c r="W449" s="1" t="s">
        <v>68</v>
      </c>
      <c r="X449" s="1" t="s">
        <v>68</v>
      </c>
      <c r="Y449" s="73"/>
      <c r="Z449" s="2" t="s">
        <v>80</v>
      </c>
      <c r="AA449" s="3">
        <v>760</v>
      </c>
      <c r="AB449" s="4">
        <v>204956.79999999999</v>
      </c>
      <c r="AC449" s="73">
        <v>46219</v>
      </c>
      <c r="AD449" s="73">
        <v>46204</v>
      </c>
      <c r="AE449" s="73"/>
      <c r="AF449" s="73">
        <v>46219</v>
      </c>
      <c r="AG449" s="3">
        <v>760000</v>
      </c>
      <c r="AH449" s="353" t="str">
        <f t="shared" si="27"/>
        <v>302</v>
      </c>
      <c r="AI449" s="3" t="str">
        <f t="shared" si="28"/>
        <v>57</v>
      </c>
      <c r="AJ449" s="64" t="str">
        <f>VLOOKUP(T449,'GL Name'!A:B,2,0)</f>
        <v>ต้นทุนผลิตโอน Semi</v>
      </c>
      <c r="AL449" s="13">
        <f t="shared" si="29"/>
        <v>269.68</v>
      </c>
      <c r="AM449" s="13" t="str">
        <f>VLOOKUP(I449,'Order 301-305 (เรียง)'!A:B,2,0)</f>
        <v>59000004</v>
      </c>
      <c r="AN449" t="str">
        <f>VLOOKUP(I449,'Order 301-305 (เรียง)'!A:C,3,0)</f>
        <v>Super  Blend  500 G.</v>
      </c>
    </row>
    <row r="450" spans="1:40" x14ac:dyDescent="0.3">
      <c r="A450" s="1" t="s">
        <v>205</v>
      </c>
      <c r="B450" s="1" t="s">
        <v>206</v>
      </c>
      <c r="C450" s="1" t="s">
        <v>64</v>
      </c>
      <c r="D450" s="1" t="s">
        <v>77</v>
      </c>
      <c r="E450" s="1" t="s">
        <v>78</v>
      </c>
      <c r="F450" s="1" t="s">
        <v>1239</v>
      </c>
      <c r="G450" s="1" t="s">
        <v>103</v>
      </c>
      <c r="H450" s="1" t="s">
        <v>602</v>
      </c>
      <c r="I450" s="1" t="s">
        <v>384</v>
      </c>
      <c r="J450" s="1" t="s">
        <v>1240</v>
      </c>
      <c r="K450" s="1" t="s">
        <v>84</v>
      </c>
      <c r="L450" s="1" t="s">
        <v>70</v>
      </c>
      <c r="M450" s="1" t="s">
        <v>68</v>
      </c>
      <c r="N450" s="1" t="s">
        <v>71</v>
      </c>
      <c r="O450" s="1" t="s">
        <v>68</v>
      </c>
      <c r="P450" s="1" t="s">
        <v>1241</v>
      </c>
      <c r="Q450" s="1" t="s">
        <v>68</v>
      </c>
      <c r="R450" s="1" t="s">
        <v>68</v>
      </c>
      <c r="S450" s="1" t="s">
        <v>68</v>
      </c>
      <c r="T450" s="1" t="s">
        <v>123</v>
      </c>
      <c r="U450" s="1" t="s">
        <v>68</v>
      </c>
      <c r="V450" s="1" t="s">
        <v>68</v>
      </c>
      <c r="W450" s="1" t="s">
        <v>68</v>
      </c>
      <c r="X450" s="1" t="s">
        <v>68</v>
      </c>
      <c r="Y450" s="73"/>
      <c r="Z450" s="2" t="s">
        <v>80</v>
      </c>
      <c r="AA450" s="3">
        <v>-760</v>
      </c>
      <c r="AB450" s="4">
        <v>-204956.79999999999</v>
      </c>
      <c r="AC450" s="73">
        <v>46219</v>
      </c>
      <c r="AD450" s="73">
        <v>46204</v>
      </c>
      <c r="AE450" s="73"/>
      <c r="AF450" s="73">
        <v>46219</v>
      </c>
      <c r="AG450" s="3">
        <v>-760000</v>
      </c>
      <c r="AH450" s="353" t="str">
        <f t="shared" si="27"/>
        <v>303</v>
      </c>
      <c r="AI450" s="3" t="str">
        <f t="shared" si="28"/>
        <v>57</v>
      </c>
      <c r="AJ450" s="64" t="str">
        <f>VLOOKUP(T450,'GL Name'!A:B,2,0)</f>
        <v>ต้นทุนผลิตกึ่งสำเร็จ</v>
      </c>
      <c r="AL450" s="13">
        <f t="shared" si="29"/>
        <v>269.68</v>
      </c>
      <c r="AM450" s="13" t="str">
        <f>VLOOKUP(I450,'Order 301-305 (เรียง)'!A:B,2,0)</f>
        <v>59000004</v>
      </c>
      <c r="AN450" t="str">
        <f>VLOOKUP(I450,'Order 301-305 (เรียง)'!A:C,3,0)</f>
        <v>Super  Blend  500 G.</v>
      </c>
    </row>
    <row r="451" spans="1:40" x14ac:dyDescent="0.3">
      <c r="A451" s="1" t="s">
        <v>106</v>
      </c>
      <c r="B451" s="1" t="s">
        <v>107</v>
      </c>
      <c r="C451" s="1" t="s">
        <v>64</v>
      </c>
      <c r="D451" s="1" t="s">
        <v>77</v>
      </c>
      <c r="E451" s="1" t="s">
        <v>78</v>
      </c>
      <c r="F451" s="1" t="s">
        <v>1239</v>
      </c>
      <c r="G451" s="1" t="s">
        <v>103</v>
      </c>
      <c r="H451" s="1" t="s">
        <v>286</v>
      </c>
      <c r="I451" s="1" t="s">
        <v>384</v>
      </c>
      <c r="J451" s="1" t="s">
        <v>1240</v>
      </c>
      <c r="K451" s="1" t="s">
        <v>84</v>
      </c>
      <c r="L451" s="1" t="s">
        <v>86</v>
      </c>
      <c r="M451" s="1" t="s">
        <v>68</v>
      </c>
      <c r="N451" s="1" t="s">
        <v>71</v>
      </c>
      <c r="O451" s="1" t="s">
        <v>68</v>
      </c>
      <c r="P451" s="1" t="s">
        <v>1241</v>
      </c>
      <c r="Q451" s="1" t="s">
        <v>68</v>
      </c>
      <c r="R451" s="1" t="s">
        <v>68</v>
      </c>
      <c r="S451" s="1" t="s">
        <v>68</v>
      </c>
      <c r="T451" s="1" t="s">
        <v>108</v>
      </c>
      <c r="U451" s="1" t="s">
        <v>68</v>
      </c>
      <c r="V451" s="1" t="s">
        <v>68</v>
      </c>
      <c r="W451" s="1" t="s">
        <v>68</v>
      </c>
      <c r="X451" s="1" t="s">
        <v>68</v>
      </c>
      <c r="Y451" s="73"/>
      <c r="Z451" s="2" t="s">
        <v>102</v>
      </c>
      <c r="AA451" s="3">
        <v>-1617</v>
      </c>
      <c r="AB451" s="4">
        <v>-1367.61</v>
      </c>
      <c r="AC451" s="73">
        <v>46219</v>
      </c>
      <c r="AD451" s="73">
        <v>46204</v>
      </c>
      <c r="AE451" s="73"/>
      <c r="AF451" s="73">
        <v>46219</v>
      </c>
      <c r="AG451" s="3">
        <v>-1617</v>
      </c>
      <c r="AH451" s="353" t="str">
        <f t="shared" ref="AH451:AH452" si="30">LEFT(I451,3)</f>
        <v>303</v>
      </c>
      <c r="AI451" s="3" t="str">
        <f t="shared" ref="AI451:AI452" si="31">LEFT(A451,2)</f>
        <v>58</v>
      </c>
      <c r="AJ451" s="64" t="str">
        <f>VLOOKUP(T451,'GL Name'!A:B,2,0)</f>
        <v>ต้นทุนผลิตหีบห่อ</v>
      </c>
      <c r="AL451" s="13">
        <f t="shared" ref="AL451:AL452" si="32">AB451/AA451</f>
        <v>0.84576994434137287</v>
      </c>
      <c r="AM451" s="13" t="str">
        <f>VLOOKUP(I451,'Order 301-305 (เรียง)'!A:B,2,0)</f>
        <v>59000004</v>
      </c>
      <c r="AN451" t="str">
        <f>VLOOKUP(I451,'Order 301-305 (เรียง)'!A:C,3,0)</f>
        <v>Super  Blend  500 G.</v>
      </c>
    </row>
    <row r="452" spans="1:40" x14ac:dyDescent="0.3">
      <c r="A452" s="1" t="s">
        <v>126</v>
      </c>
      <c r="B452" s="1" t="s">
        <v>127</v>
      </c>
      <c r="C452" s="1" t="s">
        <v>64</v>
      </c>
      <c r="D452" s="1" t="s">
        <v>77</v>
      </c>
      <c r="E452" s="1" t="s">
        <v>78</v>
      </c>
      <c r="F452" s="1" t="s">
        <v>1239</v>
      </c>
      <c r="G452" s="1" t="s">
        <v>103</v>
      </c>
      <c r="H452" s="1" t="s">
        <v>230</v>
      </c>
      <c r="I452" s="1" t="s">
        <v>384</v>
      </c>
      <c r="J452" s="1" t="s">
        <v>1240</v>
      </c>
      <c r="K452" s="1" t="s">
        <v>84</v>
      </c>
      <c r="L452" s="1" t="s">
        <v>92</v>
      </c>
      <c r="M452" s="1" t="s">
        <v>68</v>
      </c>
      <c r="N452" s="1" t="s">
        <v>71</v>
      </c>
      <c r="O452" s="1" t="s">
        <v>68</v>
      </c>
      <c r="P452" s="1" t="s">
        <v>1241</v>
      </c>
      <c r="Q452" s="1" t="s">
        <v>68</v>
      </c>
      <c r="R452" s="1" t="s">
        <v>68</v>
      </c>
      <c r="S452" s="1" t="s">
        <v>68</v>
      </c>
      <c r="T452" s="1" t="s">
        <v>108</v>
      </c>
      <c r="U452" s="1" t="s">
        <v>68</v>
      </c>
      <c r="V452" s="1" t="s">
        <v>68</v>
      </c>
      <c r="W452" s="1" t="s">
        <v>68</v>
      </c>
      <c r="X452" s="1" t="s">
        <v>68</v>
      </c>
      <c r="Y452" s="73"/>
      <c r="Z452" s="2" t="s">
        <v>102</v>
      </c>
      <c r="AA452" s="3">
        <v>-76</v>
      </c>
      <c r="AB452" s="4">
        <v>-1672</v>
      </c>
      <c r="AC452" s="73">
        <v>46219</v>
      </c>
      <c r="AD452" s="73">
        <v>46204</v>
      </c>
      <c r="AE452" s="73"/>
      <c r="AF452" s="73">
        <v>46219</v>
      </c>
      <c r="AG452" s="3">
        <v>-76</v>
      </c>
      <c r="AH452" s="353" t="str">
        <f t="shared" si="30"/>
        <v>303</v>
      </c>
      <c r="AI452" s="3" t="str">
        <f t="shared" si="31"/>
        <v>58</v>
      </c>
      <c r="AJ452" s="64" t="str">
        <f>VLOOKUP(T452,'GL Name'!A:B,2,0)</f>
        <v>ต้นทุนผลิตหีบห่อ</v>
      </c>
      <c r="AL452" s="13">
        <f t="shared" si="32"/>
        <v>22</v>
      </c>
      <c r="AM452" s="13" t="str">
        <f>VLOOKUP(I452,'Order 301-305 (เรียง)'!A:B,2,0)</f>
        <v>59000004</v>
      </c>
      <c r="AN452" t="str">
        <f>VLOOKUP(I452,'Order 301-305 (เรียง)'!A:C,3,0)</f>
        <v>Super  Blend  500 G.</v>
      </c>
    </row>
    <row r="453" spans="1:40" x14ac:dyDescent="0.3">
      <c r="A453" s="1" t="s">
        <v>237</v>
      </c>
      <c r="B453" s="1" t="s">
        <v>238</v>
      </c>
      <c r="C453" s="1" t="s">
        <v>64</v>
      </c>
      <c r="D453" s="1" t="s">
        <v>77</v>
      </c>
      <c r="E453" s="1" t="s">
        <v>78</v>
      </c>
      <c r="F453" s="1" t="s">
        <v>1239</v>
      </c>
      <c r="G453" s="1" t="s">
        <v>103</v>
      </c>
      <c r="H453" s="1" t="s">
        <v>295</v>
      </c>
      <c r="I453" s="1" t="s">
        <v>384</v>
      </c>
      <c r="J453" s="1" t="s">
        <v>1240</v>
      </c>
      <c r="K453" s="1" t="s">
        <v>84</v>
      </c>
      <c r="L453" s="1" t="s">
        <v>89</v>
      </c>
      <c r="M453" s="1" t="s">
        <v>68</v>
      </c>
      <c r="N453" s="1" t="s">
        <v>71</v>
      </c>
      <c r="O453" s="1" t="s">
        <v>68</v>
      </c>
      <c r="P453" s="1" t="s">
        <v>72</v>
      </c>
      <c r="Q453" s="1" t="s">
        <v>68</v>
      </c>
      <c r="R453" s="1" t="s">
        <v>238</v>
      </c>
      <c r="S453" s="1" t="s">
        <v>68</v>
      </c>
      <c r="T453" s="1" t="s">
        <v>108</v>
      </c>
      <c r="U453" s="1" t="s">
        <v>68</v>
      </c>
      <c r="V453" s="1" t="s">
        <v>68</v>
      </c>
      <c r="W453" s="1" t="s">
        <v>68</v>
      </c>
      <c r="X453" s="1" t="s">
        <v>68</v>
      </c>
      <c r="Y453" s="73"/>
      <c r="Z453" s="2" t="s">
        <v>102</v>
      </c>
      <c r="AA453" s="3">
        <v>-1617</v>
      </c>
      <c r="AB453" s="4">
        <v>-2775.85</v>
      </c>
      <c r="AC453" s="73">
        <v>46219</v>
      </c>
      <c r="AD453" s="73">
        <v>46204</v>
      </c>
      <c r="AE453" s="73"/>
      <c r="AF453" s="73">
        <v>46219</v>
      </c>
      <c r="AG453" s="3">
        <v>-1617</v>
      </c>
      <c r="AH453" s="353" t="str">
        <f t="shared" ref="AH453:AH464" si="33">LEFT(I453,3)</f>
        <v>303</v>
      </c>
      <c r="AI453" s="3" t="str">
        <f t="shared" ref="AI453:AI464" si="34">LEFT(A453,2)</f>
        <v>58</v>
      </c>
      <c r="AJ453" s="64" t="str">
        <f>VLOOKUP(T453,'GL Name'!A:B,2,0)</f>
        <v>ต้นทุนผลิตหีบห่อ</v>
      </c>
      <c r="AL453" s="13">
        <f t="shared" ref="AL453:AL464" si="35">AB453/AA453</f>
        <v>1.7166666666666666</v>
      </c>
      <c r="AM453" s="13" t="str">
        <f>VLOOKUP(I453,'Order 301-305 (เรียง)'!A:B,2,0)</f>
        <v>59000004</v>
      </c>
      <c r="AN453" t="str">
        <f>VLOOKUP(I453,'Order 301-305 (เรียง)'!A:C,3,0)</f>
        <v>Super  Blend  500 G.</v>
      </c>
    </row>
    <row r="454" spans="1:40" x14ac:dyDescent="0.3">
      <c r="A454" s="1" t="s">
        <v>13</v>
      </c>
      <c r="B454" s="1" t="s">
        <v>14</v>
      </c>
      <c r="C454" s="1" t="s">
        <v>64</v>
      </c>
      <c r="D454" s="1" t="s">
        <v>77</v>
      </c>
      <c r="E454" s="1" t="s">
        <v>78</v>
      </c>
      <c r="F454" s="1" t="s">
        <v>1242</v>
      </c>
      <c r="G454" s="1" t="s">
        <v>279</v>
      </c>
      <c r="H454" s="1" t="s">
        <v>561</v>
      </c>
      <c r="I454" s="1" t="s">
        <v>1243</v>
      </c>
      <c r="J454" s="1" t="s">
        <v>1244</v>
      </c>
      <c r="K454" s="1" t="s">
        <v>84</v>
      </c>
      <c r="L454" s="1" t="s">
        <v>86</v>
      </c>
      <c r="M454" s="1" t="s">
        <v>68</v>
      </c>
      <c r="N454" s="1" t="s">
        <v>71</v>
      </c>
      <c r="O454" s="1" t="s">
        <v>68</v>
      </c>
      <c r="P454" s="1" t="s">
        <v>1245</v>
      </c>
      <c r="Q454" s="1" t="s">
        <v>68</v>
      </c>
      <c r="R454" s="1" t="s">
        <v>68</v>
      </c>
      <c r="S454" s="1" t="s">
        <v>68</v>
      </c>
      <c r="T454" s="1" t="s">
        <v>123</v>
      </c>
      <c r="U454" s="1" t="s">
        <v>68</v>
      </c>
      <c r="V454" s="1" t="s">
        <v>68</v>
      </c>
      <c r="W454" s="1" t="s">
        <v>68</v>
      </c>
      <c r="X454" s="1" t="s">
        <v>68</v>
      </c>
      <c r="Y454" s="73"/>
      <c r="Z454" s="2" t="s">
        <v>80</v>
      </c>
      <c r="AA454" s="3">
        <v>-8367</v>
      </c>
      <c r="AB454" s="4">
        <v>-2266118.2799999998</v>
      </c>
      <c r="AC454" s="73">
        <v>46219</v>
      </c>
      <c r="AD454" s="73">
        <v>46213</v>
      </c>
      <c r="AE454" s="73"/>
      <c r="AF454" s="73">
        <v>46219</v>
      </c>
      <c r="AG454" s="3">
        <v>-8367000</v>
      </c>
      <c r="AH454" s="353" t="str">
        <f t="shared" si="33"/>
        <v>302</v>
      </c>
      <c r="AI454" s="3" t="str">
        <f t="shared" si="34"/>
        <v>57</v>
      </c>
      <c r="AJ454" s="64" t="str">
        <f>VLOOKUP(T454,'GL Name'!A:B,2,0)</f>
        <v>ต้นทุนผลิตกึ่งสำเร็จ</v>
      </c>
      <c r="AL454" s="13">
        <f t="shared" si="35"/>
        <v>270.83999999999997</v>
      </c>
      <c r="AM454" s="13" t="str">
        <f>VLOOKUP(I454,'Order 301-305 (เรียง)'!A:B,2,0)</f>
        <v>59000002</v>
      </c>
      <c r="AN454" t="str">
        <f>VLOOKUP(I454,'Order 301-305 (เรียง)'!A:C,3,0)</f>
        <v>GOLD BLEND ALL CAFE'  ขนาด 500 G.</v>
      </c>
    </row>
    <row r="455" spans="1:40" x14ac:dyDescent="0.3">
      <c r="A455" s="1" t="s">
        <v>13</v>
      </c>
      <c r="B455" s="1" t="s">
        <v>14</v>
      </c>
      <c r="C455" s="1" t="s">
        <v>64</v>
      </c>
      <c r="D455" s="1" t="s">
        <v>77</v>
      </c>
      <c r="E455" s="1" t="s">
        <v>78</v>
      </c>
      <c r="F455" s="1" t="s">
        <v>1242</v>
      </c>
      <c r="G455" s="1" t="s">
        <v>279</v>
      </c>
      <c r="H455" s="1" t="s">
        <v>327</v>
      </c>
      <c r="I455" s="1" t="s">
        <v>1243</v>
      </c>
      <c r="J455" s="1" t="s">
        <v>1244</v>
      </c>
      <c r="K455" s="1" t="s">
        <v>84</v>
      </c>
      <c r="L455" s="1" t="s">
        <v>95</v>
      </c>
      <c r="M455" s="1" t="s">
        <v>68</v>
      </c>
      <c r="N455" s="1" t="s">
        <v>71</v>
      </c>
      <c r="O455" s="1" t="s">
        <v>68</v>
      </c>
      <c r="P455" s="1" t="s">
        <v>72</v>
      </c>
      <c r="Q455" s="1" t="s">
        <v>68</v>
      </c>
      <c r="R455" s="1" t="s">
        <v>14</v>
      </c>
      <c r="S455" s="1" t="s">
        <v>68</v>
      </c>
      <c r="T455" s="1" t="s">
        <v>123</v>
      </c>
      <c r="U455" s="1" t="s">
        <v>68</v>
      </c>
      <c r="V455" s="1" t="s">
        <v>68</v>
      </c>
      <c r="W455" s="1" t="s">
        <v>68</v>
      </c>
      <c r="X455" s="1" t="s">
        <v>68</v>
      </c>
      <c r="Y455" s="73"/>
      <c r="Z455" s="2" t="s">
        <v>80</v>
      </c>
      <c r="AA455" s="3">
        <v>-853.6</v>
      </c>
      <c r="AB455" s="4">
        <v>-231189.02</v>
      </c>
      <c r="AC455" s="73">
        <v>46219</v>
      </c>
      <c r="AD455" s="73">
        <v>46213</v>
      </c>
      <c r="AE455" s="73"/>
      <c r="AF455" s="73">
        <v>46219</v>
      </c>
      <c r="AG455" s="3">
        <v>-853600</v>
      </c>
      <c r="AH455" s="353" t="str">
        <f t="shared" si="33"/>
        <v>302</v>
      </c>
      <c r="AI455" s="3" t="str">
        <f t="shared" si="34"/>
        <v>57</v>
      </c>
      <c r="AJ455" s="64" t="str">
        <f>VLOOKUP(T455,'GL Name'!A:B,2,0)</f>
        <v>ต้นทุนผลิตกึ่งสำเร็จ</v>
      </c>
      <c r="AL455" s="13">
        <f t="shared" si="35"/>
        <v>270.83999531396438</v>
      </c>
      <c r="AM455" s="13" t="str">
        <f>VLOOKUP(I455,'Order 301-305 (เรียง)'!A:B,2,0)</f>
        <v>59000002</v>
      </c>
      <c r="AN455" t="str">
        <f>VLOOKUP(I455,'Order 301-305 (เรียง)'!A:C,3,0)</f>
        <v>GOLD BLEND ALL CAFE'  ขนาด 500 G.</v>
      </c>
    </row>
    <row r="456" spans="1:40" x14ac:dyDescent="0.3">
      <c r="A456" s="1" t="s">
        <v>15</v>
      </c>
      <c r="B456" s="1" t="s">
        <v>233</v>
      </c>
      <c r="C456" s="1" t="s">
        <v>64</v>
      </c>
      <c r="D456" s="1" t="s">
        <v>77</v>
      </c>
      <c r="E456" s="1" t="s">
        <v>78</v>
      </c>
      <c r="F456" s="1" t="s">
        <v>1242</v>
      </c>
      <c r="G456" s="1" t="s">
        <v>279</v>
      </c>
      <c r="H456" s="1" t="s">
        <v>1236</v>
      </c>
      <c r="I456" s="1" t="s">
        <v>1243</v>
      </c>
      <c r="J456" s="1" t="s">
        <v>1244</v>
      </c>
      <c r="K456" s="1" t="s">
        <v>84</v>
      </c>
      <c r="L456" s="1" t="s">
        <v>92</v>
      </c>
      <c r="M456" s="1" t="s">
        <v>68</v>
      </c>
      <c r="N456" s="1" t="s">
        <v>71</v>
      </c>
      <c r="O456" s="1" t="s">
        <v>68</v>
      </c>
      <c r="P456" s="1" t="s">
        <v>1245</v>
      </c>
      <c r="Q456" s="1" t="s">
        <v>68</v>
      </c>
      <c r="R456" s="1" t="s">
        <v>68</v>
      </c>
      <c r="S456" s="1" t="s">
        <v>68</v>
      </c>
      <c r="T456" s="1" t="s">
        <v>123</v>
      </c>
      <c r="U456" s="1" t="s">
        <v>68</v>
      </c>
      <c r="V456" s="1" t="s">
        <v>68</v>
      </c>
      <c r="W456" s="1" t="s">
        <v>68</v>
      </c>
      <c r="X456" s="1" t="s">
        <v>68</v>
      </c>
      <c r="Y456" s="73"/>
      <c r="Z456" s="2" t="s">
        <v>80</v>
      </c>
      <c r="AA456" s="3">
        <v>-747.54</v>
      </c>
      <c r="AB456" s="4">
        <v>-202456.26</v>
      </c>
      <c r="AC456" s="73">
        <v>46219</v>
      </c>
      <c r="AD456" s="73">
        <v>46213</v>
      </c>
      <c r="AE456" s="73"/>
      <c r="AF456" s="73">
        <v>46219</v>
      </c>
      <c r="AG456" s="3">
        <v>-747540</v>
      </c>
      <c r="AH456" s="353" t="str">
        <f t="shared" si="33"/>
        <v>302</v>
      </c>
      <c r="AI456" s="3" t="str">
        <f t="shared" si="34"/>
        <v>57</v>
      </c>
      <c r="AJ456" s="64" t="str">
        <f>VLOOKUP(T456,'GL Name'!A:B,2,0)</f>
        <v>ต้นทุนผลิตกึ่งสำเร็จ</v>
      </c>
      <c r="AL456" s="13">
        <f t="shared" si="35"/>
        <v>270.83000240789795</v>
      </c>
      <c r="AM456" s="13" t="str">
        <f>VLOOKUP(I456,'Order 301-305 (เรียง)'!A:B,2,0)</f>
        <v>59000002</v>
      </c>
      <c r="AN456" t="str">
        <f>VLOOKUP(I456,'Order 301-305 (เรียง)'!A:C,3,0)</f>
        <v>GOLD BLEND ALL CAFE'  ขนาด 500 G.</v>
      </c>
    </row>
    <row r="457" spans="1:40" x14ac:dyDescent="0.3">
      <c r="A457" s="1" t="s">
        <v>15</v>
      </c>
      <c r="B457" s="1" t="s">
        <v>233</v>
      </c>
      <c r="C457" s="1" t="s">
        <v>64</v>
      </c>
      <c r="D457" s="1" t="s">
        <v>77</v>
      </c>
      <c r="E457" s="1" t="s">
        <v>78</v>
      </c>
      <c r="F457" s="1" t="s">
        <v>1242</v>
      </c>
      <c r="G457" s="1" t="s">
        <v>279</v>
      </c>
      <c r="H457" s="1" t="s">
        <v>1246</v>
      </c>
      <c r="I457" s="1" t="s">
        <v>1243</v>
      </c>
      <c r="J457" s="1" t="s">
        <v>1244</v>
      </c>
      <c r="K457" s="1" t="s">
        <v>84</v>
      </c>
      <c r="L457" s="1" t="s">
        <v>111</v>
      </c>
      <c r="M457" s="1" t="s">
        <v>68</v>
      </c>
      <c r="N457" s="1" t="s">
        <v>71</v>
      </c>
      <c r="O457" s="1" t="s">
        <v>68</v>
      </c>
      <c r="P457" s="1" t="s">
        <v>72</v>
      </c>
      <c r="Q457" s="1" t="s">
        <v>68</v>
      </c>
      <c r="R457" s="1" t="s">
        <v>233</v>
      </c>
      <c r="S457" s="1" t="s">
        <v>68</v>
      </c>
      <c r="T457" s="1" t="s">
        <v>123</v>
      </c>
      <c r="U457" s="1" t="s">
        <v>68</v>
      </c>
      <c r="V457" s="1" t="s">
        <v>68</v>
      </c>
      <c r="W457" s="1" t="s">
        <v>68</v>
      </c>
      <c r="X457" s="1" t="s">
        <v>68</v>
      </c>
      <c r="Y457" s="73"/>
      <c r="Z457" s="2" t="s">
        <v>80</v>
      </c>
      <c r="AA457" s="3">
        <v>-16.260000000000002</v>
      </c>
      <c r="AB457" s="4">
        <v>-4403.7</v>
      </c>
      <c r="AC457" s="73">
        <v>46219</v>
      </c>
      <c r="AD457" s="73">
        <v>46213</v>
      </c>
      <c r="AE457" s="73"/>
      <c r="AF457" s="73">
        <v>46219</v>
      </c>
      <c r="AG457" s="3">
        <v>-16260</v>
      </c>
      <c r="AH457" s="353" t="str">
        <f t="shared" si="33"/>
        <v>302</v>
      </c>
      <c r="AI457" s="3" t="str">
        <f t="shared" si="34"/>
        <v>57</v>
      </c>
      <c r="AJ457" s="64" t="str">
        <f>VLOOKUP(T457,'GL Name'!A:B,2,0)</f>
        <v>ต้นทุนผลิตกึ่งสำเร็จ</v>
      </c>
      <c r="AL457" s="13">
        <f t="shared" si="35"/>
        <v>270.83025830258299</v>
      </c>
      <c r="AM457" s="13" t="str">
        <f>VLOOKUP(I457,'Order 301-305 (เรียง)'!A:B,2,0)</f>
        <v>59000002</v>
      </c>
      <c r="AN457" t="str">
        <f>VLOOKUP(I457,'Order 301-305 (เรียง)'!A:C,3,0)</f>
        <v>GOLD BLEND ALL CAFE'  ขนาด 500 G.</v>
      </c>
    </row>
    <row r="458" spans="1:40" x14ac:dyDescent="0.3">
      <c r="A458" s="1" t="s">
        <v>19</v>
      </c>
      <c r="B458" s="1" t="s">
        <v>20</v>
      </c>
      <c r="C458" s="1" t="s">
        <v>64</v>
      </c>
      <c r="D458" s="1" t="s">
        <v>77</v>
      </c>
      <c r="E458" s="1" t="s">
        <v>78</v>
      </c>
      <c r="F458" s="1" t="s">
        <v>1242</v>
      </c>
      <c r="G458" s="1" t="s">
        <v>279</v>
      </c>
      <c r="H458" s="1" t="s">
        <v>304</v>
      </c>
      <c r="I458" s="1" t="s">
        <v>1243</v>
      </c>
      <c r="J458" s="1" t="s">
        <v>1244</v>
      </c>
      <c r="K458" s="1" t="s">
        <v>84</v>
      </c>
      <c r="L458" s="1" t="s">
        <v>89</v>
      </c>
      <c r="M458" s="1" t="s">
        <v>68</v>
      </c>
      <c r="N458" s="1" t="s">
        <v>71</v>
      </c>
      <c r="O458" s="1" t="s">
        <v>68</v>
      </c>
      <c r="P458" s="1" t="s">
        <v>1245</v>
      </c>
      <c r="Q458" s="1" t="s">
        <v>68</v>
      </c>
      <c r="R458" s="1" t="s">
        <v>68</v>
      </c>
      <c r="S458" s="1" t="s">
        <v>68</v>
      </c>
      <c r="T458" s="1" t="s">
        <v>123</v>
      </c>
      <c r="U458" s="1" t="s">
        <v>68</v>
      </c>
      <c r="V458" s="1" t="s">
        <v>68</v>
      </c>
      <c r="W458" s="1" t="s">
        <v>68</v>
      </c>
      <c r="X458" s="1" t="s">
        <v>68</v>
      </c>
      <c r="Y458" s="73"/>
      <c r="Z458" s="2" t="s">
        <v>80</v>
      </c>
      <c r="AA458" s="3">
        <v>-2496.34</v>
      </c>
      <c r="AB458" s="4">
        <v>-399239.66</v>
      </c>
      <c r="AC458" s="73">
        <v>46219</v>
      </c>
      <c r="AD458" s="73">
        <v>46213</v>
      </c>
      <c r="AE458" s="73"/>
      <c r="AF458" s="73">
        <v>46219</v>
      </c>
      <c r="AG458" s="3">
        <v>-2496340</v>
      </c>
      <c r="AH458" s="353" t="str">
        <f t="shared" si="33"/>
        <v>302</v>
      </c>
      <c r="AI458" s="3" t="str">
        <f t="shared" si="34"/>
        <v>57</v>
      </c>
      <c r="AJ458" s="64" t="str">
        <f>VLOOKUP(T458,'GL Name'!A:B,2,0)</f>
        <v>ต้นทุนผลิตกึ่งสำเร็จ</v>
      </c>
      <c r="AL458" s="13">
        <f t="shared" si="35"/>
        <v>159.93000152222854</v>
      </c>
      <c r="AM458" s="13" t="str">
        <f>VLOOKUP(I458,'Order 301-305 (เรียง)'!A:B,2,0)</f>
        <v>59000002</v>
      </c>
      <c r="AN458" t="str">
        <f>VLOOKUP(I458,'Order 301-305 (เรียง)'!A:C,3,0)</f>
        <v>GOLD BLEND ALL CAFE'  ขนาด 500 G.</v>
      </c>
    </row>
    <row r="459" spans="1:40" x14ac:dyDescent="0.3">
      <c r="A459" s="1" t="s">
        <v>23</v>
      </c>
      <c r="B459" s="1" t="s">
        <v>24</v>
      </c>
      <c r="C459" s="1" t="s">
        <v>64</v>
      </c>
      <c r="D459" s="1" t="s">
        <v>115</v>
      </c>
      <c r="E459" s="1" t="s">
        <v>116</v>
      </c>
      <c r="F459" s="1" t="s">
        <v>1242</v>
      </c>
      <c r="G459" s="1" t="s">
        <v>103</v>
      </c>
      <c r="H459" s="1" t="s">
        <v>1247</v>
      </c>
      <c r="I459" s="1" t="s">
        <v>1243</v>
      </c>
      <c r="J459" s="1" t="s">
        <v>1244</v>
      </c>
      <c r="K459" s="1" t="s">
        <v>84</v>
      </c>
      <c r="L459" s="1" t="s">
        <v>70</v>
      </c>
      <c r="M459" s="1" t="s">
        <v>68</v>
      </c>
      <c r="N459" s="1" t="s">
        <v>71</v>
      </c>
      <c r="O459" s="1" t="s">
        <v>68</v>
      </c>
      <c r="P459" s="1" t="s">
        <v>72</v>
      </c>
      <c r="Q459" s="1" t="s">
        <v>68</v>
      </c>
      <c r="R459" s="1" t="s">
        <v>68</v>
      </c>
      <c r="S459" s="1" t="s">
        <v>68</v>
      </c>
      <c r="T459" s="1" t="s">
        <v>124</v>
      </c>
      <c r="U459" s="1" t="s">
        <v>68</v>
      </c>
      <c r="V459" s="1" t="s">
        <v>68</v>
      </c>
      <c r="W459" s="1" t="s">
        <v>68</v>
      </c>
      <c r="X459" s="1" t="s">
        <v>68</v>
      </c>
      <c r="Y459" s="73"/>
      <c r="Z459" s="2" t="s">
        <v>80</v>
      </c>
      <c r="AA459" s="3">
        <v>10041.99</v>
      </c>
      <c r="AB459" s="4">
        <v>3265052.63</v>
      </c>
      <c r="AC459" s="73">
        <v>46219</v>
      </c>
      <c r="AD459" s="73">
        <v>46213</v>
      </c>
      <c r="AE459" s="73"/>
      <c r="AF459" s="73">
        <v>46219</v>
      </c>
      <c r="AG459" s="3">
        <v>10041990</v>
      </c>
      <c r="AH459" s="353" t="str">
        <f t="shared" si="33"/>
        <v>302</v>
      </c>
      <c r="AI459" s="3" t="str">
        <f t="shared" si="34"/>
        <v>57</v>
      </c>
      <c r="AJ459" s="64" t="str">
        <f>VLOOKUP(T459,'GL Name'!A:B,2,0)</f>
        <v>ต้นทุนผลิตโอน Semi</v>
      </c>
      <c r="AL459" s="13">
        <f t="shared" si="35"/>
        <v>325.14000013941461</v>
      </c>
      <c r="AM459" s="13" t="str">
        <f>VLOOKUP(I459,'Order 301-305 (เรียง)'!A:B,2,0)</f>
        <v>59000002</v>
      </c>
      <c r="AN459" t="str">
        <f>VLOOKUP(I459,'Order 301-305 (เรียง)'!A:C,3,0)</f>
        <v>GOLD BLEND ALL CAFE'  ขนาด 500 G.</v>
      </c>
    </row>
    <row r="460" spans="1:40" x14ac:dyDescent="0.3">
      <c r="A460" s="1" t="s">
        <v>13</v>
      </c>
      <c r="B460" s="1" t="s">
        <v>14</v>
      </c>
      <c r="C460" s="1" t="s">
        <v>64</v>
      </c>
      <c r="D460" s="1" t="s">
        <v>77</v>
      </c>
      <c r="E460" s="1" t="s">
        <v>78</v>
      </c>
      <c r="F460" s="1" t="s">
        <v>1248</v>
      </c>
      <c r="G460" s="1" t="s">
        <v>279</v>
      </c>
      <c r="H460" s="1" t="s">
        <v>327</v>
      </c>
      <c r="I460" s="1" t="s">
        <v>1249</v>
      </c>
      <c r="J460" s="1" t="s">
        <v>1250</v>
      </c>
      <c r="K460" s="1" t="s">
        <v>84</v>
      </c>
      <c r="L460" s="1" t="s">
        <v>86</v>
      </c>
      <c r="M460" s="1" t="s">
        <v>68</v>
      </c>
      <c r="N460" s="1" t="s">
        <v>71</v>
      </c>
      <c r="O460" s="1" t="s">
        <v>68</v>
      </c>
      <c r="P460" s="1" t="s">
        <v>1251</v>
      </c>
      <c r="Q460" s="1" t="s">
        <v>68</v>
      </c>
      <c r="R460" s="1" t="s">
        <v>68</v>
      </c>
      <c r="S460" s="1" t="s">
        <v>68</v>
      </c>
      <c r="T460" s="1" t="s">
        <v>123</v>
      </c>
      <c r="U460" s="1" t="s">
        <v>68</v>
      </c>
      <c r="V460" s="1" t="s">
        <v>68</v>
      </c>
      <c r="W460" s="1" t="s">
        <v>68</v>
      </c>
      <c r="X460" s="1" t="s">
        <v>68</v>
      </c>
      <c r="Y460" s="73"/>
      <c r="Z460" s="2" t="s">
        <v>80</v>
      </c>
      <c r="AA460" s="3">
        <v>-7740.2</v>
      </c>
      <c r="AB460" s="4">
        <v>-2096355.77</v>
      </c>
      <c r="AC460" s="73">
        <v>46219</v>
      </c>
      <c r="AD460" s="73">
        <v>46214</v>
      </c>
      <c r="AE460" s="73"/>
      <c r="AF460" s="73">
        <v>46219</v>
      </c>
      <c r="AG460" s="3">
        <v>-7740200</v>
      </c>
      <c r="AH460" s="353" t="str">
        <f t="shared" si="33"/>
        <v>302</v>
      </c>
      <c r="AI460" s="3" t="str">
        <f t="shared" si="34"/>
        <v>57</v>
      </c>
      <c r="AJ460" s="64" t="str">
        <f>VLOOKUP(T460,'GL Name'!A:B,2,0)</f>
        <v>ต้นทุนผลิตกึ่งสำเร็จ</v>
      </c>
      <c r="AL460" s="13">
        <f t="shared" si="35"/>
        <v>270.84000025839129</v>
      </c>
      <c r="AM460" s="13" t="str">
        <f>VLOOKUP(I460,'Order 301-305 (เรียง)'!A:B,2,0)</f>
        <v>59000002</v>
      </c>
      <c r="AN460" t="str">
        <f>VLOOKUP(I460,'Order 301-305 (เรียง)'!A:C,3,0)</f>
        <v>GOLD BLEND ALL CAFE'  ขนาด 500 G.</v>
      </c>
    </row>
    <row r="461" spans="1:40" x14ac:dyDescent="0.3">
      <c r="A461" s="1" t="s">
        <v>15</v>
      </c>
      <c r="B461" s="1" t="s">
        <v>233</v>
      </c>
      <c r="C461" s="1" t="s">
        <v>64</v>
      </c>
      <c r="D461" s="1" t="s">
        <v>77</v>
      </c>
      <c r="E461" s="1" t="s">
        <v>78</v>
      </c>
      <c r="F461" s="1" t="s">
        <v>1248</v>
      </c>
      <c r="G461" s="1" t="s">
        <v>279</v>
      </c>
      <c r="H461" s="1" t="s">
        <v>1252</v>
      </c>
      <c r="I461" s="1" t="s">
        <v>1249</v>
      </c>
      <c r="J461" s="1" t="s">
        <v>1250</v>
      </c>
      <c r="K461" s="1" t="s">
        <v>84</v>
      </c>
      <c r="L461" s="1" t="s">
        <v>95</v>
      </c>
      <c r="M461" s="1" t="s">
        <v>68</v>
      </c>
      <c r="N461" s="1" t="s">
        <v>71</v>
      </c>
      <c r="O461" s="1" t="s">
        <v>68</v>
      </c>
      <c r="P461" s="1" t="s">
        <v>72</v>
      </c>
      <c r="Q461" s="1" t="s">
        <v>68</v>
      </c>
      <c r="R461" s="1" t="s">
        <v>233</v>
      </c>
      <c r="S461" s="1" t="s">
        <v>68</v>
      </c>
      <c r="T461" s="1" t="s">
        <v>123</v>
      </c>
      <c r="U461" s="1" t="s">
        <v>68</v>
      </c>
      <c r="V461" s="1" t="s">
        <v>68</v>
      </c>
      <c r="W461" s="1" t="s">
        <v>68</v>
      </c>
      <c r="X461" s="1" t="s">
        <v>68</v>
      </c>
      <c r="Y461" s="73"/>
      <c r="Z461" s="2" t="s">
        <v>80</v>
      </c>
      <c r="AA461" s="3">
        <v>-551.55999999999995</v>
      </c>
      <c r="AB461" s="4">
        <v>-149378.99</v>
      </c>
      <c r="AC461" s="73">
        <v>46219</v>
      </c>
      <c r="AD461" s="73">
        <v>46214</v>
      </c>
      <c r="AE461" s="73"/>
      <c r="AF461" s="73">
        <v>46219</v>
      </c>
      <c r="AG461" s="3">
        <v>-551560</v>
      </c>
      <c r="AH461" s="353" t="str">
        <f t="shared" si="33"/>
        <v>302</v>
      </c>
      <c r="AI461" s="3" t="str">
        <f t="shared" si="34"/>
        <v>57</v>
      </c>
      <c r="AJ461" s="64" t="str">
        <f>VLOOKUP(T461,'GL Name'!A:B,2,0)</f>
        <v>ต้นทุนผลิตกึ่งสำเร็จ</v>
      </c>
      <c r="AL461" s="13">
        <f t="shared" si="35"/>
        <v>270.82999129741097</v>
      </c>
      <c r="AM461" s="13" t="str">
        <f>VLOOKUP(I461,'Order 301-305 (เรียง)'!A:B,2,0)</f>
        <v>59000002</v>
      </c>
      <c r="AN461" t="str">
        <f>VLOOKUP(I461,'Order 301-305 (เรียง)'!A:C,3,0)</f>
        <v>GOLD BLEND ALL CAFE'  ขนาด 500 G.</v>
      </c>
    </row>
    <row r="462" spans="1:40" x14ac:dyDescent="0.3">
      <c r="A462" s="1" t="s">
        <v>15</v>
      </c>
      <c r="B462" s="1" t="s">
        <v>233</v>
      </c>
      <c r="C462" s="1" t="s">
        <v>64</v>
      </c>
      <c r="D462" s="1" t="s">
        <v>77</v>
      </c>
      <c r="E462" s="1" t="s">
        <v>78</v>
      </c>
      <c r="F462" s="1" t="s">
        <v>1248</v>
      </c>
      <c r="G462" s="1" t="s">
        <v>279</v>
      </c>
      <c r="H462" s="1" t="s">
        <v>1246</v>
      </c>
      <c r="I462" s="1" t="s">
        <v>1249</v>
      </c>
      <c r="J462" s="1" t="s">
        <v>1250</v>
      </c>
      <c r="K462" s="1" t="s">
        <v>84</v>
      </c>
      <c r="L462" s="1" t="s">
        <v>92</v>
      </c>
      <c r="M462" s="1" t="s">
        <v>68</v>
      </c>
      <c r="N462" s="1" t="s">
        <v>71</v>
      </c>
      <c r="O462" s="1" t="s">
        <v>68</v>
      </c>
      <c r="P462" s="1" t="s">
        <v>1251</v>
      </c>
      <c r="Q462" s="1" t="s">
        <v>68</v>
      </c>
      <c r="R462" s="1" t="s">
        <v>68</v>
      </c>
      <c r="S462" s="1" t="s">
        <v>68</v>
      </c>
      <c r="T462" s="1" t="s">
        <v>123</v>
      </c>
      <c r="U462" s="1" t="s">
        <v>68</v>
      </c>
      <c r="V462" s="1" t="s">
        <v>68</v>
      </c>
      <c r="W462" s="1" t="s">
        <v>68</v>
      </c>
      <c r="X462" s="1" t="s">
        <v>68</v>
      </c>
      <c r="Y462" s="73"/>
      <c r="Z462" s="2" t="s">
        <v>80</v>
      </c>
      <c r="AA462" s="3">
        <v>-349.94</v>
      </c>
      <c r="AB462" s="4">
        <v>-94774.25</v>
      </c>
      <c r="AC462" s="73">
        <v>46219</v>
      </c>
      <c r="AD462" s="73">
        <v>46214</v>
      </c>
      <c r="AE462" s="73"/>
      <c r="AF462" s="73">
        <v>46219</v>
      </c>
      <c r="AG462" s="3">
        <v>-349940</v>
      </c>
      <c r="AH462" s="353" t="str">
        <f t="shared" si="33"/>
        <v>302</v>
      </c>
      <c r="AI462" s="3" t="str">
        <f t="shared" si="34"/>
        <v>57</v>
      </c>
      <c r="AJ462" s="64" t="str">
        <f>VLOOKUP(T462,'GL Name'!A:B,2,0)</f>
        <v>ต้นทุนผลิตกึ่งสำเร็จ</v>
      </c>
      <c r="AL462" s="13">
        <f t="shared" si="35"/>
        <v>270.82999942847346</v>
      </c>
      <c r="AM462" s="13" t="str">
        <f>VLOOKUP(I462,'Order 301-305 (เรียง)'!A:B,2,0)</f>
        <v>59000002</v>
      </c>
      <c r="AN462" t="str">
        <f>VLOOKUP(I462,'Order 301-305 (เรียง)'!A:C,3,0)</f>
        <v>GOLD BLEND ALL CAFE'  ขนาด 500 G.</v>
      </c>
    </row>
    <row r="463" spans="1:40" x14ac:dyDescent="0.3">
      <c r="A463" s="1" t="s">
        <v>19</v>
      </c>
      <c r="B463" s="1" t="s">
        <v>20</v>
      </c>
      <c r="C463" s="1" t="s">
        <v>64</v>
      </c>
      <c r="D463" s="1" t="s">
        <v>77</v>
      </c>
      <c r="E463" s="1" t="s">
        <v>78</v>
      </c>
      <c r="F463" s="1" t="s">
        <v>1248</v>
      </c>
      <c r="G463" s="1" t="s">
        <v>279</v>
      </c>
      <c r="H463" s="1" t="s">
        <v>304</v>
      </c>
      <c r="I463" s="1" t="s">
        <v>1249</v>
      </c>
      <c r="J463" s="1" t="s">
        <v>1250</v>
      </c>
      <c r="K463" s="1" t="s">
        <v>84</v>
      </c>
      <c r="L463" s="1" t="s">
        <v>89</v>
      </c>
      <c r="M463" s="1" t="s">
        <v>68</v>
      </c>
      <c r="N463" s="1" t="s">
        <v>71</v>
      </c>
      <c r="O463" s="1" t="s">
        <v>68</v>
      </c>
      <c r="P463" s="1" t="s">
        <v>1251</v>
      </c>
      <c r="Q463" s="1" t="s">
        <v>68</v>
      </c>
      <c r="R463" s="1" t="s">
        <v>68</v>
      </c>
      <c r="S463" s="1" t="s">
        <v>68</v>
      </c>
      <c r="T463" s="1" t="s">
        <v>123</v>
      </c>
      <c r="U463" s="1" t="s">
        <v>68</v>
      </c>
      <c r="V463" s="1" t="s">
        <v>68</v>
      </c>
      <c r="W463" s="1" t="s">
        <v>68</v>
      </c>
      <c r="X463" s="1" t="s">
        <v>68</v>
      </c>
      <c r="Y463" s="73"/>
      <c r="Z463" s="2" t="s">
        <v>80</v>
      </c>
      <c r="AA463" s="3">
        <v>-2160.04</v>
      </c>
      <c r="AB463" s="4">
        <v>-345455.2</v>
      </c>
      <c r="AC463" s="73">
        <v>46219</v>
      </c>
      <c r="AD463" s="73">
        <v>46214</v>
      </c>
      <c r="AE463" s="73"/>
      <c r="AF463" s="73">
        <v>46219</v>
      </c>
      <c r="AG463" s="3">
        <v>-2160040</v>
      </c>
      <c r="AH463" s="353" t="str">
        <f t="shared" si="33"/>
        <v>302</v>
      </c>
      <c r="AI463" s="3" t="str">
        <f t="shared" si="34"/>
        <v>57</v>
      </c>
      <c r="AJ463" s="64" t="str">
        <f>VLOOKUP(T463,'GL Name'!A:B,2,0)</f>
        <v>ต้นทุนผลิตกึ่งสำเร็จ</v>
      </c>
      <c r="AL463" s="13">
        <f t="shared" si="35"/>
        <v>159.93000129627231</v>
      </c>
      <c r="AM463" s="13" t="str">
        <f>VLOOKUP(I463,'Order 301-305 (เรียง)'!A:B,2,0)</f>
        <v>59000002</v>
      </c>
      <c r="AN463" t="str">
        <f>VLOOKUP(I463,'Order 301-305 (เรียง)'!A:C,3,0)</f>
        <v>GOLD BLEND ALL CAFE'  ขนาด 500 G.</v>
      </c>
    </row>
    <row r="464" spans="1:40" x14ac:dyDescent="0.3">
      <c r="A464" s="1" t="s">
        <v>23</v>
      </c>
      <c r="B464" s="1" t="s">
        <v>24</v>
      </c>
      <c r="C464" s="1" t="s">
        <v>64</v>
      </c>
      <c r="D464" s="1" t="s">
        <v>115</v>
      </c>
      <c r="E464" s="1" t="s">
        <v>116</v>
      </c>
      <c r="F464" s="1" t="s">
        <v>1248</v>
      </c>
      <c r="G464" s="1" t="s">
        <v>103</v>
      </c>
      <c r="H464" s="1" t="s">
        <v>1253</v>
      </c>
      <c r="I464" s="1" t="s">
        <v>1249</v>
      </c>
      <c r="J464" s="1" t="s">
        <v>1250</v>
      </c>
      <c r="K464" s="1" t="s">
        <v>84</v>
      </c>
      <c r="L464" s="1" t="s">
        <v>70</v>
      </c>
      <c r="M464" s="1" t="s">
        <v>68</v>
      </c>
      <c r="N464" s="1" t="s">
        <v>71</v>
      </c>
      <c r="O464" s="1" t="s">
        <v>68</v>
      </c>
      <c r="P464" s="1" t="s">
        <v>72</v>
      </c>
      <c r="Q464" s="1" t="s">
        <v>68</v>
      </c>
      <c r="R464" s="1" t="s">
        <v>68</v>
      </c>
      <c r="S464" s="1" t="s">
        <v>68</v>
      </c>
      <c r="T464" s="1" t="s">
        <v>124</v>
      </c>
      <c r="U464" s="1" t="s">
        <v>68</v>
      </c>
      <c r="V464" s="1" t="s">
        <v>68</v>
      </c>
      <c r="W464" s="1" t="s">
        <v>68</v>
      </c>
      <c r="X464" s="1" t="s">
        <v>68</v>
      </c>
      <c r="Y464" s="73"/>
      <c r="Z464" s="2" t="s">
        <v>80</v>
      </c>
      <c r="AA464" s="3">
        <v>8701.74</v>
      </c>
      <c r="AB464" s="4">
        <v>2829283.74</v>
      </c>
      <c r="AC464" s="73">
        <v>46219</v>
      </c>
      <c r="AD464" s="73">
        <v>46214</v>
      </c>
      <c r="AE464" s="73"/>
      <c r="AF464" s="73">
        <v>46219</v>
      </c>
      <c r="AG464" s="3">
        <v>8701740</v>
      </c>
      <c r="AH464" s="353" t="str">
        <f t="shared" si="33"/>
        <v>302</v>
      </c>
      <c r="AI464" s="3" t="str">
        <f t="shared" si="34"/>
        <v>57</v>
      </c>
      <c r="AJ464" s="64" t="str">
        <f>VLOOKUP(T464,'GL Name'!A:B,2,0)</f>
        <v>ต้นทุนผลิตโอน Semi</v>
      </c>
      <c r="AL464" s="13">
        <f t="shared" si="35"/>
        <v>325.13999958628966</v>
      </c>
      <c r="AM464" s="13" t="str">
        <f>VLOOKUP(I464,'Order 301-305 (เรียง)'!A:B,2,0)</f>
        <v>59000002</v>
      </c>
      <c r="AN464" t="str">
        <f>VLOOKUP(I464,'Order 301-305 (เรียง)'!A:C,3,0)</f>
        <v>GOLD BLEND ALL CAFE'  ขนาด 500 G.</v>
      </c>
    </row>
    <row r="465" spans="1:40" x14ac:dyDescent="0.3">
      <c r="A465" s="1" t="s">
        <v>9</v>
      </c>
      <c r="B465" s="1" t="s">
        <v>10</v>
      </c>
      <c r="C465" s="1" t="s">
        <v>64</v>
      </c>
      <c r="D465" s="1" t="s">
        <v>77</v>
      </c>
      <c r="E465" s="1" t="s">
        <v>78</v>
      </c>
      <c r="F465" s="1" t="s">
        <v>1254</v>
      </c>
      <c r="G465" s="1" t="s">
        <v>278</v>
      </c>
      <c r="H465" s="1" t="s">
        <v>944</v>
      </c>
      <c r="I465" s="1" t="s">
        <v>1255</v>
      </c>
      <c r="J465" s="1" t="s">
        <v>1256</v>
      </c>
      <c r="K465" s="1" t="s">
        <v>290</v>
      </c>
      <c r="L465" s="1" t="s">
        <v>70</v>
      </c>
      <c r="M465" s="1" t="s">
        <v>68</v>
      </c>
      <c r="N465" s="1" t="s">
        <v>71</v>
      </c>
      <c r="O465" s="1" t="s">
        <v>68</v>
      </c>
      <c r="P465" s="1" t="s">
        <v>1257</v>
      </c>
      <c r="Q465" s="1" t="s">
        <v>68</v>
      </c>
      <c r="R465" s="1" t="s">
        <v>68</v>
      </c>
      <c r="S465" s="1" t="s">
        <v>68</v>
      </c>
      <c r="T465" s="1" t="s">
        <v>79</v>
      </c>
      <c r="U465" s="1" t="s">
        <v>68</v>
      </c>
      <c r="V465" s="1" t="s">
        <v>68</v>
      </c>
      <c r="W465" s="1" t="s">
        <v>68</v>
      </c>
      <c r="X465" s="1" t="s">
        <v>68</v>
      </c>
      <c r="Y465" s="73"/>
      <c r="Z465" s="2" t="s">
        <v>80</v>
      </c>
      <c r="AA465" s="3">
        <v>-13882.95</v>
      </c>
      <c r="AB465" s="4">
        <v>-3663830.41</v>
      </c>
      <c r="AC465" s="73">
        <v>46219</v>
      </c>
      <c r="AD465" s="73">
        <v>46216</v>
      </c>
      <c r="AE465" s="73"/>
      <c r="AF465" s="73">
        <v>46219</v>
      </c>
      <c r="AG465" s="3">
        <v>-13882950</v>
      </c>
      <c r="AH465" s="353" t="str">
        <f t="shared" ref="AH465:AH468" si="36">LEFT(I465,3)</f>
        <v>301</v>
      </c>
      <c r="AI465" s="3" t="str">
        <f t="shared" ref="AI465:AI468" si="37">LEFT(A465,2)</f>
        <v>54</v>
      </c>
      <c r="AJ465" s="64" t="str">
        <f>VLOOKUP(T465,'GL Name'!A:B,2,0)</f>
        <v>ต้นทุนผลิต-วัตถุดิบ</v>
      </c>
      <c r="AL465" s="13">
        <f t="shared" ref="AL465:AL468" si="38">AB465/AA465</f>
        <v>263.90863685311837</v>
      </c>
      <c r="AM465" s="13" t="str">
        <f>VLOOKUP(I465,'Order 301-305 (เรียง)'!A:B,2,0)</f>
        <v>Semi</v>
      </c>
      <c r="AN465" t="str">
        <f>VLOOKUP(I465,'Order 301-305 (เรียง)'!A:C,3,0)</f>
        <v>Semi เมล็ดกาแฟ</v>
      </c>
    </row>
    <row r="466" spans="1:40" x14ac:dyDescent="0.3">
      <c r="A466" s="1" t="s">
        <v>9</v>
      </c>
      <c r="B466" s="1" t="s">
        <v>10</v>
      </c>
      <c r="C466" s="1" t="s">
        <v>64</v>
      </c>
      <c r="D466" s="1" t="s">
        <v>77</v>
      </c>
      <c r="E466" s="1" t="s">
        <v>78</v>
      </c>
      <c r="F466" s="1" t="s">
        <v>1254</v>
      </c>
      <c r="G466" s="1" t="s">
        <v>278</v>
      </c>
      <c r="H466" s="1" t="s">
        <v>327</v>
      </c>
      <c r="I466" s="1" t="s">
        <v>1255</v>
      </c>
      <c r="J466" s="1" t="s">
        <v>1256</v>
      </c>
      <c r="K466" s="1" t="s">
        <v>290</v>
      </c>
      <c r="L466" s="1" t="s">
        <v>86</v>
      </c>
      <c r="M466" s="1" t="s">
        <v>68</v>
      </c>
      <c r="N466" s="1" t="s">
        <v>71</v>
      </c>
      <c r="O466" s="1" t="s">
        <v>68</v>
      </c>
      <c r="P466" s="1" t="s">
        <v>72</v>
      </c>
      <c r="Q466" s="1" t="s">
        <v>68</v>
      </c>
      <c r="R466" s="1" t="s">
        <v>10</v>
      </c>
      <c r="S466" s="1" t="s">
        <v>68</v>
      </c>
      <c r="T466" s="1" t="s">
        <v>79</v>
      </c>
      <c r="U466" s="1" t="s">
        <v>68</v>
      </c>
      <c r="V466" s="1" t="s">
        <v>68</v>
      </c>
      <c r="W466" s="1" t="s">
        <v>68</v>
      </c>
      <c r="X466" s="1" t="s">
        <v>68</v>
      </c>
      <c r="Y466" s="73"/>
      <c r="Z466" s="2" t="s">
        <v>80</v>
      </c>
      <c r="AA466" s="3">
        <v>-158.05000000000001</v>
      </c>
      <c r="AB466" s="4">
        <v>-41710.76</v>
      </c>
      <c r="AC466" s="73">
        <v>46219</v>
      </c>
      <c r="AD466" s="73">
        <v>46216</v>
      </c>
      <c r="AE466" s="73"/>
      <c r="AF466" s="73">
        <v>46219</v>
      </c>
      <c r="AG466" s="3">
        <v>-158050</v>
      </c>
      <c r="AH466" s="353" t="str">
        <f t="shared" si="36"/>
        <v>301</v>
      </c>
      <c r="AI466" s="3" t="str">
        <f t="shared" si="37"/>
        <v>54</v>
      </c>
      <c r="AJ466" s="64" t="str">
        <f>VLOOKUP(T466,'GL Name'!A:B,2,0)</f>
        <v>ต้นทุนผลิต-วัตถุดิบ</v>
      </c>
      <c r="AL466" s="13">
        <f t="shared" si="38"/>
        <v>263.90863650743432</v>
      </c>
      <c r="AM466" s="13" t="str">
        <f>VLOOKUP(I466,'Order 301-305 (เรียง)'!A:B,2,0)</f>
        <v>Semi</v>
      </c>
      <c r="AN466" t="str">
        <f>VLOOKUP(I466,'Order 301-305 (เรียง)'!A:C,3,0)</f>
        <v>Semi เมล็ดกาแฟ</v>
      </c>
    </row>
    <row r="467" spans="1:40" x14ac:dyDescent="0.3">
      <c r="A467" s="1" t="s">
        <v>23</v>
      </c>
      <c r="B467" s="1" t="s">
        <v>24</v>
      </c>
      <c r="C467" s="1" t="s">
        <v>64</v>
      </c>
      <c r="D467" s="1" t="s">
        <v>77</v>
      </c>
      <c r="E467" s="1" t="s">
        <v>78</v>
      </c>
      <c r="F467" s="1" t="s">
        <v>1258</v>
      </c>
      <c r="G467" s="1" t="s">
        <v>103</v>
      </c>
      <c r="H467" s="1" t="s">
        <v>1247</v>
      </c>
      <c r="I467" s="1" t="s">
        <v>1259</v>
      </c>
      <c r="J467" s="1" t="s">
        <v>1260</v>
      </c>
      <c r="K467" s="1" t="s">
        <v>84</v>
      </c>
      <c r="L467" s="1" t="s">
        <v>86</v>
      </c>
      <c r="M467" s="1" t="s">
        <v>68</v>
      </c>
      <c r="N467" s="1" t="s">
        <v>71</v>
      </c>
      <c r="O467" s="1" t="s">
        <v>68</v>
      </c>
      <c r="P467" s="1" t="s">
        <v>1261</v>
      </c>
      <c r="Q467" s="1" t="s">
        <v>68</v>
      </c>
      <c r="R467" s="1" t="s">
        <v>68</v>
      </c>
      <c r="S467" s="1" t="s">
        <v>68</v>
      </c>
      <c r="T467" s="1" t="s">
        <v>123</v>
      </c>
      <c r="U467" s="1" t="s">
        <v>68</v>
      </c>
      <c r="V467" s="1" t="s">
        <v>68</v>
      </c>
      <c r="W467" s="1" t="s">
        <v>68</v>
      </c>
      <c r="X467" s="1" t="s">
        <v>68</v>
      </c>
      <c r="Y467" s="73"/>
      <c r="Z467" s="2" t="s">
        <v>80</v>
      </c>
      <c r="AA467" s="3">
        <v>-10041.99</v>
      </c>
      <c r="AB467" s="4">
        <v>-3265052.63</v>
      </c>
      <c r="AC467" s="73">
        <v>46219</v>
      </c>
      <c r="AD467" s="73">
        <v>46213</v>
      </c>
      <c r="AE467" s="73"/>
      <c r="AF467" s="73">
        <v>46219</v>
      </c>
      <c r="AG467" s="3">
        <v>-10041990</v>
      </c>
      <c r="AH467" s="353" t="str">
        <f t="shared" si="36"/>
        <v>303</v>
      </c>
      <c r="AI467" s="3" t="str">
        <f t="shared" si="37"/>
        <v>57</v>
      </c>
      <c r="AJ467" s="64" t="str">
        <f>VLOOKUP(T467,'GL Name'!A:B,2,0)</f>
        <v>ต้นทุนผลิตกึ่งสำเร็จ</v>
      </c>
      <c r="AL467" s="13">
        <f t="shared" si="38"/>
        <v>325.14000013941461</v>
      </c>
      <c r="AM467" s="13" t="str">
        <f>VLOOKUP(I467,'Order 301-305 (เรียง)'!A:B,2,0)</f>
        <v>59000002</v>
      </c>
      <c r="AN467" t="str">
        <f>VLOOKUP(I467,'Order 301-305 (เรียง)'!A:C,3,0)</f>
        <v>GOLD BLEND ALL CAFE'  ขนาด 500 G.</v>
      </c>
    </row>
    <row r="468" spans="1:40" x14ac:dyDescent="0.3">
      <c r="A468" s="1" t="s">
        <v>106</v>
      </c>
      <c r="B468" s="1" t="s">
        <v>107</v>
      </c>
      <c r="C468" s="1" t="s">
        <v>64</v>
      </c>
      <c r="D468" s="1" t="s">
        <v>77</v>
      </c>
      <c r="E468" s="1" t="s">
        <v>78</v>
      </c>
      <c r="F468" s="1" t="s">
        <v>1258</v>
      </c>
      <c r="G468" s="1" t="s">
        <v>103</v>
      </c>
      <c r="H468" s="1" t="s">
        <v>286</v>
      </c>
      <c r="I468" s="1" t="s">
        <v>1259</v>
      </c>
      <c r="J468" s="1" t="s">
        <v>1260</v>
      </c>
      <c r="K468" s="1" t="s">
        <v>84</v>
      </c>
      <c r="L468" s="1" t="s">
        <v>92</v>
      </c>
      <c r="M468" s="1" t="s">
        <v>68</v>
      </c>
      <c r="N468" s="1" t="s">
        <v>71</v>
      </c>
      <c r="O468" s="1" t="s">
        <v>68</v>
      </c>
      <c r="P468" s="1" t="s">
        <v>1261</v>
      </c>
      <c r="Q468" s="1" t="s">
        <v>68</v>
      </c>
      <c r="R468" s="1" t="s">
        <v>68</v>
      </c>
      <c r="S468" s="1" t="s">
        <v>68</v>
      </c>
      <c r="T468" s="1" t="s">
        <v>108</v>
      </c>
      <c r="U468" s="1" t="s">
        <v>68</v>
      </c>
      <c r="V468" s="1" t="s">
        <v>68</v>
      </c>
      <c r="W468" s="1" t="s">
        <v>68</v>
      </c>
      <c r="X468" s="1" t="s">
        <v>68</v>
      </c>
      <c r="Y468" s="73"/>
      <c r="Z468" s="2" t="s">
        <v>102</v>
      </c>
      <c r="AA468" s="3">
        <v>-20452</v>
      </c>
      <c r="AB468" s="4">
        <v>-17297.64</v>
      </c>
      <c r="AC468" s="73">
        <v>46219</v>
      </c>
      <c r="AD468" s="73">
        <v>46213</v>
      </c>
      <c r="AE468" s="73"/>
      <c r="AF468" s="73">
        <v>46219</v>
      </c>
      <c r="AG468" s="3">
        <v>-20452</v>
      </c>
      <c r="AH468" s="353" t="str">
        <f t="shared" si="36"/>
        <v>303</v>
      </c>
      <c r="AI468" s="3" t="str">
        <f t="shared" si="37"/>
        <v>58</v>
      </c>
      <c r="AJ468" s="64" t="str">
        <f>VLOOKUP(T468,'GL Name'!A:B,2,0)</f>
        <v>ต้นทุนผลิตหีบห่อ</v>
      </c>
      <c r="AL468" s="13">
        <f t="shared" si="38"/>
        <v>0.84576765108546836</v>
      </c>
      <c r="AM468" s="13" t="str">
        <f>VLOOKUP(I468,'Order 301-305 (เรียง)'!A:B,2,0)</f>
        <v>59000002</v>
      </c>
      <c r="AN468" t="str">
        <f>VLOOKUP(I468,'Order 301-305 (เรียง)'!A:C,3,0)</f>
        <v>GOLD BLEND ALL CAFE'  ขนาด 500 G.</v>
      </c>
    </row>
    <row r="469" spans="1:40" x14ac:dyDescent="0.3">
      <c r="A469" s="1" t="s">
        <v>119</v>
      </c>
      <c r="B469" s="1" t="s">
        <v>120</v>
      </c>
      <c r="C469" s="1" t="s">
        <v>64</v>
      </c>
      <c r="D469" s="1" t="s">
        <v>77</v>
      </c>
      <c r="E469" s="1" t="s">
        <v>78</v>
      </c>
      <c r="F469" s="1" t="s">
        <v>1258</v>
      </c>
      <c r="G469" s="1" t="s">
        <v>103</v>
      </c>
      <c r="H469" s="1" t="s">
        <v>307</v>
      </c>
      <c r="I469" s="1" t="s">
        <v>1259</v>
      </c>
      <c r="J469" s="1" t="s">
        <v>1260</v>
      </c>
      <c r="K469" s="1" t="s">
        <v>84</v>
      </c>
      <c r="L469" s="1" t="s">
        <v>89</v>
      </c>
      <c r="M469" s="1" t="s">
        <v>68</v>
      </c>
      <c r="N469" s="1" t="s">
        <v>71</v>
      </c>
      <c r="O469" s="1" t="s">
        <v>68</v>
      </c>
      <c r="P469" s="1" t="s">
        <v>1261</v>
      </c>
      <c r="Q469" s="1" t="s">
        <v>68</v>
      </c>
      <c r="R469" s="1" t="s">
        <v>68</v>
      </c>
      <c r="S469" s="1" t="s">
        <v>68</v>
      </c>
      <c r="T469" s="1" t="s">
        <v>108</v>
      </c>
      <c r="U469" s="1" t="s">
        <v>68</v>
      </c>
      <c r="V469" s="1" t="s">
        <v>68</v>
      </c>
      <c r="W469" s="1" t="s">
        <v>68</v>
      </c>
      <c r="X469" s="1" t="s">
        <v>68</v>
      </c>
      <c r="Y469" s="73"/>
      <c r="Z469" s="2" t="s">
        <v>102</v>
      </c>
      <c r="AA469" s="3">
        <v>-20452</v>
      </c>
      <c r="AB469" s="4">
        <v>-42611.48</v>
      </c>
      <c r="AC469" s="73">
        <v>46219</v>
      </c>
      <c r="AD469" s="73">
        <v>46213</v>
      </c>
      <c r="AE469" s="73"/>
      <c r="AF469" s="73">
        <v>46219</v>
      </c>
      <c r="AG469" s="3">
        <v>-20452</v>
      </c>
      <c r="AH469" s="353" t="str">
        <f t="shared" ref="AH469:AH532" si="39">LEFT(I469,3)</f>
        <v>303</v>
      </c>
      <c r="AI469" s="3" t="str">
        <f t="shared" ref="AI469:AI532" si="40">LEFT(A469,2)</f>
        <v>58</v>
      </c>
      <c r="AJ469" s="64" t="str">
        <f>VLOOKUP(T469,'GL Name'!A:B,2,0)</f>
        <v>ต้นทุนผลิตหีบห่อ</v>
      </c>
      <c r="AL469" s="13">
        <f t="shared" ref="AL469:AL532" si="41">AB469/AA469</f>
        <v>2.083487189516918</v>
      </c>
      <c r="AM469" s="13" t="str">
        <f>VLOOKUP(I469,'Order 301-305 (เรียง)'!A:B,2,0)</f>
        <v>59000002</v>
      </c>
      <c r="AN469" t="str">
        <f>VLOOKUP(I469,'Order 301-305 (เรียง)'!A:C,3,0)</f>
        <v>GOLD BLEND ALL CAFE'  ขนาด 500 G.</v>
      </c>
    </row>
    <row r="470" spans="1:40" x14ac:dyDescent="0.3">
      <c r="A470" s="1" t="s">
        <v>121</v>
      </c>
      <c r="B470" s="1" t="s">
        <v>122</v>
      </c>
      <c r="C470" s="1" t="s">
        <v>64</v>
      </c>
      <c r="D470" s="1" t="s">
        <v>77</v>
      </c>
      <c r="E470" s="1" t="s">
        <v>78</v>
      </c>
      <c r="F470" s="1" t="s">
        <v>1258</v>
      </c>
      <c r="G470" s="1" t="s">
        <v>103</v>
      </c>
      <c r="H470" s="1" t="s">
        <v>772</v>
      </c>
      <c r="I470" s="1" t="s">
        <v>1259</v>
      </c>
      <c r="J470" s="1" t="s">
        <v>1260</v>
      </c>
      <c r="K470" s="1" t="s">
        <v>84</v>
      </c>
      <c r="L470" s="1" t="s">
        <v>95</v>
      </c>
      <c r="M470" s="1" t="s">
        <v>68</v>
      </c>
      <c r="N470" s="1" t="s">
        <v>71</v>
      </c>
      <c r="O470" s="1" t="s">
        <v>68</v>
      </c>
      <c r="P470" s="1" t="s">
        <v>1261</v>
      </c>
      <c r="Q470" s="1" t="s">
        <v>68</v>
      </c>
      <c r="R470" s="1" t="s">
        <v>68</v>
      </c>
      <c r="S470" s="1" t="s">
        <v>68</v>
      </c>
      <c r="T470" s="1" t="s">
        <v>108</v>
      </c>
      <c r="U470" s="1" t="s">
        <v>68</v>
      </c>
      <c r="V470" s="1" t="s">
        <v>68</v>
      </c>
      <c r="W470" s="1" t="s">
        <v>68</v>
      </c>
      <c r="X470" s="1" t="s">
        <v>68</v>
      </c>
      <c r="Y470" s="73"/>
      <c r="Z470" s="2" t="s">
        <v>102</v>
      </c>
      <c r="AA470" s="3">
        <v>-3358</v>
      </c>
      <c r="AB470" s="4">
        <v>-16790</v>
      </c>
      <c r="AC470" s="73">
        <v>46219</v>
      </c>
      <c r="AD470" s="73">
        <v>46213</v>
      </c>
      <c r="AE470" s="73"/>
      <c r="AF470" s="73">
        <v>46219</v>
      </c>
      <c r="AG470" s="3">
        <v>-3358</v>
      </c>
      <c r="AH470" s="353" t="str">
        <f t="shared" si="39"/>
        <v>303</v>
      </c>
      <c r="AI470" s="3" t="str">
        <f t="shared" si="40"/>
        <v>58</v>
      </c>
      <c r="AJ470" s="64" t="str">
        <f>VLOOKUP(T470,'GL Name'!A:B,2,0)</f>
        <v>ต้นทุนผลิตหีบห่อ</v>
      </c>
      <c r="AL470" s="13">
        <f t="shared" si="41"/>
        <v>5</v>
      </c>
      <c r="AM470" s="13" t="str">
        <f>VLOOKUP(I470,'Order 301-305 (เรียง)'!A:B,2,0)</f>
        <v>59000002</v>
      </c>
      <c r="AN470" t="str">
        <f>VLOOKUP(I470,'Order 301-305 (เรียง)'!A:C,3,0)</f>
        <v>GOLD BLEND ALL CAFE'  ขนาด 500 G.</v>
      </c>
    </row>
    <row r="471" spans="1:40" x14ac:dyDescent="0.3">
      <c r="A471" s="1" t="s">
        <v>81</v>
      </c>
      <c r="B471" s="1" t="s">
        <v>82</v>
      </c>
      <c r="C471" s="1" t="s">
        <v>64</v>
      </c>
      <c r="D471" s="1" t="s">
        <v>115</v>
      </c>
      <c r="E471" s="1" t="s">
        <v>116</v>
      </c>
      <c r="F471" s="1" t="s">
        <v>1258</v>
      </c>
      <c r="G471" s="1" t="s">
        <v>83</v>
      </c>
      <c r="H471" s="1" t="s">
        <v>1262</v>
      </c>
      <c r="I471" s="1" t="s">
        <v>1259</v>
      </c>
      <c r="J471" s="1" t="s">
        <v>1260</v>
      </c>
      <c r="K471" s="1" t="s">
        <v>84</v>
      </c>
      <c r="L471" s="1" t="s">
        <v>70</v>
      </c>
      <c r="M471" s="1" t="s">
        <v>68</v>
      </c>
      <c r="N471" s="1" t="s">
        <v>71</v>
      </c>
      <c r="O471" s="1" t="s">
        <v>68</v>
      </c>
      <c r="P471" s="1" t="s">
        <v>72</v>
      </c>
      <c r="Q471" s="1" t="s">
        <v>68</v>
      </c>
      <c r="R471" s="1" t="s">
        <v>68</v>
      </c>
      <c r="S471" s="1" t="s">
        <v>68</v>
      </c>
      <c r="T471" s="1" t="s">
        <v>117</v>
      </c>
      <c r="U471" s="1" t="s">
        <v>68</v>
      </c>
      <c r="V471" s="1" t="s">
        <v>68</v>
      </c>
      <c r="W471" s="1" t="s">
        <v>68</v>
      </c>
      <c r="X471" s="1" t="s">
        <v>68</v>
      </c>
      <c r="Y471" s="73"/>
      <c r="Z471" s="2" t="s">
        <v>74</v>
      </c>
      <c r="AA471" s="3">
        <v>20077</v>
      </c>
      <c r="AB471" s="4">
        <v>3410279.22</v>
      </c>
      <c r="AC471" s="73">
        <v>46219</v>
      </c>
      <c r="AD471" s="73">
        <v>46213</v>
      </c>
      <c r="AE471" s="73"/>
      <c r="AF471" s="73">
        <v>46219</v>
      </c>
      <c r="AG471" s="3">
        <v>10038500</v>
      </c>
      <c r="AH471" s="353" t="str">
        <f t="shared" si="39"/>
        <v>303</v>
      </c>
      <c r="AI471" s="3" t="str">
        <f t="shared" si="40"/>
        <v>59</v>
      </c>
      <c r="AJ471" s="64" t="str">
        <f>VLOOKUP(T471,'GL Name'!A:B,2,0)</f>
        <v>ต้นทุนผลิตโอน F/G</v>
      </c>
      <c r="AL471" s="13">
        <f t="shared" si="41"/>
        <v>169.86</v>
      </c>
      <c r="AM471" s="13" t="str">
        <f>VLOOKUP(I471,'Order 301-305 (เรียง)'!A:B,2,0)</f>
        <v>59000002</v>
      </c>
      <c r="AN471" t="str">
        <f>VLOOKUP(I471,'Order 301-305 (เรียง)'!A:C,3,0)</f>
        <v>GOLD BLEND ALL CAFE'  ขนาด 500 G.</v>
      </c>
    </row>
    <row r="472" spans="1:40" x14ac:dyDescent="0.3">
      <c r="A472" s="1" t="s">
        <v>9</v>
      </c>
      <c r="B472" s="1" t="s">
        <v>10</v>
      </c>
      <c r="C472" s="1" t="s">
        <v>64</v>
      </c>
      <c r="D472" s="1" t="s">
        <v>77</v>
      </c>
      <c r="E472" s="1" t="s">
        <v>78</v>
      </c>
      <c r="F472" s="1" t="s">
        <v>1263</v>
      </c>
      <c r="G472" s="1" t="s">
        <v>278</v>
      </c>
      <c r="H472" s="1" t="s">
        <v>561</v>
      </c>
      <c r="I472" s="1" t="s">
        <v>1264</v>
      </c>
      <c r="J472" s="1" t="s">
        <v>1265</v>
      </c>
      <c r="K472" s="1" t="s">
        <v>290</v>
      </c>
      <c r="L472" s="1" t="s">
        <v>70</v>
      </c>
      <c r="M472" s="1" t="s">
        <v>68</v>
      </c>
      <c r="N472" s="1" t="s">
        <v>71</v>
      </c>
      <c r="O472" s="1" t="s">
        <v>68</v>
      </c>
      <c r="P472" s="1" t="s">
        <v>1266</v>
      </c>
      <c r="Q472" s="1" t="s">
        <v>68</v>
      </c>
      <c r="R472" s="1" t="s">
        <v>68</v>
      </c>
      <c r="S472" s="1" t="s">
        <v>68</v>
      </c>
      <c r="T472" s="1" t="s">
        <v>79</v>
      </c>
      <c r="U472" s="1" t="s">
        <v>68</v>
      </c>
      <c r="V472" s="1" t="s">
        <v>68</v>
      </c>
      <c r="W472" s="1" t="s">
        <v>68</v>
      </c>
      <c r="X472" s="1" t="s">
        <v>68</v>
      </c>
      <c r="Y472" s="73"/>
      <c r="Z472" s="2" t="s">
        <v>80</v>
      </c>
      <c r="AA472" s="3">
        <v>-15064.9</v>
      </c>
      <c r="AB472" s="4">
        <v>-3975757.23</v>
      </c>
      <c r="AC472" s="73">
        <v>46219</v>
      </c>
      <c r="AD472" s="73">
        <v>46218</v>
      </c>
      <c r="AE472" s="73"/>
      <c r="AF472" s="73">
        <v>46219</v>
      </c>
      <c r="AG472" s="3">
        <v>-15064900</v>
      </c>
      <c r="AH472" s="353" t="str">
        <f t="shared" si="39"/>
        <v>301</v>
      </c>
      <c r="AI472" s="3" t="str">
        <f t="shared" si="40"/>
        <v>54</v>
      </c>
      <c r="AJ472" s="64" t="str">
        <f>VLOOKUP(T472,'GL Name'!A:B,2,0)</f>
        <v>ต้นทุนผลิต-วัตถุดิบ</v>
      </c>
      <c r="AL472" s="13">
        <f t="shared" si="41"/>
        <v>263.90863729596612</v>
      </c>
      <c r="AM472" s="13" t="str">
        <f>VLOOKUP(I472,'Order 301-305 (เรียง)'!A:B,2,0)</f>
        <v>Semi</v>
      </c>
      <c r="AN472" t="str">
        <f>VLOOKUP(I472,'Order 301-305 (เรียง)'!A:C,3,0)</f>
        <v>Semi เมล็ดกาแฟ</v>
      </c>
    </row>
    <row r="473" spans="1:40" x14ac:dyDescent="0.3">
      <c r="A473" s="1" t="s">
        <v>23</v>
      </c>
      <c r="B473" s="1" t="s">
        <v>24</v>
      </c>
      <c r="C473" s="1" t="s">
        <v>64</v>
      </c>
      <c r="D473" s="1" t="s">
        <v>77</v>
      </c>
      <c r="E473" s="1" t="s">
        <v>78</v>
      </c>
      <c r="F473" s="1" t="s">
        <v>1267</v>
      </c>
      <c r="G473" s="1" t="s">
        <v>103</v>
      </c>
      <c r="H473" s="1" t="s">
        <v>1253</v>
      </c>
      <c r="I473" s="1" t="s">
        <v>1268</v>
      </c>
      <c r="J473" s="1" t="s">
        <v>1269</v>
      </c>
      <c r="K473" s="1" t="s">
        <v>84</v>
      </c>
      <c r="L473" s="1" t="s">
        <v>86</v>
      </c>
      <c r="M473" s="1" t="s">
        <v>68</v>
      </c>
      <c r="N473" s="1" t="s">
        <v>71</v>
      </c>
      <c r="O473" s="1" t="s">
        <v>68</v>
      </c>
      <c r="P473" s="1" t="s">
        <v>1270</v>
      </c>
      <c r="Q473" s="1" t="s">
        <v>68</v>
      </c>
      <c r="R473" s="1" t="s">
        <v>68</v>
      </c>
      <c r="S473" s="1" t="s">
        <v>68</v>
      </c>
      <c r="T473" s="1" t="s">
        <v>123</v>
      </c>
      <c r="U473" s="1" t="s">
        <v>68</v>
      </c>
      <c r="V473" s="1" t="s">
        <v>68</v>
      </c>
      <c r="W473" s="1" t="s">
        <v>68</v>
      </c>
      <c r="X473" s="1" t="s">
        <v>68</v>
      </c>
      <c r="Y473" s="73"/>
      <c r="Z473" s="2" t="s">
        <v>80</v>
      </c>
      <c r="AA473" s="3">
        <v>-8701.74</v>
      </c>
      <c r="AB473" s="4">
        <v>-2829283.74</v>
      </c>
      <c r="AC473" s="73">
        <v>46219</v>
      </c>
      <c r="AD473" s="73">
        <v>46214</v>
      </c>
      <c r="AE473" s="73"/>
      <c r="AF473" s="73">
        <v>46219</v>
      </c>
      <c r="AG473" s="3">
        <v>-8701740</v>
      </c>
      <c r="AH473" s="353" t="str">
        <f t="shared" si="39"/>
        <v>303</v>
      </c>
      <c r="AI473" s="3" t="str">
        <f t="shared" si="40"/>
        <v>57</v>
      </c>
      <c r="AJ473" s="64" t="str">
        <f>VLOOKUP(T473,'GL Name'!A:B,2,0)</f>
        <v>ต้นทุนผลิตกึ่งสำเร็จ</v>
      </c>
      <c r="AL473" s="13">
        <f t="shared" si="41"/>
        <v>325.13999958628966</v>
      </c>
      <c r="AM473" s="13" t="str">
        <f>VLOOKUP(I473,'Order 301-305 (เรียง)'!A:B,2,0)</f>
        <v>59000002</v>
      </c>
      <c r="AN473" t="str">
        <f>VLOOKUP(I473,'Order 301-305 (เรียง)'!A:C,3,0)</f>
        <v>GOLD BLEND ALL CAFE'  ขนาด 500 G.</v>
      </c>
    </row>
    <row r="474" spans="1:40" x14ac:dyDescent="0.3">
      <c r="A474" s="1" t="s">
        <v>106</v>
      </c>
      <c r="B474" s="1" t="s">
        <v>107</v>
      </c>
      <c r="C474" s="1" t="s">
        <v>64</v>
      </c>
      <c r="D474" s="1" t="s">
        <v>77</v>
      </c>
      <c r="E474" s="1" t="s">
        <v>78</v>
      </c>
      <c r="F474" s="1" t="s">
        <v>1267</v>
      </c>
      <c r="G474" s="1" t="s">
        <v>103</v>
      </c>
      <c r="H474" s="1" t="s">
        <v>286</v>
      </c>
      <c r="I474" s="1" t="s">
        <v>1268</v>
      </c>
      <c r="J474" s="1" t="s">
        <v>1269</v>
      </c>
      <c r="K474" s="1" t="s">
        <v>84</v>
      </c>
      <c r="L474" s="1" t="s">
        <v>92</v>
      </c>
      <c r="M474" s="1" t="s">
        <v>68</v>
      </c>
      <c r="N474" s="1" t="s">
        <v>71</v>
      </c>
      <c r="O474" s="1" t="s">
        <v>68</v>
      </c>
      <c r="P474" s="1" t="s">
        <v>1270</v>
      </c>
      <c r="Q474" s="1" t="s">
        <v>68</v>
      </c>
      <c r="R474" s="1" t="s">
        <v>68</v>
      </c>
      <c r="S474" s="1" t="s">
        <v>68</v>
      </c>
      <c r="T474" s="1" t="s">
        <v>108</v>
      </c>
      <c r="U474" s="1" t="s">
        <v>68</v>
      </c>
      <c r="V474" s="1" t="s">
        <v>68</v>
      </c>
      <c r="W474" s="1" t="s">
        <v>68</v>
      </c>
      <c r="X474" s="1" t="s">
        <v>68</v>
      </c>
      <c r="Y474" s="73"/>
      <c r="Z474" s="2" t="s">
        <v>102</v>
      </c>
      <c r="AA474" s="3">
        <v>-17689</v>
      </c>
      <c r="AB474" s="4">
        <v>-14960.79</v>
      </c>
      <c r="AC474" s="73">
        <v>46219</v>
      </c>
      <c r="AD474" s="73">
        <v>46214</v>
      </c>
      <c r="AE474" s="73"/>
      <c r="AF474" s="73">
        <v>46219</v>
      </c>
      <c r="AG474" s="3">
        <v>-17689</v>
      </c>
      <c r="AH474" s="353" t="str">
        <f t="shared" si="39"/>
        <v>303</v>
      </c>
      <c r="AI474" s="3" t="str">
        <f t="shared" si="40"/>
        <v>58</v>
      </c>
      <c r="AJ474" s="64" t="str">
        <f>VLOOKUP(T474,'GL Name'!A:B,2,0)</f>
        <v>ต้นทุนผลิตหีบห่อ</v>
      </c>
      <c r="AL474" s="13">
        <f t="shared" si="41"/>
        <v>0.84576799140708925</v>
      </c>
      <c r="AM474" s="13" t="str">
        <f>VLOOKUP(I474,'Order 301-305 (เรียง)'!A:B,2,0)</f>
        <v>59000002</v>
      </c>
      <c r="AN474" t="str">
        <f>VLOOKUP(I474,'Order 301-305 (เรียง)'!A:C,3,0)</f>
        <v>GOLD BLEND ALL CAFE'  ขนาด 500 G.</v>
      </c>
    </row>
    <row r="475" spans="1:40" x14ac:dyDescent="0.3">
      <c r="A475" s="1" t="s">
        <v>119</v>
      </c>
      <c r="B475" s="1" t="s">
        <v>120</v>
      </c>
      <c r="C475" s="1" t="s">
        <v>64</v>
      </c>
      <c r="D475" s="1" t="s">
        <v>77</v>
      </c>
      <c r="E475" s="1" t="s">
        <v>78</v>
      </c>
      <c r="F475" s="1" t="s">
        <v>1267</v>
      </c>
      <c r="G475" s="1" t="s">
        <v>103</v>
      </c>
      <c r="H475" s="1" t="s">
        <v>307</v>
      </c>
      <c r="I475" s="1" t="s">
        <v>1268</v>
      </c>
      <c r="J475" s="1" t="s">
        <v>1269</v>
      </c>
      <c r="K475" s="1" t="s">
        <v>84</v>
      </c>
      <c r="L475" s="1" t="s">
        <v>89</v>
      </c>
      <c r="M475" s="1" t="s">
        <v>68</v>
      </c>
      <c r="N475" s="1" t="s">
        <v>71</v>
      </c>
      <c r="O475" s="1" t="s">
        <v>68</v>
      </c>
      <c r="P475" s="1" t="s">
        <v>1270</v>
      </c>
      <c r="Q475" s="1" t="s">
        <v>68</v>
      </c>
      <c r="R475" s="1" t="s">
        <v>68</v>
      </c>
      <c r="S475" s="1" t="s">
        <v>68</v>
      </c>
      <c r="T475" s="1" t="s">
        <v>108</v>
      </c>
      <c r="U475" s="1" t="s">
        <v>68</v>
      </c>
      <c r="V475" s="1" t="s">
        <v>68</v>
      </c>
      <c r="W475" s="1" t="s">
        <v>68</v>
      </c>
      <c r="X475" s="1" t="s">
        <v>68</v>
      </c>
      <c r="Y475" s="73"/>
      <c r="Z475" s="2" t="s">
        <v>102</v>
      </c>
      <c r="AA475" s="3">
        <v>-17689</v>
      </c>
      <c r="AB475" s="4">
        <v>-36854.800000000003</v>
      </c>
      <c r="AC475" s="73">
        <v>46219</v>
      </c>
      <c r="AD475" s="73">
        <v>46214</v>
      </c>
      <c r="AE475" s="73"/>
      <c r="AF475" s="73">
        <v>46219</v>
      </c>
      <c r="AG475" s="3">
        <v>-17689</v>
      </c>
      <c r="AH475" s="353" t="str">
        <f t="shared" si="39"/>
        <v>303</v>
      </c>
      <c r="AI475" s="3" t="str">
        <f t="shared" si="40"/>
        <v>58</v>
      </c>
      <c r="AJ475" s="64" t="str">
        <f>VLOOKUP(T475,'GL Name'!A:B,2,0)</f>
        <v>ต้นทุนผลิตหีบห่อ</v>
      </c>
      <c r="AL475" s="13">
        <f t="shared" si="41"/>
        <v>2.0834869127706486</v>
      </c>
      <c r="AM475" s="13" t="str">
        <f>VLOOKUP(I475,'Order 301-305 (เรียง)'!A:B,2,0)</f>
        <v>59000002</v>
      </c>
      <c r="AN475" t="str">
        <f>VLOOKUP(I475,'Order 301-305 (เรียง)'!A:C,3,0)</f>
        <v>GOLD BLEND ALL CAFE'  ขนาด 500 G.</v>
      </c>
    </row>
    <row r="476" spans="1:40" x14ac:dyDescent="0.3">
      <c r="A476" s="1" t="s">
        <v>121</v>
      </c>
      <c r="B476" s="1" t="s">
        <v>122</v>
      </c>
      <c r="C476" s="1" t="s">
        <v>64</v>
      </c>
      <c r="D476" s="1" t="s">
        <v>77</v>
      </c>
      <c r="E476" s="1" t="s">
        <v>78</v>
      </c>
      <c r="F476" s="1" t="s">
        <v>1267</v>
      </c>
      <c r="G476" s="1" t="s">
        <v>103</v>
      </c>
      <c r="H476" s="1" t="s">
        <v>772</v>
      </c>
      <c r="I476" s="1" t="s">
        <v>1268</v>
      </c>
      <c r="J476" s="1" t="s">
        <v>1269</v>
      </c>
      <c r="K476" s="1" t="s">
        <v>84</v>
      </c>
      <c r="L476" s="1" t="s">
        <v>95</v>
      </c>
      <c r="M476" s="1" t="s">
        <v>68</v>
      </c>
      <c r="N476" s="1" t="s">
        <v>71</v>
      </c>
      <c r="O476" s="1" t="s">
        <v>68</v>
      </c>
      <c r="P476" s="1" t="s">
        <v>1270</v>
      </c>
      <c r="Q476" s="1" t="s">
        <v>68</v>
      </c>
      <c r="R476" s="1" t="s">
        <v>68</v>
      </c>
      <c r="S476" s="1" t="s">
        <v>68</v>
      </c>
      <c r="T476" s="1" t="s">
        <v>108</v>
      </c>
      <c r="U476" s="1" t="s">
        <v>68</v>
      </c>
      <c r="V476" s="1" t="s">
        <v>68</v>
      </c>
      <c r="W476" s="1" t="s">
        <v>68</v>
      </c>
      <c r="X476" s="1" t="s">
        <v>68</v>
      </c>
      <c r="Y476" s="73"/>
      <c r="Z476" s="2" t="s">
        <v>102</v>
      </c>
      <c r="AA476" s="3">
        <v>-2915</v>
      </c>
      <c r="AB476" s="4">
        <v>-14575</v>
      </c>
      <c r="AC476" s="73">
        <v>46219</v>
      </c>
      <c r="AD476" s="73">
        <v>46214</v>
      </c>
      <c r="AE476" s="73"/>
      <c r="AF476" s="73">
        <v>46219</v>
      </c>
      <c r="AG476" s="3">
        <v>-2915</v>
      </c>
      <c r="AH476" s="353" t="str">
        <f t="shared" si="39"/>
        <v>303</v>
      </c>
      <c r="AI476" s="3" t="str">
        <f t="shared" si="40"/>
        <v>58</v>
      </c>
      <c r="AJ476" s="64" t="str">
        <f>VLOOKUP(T476,'GL Name'!A:B,2,0)</f>
        <v>ต้นทุนผลิตหีบห่อ</v>
      </c>
      <c r="AL476" s="13">
        <f t="shared" si="41"/>
        <v>5</v>
      </c>
      <c r="AM476" s="13" t="str">
        <f>VLOOKUP(I476,'Order 301-305 (เรียง)'!A:B,2,0)</f>
        <v>59000002</v>
      </c>
      <c r="AN476" t="str">
        <f>VLOOKUP(I476,'Order 301-305 (เรียง)'!A:C,3,0)</f>
        <v>GOLD BLEND ALL CAFE'  ขนาด 500 G.</v>
      </c>
    </row>
    <row r="477" spans="1:40" x14ac:dyDescent="0.3">
      <c r="A477" s="1" t="s">
        <v>81</v>
      </c>
      <c r="B477" s="1" t="s">
        <v>82</v>
      </c>
      <c r="C477" s="1" t="s">
        <v>64</v>
      </c>
      <c r="D477" s="1" t="s">
        <v>115</v>
      </c>
      <c r="E477" s="1" t="s">
        <v>116</v>
      </c>
      <c r="F477" s="1" t="s">
        <v>1267</v>
      </c>
      <c r="G477" s="1" t="s">
        <v>83</v>
      </c>
      <c r="H477" s="1" t="s">
        <v>1271</v>
      </c>
      <c r="I477" s="1" t="s">
        <v>1268</v>
      </c>
      <c r="J477" s="1" t="s">
        <v>1269</v>
      </c>
      <c r="K477" s="1" t="s">
        <v>84</v>
      </c>
      <c r="L477" s="1" t="s">
        <v>70</v>
      </c>
      <c r="M477" s="1" t="s">
        <v>68</v>
      </c>
      <c r="N477" s="1" t="s">
        <v>71</v>
      </c>
      <c r="O477" s="1" t="s">
        <v>68</v>
      </c>
      <c r="P477" s="1" t="s">
        <v>72</v>
      </c>
      <c r="Q477" s="1" t="s">
        <v>68</v>
      </c>
      <c r="R477" s="1" t="s">
        <v>68</v>
      </c>
      <c r="S477" s="1" t="s">
        <v>68</v>
      </c>
      <c r="T477" s="1" t="s">
        <v>117</v>
      </c>
      <c r="U477" s="1" t="s">
        <v>68</v>
      </c>
      <c r="V477" s="1" t="s">
        <v>68</v>
      </c>
      <c r="W477" s="1" t="s">
        <v>68</v>
      </c>
      <c r="X477" s="1" t="s">
        <v>68</v>
      </c>
      <c r="Y477" s="73"/>
      <c r="Z477" s="2" t="s">
        <v>74</v>
      </c>
      <c r="AA477" s="3">
        <v>17390</v>
      </c>
      <c r="AB477" s="4">
        <v>2953865.4</v>
      </c>
      <c r="AC477" s="73">
        <v>46219</v>
      </c>
      <c r="AD477" s="73">
        <v>46214</v>
      </c>
      <c r="AE477" s="73"/>
      <c r="AF477" s="73">
        <v>46219</v>
      </c>
      <c r="AG477" s="3">
        <v>8695000</v>
      </c>
      <c r="AH477" s="353" t="str">
        <f t="shared" si="39"/>
        <v>303</v>
      </c>
      <c r="AI477" s="3" t="str">
        <f t="shared" si="40"/>
        <v>59</v>
      </c>
      <c r="AJ477" s="64" t="str">
        <f>VLOOKUP(T477,'GL Name'!A:B,2,0)</f>
        <v>ต้นทุนผลิตโอน F/G</v>
      </c>
      <c r="AL477" s="13">
        <f t="shared" si="41"/>
        <v>169.85999999999999</v>
      </c>
      <c r="AM477" s="13" t="str">
        <f>VLOOKUP(I477,'Order 301-305 (เรียง)'!A:B,2,0)</f>
        <v>59000002</v>
      </c>
      <c r="AN477" t="str">
        <f>VLOOKUP(I477,'Order 301-305 (เรียง)'!A:C,3,0)</f>
        <v>GOLD BLEND ALL CAFE'  ขนาด 500 G.</v>
      </c>
    </row>
    <row r="478" spans="1:40" x14ac:dyDescent="0.3">
      <c r="A478" s="1" t="s">
        <v>9</v>
      </c>
      <c r="B478" s="1" t="s">
        <v>10</v>
      </c>
      <c r="C478" s="1" t="s">
        <v>64</v>
      </c>
      <c r="D478" s="1" t="s">
        <v>77</v>
      </c>
      <c r="E478" s="1" t="s">
        <v>78</v>
      </c>
      <c r="F478" s="1" t="s">
        <v>1272</v>
      </c>
      <c r="G478" s="1" t="s">
        <v>278</v>
      </c>
      <c r="H478" s="1" t="s">
        <v>944</v>
      </c>
      <c r="I478" s="1" t="s">
        <v>1273</v>
      </c>
      <c r="J478" s="1" t="s">
        <v>1274</v>
      </c>
      <c r="K478" s="1" t="s">
        <v>290</v>
      </c>
      <c r="L478" s="1" t="s">
        <v>70</v>
      </c>
      <c r="M478" s="1" t="s">
        <v>68</v>
      </c>
      <c r="N478" s="1" t="s">
        <v>71</v>
      </c>
      <c r="O478" s="1" t="s">
        <v>68</v>
      </c>
      <c r="P478" s="1" t="s">
        <v>1275</v>
      </c>
      <c r="Q478" s="1" t="s">
        <v>68</v>
      </c>
      <c r="R478" s="1" t="s">
        <v>68</v>
      </c>
      <c r="S478" s="1" t="s">
        <v>68</v>
      </c>
      <c r="T478" s="1" t="s">
        <v>79</v>
      </c>
      <c r="U478" s="1" t="s">
        <v>68</v>
      </c>
      <c r="V478" s="1" t="s">
        <v>68</v>
      </c>
      <c r="W478" s="1" t="s">
        <v>68</v>
      </c>
      <c r="X478" s="1" t="s">
        <v>68</v>
      </c>
      <c r="Y478" s="73"/>
      <c r="Z478" s="2" t="s">
        <v>80</v>
      </c>
      <c r="AA478" s="3">
        <v>-7017.2</v>
      </c>
      <c r="AB478" s="4">
        <v>-1851899.69</v>
      </c>
      <c r="AC478" s="73">
        <v>46219</v>
      </c>
      <c r="AD478" s="73">
        <v>46218</v>
      </c>
      <c r="AE478" s="73"/>
      <c r="AF478" s="73">
        <v>46219</v>
      </c>
      <c r="AG478" s="3">
        <v>-7017200</v>
      </c>
      <c r="AH478" s="353" t="str">
        <f t="shared" si="39"/>
        <v>301</v>
      </c>
      <c r="AI478" s="3" t="str">
        <f t="shared" si="40"/>
        <v>54</v>
      </c>
      <c r="AJ478" s="64" t="str">
        <f>VLOOKUP(T478,'GL Name'!A:B,2,0)</f>
        <v>ต้นทุนผลิต-วัตถุดิบ</v>
      </c>
      <c r="AL478" s="13">
        <f t="shared" si="41"/>
        <v>263.90863734823006</v>
      </c>
      <c r="AM478" s="13" t="str">
        <f>VLOOKUP(I478,'Order 301-305 (เรียง)'!A:B,2,0)</f>
        <v>Semi</v>
      </c>
      <c r="AN478" t="str">
        <f>VLOOKUP(I478,'Order 301-305 (เรียง)'!A:C,3,0)</f>
        <v>Semi เมล็ดกาแฟ</v>
      </c>
    </row>
    <row r="479" spans="1:40" x14ac:dyDescent="0.3">
      <c r="A479" s="1" t="s">
        <v>81</v>
      </c>
      <c r="B479" s="1" t="s">
        <v>82</v>
      </c>
      <c r="C479" s="1" t="s">
        <v>64</v>
      </c>
      <c r="D479" s="1" t="s">
        <v>87</v>
      </c>
      <c r="E479" s="1" t="s">
        <v>88</v>
      </c>
      <c r="F479" s="1" t="s">
        <v>1276</v>
      </c>
      <c r="G479" s="1" t="s">
        <v>83</v>
      </c>
      <c r="H479" s="1" t="s">
        <v>994</v>
      </c>
      <c r="I479" s="1" t="s">
        <v>68</v>
      </c>
      <c r="J479" s="1" t="s">
        <v>1277</v>
      </c>
      <c r="K479" s="1" t="s">
        <v>223</v>
      </c>
      <c r="L479" s="1" t="s">
        <v>89</v>
      </c>
      <c r="M479" s="1" t="s">
        <v>68</v>
      </c>
      <c r="N479" s="1" t="s">
        <v>71</v>
      </c>
      <c r="O479" s="1" t="s">
        <v>68</v>
      </c>
      <c r="P479" s="1" t="s">
        <v>1278</v>
      </c>
      <c r="Q479" s="1" t="s">
        <v>68</v>
      </c>
      <c r="R479" s="1" t="s">
        <v>1281</v>
      </c>
      <c r="S479" s="1" t="s">
        <v>90</v>
      </c>
      <c r="T479" s="1" t="s">
        <v>91</v>
      </c>
      <c r="U479" s="1" t="s">
        <v>68</v>
      </c>
      <c r="V479" s="1" t="s">
        <v>68</v>
      </c>
      <c r="W479" s="1" t="s">
        <v>68</v>
      </c>
      <c r="X479" s="1" t="s">
        <v>68</v>
      </c>
      <c r="Y479" s="73"/>
      <c r="Z479" s="2" t="s">
        <v>74</v>
      </c>
      <c r="AA479" s="3">
        <v>-5</v>
      </c>
      <c r="AB479" s="4">
        <v>-849.3</v>
      </c>
      <c r="AC479" s="73">
        <v>46219</v>
      </c>
      <c r="AD479" s="73">
        <v>46219</v>
      </c>
      <c r="AE479" s="73"/>
      <c r="AF479" s="73">
        <v>46219</v>
      </c>
      <c r="AG479" s="3">
        <v>-2500</v>
      </c>
      <c r="AH479" s="353" t="str">
        <f t="shared" si="39"/>
        <v/>
      </c>
      <c r="AI479" s="3" t="str">
        <f t="shared" si="40"/>
        <v>59</v>
      </c>
      <c r="AJ479" s="64" t="str">
        <f>VLOOKUP(T479,'GL Name'!A:B,2,0)</f>
        <v>ค่าวิจัยคุณภาพสินค้า</v>
      </c>
      <c r="AL479" s="13">
        <f t="shared" si="41"/>
        <v>169.85999999999999</v>
      </c>
      <c r="AM479" s="13" t="e">
        <f>VLOOKUP(I479,'Order 301-305 (เรียง)'!A:B,2,0)</f>
        <v>#N/A</v>
      </c>
      <c r="AN479" t="e">
        <f>VLOOKUP(I479,'Order 301-305 (เรียง)'!A:C,3,0)</f>
        <v>#N/A</v>
      </c>
    </row>
    <row r="480" spans="1:40" x14ac:dyDescent="0.3">
      <c r="A480" s="1" t="s">
        <v>81</v>
      </c>
      <c r="B480" s="1" t="s">
        <v>82</v>
      </c>
      <c r="C480" s="1" t="s">
        <v>64</v>
      </c>
      <c r="D480" s="1" t="s">
        <v>87</v>
      </c>
      <c r="E480" s="1" t="s">
        <v>88</v>
      </c>
      <c r="F480" s="1" t="s">
        <v>1276</v>
      </c>
      <c r="G480" s="1" t="s">
        <v>83</v>
      </c>
      <c r="H480" s="1" t="s">
        <v>655</v>
      </c>
      <c r="I480" s="1" t="s">
        <v>68</v>
      </c>
      <c r="J480" s="1" t="s">
        <v>1277</v>
      </c>
      <c r="K480" s="1" t="s">
        <v>223</v>
      </c>
      <c r="L480" s="1" t="s">
        <v>92</v>
      </c>
      <c r="M480" s="1" t="s">
        <v>68</v>
      </c>
      <c r="N480" s="1" t="s">
        <v>71</v>
      </c>
      <c r="O480" s="1" t="s">
        <v>68</v>
      </c>
      <c r="P480" s="1" t="s">
        <v>1278</v>
      </c>
      <c r="Q480" s="1" t="s">
        <v>68</v>
      </c>
      <c r="R480" s="1" t="s">
        <v>1282</v>
      </c>
      <c r="S480" s="1" t="s">
        <v>90</v>
      </c>
      <c r="T480" s="1" t="s">
        <v>91</v>
      </c>
      <c r="U480" s="1" t="s">
        <v>68</v>
      </c>
      <c r="V480" s="1" t="s">
        <v>68</v>
      </c>
      <c r="W480" s="1" t="s">
        <v>68</v>
      </c>
      <c r="X480" s="1" t="s">
        <v>68</v>
      </c>
      <c r="Y480" s="73"/>
      <c r="Z480" s="2" t="s">
        <v>74</v>
      </c>
      <c r="AA480" s="3">
        <v>-3</v>
      </c>
      <c r="AB480" s="4">
        <v>-509.58</v>
      </c>
      <c r="AC480" s="73">
        <v>46219</v>
      </c>
      <c r="AD480" s="73">
        <v>46219</v>
      </c>
      <c r="AE480" s="73"/>
      <c r="AF480" s="73">
        <v>46219</v>
      </c>
      <c r="AG480" s="3">
        <v>-1500</v>
      </c>
      <c r="AH480" s="353" t="str">
        <f t="shared" si="39"/>
        <v/>
      </c>
      <c r="AI480" s="3" t="str">
        <f t="shared" si="40"/>
        <v>59</v>
      </c>
      <c r="AJ480" s="64" t="str">
        <f>VLOOKUP(T480,'GL Name'!A:B,2,0)</f>
        <v>ค่าวิจัยคุณภาพสินค้า</v>
      </c>
      <c r="AL480" s="13">
        <f t="shared" si="41"/>
        <v>169.85999999999999</v>
      </c>
      <c r="AM480" s="13" t="e">
        <f>VLOOKUP(I480,'Order 301-305 (เรียง)'!A:B,2,0)</f>
        <v>#N/A</v>
      </c>
      <c r="AN480" t="e">
        <f>VLOOKUP(I480,'Order 301-305 (เรียง)'!A:C,3,0)</f>
        <v>#N/A</v>
      </c>
    </row>
    <row r="481" spans="1:40" x14ac:dyDescent="0.3">
      <c r="A481" s="1" t="s">
        <v>81</v>
      </c>
      <c r="B481" s="1" t="s">
        <v>82</v>
      </c>
      <c r="C481" s="1" t="s">
        <v>64</v>
      </c>
      <c r="D481" s="1" t="s">
        <v>87</v>
      </c>
      <c r="E481" s="1" t="s">
        <v>88</v>
      </c>
      <c r="F481" s="1" t="s">
        <v>1276</v>
      </c>
      <c r="G481" s="1" t="s">
        <v>83</v>
      </c>
      <c r="H481" s="1" t="s">
        <v>994</v>
      </c>
      <c r="I481" s="1" t="s">
        <v>68</v>
      </c>
      <c r="J481" s="1" t="s">
        <v>1277</v>
      </c>
      <c r="K481" s="1" t="s">
        <v>223</v>
      </c>
      <c r="L481" s="1" t="s">
        <v>86</v>
      </c>
      <c r="M481" s="1" t="s">
        <v>68</v>
      </c>
      <c r="N481" s="1" t="s">
        <v>71</v>
      </c>
      <c r="O481" s="1" t="s">
        <v>68</v>
      </c>
      <c r="P481" s="1" t="s">
        <v>1278</v>
      </c>
      <c r="Q481" s="1" t="s">
        <v>68</v>
      </c>
      <c r="R481" s="1" t="s">
        <v>1279</v>
      </c>
      <c r="S481" s="1" t="s">
        <v>90</v>
      </c>
      <c r="T481" s="1" t="s">
        <v>91</v>
      </c>
      <c r="U481" s="1" t="s">
        <v>68</v>
      </c>
      <c r="V481" s="1" t="s">
        <v>68</v>
      </c>
      <c r="W481" s="1" t="s">
        <v>68</v>
      </c>
      <c r="X481" s="1" t="s">
        <v>68</v>
      </c>
      <c r="Y481" s="73"/>
      <c r="Z481" s="2" t="s">
        <v>74</v>
      </c>
      <c r="AA481" s="3">
        <v>-2</v>
      </c>
      <c r="AB481" s="4">
        <v>-339.72</v>
      </c>
      <c r="AC481" s="73">
        <v>46219</v>
      </c>
      <c r="AD481" s="73">
        <v>46219</v>
      </c>
      <c r="AE481" s="73"/>
      <c r="AF481" s="73">
        <v>46219</v>
      </c>
      <c r="AG481" s="3">
        <v>-1000</v>
      </c>
      <c r="AH481" s="353" t="str">
        <f t="shared" si="39"/>
        <v/>
      </c>
      <c r="AI481" s="3" t="str">
        <f t="shared" si="40"/>
        <v>59</v>
      </c>
      <c r="AJ481" s="64" t="str">
        <f>VLOOKUP(T481,'GL Name'!A:B,2,0)</f>
        <v>ค่าวิจัยคุณภาพสินค้า</v>
      </c>
      <c r="AL481" s="13">
        <f t="shared" si="41"/>
        <v>169.86</v>
      </c>
      <c r="AM481" s="13" t="e">
        <f>VLOOKUP(I481,'Order 301-305 (เรียง)'!A:B,2,0)</f>
        <v>#N/A</v>
      </c>
      <c r="AN481" t="e">
        <f>VLOOKUP(I481,'Order 301-305 (เรียง)'!A:C,3,0)</f>
        <v>#N/A</v>
      </c>
    </row>
    <row r="482" spans="1:40" x14ac:dyDescent="0.3">
      <c r="A482" s="1" t="s">
        <v>81</v>
      </c>
      <c r="B482" s="1" t="s">
        <v>82</v>
      </c>
      <c r="C482" s="1" t="s">
        <v>64</v>
      </c>
      <c r="D482" s="1" t="s">
        <v>87</v>
      </c>
      <c r="E482" s="1" t="s">
        <v>88</v>
      </c>
      <c r="F482" s="1" t="s">
        <v>1276</v>
      </c>
      <c r="G482" s="1" t="s">
        <v>83</v>
      </c>
      <c r="H482" s="1" t="s">
        <v>994</v>
      </c>
      <c r="I482" s="1" t="s">
        <v>68</v>
      </c>
      <c r="J482" s="1" t="s">
        <v>1277</v>
      </c>
      <c r="K482" s="1" t="s">
        <v>223</v>
      </c>
      <c r="L482" s="1" t="s">
        <v>70</v>
      </c>
      <c r="M482" s="1" t="s">
        <v>68</v>
      </c>
      <c r="N482" s="1" t="s">
        <v>71</v>
      </c>
      <c r="O482" s="1" t="s">
        <v>68</v>
      </c>
      <c r="P482" s="1" t="s">
        <v>1278</v>
      </c>
      <c r="Q482" s="1" t="s">
        <v>68</v>
      </c>
      <c r="R482" s="1" t="s">
        <v>1280</v>
      </c>
      <c r="S482" s="1" t="s">
        <v>90</v>
      </c>
      <c r="T482" s="1" t="s">
        <v>91</v>
      </c>
      <c r="U482" s="1" t="s">
        <v>68</v>
      </c>
      <c r="V482" s="1" t="s">
        <v>68</v>
      </c>
      <c r="W482" s="1" t="s">
        <v>68</v>
      </c>
      <c r="X482" s="1" t="s">
        <v>68</v>
      </c>
      <c r="Y482" s="73"/>
      <c r="Z482" s="2" t="s">
        <v>74</v>
      </c>
      <c r="AA482" s="3">
        <v>-1</v>
      </c>
      <c r="AB482" s="4">
        <v>-169.86</v>
      </c>
      <c r="AC482" s="73">
        <v>46219</v>
      </c>
      <c r="AD482" s="73">
        <v>46219</v>
      </c>
      <c r="AE482" s="73"/>
      <c r="AF482" s="73">
        <v>46219</v>
      </c>
      <c r="AG482" s="3">
        <v>-500</v>
      </c>
      <c r="AH482" s="353" t="str">
        <f t="shared" si="39"/>
        <v/>
      </c>
      <c r="AI482" s="3" t="str">
        <f t="shared" si="40"/>
        <v>59</v>
      </c>
      <c r="AJ482" s="64" t="str">
        <f>VLOOKUP(T482,'GL Name'!A:B,2,0)</f>
        <v>ค่าวิจัยคุณภาพสินค้า</v>
      </c>
      <c r="AL482" s="13">
        <f t="shared" si="41"/>
        <v>169.86</v>
      </c>
      <c r="AM482" s="13" t="e">
        <f>VLOOKUP(I482,'Order 301-305 (เรียง)'!A:B,2,0)</f>
        <v>#N/A</v>
      </c>
      <c r="AN482" t="e">
        <f>VLOOKUP(I482,'Order 301-305 (เรียง)'!A:C,3,0)</f>
        <v>#N/A</v>
      </c>
    </row>
    <row r="483" spans="1:40" x14ac:dyDescent="0.3">
      <c r="A483" s="1" t="s">
        <v>62</v>
      </c>
      <c r="B483" s="1" t="s">
        <v>63</v>
      </c>
      <c r="C483" s="1" t="s">
        <v>64</v>
      </c>
      <c r="D483" s="1" t="s">
        <v>1307</v>
      </c>
      <c r="E483" s="1" t="s">
        <v>1308</v>
      </c>
      <c r="F483" s="1" t="s">
        <v>1309</v>
      </c>
      <c r="G483" s="1" t="s">
        <v>67</v>
      </c>
      <c r="H483" s="1" t="s">
        <v>281</v>
      </c>
      <c r="I483" s="1" t="s">
        <v>68</v>
      </c>
      <c r="J483" s="1" t="s">
        <v>1310</v>
      </c>
      <c r="K483" s="1" t="s">
        <v>96</v>
      </c>
      <c r="L483" s="1" t="s">
        <v>70</v>
      </c>
      <c r="M483" s="1" t="s">
        <v>68</v>
      </c>
      <c r="N483" s="1" t="s">
        <v>71</v>
      </c>
      <c r="O483" s="1" t="s">
        <v>68</v>
      </c>
      <c r="P483" s="1" t="s">
        <v>72</v>
      </c>
      <c r="Q483" s="1" t="s">
        <v>68</v>
      </c>
      <c r="R483" s="1" t="s">
        <v>68</v>
      </c>
      <c r="S483" s="1" t="s">
        <v>68</v>
      </c>
      <c r="T483" s="1" t="s">
        <v>73</v>
      </c>
      <c r="U483" s="1" t="s">
        <v>68</v>
      </c>
      <c r="V483" s="1" t="s">
        <v>68</v>
      </c>
      <c r="W483" s="1" t="s">
        <v>68</v>
      </c>
      <c r="X483" s="1" t="s">
        <v>1311</v>
      </c>
      <c r="Y483" s="73"/>
      <c r="Z483" s="2" t="s">
        <v>265</v>
      </c>
      <c r="AA483" s="3">
        <v>2</v>
      </c>
      <c r="AB483" s="4">
        <v>0.68</v>
      </c>
      <c r="AC483" s="73">
        <v>46220</v>
      </c>
      <c r="AD483" s="73">
        <v>46220</v>
      </c>
      <c r="AE483" s="73"/>
      <c r="AF483" s="73">
        <v>46220</v>
      </c>
      <c r="AG483" s="3">
        <v>2</v>
      </c>
      <c r="AH483" s="379" t="str">
        <f t="shared" si="39"/>
        <v/>
      </c>
      <c r="AI483" s="378" t="str">
        <f t="shared" si="40"/>
        <v>59</v>
      </c>
      <c r="AJ483" s="384" t="str">
        <f>VLOOKUP(T483,'GL Name'!A:B,2,0)</f>
        <v>ต้นทุนขาย</v>
      </c>
      <c r="AK483" s="382" t="s">
        <v>1638</v>
      </c>
      <c r="AL483" s="385">
        <f t="shared" si="41"/>
        <v>0.34</v>
      </c>
      <c r="AM483" s="385" t="e">
        <f>VLOOKUP(I483,'Order 301-305 (เรียง)'!A:B,2,0)</f>
        <v>#N/A</v>
      </c>
      <c r="AN483" s="31" t="e">
        <f>VLOOKUP(I483,'Order 301-305 (เรียง)'!A:C,3,0)</f>
        <v>#N/A</v>
      </c>
    </row>
    <row r="484" spans="1:40" x14ac:dyDescent="0.3">
      <c r="A484" s="1" t="s">
        <v>106</v>
      </c>
      <c r="B484" s="1" t="s">
        <v>107</v>
      </c>
      <c r="C484" s="1" t="s">
        <v>64</v>
      </c>
      <c r="D484" s="1" t="s">
        <v>93</v>
      </c>
      <c r="E484" s="1" t="s">
        <v>94</v>
      </c>
      <c r="F484" s="1" t="s">
        <v>1312</v>
      </c>
      <c r="G484" s="1" t="s">
        <v>103</v>
      </c>
      <c r="H484" s="1" t="s">
        <v>286</v>
      </c>
      <c r="I484" s="1" t="s">
        <v>68</v>
      </c>
      <c r="J484" s="1" t="s">
        <v>1313</v>
      </c>
      <c r="K484" s="1" t="s">
        <v>118</v>
      </c>
      <c r="L484" s="1" t="s">
        <v>86</v>
      </c>
      <c r="M484" s="1" t="s">
        <v>68</v>
      </c>
      <c r="N484" s="1" t="s">
        <v>71</v>
      </c>
      <c r="O484" s="1" t="s">
        <v>68</v>
      </c>
      <c r="P484" s="1" t="s">
        <v>72</v>
      </c>
      <c r="Q484" s="1" t="s">
        <v>68</v>
      </c>
      <c r="R484" s="1" t="s">
        <v>68</v>
      </c>
      <c r="S484" s="1" t="s">
        <v>68</v>
      </c>
      <c r="T484" s="1" t="s">
        <v>68</v>
      </c>
      <c r="U484" s="1" t="s">
        <v>68</v>
      </c>
      <c r="V484" s="1" t="s">
        <v>68</v>
      </c>
      <c r="W484" s="1" t="s">
        <v>68</v>
      </c>
      <c r="X484" s="1" t="s">
        <v>68</v>
      </c>
      <c r="Y484" s="73"/>
      <c r="Z484" s="2" t="s">
        <v>102</v>
      </c>
      <c r="AA484" s="3">
        <v>50000</v>
      </c>
      <c r="AB484" s="4">
        <v>0</v>
      </c>
      <c r="AC484" s="73">
        <v>46220</v>
      </c>
      <c r="AD484" s="73">
        <v>46220</v>
      </c>
      <c r="AE484" s="73"/>
      <c r="AF484" s="73">
        <v>46220</v>
      </c>
      <c r="AG484" s="3">
        <v>50000</v>
      </c>
      <c r="AH484" s="353" t="str">
        <f t="shared" si="39"/>
        <v/>
      </c>
      <c r="AI484" s="3" t="str">
        <f t="shared" si="40"/>
        <v>58</v>
      </c>
      <c r="AJ484" s="64" t="e">
        <f>VLOOKUP(T484,'GL Name'!A:B,2,0)</f>
        <v>#N/A</v>
      </c>
      <c r="AL484" s="13">
        <f t="shared" si="41"/>
        <v>0</v>
      </c>
      <c r="AM484" s="13" t="e">
        <f>VLOOKUP(I484,'Order 301-305 (เรียง)'!A:B,2,0)</f>
        <v>#N/A</v>
      </c>
      <c r="AN484" t="e">
        <f>VLOOKUP(I484,'Order 301-305 (เรียง)'!A:C,3,0)</f>
        <v>#N/A</v>
      </c>
    </row>
    <row r="485" spans="1:40" x14ac:dyDescent="0.3">
      <c r="A485" s="1" t="s">
        <v>106</v>
      </c>
      <c r="B485" s="1" t="s">
        <v>107</v>
      </c>
      <c r="C485" s="1" t="s">
        <v>64</v>
      </c>
      <c r="D485" s="1" t="s">
        <v>93</v>
      </c>
      <c r="E485" s="1" t="s">
        <v>94</v>
      </c>
      <c r="F485" s="1" t="s">
        <v>1312</v>
      </c>
      <c r="G485" s="1" t="s">
        <v>101</v>
      </c>
      <c r="H485" s="1" t="s">
        <v>286</v>
      </c>
      <c r="I485" s="1" t="s">
        <v>68</v>
      </c>
      <c r="J485" s="1" t="s">
        <v>1313</v>
      </c>
      <c r="K485" s="1" t="s">
        <v>118</v>
      </c>
      <c r="L485" s="1" t="s">
        <v>70</v>
      </c>
      <c r="M485" s="1" t="s">
        <v>68</v>
      </c>
      <c r="N485" s="1" t="s">
        <v>71</v>
      </c>
      <c r="O485" s="1" t="s">
        <v>68</v>
      </c>
      <c r="P485" s="1" t="s">
        <v>72</v>
      </c>
      <c r="Q485" s="1" t="s">
        <v>68</v>
      </c>
      <c r="R485" s="1" t="s">
        <v>68</v>
      </c>
      <c r="S485" s="1" t="s">
        <v>68</v>
      </c>
      <c r="T485" s="1" t="s">
        <v>68</v>
      </c>
      <c r="U485" s="1" t="s">
        <v>68</v>
      </c>
      <c r="V485" s="1" t="s">
        <v>68</v>
      </c>
      <c r="W485" s="1" t="s">
        <v>68</v>
      </c>
      <c r="X485" s="1" t="s">
        <v>68</v>
      </c>
      <c r="Y485" s="73"/>
      <c r="Z485" s="2" t="s">
        <v>102</v>
      </c>
      <c r="AA485" s="3">
        <v>-50000</v>
      </c>
      <c r="AB485" s="4">
        <v>0</v>
      </c>
      <c r="AC485" s="73">
        <v>46220</v>
      </c>
      <c r="AD485" s="73">
        <v>46220</v>
      </c>
      <c r="AE485" s="73"/>
      <c r="AF485" s="73">
        <v>46220</v>
      </c>
      <c r="AG485" s="3">
        <v>-50000</v>
      </c>
      <c r="AH485" s="353" t="str">
        <f t="shared" si="39"/>
        <v/>
      </c>
      <c r="AI485" s="3" t="str">
        <f t="shared" si="40"/>
        <v>58</v>
      </c>
      <c r="AJ485" s="64" t="e">
        <f>VLOOKUP(T485,'GL Name'!A:B,2,0)</f>
        <v>#N/A</v>
      </c>
      <c r="AL485" s="13">
        <f t="shared" si="41"/>
        <v>0</v>
      </c>
      <c r="AM485" s="13" t="e">
        <f>VLOOKUP(I485,'Order 301-305 (เรียง)'!A:B,2,0)</f>
        <v>#N/A</v>
      </c>
      <c r="AN485" t="e">
        <f>VLOOKUP(I485,'Order 301-305 (เรียง)'!A:C,3,0)</f>
        <v>#N/A</v>
      </c>
    </row>
    <row r="486" spans="1:40" x14ac:dyDescent="0.3">
      <c r="A486" s="1" t="s">
        <v>119</v>
      </c>
      <c r="B486" s="1" t="s">
        <v>120</v>
      </c>
      <c r="C486" s="1" t="s">
        <v>64</v>
      </c>
      <c r="D486" s="1" t="s">
        <v>93</v>
      </c>
      <c r="E486" s="1" t="s">
        <v>94</v>
      </c>
      <c r="F486" s="1" t="s">
        <v>1312</v>
      </c>
      <c r="G486" s="1" t="s">
        <v>103</v>
      </c>
      <c r="H486" s="1" t="s">
        <v>316</v>
      </c>
      <c r="I486" s="1" t="s">
        <v>68</v>
      </c>
      <c r="J486" s="1" t="s">
        <v>1313</v>
      </c>
      <c r="K486" s="1" t="s">
        <v>118</v>
      </c>
      <c r="L486" s="1" t="s">
        <v>89</v>
      </c>
      <c r="M486" s="1" t="s">
        <v>68</v>
      </c>
      <c r="N486" s="1" t="s">
        <v>71</v>
      </c>
      <c r="O486" s="1" t="s">
        <v>68</v>
      </c>
      <c r="P486" s="1" t="s">
        <v>72</v>
      </c>
      <c r="Q486" s="1" t="s">
        <v>68</v>
      </c>
      <c r="R486" s="1" t="s">
        <v>68</v>
      </c>
      <c r="S486" s="1" t="s">
        <v>68</v>
      </c>
      <c r="T486" s="1" t="s">
        <v>68</v>
      </c>
      <c r="U486" s="1" t="s">
        <v>68</v>
      </c>
      <c r="V486" s="1" t="s">
        <v>68</v>
      </c>
      <c r="W486" s="1" t="s">
        <v>68</v>
      </c>
      <c r="X486" s="1" t="s">
        <v>68</v>
      </c>
      <c r="Y486" s="73"/>
      <c r="Z486" s="2" t="s">
        <v>102</v>
      </c>
      <c r="AA486" s="3">
        <v>36000</v>
      </c>
      <c r="AB486" s="4">
        <v>0</v>
      </c>
      <c r="AC486" s="73">
        <v>46220</v>
      </c>
      <c r="AD486" s="73">
        <v>46220</v>
      </c>
      <c r="AE486" s="73"/>
      <c r="AF486" s="73">
        <v>46220</v>
      </c>
      <c r="AG486" s="3">
        <v>36000</v>
      </c>
      <c r="AH486" s="353" t="str">
        <f t="shared" si="39"/>
        <v/>
      </c>
      <c r="AI486" s="3" t="str">
        <f t="shared" si="40"/>
        <v>58</v>
      </c>
      <c r="AJ486" s="64" t="e">
        <f>VLOOKUP(T486,'GL Name'!A:B,2,0)</f>
        <v>#N/A</v>
      </c>
      <c r="AL486" s="13">
        <f t="shared" si="41"/>
        <v>0</v>
      </c>
      <c r="AM486" s="13" t="e">
        <f>VLOOKUP(I486,'Order 301-305 (เรียง)'!A:B,2,0)</f>
        <v>#N/A</v>
      </c>
      <c r="AN486" t="e">
        <f>VLOOKUP(I486,'Order 301-305 (เรียง)'!A:C,3,0)</f>
        <v>#N/A</v>
      </c>
    </row>
    <row r="487" spans="1:40" x14ac:dyDescent="0.3">
      <c r="A487" s="1" t="s">
        <v>119</v>
      </c>
      <c r="B487" s="1" t="s">
        <v>120</v>
      </c>
      <c r="C487" s="1" t="s">
        <v>64</v>
      </c>
      <c r="D487" s="1" t="s">
        <v>93</v>
      </c>
      <c r="E487" s="1" t="s">
        <v>94</v>
      </c>
      <c r="F487" s="1" t="s">
        <v>1312</v>
      </c>
      <c r="G487" s="1" t="s">
        <v>101</v>
      </c>
      <c r="H487" s="1" t="s">
        <v>316</v>
      </c>
      <c r="I487" s="1" t="s">
        <v>68</v>
      </c>
      <c r="J487" s="1" t="s">
        <v>1313</v>
      </c>
      <c r="K487" s="1" t="s">
        <v>118</v>
      </c>
      <c r="L487" s="1" t="s">
        <v>92</v>
      </c>
      <c r="M487" s="1" t="s">
        <v>68</v>
      </c>
      <c r="N487" s="1" t="s">
        <v>71</v>
      </c>
      <c r="O487" s="1" t="s">
        <v>68</v>
      </c>
      <c r="P487" s="1" t="s">
        <v>72</v>
      </c>
      <c r="Q487" s="1" t="s">
        <v>68</v>
      </c>
      <c r="R487" s="1" t="s">
        <v>68</v>
      </c>
      <c r="S487" s="1" t="s">
        <v>68</v>
      </c>
      <c r="T487" s="1" t="s">
        <v>68</v>
      </c>
      <c r="U487" s="1" t="s">
        <v>68</v>
      </c>
      <c r="V487" s="1" t="s">
        <v>68</v>
      </c>
      <c r="W487" s="1" t="s">
        <v>68</v>
      </c>
      <c r="X487" s="1" t="s">
        <v>68</v>
      </c>
      <c r="Y487" s="73"/>
      <c r="Z487" s="2" t="s">
        <v>102</v>
      </c>
      <c r="AA487" s="3">
        <v>-36000</v>
      </c>
      <c r="AB487" s="4">
        <v>0</v>
      </c>
      <c r="AC487" s="73">
        <v>46220</v>
      </c>
      <c r="AD487" s="73">
        <v>46220</v>
      </c>
      <c r="AE487" s="73"/>
      <c r="AF487" s="73">
        <v>46220</v>
      </c>
      <c r="AG487" s="3">
        <v>-36000</v>
      </c>
      <c r="AH487" s="353" t="str">
        <f t="shared" si="39"/>
        <v/>
      </c>
      <c r="AI487" s="3" t="str">
        <f t="shared" si="40"/>
        <v>58</v>
      </c>
      <c r="AJ487" s="64" t="e">
        <f>VLOOKUP(T487,'GL Name'!A:B,2,0)</f>
        <v>#N/A</v>
      </c>
      <c r="AL487" s="13">
        <f t="shared" si="41"/>
        <v>0</v>
      </c>
      <c r="AM487" s="13" t="e">
        <f>VLOOKUP(I487,'Order 301-305 (เรียง)'!A:B,2,0)</f>
        <v>#N/A</v>
      </c>
      <c r="AN487" t="e">
        <f>VLOOKUP(I487,'Order 301-305 (เรียง)'!A:C,3,0)</f>
        <v>#N/A</v>
      </c>
    </row>
    <row r="488" spans="1:40" x14ac:dyDescent="0.3">
      <c r="A488" s="1" t="s">
        <v>121</v>
      </c>
      <c r="B488" s="1" t="s">
        <v>122</v>
      </c>
      <c r="C488" s="1" t="s">
        <v>64</v>
      </c>
      <c r="D488" s="1" t="s">
        <v>93</v>
      </c>
      <c r="E488" s="1" t="s">
        <v>94</v>
      </c>
      <c r="F488" s="1" t="s">
        <v>1312</v>
      </c>
      <c r="G488" s="1" t="s">
        <v>103</v>
      </c>
      <c r="H488" s="1" t="s">
        <v>704</v>
      </c>
      <c r="I488" s="1" t="s">
        <v>68</v>
      </c>
      <c r="J488" s="1" t="s">
        <v>1313</v>
      </c>
      <c r="K488" s="1" t="s">
        <v>118</v>
      </c>
      <c r="L488" s="1" t="s">
        <v>111</v>
      </c>
      <c r="M488" s="1" t="s">
        <v>68</v>
      </c>
      <c r="N488" s="1" t="s">
        <v>71</v>
      </c>
      <c r="O488" s="1" t="s">
        <v>68</v>
      </c>
      <c r="P488" s="1" t="s">
        <v>72</v>
      </c>
      <c r="Q488" s="1" t="s">
        <v>68</v>
      </c>
      <c r="R488" s="1" t="s">
        <v>68</v>
      </c>
      <c r="S488" s="1" t="s">
        <v>68</v>
      </c>
      <c r="T488" s="1" t="s">
        <v>68</v>
      </c>
      <c r="U488" s="1" t="s">
        <v>68</v>
      </c>
      <c r="V488" s="1" t="s">
        <v>68</v>
      </c>
      <c r="W488" s="1" t="s">
        <v>68</v>
      </c>
      <c r="X488" s="1" t="s">
        <v>68</v>
      </c>
      <c r="Y488" s="73"/>
      <c r="Z488" s="2" t="s">
        <v>102</v>
      </c>
      <c r="AA488" s="3">
        <v>4000</v>
      </c>
      <c r="AB488" s="4">
        <v>0</v>
      </c>
      <c r="AC488" s="73">
        <v>46220</v>
      </c>
      <c r="AD488" s="73">
        <v>46220</v>
      </c>
      <c r="AE488" s="73"/>
      <c r="AF488" s="73">
        <v>46220</v>
      </c>
      <c r="AG488" s="3">
        <v>4000</v>
      </c>
      <c r="AH488" s="353" t="str">
        <f t="shared" si="39"/>
        <v/>
      </c>
      <c r="AI488" s="3" t="str">
        <f t="shared" si="40"/>
        <v>58</v>
      </c>
      <c r="AJ488" s="64" t="e">
        <f>VLOOKUP(T488,'GL Name'!A:B,2,0)</f>
        <v>#N/A</v>
      </c>
      <c r="AL488" s="13">
        <f t="shared" si="41"/>
        <v>0</v>
      </c>
      <c r="AM488" s="13" t="e">
        <f>VLOOKUP(I488,'Order 301-305 (เรียง)'!A:B,2,0)</f>
        <v>#N/A</v>
      </c>
      <c r="AN488" t="e">
        <f>VLOOKUP(I488,'Order 301-305 (เรียง)'!A:C,3,0)</f>
        <v>#N/A</v>
      </c>
    </row>
    <row r="489" spans="1:40" x14ac:dyDescent="0.3">
      <c r="A489" s="1" t="s">
        <v>121</v>
      </c>
      <c r="B489" s="1" t="s">
        <v>122</v>
      </c>
      <c r="C489" s="1" t="s">
        <v>64</v>
      </c>
      <c r="D489" s="1" t="s">
        <v>93</v>
      </c>
      <c r="E489" s="1" t="s">
        <v>94</v>
      </c>
      <c r="F489" s="1" t="s">
        <v>1312</v>
      </c>
      <c r="G489" s="1" t="s">
        <v>101</v>
      </c>
      <c r="H489" s="1" t="s">
        <v>704</v>
      </c>
      <c r="I489" s="1" t="s">
        <v>68</v>
      </c>
      <c r="J489" s="1" t="s">
        <v>1313</v>
      </c>
      <c r="K489" s="1" t="s">
        <v>118</v>
      </c>
      <c r="L489" s="1" t="s">
        <v>95</v>
      </c>
      <c r="M489" s="1" t="s">
        <v>68</v>
      </c>
      <c r="N489" s="1" t="s">
        <v>71</v>
      </c>
      <c r="O489" s="1" t="s">
        <v>68</v>
      </c>
      <c r="P489" s="1" t="s">
        <v>72</v>
      </c>
      <c r="Q489" s="1" t="s">
        <v>68</v>
      </c>
      <c r="R489" s="1" t="s">
        <v>68</v>
      </c>
      <c r="S489" s="1" t="s">
        <v>68</v>
      </c>
      <c r="T489" s="1" t="s">
        <v>68</v>
      </c>
      <c r="U489" s="1" t="s">
        <v>68</v>
      </c>
      <c r="V489" s="1" t="s">
        <v>68</v>
      </c>
      <c r="W489" s="1" t="s">
        <v>68</v>
      </c>
      <c r="X489" s="1" t="s">
        <v>68</v>
      </c>
      <c r="Y489" s="73"/>
      <c r="Z489" s="2" t="s">
        <v>102</v>
      </c>
      <c r="AA489" s="3">
        <v>-4000</v>
      </c>
      <c r="AB489" s="4">
        <v>0</v>
      </c>
      <c r="AC489" s="73">
        <v>46220</v>
      </c>
      <c r="AD489" s="73">
        <v>46220</v>
      </c>
      <c r="AE489" s="73"/>
      <c r="AF489" s="73">
        <v>46220</v>
      </c>
      <c r="AG489" s="3">
        <v>-4000</v>
      </c>
      <c r="AH489" s="353" t="str">
        <f t="shared" si="39"/>
        <v/>
      </c>
      <c r="AI489" s="3" t="str">
        <f t="shared" si="40"/>
        <v>58</v>
      </c>
      <c r="AJ489" s="64" t="e">
        <f>VLOOKUP(T489,'GL Name'!A:B,2,0)</f>
        <v>#N/A</v>
      </c>
      <c r="AL489" s="13">
        <f t="shared" si="41"/>
        <v>0</v>
      </c>
      <c r="AM489" s="13" t="e">
        <f>VLOOKUP(I489,'Order 301-305 (เรียง)'!A:B,2,0)</f>
        <v>#N/A</v>
      </c>
      <c r="AN489" t="e">
        <f>VLOOKUP(I489,'Order 301-305 (เรียง)'!A:C,3,0)</f>
        <v>#N/A</v>
      </c>
    </row>
    <row r="490" spans="1:40" x14ac:dyDescent="0.3">
      <c r="A490" s="1" t="s">
        <v>62</v>
      </c>
      <c r="B490" s="1" t="s">
        <v>63</v>
      </c>
      <c r="C490" s="1" t="s">
        <v>64</v>
      </c>
      <c r="D490" s="1" t="s">
        <v>65</v>
      </c>
      <c r="E490" s="1" t="s">
        <v>66</v>
      </c>
      <c r="F490" s="1" t="s">
        <v>1314</v>
      </c>
      <c r="G490" s="1" t="s">
        <v>67</v>
      </c>
      <c r="H490" s="1" t="s">
        <v>287</v>
      </c>
      <c r="I490" s="1" t="s">
        <v>68</v>
      </c>
      <c r="J490" s="1" t="s">
        <v>1315</v>
      </c>
      <c r="K490" s="1" t="s">
        <v>69</v>
      </c>
      <c r="L490" s="1" t="s">
        <v>70</v>
      </c>
      <c r="M490" s="1" t="s">
        <v>68</v>
      </c>
      <c r="N490" s="1" t="s">
        <v>71</v>
      </c>
      <c r="O490" s="1" t="s">
        <v>68</v>
      </c>
      <c r="P490" s="1" t="s">
        <v>72</v>
      </c>
      <c r="Q490" s="1" t="s">
        <v>68</v>
      </c>
      <c r="R490" s="1" t="s">
        <v>68</v>
      </c>
      <c r="S490" s="1" t="s">
        <v>68</v>
      </c>
      <c r="T490" s="1" t="s">
        <v>73</v>
      </c>
      <c r="U490" s="1" t="s">
        <v>68</v>
      </c>
      <c r="V490" s="1" t="s">
        <v>68</v>
      </c>
      <c r="W490" s="1" t="s">
        <v>68</v>
      </c>
      <c r="X490" s="1" t="s">
        <v>1316</v>
      </c>
      <c r="Y490" s="73"/>
      <c r="Z490" s="2" t="s">
        <v>74</v>
      </c>
      <c r="AA490" s="3">
        <v>-40</v>
      </c>
      <c r="AB490" s="4">
        <v>-6792.8</v>
      </c>
      <c r="AC490" s="73">
        <v>46220</v>
      </c>
      <c r="AD490" s="73">
        <v>46220</v>
      </c>
      <c r="AE490" s="73"/>
      <c r="AF490" s="73">
        <v>46220</v>
      </c>
      <c r="AG490" s="3">
        <v>-20000</v>
      </c>
      <c r="AH490" s="353" t="str">
        <f t="shared" si="39"/>
        <v/>
      </c>
      <c r="AI490" s="3" t="str">
        <f t="shared" si="40"/>
        <v>59</v>
      </c>
      <c r="AJ490" s="64" t="str">
        <f>VLOOKUP(T490,'GL Name'!A:B,2,0)</f>
        <v>ต้นทุนขาย</v>
      </c>
      <c r="AL490" s="13">
        <f t="shared" si="41"/>
        <v>169.82</v>
      </c>
      <c r="AM490" s="13" t="e">
        <f>VLOOKUP(I490,'Order 301-305 (เรียง)'!A:B,2,0)</f>
        <v>#N/A</v>
      </c>
      <c r="AN490" t="e">
        <f>VLOOKUP(I490,'Order 301-305 (เรียง)'!A:C,3,0)</f>
        <v>#N/A</v>
      </c>
    </row>
    <row r="491" spans="1:40" x14ac:dyDescent="0.3">
      <c r="A491" s="1" t="s">
        <v>62</v>
      </c>
      <c r="B491" s="1" t="s">
        <v>63</v>
      </c>
      <c r="C491" s="1" t="s">
        <v>64</v>
      </c>
      <c r="D491" s="1" t="s">
        <v>65</v>
      </c>
      <c r="E491" s="1" t="s">
        <v>66</v>
      </c>
      <c r="F491" s="1" t="s">
        <v>1317</v>
      </c>
      <c r="G491" s="1" t="s">
        <v>67</v>
      </c>
      <c r="H491" s="1" t="s">
        <v>281</v>
      </c>
      <c r="I491" s="1" t="s">
        <v>68</v>
      </c>
      <c r="J491" s="1" t="s">
        <v>1318</v>
      </c>
      <c r="K491" s="1" t="s">
        <v>96</v>
      </c>
      <c r="L491" s="1" t="s">
        <v>70</v>
      </c>
      <c r="M491" s="1" t="s">
        <v>68</v>
      </c>
      <c r="N491" s="1" t="s">
        <v>71</v>
      </c>
      <c r="O491" s="1" t="s">
        <v>68</v>
      </c>
      <c r="P491" s="1" t="s">
        <v>72</v>
      </c>
      <c r="Q491" s="1" t="s">
        <v>68</v>
      </c>
      <c r="R491" s="1" t="s">
        <v>68</v>
      </c>
      <c r="S491" s="1" t="s">
        <v>68</v>
      </c>
      <c r="T491" s="1" t="s">
        <v>73</v>
      </c>
      <c r="U491" s="1" t="s">
        <v>68</v>
      </c>
      <c r="V491" s="1" t="s">
        <v>68</v>
      </c>
      <c r="W491" s="1" t="s">
        <v>68</v>
      </c>
      <c r="X491" s="1" t="s">
        <v>1319</v>
      </c>
      <c r="Y491" s="73"/>
      <c r="Z491" s="2" t="s">
        <v>74</v>
      </c>
      <c r="AA491" s="3">
        <v>-2</v>
      </c>
      <c r="AB491" s="4">
        <v>-339.64</v>
      </c>
      <c r="AC491" s="73">
        <v>46220</v>
      </c>
      <c r="AD491" s="73">
        <v>46220</v>
      </c>
      <c r="AE491" s="73"/>
      <c r="AF491" s="73">
        <v>46220</v>
      </c>
      <c r="AG491" s="3">
        <v>-1000</v>
      </c>
      <c r="AH491" s="353" t="str">
        <f t="shared" si="39"/>
        <v/>
      </c>
      <c r="AI491" s="3" t="str">
        <f t="shared" si="40"/>
        <v>59</v>
      </c>
      <c r="AJ491" s="64" t="str">
        <f>VLOOKUP(T491,'GL Name'!A:B,2,0)</f>
        <v>ต้นทุนขาย</v>
      </c>
      <c r="AL491" s="13">
        <f t="shared" si="41"/>
        <v>169.82</v>
      </c>
      <c r="AM491" s="13" t="e">
        <f>VLOOKUP(I491,'Order 301-305 (เรียง)'!A:B,2,0)</f>
        <v>#N/A</v>
      </c>
      <c r="AN491" t="e">
        <f>VLOOKUP(I491,'Order 301-305 (เรียง)'!A:C,3,0)</f>
        <v>#N/A</v>
      </c>
    </row>
    <row r="492" spans="1:40" x14ac:dyDescent="0.3">
      <c r="A492" s="1" t="s">
        <v>81</v>
      </c>
      <c r="B492" s="1" t="s">
        <v>82</v>
      </c>
      <c r="C492" s="1" t="s">
        <v>64</v>
      </c>
      <c r="D492" s="1" t="s">
        <v>65</v>
      </c>
      <c r="E492" s="1" t="s">
        <v>66</v>
      </c>
      <c r="F492" s="1" t="s">
        <v>1320</v>
      </c>
      <c r="G492" s="1" t="s">
        <v>83</v>
      </c>
      <c r="H492" s="1" t="s">
        <v>994</v>
      </c>
      <c r="I492" s="1" t="s">
        <v>68</v>
      </c>
      <c r="J492" s="1" t="s">
        <v>1321</v>
      </c>
      <c r="K492" s="1" t="s">
        <v>118</v>
      </c>
      <c r="L492" s="1" t="s">
        <v>70</v>
      </c>
      <c r="M492" s="1" t="s">
        <v>68</v>
      </c>
      <c r="N492" s="1" t="s">
        <v>71</v>
      </c>
      <c r="O492" s="1" t="s">
        <v>68</v>
      </c>
      <c r="P492" s="1" t="s">
        <v>72</v>
      </c>
      <c r="Q492" s="1" t="s">
        <v>68</v>
      </c>
      <c r="R492" s="1" t="s">
        <v>68</v>
      </c>
      <c r="S492" s="1" t="s">
        <v>68</v>
      </c>
      <c r="T492" s="1" t="s">
        <v>73</v>
      </c>
      <c r="U492" s="1" t="s">
        <v>68</v>
      </c>
      <c r="V492" s="1" t="s">
        <v>68</v>
      </c>
      <c r="W492" s="1" t="s">
        <v>68</v>
      </c>
      <c r="X492" s="1" t="s">
        <v>1322</v>
      </c>
      <c r="Y492" s="73"/>
      <c r="Z492" s="2" t="s">
        <v>85</v>
      </c>
      <c r="AA492" s="3">
        <v>-1364</v>
      </c>
      <c r="AB492" s="4">
        <v>-1390134.24</v>
      </c>
      <c r="AC492" s="73">
        <v>46220</v>
      </c>
      <c r="AD492" s="73">
        <v>46220</v>
      </c>
      <c r="AE492" s="73"/>
      <c r="AF492" s="73">
        <v>46220</v>
      </c>
      <c r="AG492" s="3">
        <v>-4092000</v>
      </c>
      <c r="AH492" s="353" t="str">
        <f t="shared" si="39"/>
        <v/>
      </c>
      <c r="AI492" s="3" t="str">
        <f t="shared" si="40"/>
        <v>59</v>
      </c>
      <c r="AJ492" s="64" t="str">
        <f>VLOOKUP(T492,'GL Name'!A:B,2,0)</f>
        <v>ต้นทุนขาย</v>
      </c>
      <c r="AL492" s="13">
        <f t="shared" si="41"/>
        <v>1019.16</v>
      </c>
      <c r="AM492" s="13" t="e">
        <f>VLOOKUP(I492,'Order 301-305 (เรียง)'!A:B,2,0)</f>
        <v>#N/A</v>
      </c>
      <c r="AN492" t="e">
        <f>VLOOKUP(I492,'Order 301-305 (เรียง)'!A:C,3,0)</f>
        <v>#N/A</v>
      </c>
    </row>
    <row r="493" spans="1:40" x14ac:dyDescent="0.3">
      <c r="A493" s="1" t="s">
        <v>81</v>
      </c>
      <c r="B493" s="1" t="s">
        <v>82</v>
      </c>
      <c r="C493" s="1" t="s">
        <v>64</v>
      </c>
      <c r="D493" s="1" t="s">
        <v>65</v>
      </c>
      <c r="E493" s="1" t="s">
        <v>66</v>
      </c>
      <c r="F493" s="1" t="s">
        <v>1320</v>
      </c>
      <c r="G493" s="1" t="s">
        <v>83</v>
      </c>
      <c r="H493" s="1" t="s">
        <v>1005</v>
      </c>
      <c r="I493" s="1" t="s">
        <v>68</v>
      </c>
      <c r="J493" s="1" t="s">
        <v>1321</v>
      </c>
      <c r="K493" s="1" t="s">
        <v>118</v>
      </c>
      <c r="L493" s="1" t="s">
        <v>86</v>
      </c>
      <c r="M493" s="1" t="s">
        <v>68</v>
      </c>
      <c r="N493" s="1" t="s">
        <v>71</v>
      </c>
      <c r="O493" s="1" t="s">
        <v>68</v>
      </c>
      <c r="P493" s="1" t="s">
        <v>72</v>
      </c>
      <c r="Q493" s="1" t="s">
        <v>68</v>
      </c>
      <c r="R493" s="1" t="s">
        <v>68</v>
      </c>
      <c r="S493" s="1" t="s">
        <v>68</v>
      </c>
      <c r="T493" s="1" t="s">
        <v>73</v>
      </c>
      <c r="U493" s="1" t="s">
        <v>68</v>
      </c>
      <c r="V493" s="1" t="s">
        <v>68</v>
      </c>
      <c r="W493" s="1" t="s">
        <v>68</v>
      </c>
      <c r="X493" s="1" t="s">
        <v>1322</v>
      </c>
      <c r="Y493" s="73"/>
      <c r="Z493" s="2" t="s">
        <v>85</v>
      </c>
      <c r="AA493" s="3">
        <v>-556</v>
      </c>
      <c r="AB493" s="4">
        <v>-566652.96</v>
      </c>
      <c r="AC493" s="73">
        <v>46220</v>
      </c>
      <c r="AD493" s="73">
        <v>46220</v>
      </c>
      <c r="AE493" s="73"/>
      <c r="AF493" s="73">
        <v>46220</v>
      </c>
      <c r="AG493" s="3">
        <v>-1668000</v>
      </c>
      <c r="AH493" s="353" t="str">
        <f t="shared" si="39"/>
        <v/>
      </c>
      <c r="AI493" s="3" t="str">
        <f t="shared" si="40"/>
        <v>59</v>
      </c>
      <c r="AJ493" s="64" t="str">
        <f>VLOOKUP(T493,'GL Name'!A:B,2,0)</f>
        <v>ต้นทุนขาย</v>
      </c>
      <c r="AL493" s="13">
        <f t="shared" si="41"/>
        <v>1019.16</v>
      </c>
      <c r="AM493" s="13" t="e">
        <f>VLOOKUP(I493,'Order 301-305 (เรียง)'!A:B,2,0)</f>
        <v>#N/A</v>
      </c>
      <c r="AN493" t="e">
        <f>VLOOKUP(I493,'Order 301-305 (เรียง)'!A:C,3,0)</f>
        <v>#N/A</v>
      </c>
    </row>
    <row r="494" spans="1:40" x14ac:dyDescent="0.3">
      <c r="A494" s="1" t="s">
        <v>81</v>
      </c>
      <c r="B494" s="1" t="s">
        <v>82</v>
      </c>
      <c r="C494" s="1" t="s">
        <v>64</v>
      </c>
      <c r="D494" s="1" t="s">
        <v>65</v>
      </c>
      <c r="E494" s="1" t="s">
        <v>66</v>
      </c>
      <c r="F494" s="1" t="s">
        <v>1323</v>
      </c>
      <c r="G494" s="1" t="s">
        <v>83</v>
      </c>
      <c r="H494" s="1" t="s">
        <v>1005</v>
      </c>
      <c r="I494" s="1" t="s">
        <v>68</v>
      </c>
      <c r="J494" s="1" t="s">
        <v>1324</v>
      </c>
      <c r="K494" s="1" t="s">
        <v>118</v>
      </c>
      <c r="L494" s="1" t="s">
        <v>70</v>
      </c>
      <c r="M494" s="1" t="s">
        <v>68</v>
      </c>
      <c r="N494" s="1" t="s">
        <v>71</v>
      </c>
      <c r="O494" s="1" t="s">
        <v>68</v>
      </c>
      <c r="P494" s="1" t="s">
        <v>72</v>
      </c>
      <c r="Q494" s="1" t="s">
        <v>68</v>
      </c>
      <c r="R494" s="1" t="s">
        <v>68</v>
      </c>
      <c r="S494" s="1" t="s">
        <v>68</v>
      </c>
      <c r="T494" s="1" t="s">
        <v>73</v>
      </c>
      <c r="U494" s="1" t="s">
        <v>68</v>
      </c>
      <c r="V494" s="1" t="s">
        <v>68</v>
      </c>
      <c r="W494" s="1" t="s">
        <v>68</v>
      </c>
      <c r="X494" s="1" t="s">
        <v>1325</v>
      </c>
      <c r="Y494" s="73"/>
      <c r="Z494" s="2" t="s">
        <v>85</v>
      </c>
      <c r="AA494" s="3">
        <v>-960</v>
      </c>
      <c r="AB494" s="4">
        <v>-978393.59999999998</v>
      </c>
      <c r="AC494" s="73">
        <v>46220</v>
      </c>
      <c r="AD494" s="73">
        <v>46220</v>
      </c>
      <c r="AE494" s="73"/>
      <c r="AF494" s="73">
        <v>46220</v>
      </c>
      <c r="AG494" s="3">
        <v>-2880000</v>
      </c>
      <c r="AH494" s="353" t="str">
        <f t="shared" si="39"/>
        <v/>
      </c>
      <c r="AI494" s="3" t="str">
        <f t="shared" si="40"/>
        <v>59</v>
      </c>
      <c r="AJ494" s="64" t="str">
        <f>VLOOKUP(T494,'GL Name'!A:B,2,0)</f>
        <v>ต้นทุนขาย</v>
      </c>
      <c r="AL494" s="13">
        <f t="shared" si="41"/>
        <v>1019.16</v>
      </c>
      <c r="AM494" s="13" t="e">
        <f>VLOOKUP(I494,'Order 301-305 (เรียง)'!A:B,2,0)</f>
        <v>#N/A</v>
      </c>
      <c r="AN494" t="e">
        <f>VLOOKUP(I494,'Order 301-305 (เรียง)'!A:C,3,0)</f>
        <v>#N/A</v>
      </c>
    </row>
    <row r="495" spans="1:40" x14ac:dyDescent="0.3">
      <c r="A495" s="1" t="s">
        <v>81</v>
      </c>
      <c r="B495" s="1" t="s">
        <v>82</v>
      </c>
      <c r="C495" s="1" t="s">
        <v>64</v>
      </c>
      <c r="D495" s="1" t="s">
        <v>87</v>
      </c>
      <c r="E495" s="1" t="s">
        <v>88</v>
      </c>
      <c r="F495" s="1" t="s">
        <v>1326</v>
      </c>
      <c r="G495" s="1" t="s">
        <v>83</v>
      </c>
      <c r="H495" s="1" t="s">
        <v>994</v>
      </c>
      <c r="I495" s="1" t="s">
        <v>68</v>
      </c>
      <c r="J495" s="1" t="s">
        <v>1327</v>
      </c>
      <c r="K495" s="1" t="s">
        <v>118</v>
      </c>
      <c r="L495" s="1" t="s">
        <v>70</v>
      </c>
      <c r="M495" s="1" t="s">
        <v>68</v>
      </c>
      <c r="N495" s="1" t="s">
        <v>71</v>
      </c>
      <c r="O495" s="1" t="s">
        <v>68</v>
      </c>
      <c r="P495" s="1" t="s">
        <v>1328</v>
      </c>
      <c r="Q495" s="1" t="s">
        <v>68</v>
      </c>
      <c r="R495" s="1" t="s">
        <v>308</v>
      </c>
      <c r="S495" s="1" t="s">
        <v>90</v>
      </c>
      <c r="T495" s="1" t="s">
        <v>91</v>
      </c>
      <c r="U495" s="1" t="s">
        <v>68</v>
      </c>
      <c r="V495" s="1" t="s">
        <v>68</v>
      </c>
      <c r="W495" s="1" t="s">
        <v>68</v>
      </c>
      <c r="X495" s="1" t="s">
        <v>68</v>
      </c>
      <c r="Y495" s="73"/>
      <c r="Z495" s="2" t="s">
        <v>74</v>
      </c>
      <c r="AA495" s="3">
        <v>-4</v>
      </c>
      <c r="AB495" s="4">
        <v>-679.44</v>
      </c>
      <c r="AC495" s="73">
        <v>46220</v>
      </c>
      <c r="AD495" s="73">
        <v>46220</v>
      </c>
      <c r="AE495" s="73"/>
      <c r="AF495" s="73">
        <v>46220</v>
      </c>
      <c r="AG495" s="3">
        <v>-2000</v>
      </c>
      <c r="AH495" s="353" t="str">
        <f t="shared" si="39"/>
        <v/>
      </c>
      <c r="AI495" s="3" t="str">
        <f t="shared" si="40"/>
        <v>59</v>
      </c>
      <c r="AJ495" s="64" t="str">
        <f>VLOOKUP(T495,'GL Name'!A:B,2,0)</f>
        <v>ค่าวิจัยคุณภาพสินค้า</v>
      </c>
      <c r="AL495" s="13">
        <f t="shared" si="41"/>
        <v>169.86</v>
      </c>
      <c r="AM495" s="13" t="e">
        <f>VLOOKUP(I495,'Order 301-305 (เรียง)'!A:B,2,0)</f>
        <v>#N/A</v>
      </c>
      <c r="AN495" t="e">
        <f>VLOOKUP(I495,'Order 301-305 (เรียง)'!A:C,3,0)</f>
        <v>#N/A</v>
      </c>
    </row>
    <row r="496" spans="1:40" x14ac:dyDescent="0.3">
      <c r="A496" s="1" t="s">
        <v>126</v>
      </c>
      <c r="B496" s="1" t="s">
        <v>127</v>
      </c>
      <c r="C496" s="1" t="s">
        <v>64</v>
      </c>
      <c r="D496" s="1" t="s">
        <v>93</v>
      </c>
      <c r="E496" s="1" t="s">
        <v>94</v>
      </c>
      <c r="F496" s="1" t="s">
        <v>1329</v>
      </c>
      <c r="G496" s="1" t="s">
        <v>101</v>
      </c>
      <c r="H496" s="1" t="s">
        <v>230</v>
      </c>
      <c r="I496" s="1" t="s">
        <v>68</v>
      </c>
      <c r="J496" s="1" t="s">
        <v>1330</v>
      </c>
      <c r="K496" s="1" t="s">
        <v>118</v>
      </c>
      <c r="L496" s="1" t="s">
        <v>70</v>
      </c>
      <c r="M496" s="1" t="s">
        <v>68</v>
      </c>
      <c r="N496" s="1" t="s">
        <v>71</v>
      </c>
      <c r="O496" s="1" t="s">
        <v>68</v>
      </c>
      <c r="P496" s="1" t="s">
        <v>72</v>
      </c>
      <c r="Q496" s="1" t="s">
        <v>68</v>
      </c>
      <c r="R496" s="1" t="s">
        <v>68</v>
      </c>
      <c r="S496" s="1" t="s">
        <v>68</v>
      </c>
      <c r="T496" s="1" t="s">
        <v>68</v>
      </c>
      <c r="U496" s="1" t="s">
        <v>68</v>
      </c>
      <c r="V496" s="1" t="s">
        <v>68</v>
      </c>
      <c r="W496" s="1" t="s">
        <v>68</v>
      </c>
      <c r="X496" s="1" t="s">
        <v>68</v>
      </c>
      <c r="Y496" s="73"/>
      <c r="Z496" s="2" t="s">
        <v>102</v>
      </c>
      <c r="AA496" s="3">
        <v>-3</v>
      </c>
      <c r="AB496" s="4">
        <v>0</v>
      </c>
      <c r="AC496" s="73">
        <v>46220</v>
      </c>
      <c r="AD496" s="73">
        <v>46220</v>
      </c>
      <c r="AE496" s="73"/>
      <c r="AF496" s="73">
        <v>46220</v>
      </c>
      <c r="AG496" s="3">
        <v>-3</v>
      </c>
      <c r="AH496" s="353" t="str">
        <f t="shared" si="39"/>
        <v/>
      </c>
      <c r="AI496" s="3" t="str">
        <f t="shared" si="40"/>
        <v>58</v>
      </c>
      <c r="AJ496" s="64" t="e">
        <f>VLOOKUP(T496,'GL Name'!A:B,2,0)</f>
        <v>#N/A</v>
      </c>
      <c r="AL496" s="13">
        <f t="shared" si="41"/>
        <v>0</v>
      </c>
      <c r="AM496" s="13" t="e">
        <f>VLOOKUP(I496,'Order 301-305 (เรียง)'!A:B,2,0)</f>
        <v>#N/A</v>
      </c>
      <c r="AN496" t="e">
        <f>VLOOKUP(I496,'Order 301-305 (เรียง)'!A:C,3,0)</f>
        <v>#N/A</v>
      </c>
    </row>
    <row r="497" spans="1:40" x14ac:dyDescent="0.3">
      <c r="A497" s="1" t="s">
        <v>126</v>
      </c>
      <c r="B497" s="1" t="s">
        <v>127</v>
      </c>
      <c r="C497" s="1" t="s">
        <v>64</v>
      </c>
      <c r="D497" s="1" t="s">
        <v>93</v>
      </c>
      <c r="E497" s="1" t="s">
        <v>94</v>
      </c>
      <c r="F497" s="1" t="s">
        <v>1329</v>
      </c>
      <c r="G497" s="1" t="s">
        <v>103</v>
      </c>
      <c r="H497" s="1" t="s">
        <v>230</v>
      </c>
      <c r="I497" s="1" t="s">
        <v>68</v>
      </c>
      <c r="J497" s="1" t="s">
        <v>1330</v>
      </c>
      <c r="K497" s="1" t="s">
        <v>118</v>
      </c>
      <c r="L497" s="1" t="s">
        <v>86</v>
      </c>
      <c r="M497" s="1" t="s">
        <v>68</v>
      </c>
      <c r="N497" s="1" t="s">
        <v>71</v>
      </c>
      <c r="O497" s="1" t="s">
        <v>68</v>
      </c>
      <c r="P497" s="1" t="s">
        <v>72</v>
      </c>
      <c r="Q497" s="1" t="s">
        <v>68</v>
      </c>
      <c r="R497" s="1" t="s">
        <v>68</v>
      </c>
      <c r="S497" s="1" t="s">
        <v>68</v>
      </c>
      <c r="T497" s="1" t="s">
        <v>68</v>
      </c>
      <c r="U497" s="1" t="s">
        <v>68</v>
      </c>
      <c r="V497" s="1" t="s">
        <v>68</v>
      </c>
      <c r="W497" s="1" t="s">
        <v>68</v>
      </c>
      <c r="X497" s="1" t="s">
        <v>68</v>
      </c>
      <c r="Y497" s="73"/>
      <c r="Z497" s="2" t="s">
        <v>102</v>
      </c>
      <c r="AA497" s="3">
        <v>3</v>
      </c>
      <c r="AB497" s="4">
        <v>0</v>
      </c>
      <c r="AC497" s="73">
        <v>46220</v>
      </c>
      <c r="AD497" s="73">
        <v>46220</v>
      </c>
      <c r="AE497" s="73"/>
      <c r="AF497" s="73">
        <v>46220</v>
      </c>
      <c r="AG497" s="3">
        <v>3</v>
      </c>
      <c r="AH497" s="353" t="str">
        <f t="shared" si="39"/>
        <v/>
      </c>
      <c r="AI497" s="3" t="str">
        <f t="shared" si="40"/>
        <v>58</v>
      </c>
      <c r="AJ497" s="64" t="e">
        <f>VLOOKUP(T497,'GL Name'!A:B,2,0)</f>
        <v>#N/A</v>
      </c>
      <c r="AL497" s="13">
        <f t="shared" si="41"/>
        <v>0</v>
      </c>
      <c r="AM497" s="13" t="e">
        <f>VLOOKUP(I497,'Order 301-305 (เรียง)'!A:B,2,0)</f>
        <v>#N/A</v>
      </c>
      <c r="AN497" t="e">
        <f>VLOOKUP(I497,'Order 301-305 (เรียง)'!A:C,3,0)</f>
        <v>#N/A</v>
      </c>
    </row>
    <row r="498" spans="1:40" x14ac:dyDescent="0.3">
      <c r="A498" s="1" t="s">
        <v>126</v>
      </c>
      <c r="B498" s="1" t="s">
        <v>127</v>
      </c>
      <c r="C498" s="1" t="s">
        <v>64</v>
      </c>
      <c r="D498" s="1" t="s">
        <v>93</v>
      </c>
      <c r="E498" s="1" t="s">
        <v>94</v>
      </c>
      <c r="F498" s="1" t="s">
        <v>1329</v>
      </c>
      <c r="G498" s="1" t="s">
        <v>101</v>
      </c>
      <c r="H498" s="1" t="s">
        <v>704</v>
      </c>
      <c r="I498" s="1" t="s">
        <v>68</v>
      </c>
      <c r="J498" s="1" t="s">
        <v>1330</v>
      </c>
      <c r="K498" s="1" t="s">
        <v>118</v>
      </c>
      <c r="L498" s="1" t="s">
        <v>92</v>
      </c>
      <c r="M498" s="1" t="s">
        <v>68</v>
      </c>
      <c r="N498" s="1" t="s">
        <v>71</v>
      </c>
      <c r="O498" s="1" t="s">
        <v>68</v>
      </c>
      <c r="P498" s="1" t="s">
        <v>72</v>
      </c>
      <c r="Q498" s="1" t="s">
        <v>68</v>
      </c>
      <c r="R498" s="1" t="s">
        <v>68</v>
      </c>
      <c r="S498" s="1" t="s">
        <v>68</v>
      </c>
      <c r="T498" s="1" t="s">
        <v>68</v>
      </c>
      <c r="U498" s="1" t="s">
        <v>68</v>
      </c>
      <c r="V498" s="1" t="s">
        <v>68</v>
      </c>
      <c r="W498" s="1" t="s">
        <v>68</v>
      </c>
      <c r="X498" s="1" t="s">
        <v>68</v>
      </c>
      <c r="Y498" s="73"/>
      <c r="Z498" s="2" t="s">
        <v>102</v>
      </c>
      <c r="AA498" s="3">
        <v>-17</v>
      </c>
      <c r="AB498" s="4">
        <v>0</v>
      </c>
      <c r="AC498" s="73">
        <v>46220</v>
      </c>
      <c r="AD498" s="73">
        <v>46220</v>
      </c>
      <c r="AE498" s="73"/>
      <c r="AF498" s="73">
        <v>46220</v>
      </c>
      <c r="AG498" s="3">
        <v>-17</v>
      </c>
      <c r="AH498" s="353" t="str">
        <f t="shared" si="39"/>
        <v/>
      </c>
      <c r="AI498" s="3" t="str">
        <f t="shared" si="40"/>
        <v>58</v>
      </c>
      <c r="AJ498" s="64" t="e">
        <f>VLOOKUP(T498,'GL Name'!A:B,2,0)</f>
        <v>#N/A</v>
      </c>
      <c r="AL498" s="13">
        <f t="shared" si="41"/>
        <v>0</v>
      </c>
      <c r="AM498" s="13" t="e">
        <f>VLOOKUP(I498,'Order 301-305 (เรียง)'!A:B,2,0)</f>
        <v>#N/A</v>
      </c>
      <c r="AN498" t="e">
        <f>VLOOKUP(I498,'Order 301-305 (เรียง)'!A:C,3,0)</f>
        <v>#N/A</v>
      </c>
    </row>
    <row r="499" spans="1:40" x14ac:dyDescent="0.3">
      <c r="A499" s="1" t="s">
        <v>126</v>
      </c>
      <c r="B499" s="1" t="s">
        <v>127</v>
      </c>
      <c r="C499" s="1" t="s">
        <v>64</v>
      </c>
      <c r="D499" s="1" t="s">
        <v>93</v>
      </c>
      <c r="E499" s="1" t="s">
        <v>94</v>
      </c>
      <c r="F499" s="1" t="s">
        <v>1329</v>
      </c>
      <c r="G499" s="1" t="s">
        <v>103</v>
      </c>
      <c r="H499" s="1" t="s">
        <v>704</v>
      </c>
      <c r="I499" s="1" t="s">
        <v>68</v>
      </c>
      <c r="J499" s="1" t="s">
        <v>1330</v>
      </c>
      <c r="K499" s="1" t="s">
        <v>118</v>
      </c>
      <c r="L499" s="1" t="s">
        <v>89</v>
      </c>
      <c r="M499" s="1" t="s">
        <v>68</v>
      </c>
      <c r="N499" s="1" t="s">
        <v>71</v>
      </c>
      <c r="O499" s="1" t="s">
        <v>68</v>
      </c>
      <c r="P499" s="1" t="s">
        <v>72</v>
      </c>
      <c r="Q499" s="1" t="s">
        <v>68</v>
      </c>
      <c r="R499" s="1" t="s">
        <v>68</v>
      </c>
      <c r="S499" s="1" t="s">
        <v>68</v>
      </c>
      <c r="T499" s="1" t="s">
        <v>68</v>
      </c>
      <c r="U499" s="1" t="s">
        <v>68</v>
      </c>
      <c r="V499" s="1" t="s">
        <v>68</v>
      </c>
      <c r="W499" s="1" t="s">
        <v>68</v>
      </c>
      <c r="X499" s="1" t="s">
        <v>68</v>
      </c>
      <c r="Y499" s="73"/>
      <c r="Z499" s="2" t="s">
        <v>102</v>
      </c>
      <c r="AA499" s="3">
        <v>17</v>
      </c>
      <c r="AB499" s="4">
        <v>0</v>
      </c>
      <c r="AC499" s="73">
        <v>46220</v>
      </c>
      <c r="AD499" s="73">
        <v>46220</v>
      </c>
      <c r="AE499" s="73"/>
      <c r="AF499" s="73">
        <v>46220</v>
      </c>
      <c r="AG499" s="3">
        <v>17</v>
      </c>
      <c r="AH499" s="353" t="str">
        <f t="shared" si="39"/>
        <v/>
      </c>
      <c r="AI499" s="3" t="str">
        <f t="shared" si="40"/>
        <v>58</v>
      </c>
      <c r="AJ499" s="64" t="e">
        <f>VLOOKUP(T499,'GL Name'!A:B,2,0)</f>
        <v>#N/A</v>
      </c>
      <c r="AL499" s="13">
        <f t="shared" si="41"/>
        <v>0</v>
      </c>
      <c r="AM499" s="13" t="e">
        <f>VLOOKUP(I499,'Order 301-305 (เรียง)'!A:B,2,0)</f>
        <v>#N/A</v>
      </c>
      <c r="AN499" t="e">
        <f>VLOOKUP(I499,'Order 301-305 (เรียง)'!A:C,3,0)</f>
        <v>#N/A</v>
      </c>
    </row>
    <row r="500" spans="1:40" x14ac:dyDescent="0.3">
      <c r="A500" s="1" t="s">
        <v>242</v>
      </c>
      <c r="B500" s="1" t="s">
        <v>243</v>
      </c>
      <c r="C500" s="1" t="s">
        <v>64</v>
      </c>
      <c r="D500" s="1" t="s">
        <v>882</v>
      </c>
      <c r="E500" s="1" t="s">
        <v>883</v>
      </c>
      <c r="F500" s="1" t="s">
        <v>1331</v>
      </c>
      <c r="G500" s="1" t="s">
        <v>885</v>
      </c>
      <c r="H500" s="1" t="s">
        <v>595</v>
      </c>
      <c r="I500" s="1" t="s">
        <v>68</v>
      </c>
      <c r="J500" s="1" t="s">
        <v>1332</v>
      </c>
      <c r="K500" s="1" t="s">
        <v>96</v>
      </c>
      <c r="L500" s="1" t="s">
        <v>70</v>
      </c>
      <c r="M500" s="1" t="s">
        <v>68</v>
      </c>
      <c r="N500" s="1" t="s">
        <v>71</v>
      </c>
      <c r="O500" s="1" t="s">
        <v>68</v>
      </c>
      <c r="P500" s="1" t="s">
        <v>1333</v>
      </c>
      <c r="Q500" s="1" t="s">
        <v>1334</v>
      </c>
      <c r="R500" s="1" t="s">
        <v>68</v>
      </c>
      <c r="S500" s="1" t="s">
        <v>68</v>
      </c>
      <c r="T500" s="1" t="s">
        <v>68</v>
      </c>
      <c r="U500" s="1" t="s">
        <v>68</v>
      </c>
      <c r="V500" s="1" t="s">
        <v>889</v>
      </c>
      <c r="W500" s="1" t="s">
        <v>68</v>
      </c>
      <c r="X500" s="1" t="s">
        <v>68</v>
      </c>
      <c r="Y500" s="73"/>
      <c r="Z500" s="2" t="s">
        <v>74</v>
      </c>
      <c r="AA500" s="3">
        <v>4</v>
      </c>
      <c r="AB500" s="4">
        <v>0</v>
      </c>
      <c r="AC500" s="73">
        <v>46220</v>
      </c>
      <c r="AD500" s="73">
        <v>46220</v>
      </c>
      <c r="AE500" s="73"/>
      <c r="AF500" s="73">
        <v>46220</v>
      </c>
      <c r="AG500" s="3">
        <v>1000</v>
      </c>
      <c r="AH500" s="353" t="str">
        <f t="shared" si="39"/>
        <v/>
      </c>
      <c r="AI500" s="3" t="str">
        <f t="shared" si="40"/>
        <v>59</v>
      </c>
      <c r="AJ500" s="64" t="e">
        <f>VLOOKUP(T500,'GL Name'!A:B,2,0)</f>
        <v>#N/A</v>
      </c>
      <c r="AL500" s="13">
        <f t="shared" si="41"/>
        <v>0</v>
      </c>
      <c r="AM500" s="13" t="e">
        <f>VLOOKUP(I500,'Order 301-305 (เรียง)'!A:B,2,0)</f>
        <v>#N/A</v>
      </c>
      <c r="AN500" t="e">
        <f>VLOOKUP(I500,'Order 301-305 (เรียง)'!A:C,3,0)</f>
        <v>#N/A</v>
      </c>
    </row>
    <row r="501" spans="1:40" x14ac:dyDescent="0.3">
      <c r="A501" s="1" t="s">
        <v>242</v>
      </c>
      <c r="B501" s="1" t="s">
        <v>243</v>
      </c>
      <c r="C501" s="1" t="s">
        <v>64</v>
      </c>
      <c r="D501" s="1" t="s">
        <v>882</v>
      </c>
      <c r="E501" s="1" t="s">
        <v>883</v>
      </c>
      <c r="F501" s="1" t="s">
        <v>1331</v>
      </c>
      <c r="G501" s="1" t="s">
        <v>68</v>
      </c>
      <c r="H501" s="1" t="s">
        <v>595</v>
      </c>
      <c r="I501" s="1" t="s">
        <v>68</v>
      </c>
      <c r="J501" s="1" t="s">
        <v>1332</v>
      </c>
      <c r="K501" s="1" t="s">
        <v>96</v>
      </c>
      <c r="L501" s="1" t="s">
        <v>86</v>
      </c>
      <c r="M501" s="1" t="s">
        <v>68</v>
      </c>
      <c r="N501" s="1" t="s">
        <v>71</v>
      </c>
      <c r="O501" s="1" t="s">
        <v>887</v>
      </c>
      <c r="P501" s="1" t="s">
        <v>1333</v>
      </c>
      <c r="Q501" s="1" t="s">
        <v>1334</v>
      </c>
      <c r="R501" s="1" t="s">
        <v>68</v>
      </c>
      <c r="S501" s="1" t="s">
        <v>68</v>
      </c>
      <c r="T501" s="1" t="s">
        <v>68</v>
      </c>
      <c r="U501" s="1" t="s">
        <v>68</v>
      </c>
      <c r="V501" s="1" t="s">
        <v>889</v>
      </c>
      <c r="W501" s="1" t="s">
        <v>68</v>
      </c>
      <c r="X501" s="1" t="s">
        <v>68</v>
      </c>
      <c r="Y501" s="73"/>
      <c r="Z501" s="2" t="s">
        <v>74</v>
      </c>
      <c r="AA501" s="3">
        <v>-4</v>
      </c>
      <c r="AB501" s="4">
        <v>0</v>
      </c>
      <c r="AC501" s="73">
        <v>46220</v>
      </c>
      <c r="AD501" s="73">
        <v>46220</v>
      </c>
      <c r="AE501" s="73"/>
      <c r="AF501" s="73">
        <v>46220</v>
      </c>
      <c r="AG501" s="3">
        <v>-1000</v>
      </c>
      <c r="AH501" s="353" t="str">
        <f t="shared" si="39"/>
        <v/>
      </c>
      <c r="AI501" s="3" t="str">
        <f t="shared" si="40"/>
        <v>59</v>
      </c>
      <c r="AJ501" s="64" t="e">
        <f>VLOOKUP(T501,'GL Name'!A:B,2,0)</f>
        <v>#N/A</v>
      </c>
      <c r="AL501" s="13">
        <f t="shared" si="41"/>
        <v>0</v>
      </c>
      <c r="AM501" s="13" t="e">
        <f>VLOOKUP(I501,'Order 301-305 (เรียง)'!A:B,2,0)</f>
        <v>#N/A</v>
      </c>
      <c r="AN501" t="e">
        <f>VLOOKUP(I501,'Order 301-305 (เรียง)'!A:C,3,0)</f>
        <v>#N/A</v>
      </c>
    </row>
    <row r="502" spans="1:40" x14ac:dyDescent="0.3">
      <c r="A502" s="1" t="s">
        <v>242</v>
      </c>
      <c r="B502" s="1" t="s">
        <v>243</v>
      </c>
      <c r="C502" s="1" t="s">
        <v>64</v>
      </c>
      <c r="D502" s="1" t="s">
        <v>65</v>
      </c>
      <c r="E502" s="1" t="s">
        <v>66</v>
      </c>
      <c r="F502" s="1" t="s">
        <v>1335</v>
      </c>
      <c r="G502" s="1" t="s">
        <v>885</v>
      </c>
      <c r="H502" s="1" t="s">
        <v>595</v>
      </c>
      <c r="I502" s="1" t="s">
        <v>68</v>
      </c>
      <c r="J502" s="1" t="s">
        <v>1336</v>
      </c>
      <c r="K502" s="1" t="s">
        <v>96</v>
      </c>
      <c r="L502" s="1" t="s">
        <v>70</v>
      </c>
      <c r="M502" s="1" t="s">
        <v>68</v>
      </c>
      <c r="N502" s="1" t="s">
        <v>71</v>
      </c>
      <c r="O502" s="1" t="s">
        <v>68</v>
      </c>
      <c r="P502" s="1" t="s">
        <v>72</v>
      </c>
      <c r="Q502" s="1" t="s">
        <v>68</v>
      </c>
      <c r="R502" s="1" t="s">
        <v>68</v>
      </c>
      <c r="S502" s="1" t="s">
        <v>68</v>
      </c>
      <c r="T502" s="1" t="s">
        <v>73</v>
      </c>
      <c r="U502" s="1" t="s">
        <v>68</v>
      </c>
      <c r="V502" s="1" t="s">
        <v>68</v>
      </c>
      <c r="W502" s="1" t="s">
        <v>68</v>
      </c>
      <c r="X502" s="1" t="s">
        <v>1337</v>
      </c>
      <c r="Y502" s="73"/>
      <c r="Z502" s="2" t="s">
        <v>74</v>
      </c>
      <c r="AA502" s="3">
        <v>-4</v>
      </c>
      <c r="AB502" s="4">
        <v>-318.68</v>
      </c>
      <c r="AC502" s="73">
        <v>46220</v>
      </c>
      <c r="AD502" s="73">
        <v>46220</v>
      </c>
      <c r="AE502" s="73"/>
      <c r="AF502" s="73">
        <v>46220</v>
      </c>
      <c r="AG502" s="3">
        <v>-1000</v>
      </c>
      <c r="AH502" s="353" t="str">
        <f t="shared" si="39"/>
        <v/>
      </c>
      <c r="AI502" s="3" t="str">
        <f t="shared" si="40"/>
        <v>59</v>
      </c>
      <c r="AJ502" s="64" t="str">
        <f>VLOOKUP(T502,'GL Name'!A:B,2,0)</f>
        <v>ต้นทุนขาย</v>
      </c>
      <c r="AL502" s="13">
        <f t="shared" si="41"/>
        <v>79.67</v>
      </c>
      <c r="AM502" s="13" t="e">
        <f>VLOOKUP(I502,'Order 301-305 (เรียง)'!A:B,2,0)</f>
        <v>#N/A</v>
      </c>
      <c r="AN502" t="e">
        <f>VLOOKUP(I502,'Order 301-305 (เรียง)'!A:C,3,0)</f>
        <v>#N/A</v>
      </c>
    </row>
    <row r="503" spans="1:40" x14ac:dyDescent="0.3">
      <c r="A503" s="1" t="s">
        <v>62</v>
      </c>
      <c r="B503" s="1" t="s">
        <v>63</v>
      </c>
      <c r="C503" s="1" t="s">
        <v>64</v>
      </c>
      <c r="D503" s="1" t="s">
        <v>1338</v>
      </c>
      <c r="E503" s="1" t="s">
        <v>1339</v>
      </c>
      <c r="F503" s="1" t="s">
        <v>1340</v>
      </c>
      <c r="G503" s="1" t="s">
        <v>67</v>
      </c>
      <c r="H503" s="1" t="s">
        <v>281</v>
      </c>
      <c r="I503" s="1" t="s">
        <v>68</v>
      </c>
      <c r="J503" s="1" t="s">
        <v>1341</v>
      </c>
      <c r="K503" s="1" t="s">
        <v>96</v>
      </c>
      <c r="L503" s="1" t="s">
        <v>70</v>
      </c>
      <c r="M503" s="1" t="s">
        <v>68</v>
      </c>
      <c r="N503" s="1" t="s">
        <v>71</v>
      </c>
      <c r="O503" s="1" t="s">
        <v>68</v>
      </c>
      <c r="P503" s="1" t="s">
        <v>72</v>
      </c>
      <c r="Q503" s="1" t="s">
        <v>68</v>
      </c>
      <c r="R503" s="1" t="s">
        <v>68</v>
      </c>
      <c r="S503" s="1" t="s">
        <v>68</v>
      </c>
      <c r="T503" s="1" t="s">
        <v>73</v>
      </c>
      <c r="U503" s="1" t="s">
        <v>68</v>
      </c>
      <c r="V503" s="1" t="s">
        <v>68</v>
      </c>
      <c r="W503" s="1" t="s">
        <v>68</v>
      </c>
      <c r="X503" s="1" t="s">
        <v>1311</v>
      </c>
      <c r="Y503" s="73"/>
      <c r="Z503" s="2" t="s">
        <v>265</v>
      </c>
      <c r="AA503" s="3">
        <v>-2</v>
      </c>
      <c r="AB503" s="4">
        <v>-0.68</v>
      </c>
      <c r="AC503" s="73">
        <v>46220</v>
      </c>
      <c r="AD503" s="73">
        <v>46220</v>
      </c>
      <c r="AE503" s="73"/>
      <c r="AF503" s="73">
        <v>46220</v>
      </c>
      <c r="AG503" s="3">
        <v>-2</v>
      </c>
      <c r="AH503" s="379" t="str">
        <f t="shared" si="39"/>
        <v/>
      </c>
      <c r="AI503" s="378" t="str">
        <f t="shared" si="40"/>
        <v>59</v>
      </c>
      <c r="AJ503" s="384" t="str">
        <f>VLOOKUP(T503,'GL Name'!A:B,2,0)</f>
        <v>ต้นทุนขาย</v>
      </c>
      <c r="AK503" s="382" t="s">
        <v>1638</v>
      </c>
      <c r="AL503" s="385">
        <f t="shared" si="41"/>
        <v>0.34</v>
      </c>
      <c r="AM503" s="385" t="e">
        <f>VLOOKUP(I503,'Order 301-305 (เรียง)'!A:B,2,0)</f>
        <v>#N/A</v>
      </c>
      <c r="AN503" s="31" t="e">
        <f>VLOOKUP(I503,'Order 301-305 (เรียง)'!A:C,3,0)</f>
        <v>#N/A</v>
      </c>
    </row>
    <row r="504" spans="1:40" x14ac:dyDescent="0.3">
      <c r="A504" s="1" t="s">
        <v>62</v>
      </c>
      <c r="B504" s="1" t="s">
        <v>63</v>
      </c>
      <c r="C504" s="1" t="s">
        <v>64</v>
      </c>
      <c r="D504" s="1" t="s">
        <v>1307</v>
      </c>
      <c r="E504" s="1" t="s">
        <v>1308</v>
      </c>
      <c r="F504" s="1" t="s">
        <v>1342</v>
      </c>
      <c r="G504" s="1" t="s">
        <v>67</v>
      </c>
      <c r="H504" s="1" t="s">
        <v>281</v>
      </c>
      <c r="I504" s="1" t="s">
        <v>68</v>
      </c>
      <c r="J504" s="1" t="s">
        <v>1343</v>
      </c>
      <c r="K504" s="1" t="s">
        <v>96</v>
      </c>
      <c r="L504" s="1" t="s">
        <v>70</v>
      </c>
      <c r="M504" s="1" t="s">
        <v>68</v>
      </c>
      <c r="N504" s="1" t="s">
        <v>71</v>
      </c>
      <c r="O504" s="1" t="s">
        <v>68</v>
      </c>
      <c r="P504" s="1" t="s">
        <v>72</v>
      </c>
      <c r="Q504" s="1" t="s">
        <v>68</v>
      </c>
      <c r="R504" s="1" t="s">
        <v>68</v>
      </c>
      <c r="S504" s="1" t="s">
        <v>68</v>
      </c>
      <c r="T504" s="1" t="s">
        <v>73</v>
      </c>
      <c r="U504" s="1" t="s">
        <v>68</v>
      </c>
      <c r="V504" s="1" t="s">
        <v>68</v>
      </c>
      <c r="W504" s="1" t="s">
        <v>68</v>
      </c>
      <c r="X504" s="1" t="s">
        <v>1344</v>
      </c>
      <c r="Y504" s="73"/>
      <c r="Z504" s="2" t="s">
        <v>265</v>
      </c>
      <c r="AA504" s="3">
        <v>2</v>
      </c>
      <c r="AB504" s="4">
        <v>0.68</v>
      </c>
      <c r="AC504" s="73">
        <v>46220</v>
      </c>
      <c r="AD504" s="73">
        <v>46220</v>
      </c>
      <c r="AE504" s="73"/>
      <c r="AF504" s="73">
        <v>46220</v>
      </c>
      <c r="AG504" s="3">
        <v>2</v>
      </c>
      <c r="AH504" s="379" t="str">
        <f t="shared" si="39"/>
        <v/>
      </c>
      <c r="AI504" s="378" t="str">
        <f t="shared" si="40"/>
        <v>59</v>
      </c>
      <c r="AJ504" s="384" t="str">
        <f>VLOOKUP(T504,'GL Name'!A:B,2,0)</f>
        <v>ต้นทุนขาย</v>
      </c>
      <c r="AK504" s="382" t="s">
        <v>1638</v>
      </c>
      <c r="AL504" s="385">
        <f t="shared" si="41"/>
        <v>0.34</v>
      </c>
      <c r="AM504" s="385" t="e">
        <f>VLOOKUP(I504,'Order 301-305 (เรียง)'!A:B,2,0)</f>
        <v>#N/A</v>
      </c>
      <c r="AN504" s="31" t="e">
        <f>VLOOKUP(I504,'Order 301-305 (เรียง)'!A:C,3,0)</f>
        <v>#N/A</v>
      </c>
    </row>
    <row r="505" spans="1:40" x14ac:dyDescent="0.3">
      <c r="A505" s="1" t="s">
        <v>81</v>
      </c>
      <c r="B505" s="1" t="s">
        <v>82</v>
      </c>
      <c r="C505" s="1" t="s">
        <v>64</v>
      </c>
      <c r="D505" s="1" t="s">
        <v>1307</v>
      </c>
      <c r="E505" s="1" t="s">
        <v>1308</v>
      </c>
      <c r="F505" s="1" t="s">
        <v>1351</v>
      </c>
      <c r="G505" s="1" t="s">
        <v>83</v>
      </c>
      <c r="H505" s="1" t="s">
        <v>1352</v>
      </c>
      <c r="I505" s="1" t="s">
        <v>68</v>
      </c>
      <c r="J505" s="1" t="s">
        <v>1353</v>
      </c>
      <c r="K505" s="1" t="s">
        <v>84</v>
      </c>
      <c r="L505" s="1" t="s">
        <v>70</v>
      </c>
      <c r="M505" s="1" t="s">
        <v>68</v>
      </c>
      <c r="N505" s="1" t="s">
        <v>71</v>
      </c>
      <c r="O505" s="1" t="s">
        <v>68</v>
      </c>
      <c r="P505" s="1" t="s">
        <v>72</v>
      </c>
      <c r="Q505" s="1" t="s">
        <v>68</v>
      </c>
      <c r="R505" s="1" t="s">
        <v>68</v>
      </c>
      <c r="S505" s="1" t="s">
        <v>68</v>
      </c>
      <c r="T505" s="1" t="s">
        <v>73</v>
      </c>
      <c r="U505" s="1" t="s">
        <v>68</v>
      </c>
      <c r="V505" s="1" t="s">
        <v>68</v>
      </c>
      <c r="W505" s="1" t="s">
        <v>68</v>
      </c>
      <c r="X505" s="1" t="s">
        <v>1354</v>
      </c>
      <c r="Y505" s="73"/>
      <c r="Z505" s="2" t="s">
        <v>85</v>
      </c>
      <c r="AA505" s="3">
        <v>1920</v>
      </c>
      <c r="AB505" s="4">
        <v>1956787.2</v>
      </c>
      <c r="AC505" s="73">
        <v>46220</v>
      </c>
      <c r="AD505" s="73">
        <v>46220</v>
      </c>
      <c r="AE505" s="73"/>
      <c r="AF505" s="73">
        <v>46220</v>
      </c>
      <c r="AG505" s="3">
        <v>5760000</v>
      </c>
      <c r="AH505" s="353" t="str">
        <f t="shared" si="39"/>
        <v/>
      </c>
      <c r="AI505" s="3" t="str">
        <f t="shared" si="40"/>
        <v>59</v>
      </c>
      <c r="AJ505" s="64" t="str">
        <f>VLOOKUP(T505,'GL Name'!A:B,2,0)</f>
        <v>ต้นทุนขาย</v>
      </c>
      <c r="AL505" s="13">
        <f t="shared" si="41"/>
        <v>1019.16</v>
      </c>
      <c r="AM505" s="13" t="e">
        <f>VLOOKUP(I505,'Order 301-305 (เรียง)'!A:B,2,0)</f>
        <v>#N/A</v>
      </c>
      <c r="AN505" t="e">
        <f>VLOOKUP(I505,'Order 301-305 (เรียง)'!A:C,3,0)</f>
        <v>#N/A</v>
      </c>
    </row>
    <row r="506" spans="1:40" x14ac:dyDescent="0.3">
      <c r="A506" s="1" t="s">
        <v>81</v>
      </c>
      <c r="B506" s="1" t="s">
        <v>82</v>
      </c>
      <c r="C506" s="1" t="s">
        <v>64</v>
      </c>
      <c r="D506" s="1" t="s">
        <v>87</v>
      </c>
      <c r="E506" s="1" t="s">
        <v>88</v>
      </c>
      <c r="F506" s="1" t="s">
        <v>1355</v>
      </c>
      <c r="G506" s="1" t="s">
        <v>83</v>
      </c>
      <c r="H506" s="1" t="s">
        <v>1005</v>
      </c>
      <c r="I506" s="1" t="s">
        <v>68</v>
      </c>
      <c r="J506" s="1" t="s">
        <v>1356</v>
      </c>
      <c r="K506" s="1" t="s">
        <v>223</v>
      </c>
      <c r="L506" s="1" t="s">
        <v>95</v>
      </c>
      <c r="M506" s="1" t="s">
        <v>68</v>
      </c>
      <c r="N506" s="1" t="s">
        <v>71</v>
      </c>
      <c r="O506" s="1" t="s">
        <v>68</v>
      </c>
      <c r="P506" s="1" t="s">
        <v>1357</v>
      </c>
      <c r="Q506" s="1" t="s">
        <v>68</v>
      </c>
      <c r="R506" s="1" t="s">
        <v>1358</v>
      </c>
      <c r="S506" s="1" t="s">
        <v>90</v>
      </c>
      <c r="T506" s="1" t="s">
        <v>91</v>
      </c>
      <c r="U506" s="1" t="s">
        <v>68</v>
      </c>
      <c r="V506" s="1" t="s">
        <v>68</v>
      </c>
      <c r="W506" s="1" t="s">
        <v>68</v>
      </c>
      <c r="X506" s="1" t="s">
        <v>68</v>
      </c>
      <c r="Y506" s="73"/>
      <c r="Z506" s="2" t="s">
        <v>74</v>
      </c>
      <c r="AA506" s="3">
        <v>-3</v>
      </c>
      <c r="AB506" s="4">
        <v>-509.58</v>
      </c>
      <c r="AC506" s="73">
        <v>46220</v>
      </c>
      <c r="AD506" s="73">
        <v>46220</v>
      </c>
      <c r="AE506" s="73"/>
      <c r="AF506" s="73">
        <v>46220</v>
      </c>
      <c r="AG506" s="3">
        <v>-1500</v>
      </c>
      <c r="AH506" s="353" t="str">
        <f t="shared" si="39"/>
        <v/>
      </c>
      <c r="AI506" s="3" t="str">
        <f t="shared" si="40"/>
        <v>59</v>
      </c>
      <c r="AJ506" s="64" t="str">
        <f>VLOOKUP(T506,'GL Name'!A:B,2,0)</f>
        <v>ค่าวิจัยคุณภาพสินค้า</v>
      </c>
      <c r="AL506" s="13">
        <f t="shared" si="41"/>
        <v>169.85999999999999</v>
      </c>
      <c r="AM506" s="13" t="e">
        <f>VLOOKUP(I506,'Order 301-305 (เรียง)'!A:B,2,0)</f>
        <v>#N/A</v>
      </c>
      <c r="AN506" t="e">
        <f>VLOOKUP(I506,'Order 301-305 (เรียง)'!A:C,3,0)</f>
        <v>#N/A</v>
      </c>
    </row>
    <row r="507" spans="1:40" x14ac:dyDescent="0.3">
      <c r="A507" s="1" t="s">
        <v>81</v>
      </c>
      <c r="B507" s="1" t="s">
        <v>82</v>
      </c>
      <c r="C507" s="1" t="s">
        <v>64</v>
      </c>
      <c r="D507" s="1" t="s">
        <v>87</v>
      </c>
      <c r="E507" s="1" t="s">
        <v>88</v>
      </c>
      <c r="F507" s="1" t="s">
        <v>1355</v>
      </c>
      <c r="G507" s="1" t="s">
        <v>83</v>
      </c>
      <c r="H507" s="1" t="s">
        <v>1005</v>
      </c>
      <c r="I507" s="1" t="s">
        <v>68</v>
      </c>
      <c r="J507" s="1" t="s">
        <v>1356</v>
      </c>
      <c r="K507" s="1" t="s">
        <v>223</v>
      </c>
      <c r="L507" s="1" t="s">
        <v>89</v>
      </c>
      <c r="M507" s="1" t="s">
        <v>68</v>
      </c>
      <c r="N507" s="1" t="s">
        <v>71</v>
      </c>
      <c r="O507" s="1" t="s">
        <v>68</v>
      </c>
      <c r="P507" s="1" t="s">
        <v>1357</v>
      </c>
      <c r="Q507" s="1" t="s">
        <v>68</v>
      </c>
      <c r="R507" s="1" t="s">
        <v>1359</v>
      </c>
      <c r="S507" s="1" t="s">
        <v>90</v>
      </c>
      <c r="T507" s="1" t="s">
        <v>91</v>
      </c>
      <c r="U507" s="1" t="s">
        <v>68</v>
      </c>
      <c r="V507" s="1" t="s">
        <v>68</v>
      </c>
      <c r="W507" s="1" t="s">
        <v>68</v>
      </c>
      <c r="X507" s="1" t="s">
        <v>68</v>
      </c>
      <c r="Y507" s="73"/>
      <c r="Z507" s="2" t="s">
        <v>74</v>
      </c>
      <c r="AA507" s="3">
        <v>-5</v>
      </c>
      <c r="AB507" s="4">
        <v>-849.3</v>
      </c>
      <c r="AC507" s="73">
        <v>46220</v>
      </c>
      <c r="AD507" s="73">
        <v>46220</v>
      </c>
      <c r="AE507" s="73"/>
      <c r="AF507" s="73">
        <v>46220</v>
      </c>
      <c r="AG507" s="3">
        <v>-2500</v>
      </c>
      <c r="AH507" s="353" t="str">
        <f t="shared" si="39"/>
        <v/>
      </c>
      <c r="AI507" s="3" t="str">
        <f t="shared" si="40"/>
        <v>59</v>
      </c>
      <c r="AJ507" s="64" t="str">
        <f>VLOOKUP(T507,'GL Name'!A:B,2,0)</f>
        <v>ค่าวิจัยคุณภาพสินค้า</v>
      </c>
      <c r="AL507" s="13">
        <f t="shared" si="41"/>
        <v>169.85999999999999</v>
      </c>
      <c r="AM507" s="13" t="e">
        <f>VLOOKUP(I507,'Order 301-305 (เรียง)'!A:B,2,0)</f>
        <v>#N/A</v>
      </c>
      <c r="AN507" t="e">
        <f>VLOOKUP(I507,'Order 301-305 (เรียง)'!A:C,3,0)</f>
        <v>#N/A</v>
      </c>
    </row>
    <row r="508" spans="1:40" x14ac:dyDescent="0.3">
      <c r="A508" s="1" t="s">
        <v>81</v>
      </c>
      <c r="B508" s="1" t="s">
        <v>82</v>
      </c>
      <c r="C508" s="1" t="s">
        <v>64</v>
      </c>
      <c r="D508" s="1" t="s">
        <v>87</v>
      </c>
      <c r="E508" s="1" t="s">
        <v>88</v>
      </c>
      <c r="F508" s="1" t="s">
        <v>1355</v>
      </c>
      <c r="G508" s="1" t="s">
        <v>83</v>
      </c>
      <c r="H508" s="1" t="s">
        <v>1005</v>
      </c>
      <c r="I508" s="1" t="s">
        <v>68</v>
      </c>
      <c r="J508" s="1" t="s">
        <v>1356</v>
      </c>
      <c r="K508" s="1" t="s">
        <v>223</v>
      </c>
      <c r="L508" s="1" t="s">
        <v>92</v>
      </c>
      <c r="M508" s="1" t="s">
        <v>68</v>
      </c>
      <c r="N508" s="1" t="s">
        <v>71</v>
      </c>
      <c r="O508" s="1" t="s">
        <v>68</v>
      </c>
      <c r="P508" s="1" t="s">
        <v>1357</v>
      </c>
      <c r="Q508" s="1" t="s">
        <v>68</v>
      </c>
      <c r="R508" s="1" t="s">
        <v>1360</v>
      </c>
      <c r="S508" s="1" t="s">
        <v>90</v>
      </c>
      <c r="T508" s="1" t="s">
        <v>91</v>
      </c>
      <c r="U508" s="1" t="s">
        <v>68</v>
      </c>
      <c r="V508" s="1" t="s">
        <v>68</v>
      </c>
      <c r="W508" s="1" t="s">
        <v>68</v>
      </c>
      <c r="X508" s="1" t="s">
        <v>68</v>
      </c>
      <c r="Y508" s="73"/>
      <c r="Z508" s="2" t="s">
        <v>74</v>
      </c>
      <c r="AA508" s="3">
        <v>-2</v>
      </c>
      <c r="AB508" s="4">
        <v>-339.72</v>
      </c>
      <c r="AC508" s="73">
        <v>46220</v>
      </c>
      <c r="AD508" s="73">
        <v>46220</v>
      </c>
      <c r="AE508" s="73"/>
      <c r="AF508" s="73">
        <v>46220</v>
      </c>
      <c r="AG508" s="3">
        <v>-1000</v>
      </c>
      <c r="AH508" s="353" t="str">
        <f t="shared" si="39"/>
        <v/>
      </c>
      <c r="AI508" s="3" t="str">
        <f t="shared" si="40"/>
        <v>59</v>
      </c>
      <c r="AJ508" s="64" t="str">
        <f>VLOOKUP(T508,'GL Name'!A:B,2,0)</f>
        <v>ค่าวิจัยคุณภาพสินค้า</v>
      </c>
      <c r="AL508" s="13">
        <f t="shared" si="41"/>
        <v>169.86</v>
      </c>
      <c r="AM508" s="13" t="e">
        <f>VLOOKUP(I508,'Order 301-305 (เรียง)'!A:B,2,0)</f>
        <v>#N/A</v>
      </c>
      <c r="AN508" t="e">
        <f>VLOOKUP(I508,'Order 301-305 (เรียง)'!A:C,3,0)</f>
        <v>#N/A</v>
      </c>
    </row>
    <row r="509" spans="1:40" x14ac:dyDescent="0.3">
      <c r="A509" s="1" t="s">
        <v>81</v>
      </c>
      <c r="B509" s="1" t="s">
        <v>82</v>
      </c>
      <c r="C509" s="1" t="s">
        <v>64</v>
      </c>
      <c r="D509" s="1" t="s">
        <v>87</v>
      </c>
      <c r="E509" s="1" t="s">
        <v>88</v>
      </c>
      <c r="F509" s="1" t="s">
        <v>1355</v>
      </c>
      <c r="G509" s="1" t="s">
        <v>83</v>
      </c>
      <c r="H509" s="1" t="s">
        <v>1005</v>
      </c>
      <c r="I509" s="1" t="s">
        <v>68</v>
      </c>
      <c r="J509" s="1" t="s">
        <v>1356</v>
      </c>
      <c r="K509" s="1" t="s">
        <v>223</v>
      </c>
      <c r="L509" s="1" t="s">
        <v>86</v>
      </c>
      <c r="M509" s="1" t="s">
        <v>68</v>
      </c>
      <c r="N509" s="1" t="s">
        <v>71</v>
      </c>
      <c r="O509" s="1" t="s">
        <v>68</v>
      </c>
      <c r="P509" s="1" t="s">
        <v>1357</v>
      </c>
      <c r="Q509" s="1" t="s">
        <v>68</v>
      </c>
      <c r="R509" s="1" t="s">
        <v>1361</v>
      </c>
      <c r="S509" s="1" t="s">
        <v>90</v>
      </c>
      <c r="T509" s="1" t="s">
        <v>91</v>
      </c>
      <c r="U509" s="1" t="s">
        <v>68</v>
      </c>
      <c r="V509" s="1" t="s">
        <v>68</v>
      </c>
      <c r="W509" s="1" t="s">
        <v>68</v>
      </c>
      <c r="X509" s="1" t="s">
        <v>68</v>
      </c>
      <c r="Y509" s="73"/>
      <c r="Z509" s="2" t="s">
        <v>74</v>
      </c>
      <c r="AA509" s="3">
        <v>-1</v>
      </c>
      <c r="AB509" s="4">
        <v>-169.86</v>
      </c>
      <c r="AC509" s="73">
        <v>46220</v>
      </c>
      <c r="AD509" s="73">
        <v>46220</v>
      </c>
      <c r="AE509" s="73"/>
      <c r="AF509" s="73">
        <v>46220</v>
      </c>
      <c r="AG509" s="3">
        <v>-500</v>
      </c>
      <c r="AH509" s="353" t="str">
        <f t="shared" si="39"/>
        <v/>
      </c>
      <c r="AI509" s="3" t="str">
        <f t="shared" si="40"/>
        <v>59</v>
      </c>
      <c r="AJ509" s="64" t="str">
        <f>VLOOKUP(T509,'GL Name'!A:B,2,0)</f>
        <v>ค่าวิจัยคุณภาพสินค้า</v>
      </c>
      <c r="AL509" s="13">
        <f t="shared" si="41"/>
        <v>169.86</v>
      </c>
      <c r="AM509" s="13" t="e">
        <f>VLOOKUP(I509,'Order 301-305 (เรียง)'!A:B,2,0)</f>
        <v>#N/A</v>
      </c>
      <c r="AN509" t="e">
        <f>VLOOKUP(I509,'Order 301-305 (เรียง)'!A:C,3,0)</f>
        <v>#N/A</v>
      </c>
    </row>
    <row r="510" spans="1:40" x14ac:dyDescent="0.3">
      <c r="A510" s="1" t="s">
        <v>81</v>
      </c>
      <c r="B510" s="1" t="s">
        <v>82</v>
      </c>
      <c r="C510" s="1" t="s">
        <v>64</v>
      </c>
      <c r="D510" s="1" t="s">
        <v>87</v>
      </c>
      <c r="E510" s="1" t="s">
        <v>88</v>
      </c>
      <c r="F510" s="1" t="s">
        <v>1355</v>
      </c>
      <c r="G510" s="1" t="s">
        <v>83</v>
      </c>
      <c r="H510" s="1" t="s">
        <v>994</v>
      </c>
      <c r="I510" s="1" t="s">
        <v>68</v>
      </c>
      <c r="J510" s="1" t="s">
        <v>1356</v>
      </c>
      <c r="K510" s="1" t="s">
        <v>223</v>
      </c>
      <c r="L510" s="1" t="s">
        <v>70</v>
      </c>
      <c r="M510" s="1" t="s">
        <v>68</v>
      </c>
      <c r="N510" s="1" t="s">
        <v>71</v>
      </c>
      <c r="O510" s="1" t="s">
        <v>68</v>
      </c>
      <c r="P510" s="1" t="s">
        <v>1357</v>
      </c>
      <c r="Q510" s="1" t="s">
        <v>68</v>
      </c>
      <c r="R510" s="1" t="s">
        <v>1361</v>
      </c>
      <c r="S510" s="1" t="s">
        <v>90</v>
      </c>
      <c r="T510" s="1" t="s">
        <v>91</v>
      </c>
      <c r="U510" s="1" t="s">
        <v>68</v>
      </c>
      <c r="V510" s="1" t="s">
        <v>68</v>
      </c>
      <c r="W510" s="1" t="s">
        <v>68</v>
      </c>
      <c r="X510" s="1" t="s">
        <v>68</v>
      </c>
      <c r="Y510" s="73"/>
      <c r="Z510" s="2" t="s">
        <v>74</v>
      </c>
      <c r="AA510" s="3">
        <v>-1</v>
      </c>
      <c r="AB510" s="4">
        <v>-169.86</v>
      </c>
      <c r="AC510" s="73">
        <v>46220</v>
      </c>
      <c r="AD510" s="73">
        <v>46220</v>
      </c>
      <c r="AE510" s="73"/>
      <c r="AF510" s="73">
        <v>46220</v>
      </c>
      <c r="AG510" s="3">
        <v>-500</v>
      </c>
      <c r="AH510" s="353" t="str">
        <f t="shared" si="39"/>
        <v/>
      </c>
      <c r="AI510" s="3" t="str">
        <f t="shared" si="40"/>
        <v>59</v>
      </c>
      <c r="AJ510" s="64" t="str">
        <f>VLOOKUP(T510,'GL Name'!A:B,2,0)</f>
        <v>ค่าวิจัยคุณภาพสินค้า</v>
      </c>
      <c r="AL510" s="13">
        <f t="shared" si="41"/>
        <v>169.86</v>
      </c>
      <c r="AM510" s="13" t="e">
        <f>VLOOKUP(I510,'Order 301-305 (เรียง)'!A:B,2,0)</f>
        <v>#N/A</v>
      </c>
      <c r="AN510" t="e">
        <f>VLOOKUP(I510,'Order 301-305 (เรียง)'!A:C,3,0)</f>
        <v>#N/A</v>
      </c>
    </row>
    <row r="511" spans="1:40" x14ac:dyDescent="0.3">
      <c r="A511" s="1" t="s">
        <v>126</v>
      </c>
      <c r="B511" s="1" t="s">
        <v>127</v>
      </c>
      <c r="C511" s="1" t="s">
        <v>64</v>
      </c>
      <c r="D511" s="1" t="s">
        <v>93</v>
      </c>
      <c r="E511" s="1" t="s">
        <v>94</v>
      </c>
      <c r="F511" s="1" t="s">
        <v>1362</v>
      </c>
      <c r="G511" s="1" t="s">
        <v>101</v>
      </c>
      <c r="H511" s="1" t="s">
        <v>704</v>
      </c>
      <c r="I511" s="1" t="s">
        <v>68</v>
      </c>
      <c r="J511" s="1" t="s">
        <v>1363</v>
      </c>
      <c r="K511" s="1" t="s">
        <v>223</v>
      </c>
      <c r="L511" s="1" t="s">
        <v>70</v>
      </c>
      <c r="M511" s="1" t="s">
        <v>68</v>
      </c>
      <c r="N511" s="1" t="s">
        <v>71</v>
      </c>
      <c r="O511" s="1" t="s">
        <v>68</v>
      </c>
      <c r="P511" s="1" t="s">
        <v>72</v>
      </c>
      <c r="Q511" s="1" t="s">
        <v>68</v>
      </c>
      <c r="R511" s="1" t="s">
        <v>68</v>
      </c>
      <c r="S511" s="1" t="s">
        <v>68</v>
      </c>
      <c r="T511" s="1" t="s">
        <v>68</v>
      </c>
      <c r="U511" s="1" t="s">
        <v>68</v>
      </c>
      <c r="V511" s="1" t="s">
        <v>68</v>
      </c>
      <c r="W511" s="1" t="s">
        <v>68</v>
      </c>
      <c r="X511" s="1" t="s">
        <v>68</v>
      </c>
      <c r="Y511" s="73"/>
      <c r="Z511" s="2" t="s">
        <v>102</v>
      </c>
      <c r="AA511" s="3">
        <v>-20</v>
      </c>
      <c r="AB511" s="4">
        <v>0</v>
      </c>
      <c r="AC511" s="73">
        <v>46221</v>
      </c>
      <c r="AD511" s="73">
        <v>46221</v>
      </c>
      <c r="AE511" s="73"/>
      <c r="AF511" s="73">
        <v>46221</v>
      </c>
      <c r="AG511" s="3">
        <v>-20</v>
      </c>
      <c r="AH511" s="353" t="str">
        <f t="shared" si="39"/>
        <v/>
      </c>
      <c r="AI511" s="3" t="str">
        <f t="shared" si="40"/>
        <v>58</v>
      </c>
      <c r="AJ511" s="64" t="e">
        <f>VLOOKUP(T511,'GL Name'!A:B,2,0)</f>
        <v>#N/A</v>
      </c>
      <c r="AL511" s="13">
        <f t="shared" si="41"/>
        <v>0</v>
      </c>
      <c r="AM511" s="13" t="e">
        <f>VLOOKUP(I511,'Order 301-305 (เรียง)'!A:B,2,0)</f>
        <v>#N/A</v>
      </c>
      <c r="AN511" t="e">
        <f>VLOOKUP(I511,'Order 301-305 (เรียง)'!A:C,3,0)</f>
        <v>#N/A</v>
      </c>
    </row>
    <row r="512" spans="1:40" x14ac:dyDescent="0.3">
      <c r="A512" s="1" t="s">
        <v>126</v>
      </c>
      <c r="B512" s="1" t="s">
        <v>127</v>
      </c>
      <c r="C512" s="1" t="s">
        <v>64</v>
      </c>
      <c r="D512" s="1" t="s">
        <v>93</v>
      </c>
      <c r="E512" s="1" t="s">
        <v>94</v>
      </c>
      <c r="F512" s="1" t="s">
        <v>1362</v>
      </c>
      <c r="G512" s="1" t="s">
        <v>103</v>
      </c>
      <c r="H512" s="1" t="s">
        <v>704</v>
      </c>
      <c r="I512" s="1" t="s">
        <v>68</v>
      </c>
      <c r="J512" s="1" t="s">
        <v>1363</v>
      </c>
      <c r="K512" s="1" t="s">
        <v>223</v>
      </c>
      <c r="L512" s="1" t="s">
        <v>86</v>
      </c>
      <c r="M512" s="1" t="s">
        <v>68</v>
      </c>
      <c r="N512" s="1" t="s">
        <v>71</v>
      </c>
      <c r="O512" s="1" t="s">
        <v>68</v>
      </c>
      <c r="P512" s="1" t="s">
        <v>72</v>
      </c>
      <c r="Q512" s="1" t="s">
        <v>68</v>
      </c>
      <c r="R512" s="1" t="s">
        <v>68</v>
      </c>
      <c r="S512" s="1" t="s">
        <v>68</v>
      </c>
      <c r="T512" s="1" t="s">
        <v>68</v>
      </c>
      <c r="U512" s="1" t="s">
        <v>68</v>
      </c>
      <c r="V512" s="1" t="s">
        <v>68</v>
      </c>
      <c r="W512" s="1" t="s">
        <v>68</v>
      </c>
      <c r="X512" s="1" t="s">
        <v>68</v>
      </c>
      <c r="Y512" s="73"/>
      <c r="Z512" s="2" t="s">
        <v>102</v>
      </c>
      <c r="AA512" s="3">
        <v>20</v>
      </c>
      <c r="AB512" s="4">
        <v>0</v>
      </c>
      <c r="AC512" s="73">
        <v>46221</v>
      </c>
      <c r="AD512" s="73">
        <v>46221</v>
      </c>
      <c r="AE512" s="73"/>
      <c r="AF512" s="73">
        <v>46221</v>
      </c>
      <c r="AG512" s="3">
        <v>20</v>
      </c>
      <c r="AH512" s="353" t="str">
        <f t="shared" si="39"/>
        <v/>
      </c>
      <c r="AI512" s="3" t="str">
        <f t="shared" si="40"/>
        <v>58</v>
      </c>
      <c r="AJ512" s="64" t="e">
        <f>VLOOKUP(T512,'GL Name'!A:B,2,0)</f>
        <v>#N/A</v>
      </c>
      <c r="AL512" s="13">
        <f t="shared" si="41"/>
        <v>0</v>
      </c>
      <c r="AM512" s="13" t="e">
        <f>VLOOKUP(I512,'Order 301-305 (เรียง)'!A:B,2,0)</f>
        <v>#N/A</v>
      </c>
      <c r="AN512" t="e">
        <f>VLOOKUP(I512,'Order 301-305 (เรียง)'!A:C,3,0)</f>
        <v>#N/A</v>
      </c>
    </row>
    <row r="513" spans="1:40" x14ac:dyDescent="0.3">
      <c r="A513" s="1" t="s">
        <v>81</v>
      </c>
      <c r="B513" s="1" t="s">
        <v>82</v>
      </c>
      <c r="C513" s="1" t="s">
        <v>64</v>
      </c>
      <c r="D513" s="1" t="s">
        <v>87</v>
      </c>
      <c r="E513" s="1" t="s">
        <v>88</v>
      </c>
      <c r="F513" s="1" t="s">
        <v>1364</v>
      </c>
      <c r="G513" s="1" t="s">
        <v>83</v>
      </c>
      <c r="H513" s="1" t="s">
        <v>1005</v>
      </c>
      <c r="I513" s="1" t="s">
        <v>68</v>
      </c>
      <c r="J513" s="1" t="s">
        <v>1365</v>
      </c>
      <c r="K513" s="1" t="s">
        <v>223</v>
      </c>
      <c r="L513" s="1" t="s">
        <v>70</v>
      </c>
      <c r="M513" s="1" t="s">
        <v>68</v>
      </c>
      <c r="N513" s="1" t="s">
        <v>71</v>
      </c>
      <c r="O513" s="1" t="s">
        <v>68</v>
      </c>
      <c r="P513" s="1" t="s">
        <v>1366</v>
      </c>
      <c r="Q513" s="1" t="s">
        <v>68</v>
      </c>
      <c r="R513" s="1" t="s">
        <v>1368</v>
      </c>
      <c r="S513" s="1" t="s">
        <v>90</v>
      </c>
      <c r="T513" s="1" t="s">
        <v>91</v>
      </c>
      <c r="U513" s="1" t="s">
        <v>68</v>
      </c>
      <c r="V513" s="1" t="s">
        <v>68</v>
      </c>
      <c r="W513" s="1" t="s">
        <v>68</v>
      </c>
      <c r="X513" s="1" t="s">
        <v>68</v>
      </c>
      <c r="Y513" s="73"/>
      <c r="Z513" s="2" t="s">
        <v>74</v>
      </c>
      <c r="AA513" s="3">
        <v>-5</v>
      </c>
      <c r="AB513" s="4">
        <v>-849.3</v>
      </c>
      <c r="AC513" s="73">
        <v>46221</v>
      </c>
      <c r="AD513" s="73">
        <v>46221</v>
      </c>
      <c r="AE513" s="73"/>
      <c r="AF513" s="73">
        <v>46221</v>
      </c>
      <c r="AG513" s="3">
        <v>-2500</v>
      </c>
      <c r="AH513" s="353" t="str">
        <f t="shared" si="39"/>
        <v/>
      </c>
      <c r="AI513" s="3" t="str">
        <f t="shared" si="40"/>
        <v>59</v>
      </c>
      <c r="AJ513" s="64" t="str">
        <f>VLOOKUP(T513,'GL Name'!A:B,2,0)</f>
        <v>ค่าวิจัยคุณภาพสินค้า</v>
      </c>
      <c r="AL513" s="13">
        <f t="shared" si="41"/>
        <v>169.85999999999999</v>
      </c>
      <c r="AM513" s="13" t="e">
        <f>VLOOKUP(I513,'Order 301-305 (เรียง)'!A:B,2,0)</f>
        <v>#N/A</v>
      </c>
      <c r="AN513" t="e">
        <f>VLOOKUP(I513,'Order 301-305 (เรียง)'!A:C,3,0)</f>
        <v>#N/A</v>
      </c>
    </row>
    <row r="514" spans="1:40" x14ac:dyDescent="0.3">
      <c r="A514" s="1" t="s">
        <v>81</v>
      </c>
      <c r="B514" s="1" t="s">
        <v>82</v>
      </c>
      <c r="C514" s="1" t="s">
        <v>64</v>
      </c>
      <c r="D514" s="1" t="s">
        <v>87</v>
      </c>
      <c r="E514" s="1" t="s">
        <v>88</v>
      </c>
      <c r="F514" s="1" t="s">
        <v>1364</v>
      </c>
      <c r="G514" s="1" t="s">
        <v>83</v>
      </c>
      <c r="H514" s="1" t="s">
        <v>1005</v>
      </c>
      <c r="I514" s="1" t="s">
        <v>68</v>
      </c>
      <c r="J514" s="1" t="s">
        <v>1365</v>
      </c>
      <c r="K514" s="1" t="s">
        <v>223</v>
      </c>
      <c r="L514" s="1" t="s">
        <v>86</v>
      </c>
      <c r="M514" s="1" t="s">
        <v>68</v>
      </c>
      <c r="N514" s="1" t="s">
        <v>71</v>
      </c>
      <c r="O514" s="1" t="s">
        <v>68</v>
      </c>
      <c r="P514" s="1" t="s">
        <v>1366</v>
      </c>
      <c r="Q514" s="1" t="s">
        <v>68</v>
      </c>
      <c r="R514" s="1" t="s">
        <v>1367</v>
      </c>
      <c r="S514" s="1" t="s">
        <v>90</v>
      </c>
      <c r="T514" s="1" t="s">
        <v>91</v>
      </c>
      <c r="U514" s="1" t="s">
        <v>68</v>
      </c>
      <c r="V514" s="1" t="s">
        <v>68</v>
      </c>
      <c r="W514" s="1" t="s">
        <v>68</v>
      </c>
      <c r="X514" s="1" t="s">
        <v>68</v>
      </c>
      <c r="Y514" s="73"/>
      <c r="Z514" s="2" t="s">
        <v>74</v>
      </c>
      <c r="AA514" s="3">
        <v>-5</v>
      </c>
      <c r="AB514" s="4">
        <v>-849.3</v>
      </c>
      <c r="AC514" s="73">
        <v>46221</v>
      </c>
      <c r="AD514" s="73">
        <v>46221</v>
      </c>
      <c r="AE514" s="73"/>
      <c r="AF514" s="73">
        <v>46221</v>
      </c>
      <c r="AG514" s="3">
        <v>-2500</v>
      </c>
      <c r="AH514" s="353" t="str">
        <f t="shared" si="39"/>
        <v/>
      </c>
      <c r="AI514" s="3" t="str">
        <f t="shared" si="40"/>
        <v>59</v>
      </c>
      <c r="AJ514" s="64" t="str">
        <f>VLOOKUP(T514,'GL Name'!A:B,2,0)</f>
        <v>ค่าวิจัยคุณภาพสินค้า</v>
      </c>
      <c r="AL514" s="13">
        <f t="shared" si="41"/>
        <v>169.85999999999999</v>
      </c>
      <c r="AM514" s="13" t="e">
        <f>VLOOKUP(I514,'Order 301-305 (เรียง)'!A:B,2,0)</f>
        <v>#N/A</v>
      </c>
      <c r="AN514" t="e">
        <f>VLOOKUP(I514,'Order 301-305 (เรียง)'!A:C,3,0)</f>
        <v>#N/A</v>
      </c>
    </row>
    <row r="515" spans="1:40" x14ac:dyDescent="0.3">
      <c r="A515" s="1" t="s">
        <v>62</v>
      </c>
      <c r="B515" s="1" t="s">
        <v>63</v>
      </c>
      <c r="C515" s="1" t="s">
        <v>64</v>
      </c>
      <c r="D515" s="1" t="s">
        <v>1172</v>
      </c>
      <c r="E515" s="1" t="s">
        <v>1173</v>
      </c>
      <c r="F515" s="1" t="s">
        <v>1369</v>
      </c>
      <c r="G515" s="1" t="s">
        <v>67</v>
      </c>
      <c r="H515" s="1" t="s">
        <v>287</v>
      </c>
      <c r="I515" s="1" t="s">
        <v>68</v>
      </c>
      <c r="J515" s="1" t="s">
        <v>1370</v>
      </c>
      <c r="K515" s="1" t="s">
        <v>69</v>
      </c>
      <c r="L515" s="1" t="s">
        <v>70</v>
      </c>
      <c r="M515" s="1" t="s">
        <v>68</v>
      </c>
      <c r="N515" s="1" t="s">
        <v>71</v>
      </c>
      <c r="O515" s="1" t="s">
        <v>68</v>
      </c>
      <c r="P515" s="1" t="s">
        <v>1371</v>
      </c>
      <c r="Q515" s="1" t="s">
        <v>68</v>
      </c>
      <c r="R515" s="1" t="s">
        <v>1372</v>
      </c>
      <c r="S515" s="1" t="s">
        <v>1373</v>
      </c>
      <c r="T515" s="1" t="s">
        <v>100</v>
      </c>
      <c r="U515" s="1" t="s">
        <v>68</v>
      </c>
      <c r="V515" s="1" t="s">
        <v>68</v>
      </c>
      <c r="W515" s="1" t="s">
        <v>68</v>
      </c>
      <c r="X515" s="1" t="s">
        <v>68</v>
      </c>
      <c r="Y515" s="73"/>
      <c r="Z515" s="2" t="s">
        <v>74</v>
      </c>
      <c r="AA515" s="3">
        <v>-10</v>
      </c>
      <c r="AB515" s="4">
        <v>-1698.2</v>
      </c>
      <c r="AC515" s="73">
        <v>46223</v>
      </c>
      <c r="AD515" s="73">
        <v>46223</v>
      </c>
      <c r="AE515" s="73"/>
      <c r="AF515" s="73">
        <v>46223</v>
      </c>
      <c r="AG515" s="3">
        <v>-5000</v>
      </c>
      <c r="AH515" s="353" t="str">
        <f t="shared" si="39"/>
        <v/>
      </c>
      <c r="AI515" s="3" t="str">
        <f t="shared" si="40"/>
        <v>59</v>
      </c>
      <c r="AJ515" s="64" t="str">
        <f>VLOOKUP(T515,'GL Name'!A:B,2,0)</f>
        <v>วัสดุสิ้นเปลือง</v>
      </c>
      <c r="AL515" s="13">
        <f t="shared" si="41"/>
        <v>169.82</v>
      </c>
      <c r="AM515" s="13" t="e">
        <f>VLOOKUP(I515,'Order 301-305 (เรียง)'!A:B,2,0)</f>
        <v>#N/A</v>
      </c>
      <c r="AN515" t="e">
        <f>VLOOKUP(I515,'Order 301-305 (เรียง)'!A:C,3,0)</f>
        <v>#N/A</v>
      </c>
    </row>
    <row r="516" spans="1:40" x14ac:dyDescent="0.3">
      <c r="A516" s="1" t="s">
        <v>13</v>
      </c>
      <c r="B516" s="1" t="s">
        <v>14</v>
      </c>
      <c r="C516" s="1" t="s">
        <v>64</v>
      </c>
      <c r="D516" s="1" t="s">
        <v>77</v>
      </c>
      <c r="E516" s="1" t="s">
        <v>78</v>
      </c>
      <c r="F516" s="1" t="s">
        <v>1386</v>
      </c>
      <c r="G516" s="1" t="s">
        <v>279</v>
      </c>
      <c r="H516" s="1" t="s">
        <v>327</v>
      </c>
      <c r="I516" s="1" t="s">
        <v>1387</v>
      </c>
      <c r="J516" s="1" t="s">
        <v>1388</v>
      </c>
      <c r="K516" s="1" t="s">
        <v>84</v>
      </c>
      <c r="L516" s="1" t="s">
        <v>86</v>
      </c>
      <c r="M516" s="1" t="s">
        <v>68</v>
      </c>
      <c r="N516" s="1" t="s">
        <v>71</v>
      </c>
      <c r="O516" s="1" t="s">
        <v>68</v>
      </c>
      <c r="P516" s="1" t="s">
        <v>1389</v>
      </c>
      <c r="Q516" s="1" t="s">
        <v>68</v>
      </c>
      <c r="R516" s="1" t="s">
        <v>68</v>
      </c>
      <c r="S516" s="1" t="s">
        <v>68</v>
      </c>
      <c r="T516" s="1" t="s">
        <v>123</v>
      </c>
      <c r="U516" s="1" t="s">
        <v>68</v>
      </c>
      <c r="V516" s="1" t="s">
        <v>68</v>
      </c>
      <c r="W516" s="1" t="s">
        <v>68</v>
      </c>
      <c r="X516" s="1" t="s">
        <v>68</v>
      </c>
      <c r="Y516" s="73"/>
      <c r="Z516" s="2" t="s">
        <v>80</v>
      </c>
      <c r="AA516" s="3">
        <v>-246.9</v>
      </c>
      <c r="AB516" s="4">
        <v>-66870.399999999994</v>
      </c>
      <c r="AC516" s="73">
        <v>46223</v>
      </c>
      <c r="AD516" s="73">
        <v>46216</v>
      </c>
      <c r="AE516" s="73"/>
      <c r="AF516" s="73">
        <v>46223</v>
      </c>
      <c r="AG516" s="3">
        <v>-246900</v>
      </c>
      <c r="AH516" s="353" t="str">
        <f t="shared" si="39"/>
        <v>302</v>
      </c>
      <c r="AI516" s="3" t="str">
        <f t="shared" si="40"/>
        <v>57</v>
      </c>
      <c r="AJ516" s="64" t="str">
        <f>VLOOKUP(T516,'GL Name'!A:B,2,0)</f>
        <v>ต้นทุนผลิตกึ่งสำเร็จ</v>
      </c>
      <c r="AL516" s="13">
        <f t="shared" si="41"/>
        <v>270.840016200891</v>
      </c>
      <c r="AM516" s="13" t="str">
        <f>VLOOKUP(I516,'Order 301-305 (เรียง)'!A:B,2,0)</f>
        <v>59000002</v>
      </c>
      <c r="AN516" t="str">
        <f>VLOOKUP(I516,'Order 301-305 (เรียง)'!A:C,3,0)</f>
        <v>GOLD BLEND ALL CAFE'  ขนาด 500 G.</v>
      </c>
    </row>
    <row r="517" spans="1:40" x14ac:dyDescent="0.3">
      <c r="A517" s="1" t="s">
        <v>13</v>
      </c>
      <c r="B517" s="1" t="s">
        <v>14</v>
      </c>
      <c r="C517" s="1" t="s">
        <v>64</v>
      </c>
      <c r="D517" s="1" t="s">
        <v>77</v>
      </c>
      <c r="E517" s="1" t="s">
        <v>78</v>
      </c>
      <c r="F517" s="1" t="s">
        <v>1386</v>
      </c>
      <c r="G517" s="1" t="s">
        <v>279</v>
      </c>
      <c r="H517" s="1" t="s">
        <v>944</v>
      </c>
      <c r="I517" s="1" t="s">
        <v>1387</v>
      </c>
      <c r="J517" s="1" t="s">
        <v>1388</v>
      </c>
      <c r="K517" s="1" t="s">
        <v>84</v>
      </c>
      <c r="L517" s="1" t="s">
        <v>95</v>
      </c>
      <c r="M517" s="1" t="s">
        <v>68</v>
      </c>
      <c r="N517" s="1" t="s">
        <v>71</v>
      </c>
      <c r="O517" s="1" t="s">
        <v>68</v>
      </c>
      <c r="P517" s="1" t="s">
        <v>72</v>
      </c>
      <c r="Q517" s="1" t="s">
        <v>68</v>
      </c>
      <c r="R517" s="1" t="s">
        <v>14</v>
      </c>
      <c r="S517" s="1" t="s">
        <v>68</v>
      </c>
      <c r="T517" s="1" t="s">
        <v>123</v>
      </c>
      <c r="U517" s="1" t="s">
        <v>68</v>
      </c>
      <c r="V517" s="1" t="s">
        <v>68</v>
      </c>
      <c r="W517" s="1" t="s">
        <v>68</v>
      </c>
      <c r="X517" s="1" t="s">
        <v>68</v>
      </c>
      <c r="Y517" s="73"/>
      <c r="Z517" s="2" t="s">
        <v>80</v>
      </c>
      <c r="AA517" s="3">
        <v>-8008.6</v>
      </c>
      <c r="AB517" s="4">
        <v>-2169049.2200000002</v>
      </c>
      <c r="AC517" s="73">
        <v>46223</v>
      </c>
      <c r="AD517" s="73">
        <v>46216</v>
      </c>
      <c r="AE517" s="73"/>
      <c r="AF517" s="73">
        <v>46223</v>
      </c>
      <c r="AG517" s="3">
        <v>-8008600</v>
      </c>
      <c r="AH517" s="353" t="str">
        <f t="shared" si="39"/>
        <v>302</v>
      </c>
      <c r="AI517" s="3" t="str">
        <f t="shared" si="40"/>
        <v>57</v>
      </c>
      <c r="AJ517" s="64" t="str">
        <f>VLOOKUP(T517,'GL Name'!A:B,2,0)</f>
        <v>ต้นทุนผลิตกึ่งสำเร็จ</v>
      </c>
      <c r="AL517" s="13">
        <f t="shared" si="41"/>
        <v>270.83999950053692</v>
      </c>
      <c r="AM517" s="13" t="str">
        <f>VLOOKUP(I517,'Order 301-305 (เรียง)'!A:B,2,0)</f>
        <v>59000002</v>
      </c>
      <c r="AN517" t="str">
        <f>VLOOKUP(I517,'Order 301-305 (เรียง)'!A:C,3,0)</f>
        <v>GOLD BLEND ALL CAFE'  ขนาด 500 G.</v>
      </c>
    </row>
    <row r="518" spans="1:40" x14ac:dyDescent="0.3">
      <c r="A518" s="1" t="s">
        <v>15</v>
      </c>
      <c r="B518" s="1" t="s">
        <v>233</v>
      </c>
      <c r="C518" s="1" t="s">
        <v>64</v>
      </c>
      <c r="D518" s="1" t="s">
        <v>77</v>
      </c>
      <c r="E518" s="1" t="s">
        <v>78</v>
      </c>
      <c r="F518" s="1" t="s">
        <v>1386</v>
      </c>
      <c r="G518" s="1" t="s">
        <v>279</v>
      </c>
      <c r="H518" s="1" t="s">
        <v>1390</v>
      </c>
      <c r="I518" s="1" t="s">
        <v>1387</v>
      </c>
      <c r="J518" s="1" t="s">
        <v>1388</v>
      </c>
      <c r="K518" s="1" t="s">
        <v>84</v>
      </c>
      <c r="L518" s="1" t="s">
        <v>92</v>
      </c>
      <c r="M518" s="1" t="s">
        <v>68</v>
      </c>
      <c r="N518" s="1" t="s">
        <v>71</v>
      </c>
      <c r="O518" s="1" t="s">
        <v>68</v>
      </c>
      <c r="P518" s="1" t="s">
        <v>1389</v>
      </c>
      <c r="Q518" s="1" t="s">
        <v>68</v>
      </c>
      <c r="R518" s="1" t="s">
        <v>68</v>
      </c>
      <c r="S518" s="1" t="s">
        <v>68</v>
      </c>
      <c r="T518" s="1" t="s">
        <v>123</v>
      </c>
      <c r="U518" s="1" t="s">
        <v>68</v>
      </c>
      <c r="V518" s="1" t="s">
        <v>68</v>
      </c>
      <c r="W518" s="1" t="s">
        <v>68</v>
      </c>
      <c r="X518" s="1" t="s">
        <v>68</v>
      </c>
      <c r="Y518" s="73"/>
      <c r="Z518" s="2" t="s">
        <v>80</v>
      </c>
      <c r="AA518" s="3">
        <v>-962.08</v>
      </c>
      <c r="AB518" s="4">
        <v>-260560.13</v>
      </c>
      <c r="AC518" s="73">
        <v>46223</v>
      </c>
      <c r="AD518" s="73">
        <v>46216</v>
      </c>
      <c r="AE518" s="73"/>
      <c r="AF518" s="73">
        <v>46223</v>
      </c>
      <c r="AG518" s="3">
        <v>-962080</v>
      </c>
      <c r="AH518" s="353" t="str">
        <f t="shared" si="39"/>
        <v>302</v>
      </c>
      <c r="AI518" s="3" t="str">
        <f t="shared" si="40"/>
        <v>57</v>
      </c>
      <c r="AJ518" s="64" t="str">
        <f>VLOOKUP(T518,'GL Name'!A:B,2,0)</f>
        <v>ต้นทุนผลิตกึ่งสำเร็จ</v>
      </c>
      <c r="AL518" s="13">
        <f t="shared" si="41"/>
        <v>270.83000374189254</v>
      </c>
      <c r="AM518" s="13" t="str">
        <f>VLOOKUP(I518,'Order 301-305 (เรียง)'!A:B,2,0)</f>
        <v>59000002</v>
      </c>
      <c r="AN518" t="str">
        <f>VLOOKUP(I518,'Order 301-305 (เรียง)'!A:C,3,0)</f>
        <v>GOLD BLEND ALL CAFE'  ขนาด 500 G.</v>
      </c>
    </row>
    <row r="519" spans="1:40" x14ac:dyDescent="0.3">
      <c r="A519" s="1" t="s">
        <v>19</v>
      </c>
      <c r="B519" s="1" t="s">
        <v>20</v>
      </c>
      <c r="C519" s="1" t="s">
        <v>64</v>
      </c>
      <c r="D519" s="1" t="s">
        <v>77</v>
      </c>
      <c r="E519" s="1" t="s">
        <v>78</v>
      </c>
      <c r="F519" s="1" t="s">
        <v>1386</v>
      </c>
      <c r="G519" s="1" t="s">
        <v>279</v>
      </c>
      <c r="H519" s="1" t="s">
        <v>304</v>
      </c>
      <c r="I519" s="1" t="s">
        <v>1387</v>
      </c>
      <c r="J519" s="1" t="s">
        <v>1388</v>
      </c>
      <c r="K519" s="1" t="s">
        <v>84</v>
      </c>
      <c r="L519" s="1" t="s">
        <v>89</v>
      </c>
      <c r="M519" s="1" t="s">
        <v>68</v>
      </c>
      <c r="N519" s="1" t="s">
        <v>71</v>
      </c>
      <c r="O519" s="1" t="s">
        <v>68</v>
      </c>
      <c r="P519" s="1" t="s">
        <v>1389</v>
      </c>
      <c r="Q519" s="1" t="s">
        <v>68</v>
      </c>
      <c r="R519" s="1" t="s">
        <v>68</v>
      </c>
      <c r="S519" s="1" t="s">
        <v>68</v>
      </c>
      <c r="T519" s="1" t="s">
        <v>123</v>
      </c>
      <c r="U519" s="1" t="s">
        <v>68</v>
      </c>
      <c r="V519" s="1" t="s">
        <v>68</v>
      </c>
      <c r="W519" s="1" t="s">
        <v>68</v>
      </c>
      <c r="X519" s="1" t="s">
        <v>68</v>
      </c>
      <c r="Y519" s="73"/>
      <c r="Z519" s="2" t="s">
        <v>80</v>
      </c>
      <c r="AA519" s="3">
        <v>-2316.8200000000002</v>
      </c>
      <c r="AB519" s="4">
        <v>-370529.02</v>
      </c>
      <c r="AC519" s="73">
        <v>46223</v>
      </c>
      <c r="AD519" s="73">
        <v>46216</v>
      </c>
      <c r="AE519" s="73"/>
      <c r="AF519" s="73">
        <v>46223</v>
      </c>
      <c r="AG519" s="3">
        <v>-2316820</v>
      </c>
      <c r="AH519" s="353" t="str">
        <f t="shared" si="39"/>
        <v>302</v>
      </c>
      <c r="AI519" s="3" t="str">
        <f t="shared" si="40"/>
        <v>57</v>
      </c>
      <c r="AJ519" s="64" t="str">
        <f>VLOOKUP(T519,'GL Name'!A:B,2,0)</f>
        <v>ต้นทุนผลิตกึ่งสำเร็จ</v>
      </c>
      <c r="AL519" s="13">
        <f t="shared" si="41"/>
        <v>159.92999887777211</v>
      </c>
      <c r="AM519" s="13" t="str">
        <f>VLOOKUP(I519,'Order 301-305 (เรียง)'!A:B,2,0)</f>
        <v>59000002</v>
      </c>
      <c r="AN519" t="str">
        <f>VLOOKUP(I519,'Order 301-305 (เรียง)'!A:C,3,0)</f>
        <v>GOLD BLEND ALL CAFE'  ขนาด 500 G.</v>
      </c>
    </row>
    <row r="520" spans="1:40" x14ac:dyDescent="0.3">
      <c r="A520" s="1" t="s">
        <v>23</v>
      </c>
      <c r="B520" s="1" t="s">
        <v>24</v>
      </c>
      <c r="C520" s="1" t="s">
        <v>64</v>
      </c>
      <c r="D520" s="1" t="s">
        <v>115</v>
      </c>
      <c r="E520" s="1" t="s">
        <v>116</v>
      </c>
      <c r="F520" s="1" t="s">
        <v>1386</v>
      </c>
      <c r="G520" s="1" t="s">
        <v>103</v>
      </c>
      <c r="H520" s="1" t="s">
        <v>1391</v>
      </c>
      <c r="I520" s="1" t="s">
        <v>1387</v>
      </c>
      <c r="J520" s="1" t="s">
        <v>1388</v>
      </c>
      <c r="K520" s="1" t="s">
        <v>84</v>
      </c>
      <c r="L520" s="1" t="s">
        <v>70</v>
      </c>
      <c r="M520" s="1" t="s">
        <v>68</v>
      </c>
      <c r="N520" s="1" t="s">
        <v>71</v>
      </c>
      <c r="O520" s="1" t="s">
        <v>68</v>
      </c>
      <c r="P520" s="1" t="s">
        <v>72</v>
      </c>
      <c r="Q520" s="1" t="s">
        <v>68</v>
      </c>
      <c r="R520" s="1" t="s">
        <v>68</v>
      </c>
      <c r="S520" s="1" t="s">
        <v>68</v>
      </c>
      <c r="T520" s="1" t="s">
        <v>124</v>
      </c>
      <c r="U520" s="1" t="s">
        <v>68</v>
      </c>
      <c r="V520" s="1" t="s">
        <v>68</v>
      </c>
      <c r="W520" s="1" t="s">
        <v>68</v>
      </c>
      <c r="X520" s="1" t="s">
        <v>68</v>
      </c>
      <c r="Y520" s="73"/>
      <c r="Z520" s="2" t="s">
        <v>80</v>
      </c>
      <c r="AA520" s="3">
        <v>9310.76</v>
      </c>
      <c r="AB520" s="4">
        <v>3027300.51</v>
      </c>
      <c r="AC520" s="73">
        <v>46223</v>
      </c>
      <c r="AD520" s="73">
        <v>46216</v>
      </c>
      <c r="AE520" s="73"/>
      <c r="AF520" s="73">
        <v>46223</v>
      </c>
      <c r="AG520" s="3">
        <v>9310760</v>
      </c>
      <c r="AH520" s="353" t="str">
        <f t="shared" si="39"/>
        <v>302</v>
      </c>
      <c r="AI520" s="3" t="str">
        <f t="shared" si="40"/>
        <v>57</v>
      </c>
      <c r="AJ520" s="64" t="str">
        <f>VLOOKUP(T520,'GL Name'!A:B,2,0)</f>
        <v>ต้นทุนผลิตโอน Semi</v>
      </c>
      <c r="AL520" s="13">
        <f t="shared" si="41"/>
        <v>325.14000038664938</v>
      </c>
      <c r="AM520" s="13" t="str">
        <f>VLOOKUP(I520,'Order 301-305 (เรียง)'!A:B,2,0)</f>
        <v>59000002</v>
      </c>
      <c r="AN520" t="str">
        <f>VLOOKUP(I520,'Order 301-305 (เรียง)'!A:C,3,0)</f>
        <v>GOLD BLEND ALL CAFE'  ขนาด 500 G.</v>
      </c>
    </row>
    <row r="521" spans="1:40" x14ac:dyDescent="0.3">
      <c r="A521" s="1" t="s">
        <v>23</v>
      </c>
      <c r="B521" s="1" t="s">
        <v>24</v>
      </c>
      <c r="C521" s="1" t="s">
        <v>64</v>
      </c>
      <c r="D521" s="1" t="s">
        <v>77</v>
      </c>
      <c r="E521" s="1" t="s">
        <v>78</v>
      </c>
      <c r="F521" s="1" t="s">
        <v>1392</v>
      </c>
      <c r="G521" s="1" t="s">
        <v>103</v>
      </c>
      <c r="H521" s="1" t="s">
        <v>1391</v>
      </c>
      <c r="I521" s="1" t="s">
        <v>1393</v>
      </c>
      <c r="J521" s="1" t="s">
        <v>1394</v>
      </c>
      <c r="K521" s="1" t="s">
        <v>84</v>
      </c>
      <c r="L521" s="1" t="s">
        <v>86</v>
      </c>
      <c r="M521" s="1" t="s">
        <v>68</v>
      </c>
      <c r="N521" s="1" t="s">
        <v>71</v>
      </c>
      <c r="O521" s="1" t="s">
        <v>68</v>
      </c>
      <c r="P521" s="1" t="s">
        <v>1395</v>
      </c>
      <c r="Q521" s="1" t="s">
        <v>68</v>
      </c>
      <c r="R521" s="1" t="s">
        <v>68</v>
      </c>
      <c r="S521" s="1" t="s">
        <v>68</v>
      </c>
      <c r="T521" s="1" t="s">
        <v>123</v>
      </c>
      <c r="U521" s="1" t="s">
        <v>68</v>
      </c>
      <c r="V521" s="1" t="s">
        <v>68</v>
      </c>
      <c r="W521" s="1" t="s">
        <v>68</v>
      </c>
      <c r="X521" s="1" t="s">
        <v>68</v>
      </c>
      <c r="Y521" s="73"/>
      <c r="Z521" s="2" t="s">
        <v>80</v>
      </c>
      <c r="AA521" s="3">
        <v>-9310.76</v>
      </c>
      <c r="AB521" s="4">
        <v>-3027300.51</v>
      </c>
      <c r="AC521" s="73">
        <v>46223</v>
      </c>
      <c r="AD521" s="73">
        <v>46216</v>
      </c>
      <c r="AE521" s="73"/>
      <c r="AF521" s="73">
        <v>46223</v>
      </c>
      <c r="AG521" s="3">
        <v>-9310760</v>
      </c>
      <c r="AH521" s="353" t="str">
        <f t="shared" si="39"/>
        <v>303</v>
      </c>
      <c r="AI521" s="3" t="str">
        <f t="shared" si="40"/>
        <v>57</v>
      </c>
      <c r="AJ521" s="64" t="str">
        <f>VLOOKUP(T521,'GL Name'!A:B,2,0)</f>
        <v>ต้นทุนผลิตกึ่งสำเร็จ</v>
      </c>
      <c r="AL521" s="13">
        <f t="shared" si="41"/>
        <v>325.14000038664938</v>
      </c>
      <c r="AM521" s="13" t="str">
        <f>VLOOKUP(I521,'Order 301-305 (เรียง)'!A:B,2,0)</f>
        <v>59000002</v>
      </c>
      <c r="AN521" t="str">
        <f>VLOOKUP(I521,'Order 301-305 (เรียง)'!A:C,3,0)</f>
        <v>GOLD BLEND ALL CAFE'  ขนาด 500 G.</v>
      </c>
    </row>
    <row r="522" spans="1:40" x14ac:dyDescent="0.3">
      <c r="A522" s="1" t="s">
        <v>106</v>
      </c>
      <c r="B522" s="1" t="s">
        <v>107</v>
      </c>
      <c r="C522" s="1" t="s">
        <v>64</v>
      </c>
      <c r="D522" s="1" t="s">
        <v>77</v>
      </c>
      <c r="E522" s="1" t="s">
        <v>78</v>
      </c>
      <c r="F522" s="1" t="s">
        <v>1392</v>
      </c>
      <c r="G522" s="1" t="s">
        <v>103</v>
      </c>
      <c r="H522" s="1" t="s">
        <v>286</v>
      </c>
      <c r="I522" s="1" t="s">
        <v>1393</v>
      </c>
      <c r="J522" s="1" t="s">
        <v>1394</v>
      </c>
      <c r="K522" s="1" t="s">
        <v>84</v>
      </c>
      <c r="L522" s="1" t="s">
        <v>92</v>
      </c>
      <c r="M522" s="1" t="s">
        <v>68</v>
      </c>
      <c r="N522" s="1" t="s">
        <v>71</v>
      </c>
      <c r="O522" s="1" t="s">
        <v>68</v>
      </c>
      <c r="P522" s="1" t="s">
        <v>1395</v>
      </c>
      <c r="Q522" s="1" t="s">
        <v>68</v>
      </c>
      <c r="R522" s="1" t="s">
        <v>68</v>
      </c>
      <c r="S522" s="1" t="s">
        <v>68</v>
      </c>
      <c r="T522" s="1" t="s">
        <v>108</v>
      </c>
      <c r="U522" s="1" t="s">
        <v>68</v>
      </c>
      <c r="V522" s="1" t="s">
        <v>68</v>
      </c>
      <c r="W522" s="1" t="s">
        <v>68</v>
      </c>
      <c r="X522" s="1" t="s">
        <v>68</v>
      </c>
      <c r="Y522" s="73"/>
      <c r="Z522" s="2" t="s">
        <v>102</v>
      </c>
      <c r="AA522" s="3">
        <v>-18767</v>
      </c>
      <c r="AB522" s="4">
        <v>-15872.52</v>
      </c>
      <c r="AC522" s="73">
        <v>46223</v>
      </c>
      <c r="AD522" s="73">
        <v>46216</v>
      </c>
      <c r="AE522" s="73"/>
      <c r="AF522" s="73">
        <v>46223</v>
      </c>
      <c r="AG522" s="3">
        <v>-18767</v>
      </c>
      <c r="AH522" s="353" t="str">
        <f t="shared" si="39"/>
        <v>303</v>
      </c>
      <c r="AI522" s="3" t="str">
        <f t="shared" si="40"/>
        <v>58</v>
      </c>
      <c r="AJ522" s="64" t="str">
        <f>VLOOKUP(T522,'GL Name'!A:B,2,0)</f>
        <v>ต้นทุนผลิตหีบห่อ</v>
      </c>
      <c r="AL522" s="13">
        <f t="shared" si="41"/>
        <v>0.84576757073586617</v>
      </c>
      <c r="AM522" s="13" t="str">
        <f>VLOOKUP(I522,'Order 301-305 (เรียง)'!A:B,2,0)</f>
        <v>59000002</v>
      </c>
      <c r="AN522" t="str">
        <f>VLOOKUP(I522,'Order 301-305 (เรียง)'!A:C,3,0)</f>
        <v>GOLD BLEND ALL CAFE'  ขนาด 500 G.</v>
      </c>
    </row>
    <row r="523" spans="1:40" x14ac:dyDescent="0.3">
      <c r="A523" s="1" t="s">
        <v>119</v>
      </c>
      <c r="B523" s="1" t="s">
        <v>120</v>
      </c>
      <c r="C523" s="1" t="s">
        <v>64</v>
      </c>
      <c r="D523" s="1" t="s">
        <v>77</v>
      </c>
      <c r="E523" s="1" t="s">
        <v>78</v>
      </c>
      <c r="F523" s="1" t="s">
        <v>1392</v>
      </c>
      <c r="G523" s="1" t="s">
        <v>103</v>
      </c>
      <c r="H523" s="1" t="s">
        <v>307</v>
      </c>
      <c r="I523" s="1" t="s">
        <v>1393</v>
      </c>
      <c r="J523" s="1" t="s">
        <v>1394</v>
      </c>
      <c r="K523" s="1" t="s">
        <v>84</v>
      </c>
      <c r="L523" s="1" t="s">
        <v>89</v>
      </c>
      <c r="M523" s="1" t="s">
        <v>68</v>
      </c>
      <c r="N523" s="1" t="s">
        <v>71</v>
      </c>
      <c r="O523" s="1" t="s">
        <v>68</v>
      </c>
      <c r="P523" s="1" t="s">
        <v>1395</v>
      </c>
      <c r="Q523" s="1" t="s">
        <v>68</v>
      </c>
      <c r="R523" s="1" t="s">
        <v>68</v>
      </c>
      <c r="S523" s="1" t="s">
        <v>68</v>
      </c>
      <c r="T523" s="1" t="s">
        <v>108</v>
      </c>
      <c r="U523" s="1" t="s">
        <v>68</v>
      </c>
      <c r="V523" s="1" t="s">
        <v>68</v>
      </c>
      <c r="W523" s="1" t="s">
        <v>68</v>
      </c>
      <c r="X523" s="1" t="s">
        <v>68</v>
      </c>
      <c r="Y523" s="73"/>
      <c r="Z523" s="2" t="s">
        <v>102</v>
      </c>
      <c r="AA523" s="3">
        <v>-18767</v>
      </c>
      <c r="AB523" s="4">
        <v>-39100.800000000003</v>
      </c>
      <c r="AC523" s="73">
        <v>46223</v>
      </c>
      <c r="AD523" s="73">
        <v>46216</v>
      </c>
      <c r="AE523" s="73"/>
      <c r="AF523" s="73">
        <v>46223</v>
      </c>
      <c r="AG523" s="3">
        <v>-18767</v>
      </c>
      <c r="AH523" s="353" t="str">
        <f t="shared" si="39"/>
        <v>303</v>
      </c>
      <c r="AI523" s="3" t="str">
        <f t="shared" si="40"/>
        <v>58</v>
      </c>
      <c r="AJ523" s="64" t="str">
        <f>VLOOKUP(T523,'GL Name'!A:B,2,0)</f>
        <v>ต้นทุนผลิตหีบห่อ</v>
      </c>
      <c r="AL523" s="13">
        <f t="shared" si="41"/>
        <v>2.0834869718122238</v>
      </c>
      <c r="AM523" s="13" t="str">
        <f>VLOOKUP(I523,'Order 301-305 (เรียง)'!A:B,2,0)</f>
        <v>59000002</v>
      </c>
      <c r="AN523" t="str">
        <f>VLOOKUP(I523,'Order 301-305 (เรียง)'!A:C,3,0)</f>
        <v>GOLD BLEND ALL CAFE'  ขนาด 500 G.</v>
      </c>
    </row>
    <row r="524" spans="1:40" x14ac:dyDescent="0.3">
      <c r="A524" s="1" t="s">
        <v>121</v>
      </c>
      <c r="B524" s="1" t="s">
        <v>122</v>
      </c>
      <c r="C524" s="1" t="s">
        <v>64</v>
      </c>
      <c r="D524" s="1" t="s">
        <v>77</v>
      </c>
      <c r="E524" s="1" t="s">
        <v>78</v>
      </c>
      <c r="F524" s="1" t="s">
        <v>1392</v>
      </c>
      <c r="G524" s="1" t="s">
        <v>103</v>
      </c>
      <c r="H524" s="1" t="s">
        <v>772</v>
      </c>
      <c r="I524" s="1" t="s">
        <v>1393</v>
      </c>
      <c r="J524" s="1" t="s">
        <v>1394</v>
      </c>
      <c r="K524" s="1" t="s">
        <v>84</v>
      </c>
      <c r="L524" s="1" t="s">
        <v>95</v>
      </c>
      <c r="M524" s="1" t="s">
        <v>68</v>
      </c>
      <c r="N524" s="1" t="s">
        <v>71</v>
      </c>
      <c r="O524" s="1" t="s">
        <v>68</v>
      </c>
      <c r="P524" s="1" t="s">
        <v>1395</v>
      </c>
      <c r="Q524" s="1" t="s">
        <v>68</v>
      </c>
      <c r="R524" s="1" t="s">
        <v>68</v>
      </c>
      <c r="S524" s="1" t="s">
        <v>68</v>
      </c>
      <c r="T524" s="1" t="s">
        <v>108</v>
      </c>
      <c r="U524" s="1" t="s">
        <v>68</v>
      </c>
      <c r="V524" s="1" t="s">
        <v>68</v>
      </c>
      <c r="W524" s="1" t="s">
        <v>68</v>
      </c>
      <c r="X524" s="1" t="s">
        <v>68</v>
      </c>
      <c r="Y524" s="73"/>
      <c r="Z524" s="2" t="s">
        <v>102</v>
      </c>
      <c r="AA524" s="3">
        <v>-3112</v>
      </c>
      <c r="AB524" s="4">
        <v>-15560</v>
      </c>
      <c r="AC524" s="73">
        <v>46223</v>
      </c>
      <c r="AD524" s="73">
        <v>46216</v>
      </c>
      <c r="AE524" s="73"/>
      <c r="AF524" s="73">
        <v>46223</v>
      </c>
      <c r="AG524" s="3">
        <v>-3112</v>
      </c>
      <c r="AH524" s="353" t="str">
        <f t="shared" si="39"/>
        <v>303</v>
      </c>
      <c r="AI524" s="3" t="str">
        <f t="shared" si="40"/>
        <v>58</v>
      </c>
      <c r="AJ524" s="64" t="str">
        <f>VLOOKUP(T524,'GL Name'!A:B,2,0)</f>
        <v>ต้นทุนผลิตหีบห่อ</v>
      </c>
      <c r="AL524" s="13">
        <f t="shared" si="41"/>
        <v>5</v>
      </c>
      <c r="AM524" s="13" t="str">
        <f>VLOOKUP(I524,'Order 301-305 (เรียง)'!A:B,2,0)</f>
        <v>59000002</v>
      </c>
      <c r="AN524" t="str">
        <f>VLOOKUP(I524,'Order 301-305 (เรียง)'!A:C,3,0)</f>
        <v>GOLD BLEND ALL CAFE'  ขนาด 500 G.</v>
      </c>
    </row>
    <row r="525" spans="1:40" x14ac:dyDescent="0.3">
      <c r="A525" s="1" t="s">
        <v>81</v>
      </c>
      <c r="B525" s="1" t="s">
        <v>82</v>
      </c>
      <c r="C525" s="1" t="s">
        <v>64</v>
      </c>
      <c r="D525" s="1" t="s">
        <v>115</v>
      </c>
      <c r="E525" s="1" t="s">
        <v>116</v>
      </c>
      <c r="F525" s="1" t="s">
        <v>1392</v>
      </c>
      <c r="G525" s="1" t="s">
        <v>83</v>
      </c>
      <c r="H525" s="1" t="s">
        <v>1396</v>
      </c>
      <c r="I525" s="1" t="s">
        <v>1393</v>
      </c>
      <c r="J525" s="1" t="s">
        <v>1394</v>
      </c>
      <c r="K525" s="1" t="s">
        <v>84</v>
      </c>
      <c r="L525" s="1" t="s">
        <v>70</v>
      </c>
      <c r="M525" s="1" t="s">
        <v>68</v>
      </c>
      <c r="N525" s="1" t="s">
        <v>71</v>
      </c>
      <c r="O525" s="1" t="s">
        <v>68</v>
      </c>
      <c r="P525" s="1" t="s">
        <v>72</v>
      </c>
      <c r="Q525" s="1" t="s">
        <v>68</v>
      </c>
      <c r="R525" s="1" t="s">
        <v>68</v>
      </c>
      <c r="S525" s="1" t="s">
        <v>68</v>
      </c>
      <c r="T525" s="1" t="s">
        <v>117</v>
      </c>
      <c r="U525" s="1" t="s">
        <v>68</v>
      </c>
      <c r="V525" s="1" t="s">
        <v>68</v>
      </c>
      <c r="W525" s="1" t="s">
        <v>68</v>
      </c>
      <c r="X525" s="1" t="s">
        <v>68</v>
      </c>
      <c r="Y525" s="73"/>
      <c r="Z525" s="2" t="s">
        <v>74</v>
      </c>
      <c r="AA525" s="3">
        <v>18615</v>
      </c>
      <c r="AB525" s="4">
        <v>3161943.9</v>
      </c>
      <c r="AC525" s="73">
        <v>46223</v>
      </c>
      <c r="AD525" s="73">
        <v>46216</v>
      </c>
      <c r="AE525" s="73"/>
      <c r="AF525" s="73">
        <v>46223</v>
      </c>
      <c r="AG525" s="3">
        <v>9307500</v>
      </c>
      <c r="AH525" s="353" t="str">
        <f t="shared" si="39"/>
        <v>303</v>
      </c>
      <c r="AI525" s="3" t="str">
        <f t="shared" si="40"/>
        <v>59</v>
      </c>
      <c r="AJ525" s="64" t="str">
        <f>VLOOKUP(T525,'GL Name'!A:B,2,0)</f>
        <v>ต้นทุนผลิตโอน F/G</v>
      </c>
      <c r="AL525" s="13">
        <f t="shared" si="41"/>
        <v>169.85999999999999</v>
      </c>
      <c r="AM525" s="13" t="str">
        <f>VLOOKUP(I525,'Order 301-305 (เรียง)'!A:B,2,0)</f>
        <v>59000002</v>
      </c>
      <c r="AN525" t="str">
        <f>VLOOKUP(I525,'Order 301-305 (เรียง)'!A:C,3,0)</f>
        <v>GOLD BLEND ALL CAFE'  ขนาด 500 G.</v>
      </c>
    </row>
    <row r="526" spans="1:40" x14ac:dyDescent="0.3">
      <c r="A526" s="1" t="s">
        <v>13</v>
      </c>
      <c r="B526" s="1" t="s">
        <v>14</v>
      </c>
      <c r="C526" s="1" t="s">
        <v>64</v>
      </c>
      <c r="D526" s="1" t="s">
        <v>77</v>
      </c>
      <c r="E526" s="1" t="s">
        <v>78</v>
      </c>
      <c r="F526" s="1" t="s">
        <v>1397</v>
      </c>
      <c r="G526" s="1" t="s">
        <v>279</v>
      </c>
      <c r="H526" s="1" t="s">
        <v>561</v>
      </c>
      <c r="I526" s="1" t="s">
        <v>1398</v>
      </c>
      <c r="J526" s="1" t="s">
        <v>1399</v>
      </c>
      <c r="K526" s="1" t="s">
        <v>84</v>
      </c>
      <c r="L526" s="1" t="s">
        <v>86</v>
      </c>
      <c r="M526" s="1" t="s">
        <v>68</v>
      </c>
      <c r="N526" s="1" t="s">
        <v>71</v>
      </c>
      <c r="O526" s="1" t="s">
        <v>68</v>
      </c>
      <c r="P526" s="1" t="s">
        <v>1400</v>
      </c>
      <c r="Q526" s="1" t="s">
        <v>68</v>
      </c>
      <c r="R526" s="1" t="s">
        <v>68</v>
      </c>
      <c r="S526" s="1" t="s">
        <v>68</v>
      </c>
      <c r="T526" s="1" t="s">
        <v>123</v>
      </c>
      <c r="U526" s="1" t="s">
        <v>68</v>
      </c>
      <c r="V526" s="1" t="s">
        <v>68</v>
      </c>
      <c r="W526" s="1" t="s">
        <v>68</v>
      </c>
      <c r="X526" s="1" t="s">
        <v>68</v>
      </c>
      <c r="Y526" s="73"/>
      <c r="Z526" s="2" t="s">
        <v>80</v>
      </c>
      <c r="AA526" s="3">
        <v>-8256.4</v>
      </c>
      <c r="AB526" s="4">
        <v>-2236163.38</v>
      </c>
      <c r="AC526" s="73">
        <v>46223</v>
      </c>
      <c r="AD526" s="73">
        <v>46217</v>
      </c>
      <c r="AE526" s="73"/>
      <c r="AF526" s="73">
        <v>46223</v>
      </c>
      <c r="AG526" s="3">
        <v>-8256400</v>
      </c>
      <c r="AH526" s="353" t="str">
        <f t="shared" si="39"/>
        <v>302</v>
      </c>
      <c r="AI526" s="3" t="str">
        <f t="shared" si="40"/>
        <v>57</v>
      </c>
      <c r="AJ526" s="64" t="str">
        <f>VLOOKUP(T526,'GL Name'!A:B,2,0)</f>
        <v>ต้นทุนผลิตกึ่งสำเร็จ</v>
      </c>
      <c r="AL526" s="13">
        <f t="shared" si="41"/>
        <v>270.84000048447263</v>
      </c>
      <c r="AM526" s="13" t="str">
        <f>VLOOKUP(I526,'Order 301-305 (เรียง)'!A:B,2,0)</f>
        <v>59000002</v>
      </c>
      <c r="AN526" t="str">
        <f>VLOOKUP(I526,'Order 301-305 (เรียง)'!A:C,3,0)</f>
        <v>GOLD BLEND ALL CAFE'  ขนาด 500 G.</v>
      </c>
    </row>
    <row r="527" spans="1:40" x14ac:dyDescent="0.3">
      <c r="A527" s="1" t="s">
        <v>19</v>
      </c>
      <c r="B527" s="1" t="s">
        <v>20</v>
      </c>
      <c r="C527" s="1" t="s">
        <v>64</v>
      </c>
      <c r="D527" s="1" t="s">
        <v>77</v>
      </c>
      <c r="E527" s="1" t="s">
        <v>78</v>
      </c>
      <c r="F527" s="1" t="s">
        <v>1397</v>
      </c>
      <c r="G527" s="1" t="s">
        <v>279</v>
      </c>
      <c r="H527" s="1" t="s">
        <v>304</v>
      </c>
      <c r="I527" s="1" t="s">
        <v>1398</v>
      </c>
      <c r="J527" s="1" t="s">
        <v>1399</v>
      </c>
      <c r="K527" s="1" t="s">
        <v>84</v>
      </c>
      <c r="L527" s="1" t="s">
        <v>92</v>
      </c>
      <c r="M527" s="1" t="s">
        <v>68</v>
      </c>
      <c r="N527" s="1" t="s">
        <v>71</v>
      </c>
      <c r="O527" s="1" t="s">
        <v>68</v>
      </c>
      <c r="P527" s="1" t="s">
        <v>1400</v>
      </c>
      <c r="Q527" s="1" t="s">
        <v>68</v>
      </c>
      <c r="R527" s="1" t="s">
        <v>68</v>
      </c>
      <c r="S527" s="1" t="s">
        <v>68</v>
      </c>
      <c r="T527" s="1" t="s">
        <v>123</v>
      </c>
      <c r="U527" s="1" t="s">
        <v>68</v>
      </c>
      <c r="V527" s="1" t="s">
        <v>68</v>
      </c>
      <c r="W527" s="1" t="s">
        <v>68</v>
      </c>
      <c r="X527" s="1" t="s">
        <v>68</v>
      </c>
      <c r="Y527" s="73"/>
      <c r="Z527" s="2" t="s">
        <v>80</v>
      </c>
      <c r="AA527" s="3">
        <v>-2064.7399999999998</v>
      </c>
      <c r="AB527" s="4">
        <v>-330213.87</v>
      </c>
      <c r="AC527" s="73">
        <v>46223</v>
      </c>
      <c r="AD527" s="73">
        <v>46217</v>
      </c>
      <c r="AE527" s="73"/>
      <c r="AF527" s="73">
        <v>46223</v>
      </c>
      <c r="AG527" s="3">
        <v>-2064740</v>
      </c>
      <c r="AH527" s="353" t="str">
        <f t="shared" si="39"/>
        <v>302</v>
      </c>
      <c r="AI527" s="3" t="str">
        <f t="shared" si="40"/>
        <v>57</v>
      </c>
      <c r="AJ527" s="64" t="str">
        <f>VLOOKUP(T527,'GL Name'!A:B,2,0)</f>
        <v>ต้นทุนผลิตกึ่งสำเร็จ</v>
      </c>
      <c r="AL527" s="13">
        <f t="shared" si="41"/>
        <v>159.93000087178049</v>
      </c>
      <c r="AM527" s="13" t="str">
        <f>VLOOKUP(I527,'Order 301-305 (เรียง)'!A:B,2,0)</f>
        <v>59000002</v>
      </c>
      <c r="AN527" t="str">
        <f>VLOOKUP(I527,'Order 301-305 (เรียง)'!A:C,3,0)</f>
        <v>GOLD BLEND ALL CAFE'  ขนาด 500 G.</v>
      </c>
    </row>
    <row r="528" spans="1:40" x14ac:dyDescent="0.3">
      <c r="A528" s="1" t="s">
        <v>23</v>
      </c>
      <c r="B528" s="1" t="s">
        <v>24</v>
      </c>
      <c r="C528" s="1" t="s">
        <v>64</v>
      </c>
      <c r="D528" s="1" t="s">
        <v>115</v>
      </c>
      <c r="E528" s="1" t="s">
        <v>116</v>
      </c>
      <c r="F528" s="1" t="s">
        <v>1397</v>
      </c>
      <c r="G528" s="1" t="s">
        <v>103</v>
      </c>
      <c r="H528" s="1" t="s">
        <v>1401</v>
      </c>
      <c r="I528" s="1" t="s">
        <v>1398</v>
      </c>
      <c r="J528" s="1" t="s">
        <v>1399</v>
      </c>
      <c r="K528" s="1" t="s">
        <v>84</v>
      </c>
      <c r="L528" s="1" t="s">
        <v>70</v>
      </c>
      <c r="M528" s="1" t="s">
        <v>68</v>
      </c>
      <c r="N528" s="1" t="s">
        <v>71</v>
      </c>
      <c r="O528" s="1" t="s">
        <v>68</v>
      </c>
      <c r="P528" s="1" t="s">
        <v>72</v>
      </c>
      <c r="Q528" s="1" t="s">
        <v>68</v>
      </c>
      <c r="R528" s="1" t="s">
        <v>68</v>
      </c>
      <c r="S528" s="1" t="s">
        <v>68</v>
      </c>
      <c r="T528" s="1" t="s">
        <v>124</v>
      </c>
      <c r="U528" s="1" t="s">
        <v>68</v>
      </c>
      <c r="V528" s="1" t="s">
        <v>68</v>
      </c>
      <c r="W528" s="1" t="s">
        <v>68</v>
      </c>
      <c r="X528" s="1" t="s">
        <v>68</v>
      </c>
      <c r="Y528" s="73"/>
      <c r="Z528" s="2" t="s">
        <v>80</v>
      </c>
      <c r="AA528" s="3">
        <v>8330.9699999999993</v>
      </c>
      <c r="AB528" s="4">
        <v>2708731.59</v>
      </c>
      <c r="AC528" s="73">
        <v>46223</v>
      </c>
      <c r="AD528" s="73">
        <v>46217</v>
      </c>
      <c r="AE528" s="73"/>
      <c r="AF528" s="73">
        <v>46223</v>
      </c>
      <c r="AG528" s="3">
        <v>8330970</v>
      </c>
      <c r="AH528" s="353" t="str">
        <f t="shared" si="39"/>
        <v>302</v>
      </c>
      <c r="AI528" s="3" t="str">
        <f t="shared" si="40"/>
        <v>57</v>
      </c>
      <c r="AJ528" s="64" t="str">
        <f>VLOOKUP(T528,'GL Name'!A:B,2,0)</f>
        <v>ต้นทุนผลิตโอน Semi</v>
      </c>
      <c r="AL528" s="13">
        <f t="shared" si="41"/>
        <v>325.14000050414296</v>
      </c>
      <c r="AM528" s="13" t="str">
        <f>VLOOKUP(I528,'Order 301-305 (เรียง)'!A:B,2,0)</f>
        <v>59000002</v>
      </c>
      <c r="AN528" t="str">
        <f>VLOOKUP(I528,'Order 301-305 (เรียง)'!A:C,3,0)</f>
        <v>GOLD BLEND ALL CAFE'  ขนาด 500 G.</v>
      </c>
    </row>
    <row r="529" spans="1:40" x14ac:dyDescent="0.3">
      <c r="A529" s="1" t="s">
        <v>23</v>
      </c>
      <c r="B529" s="1" t="s">
        <v>24</v>
      </c>
      <c r="C529" s="1" t="s">
        <v>64</v>
      </c>
      <c r="D529" s="1" t="s">
        <v>77</v>
      </c>
      <c r="E529" s="1" t="s">
        <v>78</v>
      </c>
      <c r="F529" s="1" t="s">
        <v>1402</v>
      </c>
      <c r="G529" s="1" t="s">
        <v>103</v>
      </c>
      <c r="H529" s="1" t="s">
        <v>1401</v>
      </c>
      <c r="I529" s="1" t="s">
        <v>1403</v>
      </c>
      <c r="J529" s="1" t="s">
        <v>1404</v>
      </c>
      <c r="K529" s="1" t="s">
        <v>84</v>
      </c>
      <c r="L529" s="1" t="s">
        <v>86</v>
      </c>
      <c r="M529" s="1" t="s">
        <v>68</v>
      </c>
      <c r="N529" s="1" t="s">
        <v>71</v>
      </c>
      <c r="O529" s="1" t="s">
        <v>68</v>
      </c>
      <c r="P529" s="1" t="s">
        <v>1405</v>
      </c>
      <c r="Q529" s="1" t="s">
        <v>68</v>
      </c>
      <c r="R529" s="1" t="s">
        <v>68</v>
      </c>
      <c r="S529" s="1" t="s">
        <v>68</v>
      </c>
      <c r="T529" s="1" t="s">
        <v>123</v>
      </c>
      <c r="U529" s="1" t="s">
        <v>68</v>
      </c>
      <c r="V529" s="1" t="s">
        <v>68</v>
      </c>
      <c r="W529" s="1" t="s">
        <v>68</v>
      </c>
      <c r="X529" s="1" t="s">
        <v>68</v>
      </c>
      <c r="Y529" s="73"/>
      <c r="Z529" s="2" t="s">
        <v>80</v>
      </c>
      <c r="AA529" s="3">
        <v>-8330.9699999999993</v>
      </c>
      <c r="AB529" s="4">
        <v>-2708731.59</v>
      </c>
      <c r="AC529" s="73">
        <v>46223</v>
      </c>
      <c r="AD529" s="73">
        <v>46217</v>
      </c>
      <c r="AE529" s="73"/>
      <c r="AF529" s="73">
        <v>46223</v>
      </c>
      <c r="AG529" s="3">
        <v>-8330970</v>
      </c>
      <c r="AH529" s="353" t="str">
        <f t="shared" si="39"/>
        <v>303</v>
      </c>
      <c r="AI529" s="3" t="str">
        <f t="shared" si="40"/>
        <v>57</v>
      </c>
      <c r="AJ529" s="64" t="str">
        <f>VLOOKUP(T529,'GL Name'!A:B,2,0)</f>
        <v>ต้นทุนผลิตกึ่งสำเร็จ</v>
      </c>
      <c r="AL529" s="13">
        <f t="shared" si="41"/>
        <v>325.14000050414296</v>
      </c>
      <c r="AM529" s="13" t="str">
        <f>VLOOKUP(I529,'Order 301-305 (เรียง)'!A:B,2,0)</f>
        <v>59000002</v>
      </c>
      <c r="AN529" t="str">
        <f>VLOOKUP(I529,'Order 301-305 (เรียง)'!A:C,3,0)</f>
        <v>GOLD BLEND ALL CAFE'  ขนาด 500 G.</v>
      </c>
    </row>
    <row r="530" spans="1:40" x14ac:dyDescent="0.3">
      <c r="A530" s="1" t="s">
        <v>106</v>
      </c>
      <c r="B530" s="1" t="s">
        <v>107</v>
      </c>
      <c r="C530" s="1" t="s">
        <v>64</v>
      </c>
      <c r="D530" s="1" t="s">
        <v>77</v>
      </c>
      <c r="E530" s="1" t="s">
        <v>78</v>
      </c>
      <c r="F530" s="1" t="s">
        <v>1402</v>
      </c>
      <c r="G530" s="1" t="s">
        <v>103</v>
      </c>
      <c r="H530" s="1" t="s">
        <v>286</v>
      </c>
      <c r="I530" s="1" t="s">
        <v>1403</v>
      </c>
      <c r="J530" s="1" t="s">
        <v>1404</v>
      </c>
      <c r="K530" s="1" t="s">
        <v>84</v>
      </c>
      <c r="L530" s="1" t="s">
        <v>92</v>
      </c>
      <c r="M530" s="1" t="s">
        <v>68</v>
      </c>
      <c r="N530" s="1" t="s">
        <v>71</v>
      </c>
      <c r="O530" s="1" t="s">
        <v>68</v>
      </c>
      <c r="P530" s="1" t="s">
        <v>1405</v>
      </c>
      <c r="Q530" s="1" t="s">
        <v>68</v>
      </c>
      <c r="R530" s="1" t="s">
        <v>68</v>
      </c>
      <c r="S530" s="1" t="s">
        <v>68</v>
      </c>
      <c r="T530" s="1" t="s">
        <v>108</v>
      </c>
      <c r="U530" s="1" t="s">
        <v>68</v>
      </c>
      <c r="V530" s="1" t="s">
        <v>68</v>
      </c>
      <c r="W530" s="1" t="s">
        <v>68</v>
      </c>
      <c r="X530" s="1" t="s">
        <v>68</v>
      </c>
      <c r="Y530" s="73"/>
      <c r="Z530" s="2" t="s">
        <v>102</v>
      </c>
      <c r="AA530" s="3">
        <v>-16889</v>
      </c>
      <c r="AB530" s="4">
        <v>-14284.17</v>
      </c>
      <c r="AC530" s="73">
        <v>46223</v>
      </c>
      <c r="AD530" s="73">
        <v>46217</v>
      </c>
      <c r="AE530" s="73"/>
      <c r="AF530" s="73">
        <v>46223</v>
      </c>
      <c r="AG530" s="3">
        <v>-16889</v>
      </c>
      <c r="AH530" s="353" t="str">
        <f t="shared" si="39"/>
        <v>303</v>
      </c>
      <c r="AI530" s="3" t="str">
        <f t="shared" si="40"/>
        <v>58</v>
      </c>
      <c r="AJ530" s="64" t="str">
        <f>VLOOKUP(T530,'GL Name'!A:B,2,0)</f>
        <v>ต้นทุนผลิตหีบห่อ</v>
      </c>
      <c r="AL530" s="13">
        <f t="shared" si="41"/>
        <v>0.84576765942329324</v>
      </c>
      <c r="AM530" s="13" t="str">
        <f>VLOOKUP(I530,'Order 301-305 (เรียง)'!A:B,2,0)</f>
        <v>59000002</v>
      </c>
      <c r="AN530" t="str">
        <f>VLOOKUP(I530,'Order 301-305 (เรียง)'!A:C,3,0)</f>
        <v>GOLD BLEND ALL CAFE'  ขนาด 500 G.</v>
      </c>
    </row>
    <row r="531" spans="1:40" x14ac:dyDescent="0.3">
      <c r="A531" s="1" t="s">
        <v>119</v>
      </c>
      <c r="B531" s="1" t="s">
        <v>120</v>
      </c>
      <c r="C531" s="1" t="s">
        <v>64</v>
      </c>
      <c r="D531" s="1" t="s">
        <v>77</v>
      </c>
      <c r="E531" s="1" t="s">
        <v>78</v>
      </c>
      <c r="F531" s="1" t="s">
        <v>1402</v>
      </c>
      <c r="G531" s="1" t="s">
        <v>103</v>
      </c>
      <c r="H531" s="1" t="s">
        <v>307</v>
      </c>
      <c r="I531" s="1" t="s">
        <v>1403</v>
      </c>
      <c r="J531" s="1" t="s">
        <v>1404</v>
      </c>
      <c r="K531" s="1" t="s">
        <v>84</v>
      </c>
      <c r="L531" s="1" t="s">
        <v>89</v>
      </c>
      <c r="M531" s="1" t="s">
        <v>68</v>
      </c>
      <c r="N531" s="1" t="s">
        <v>71</v>
      </c>
      <c r="O531" s="1" t="s">
        <v>68</v>
      </c>
      <c r="P531" s="1" t="s">
        <v>1405</v>
      </c>
      <c r="Q531" s="1" t="s">
        <v>68</v>
      </c>
      <c r="R531" s="1" t="s">
        <v>68</v>
      </c>
      <c r="S531" s="1" t="s">
        <v>68</v>
      </c>
      <c r="T531" s="1" t="s">
        <v>108</v>
      </c>
      <c r="U531" s="1" t="s">
        <v>68</v>
      </c>
      <c r="V531" s="1" t="s">
        <v>68</v>
      </c>
      <c r="W531" s="1" t="s">
        <v>68</v>
      </c>
      <c r="X531" s="1" t="s">
        <v>68</v>
      </c>
      <c r="Y531" s="73"/>
      <c r="Z531" s="2" t="s">
        <v>102</v>
      </c>
      <c r="AA531" s="3">
        <v>-16889</v>
      </c>
      <c r="AB531" s="4">
        <v>-35188.01</v>
      </c>
      <c r="AC531" s="73">
        <v>46223</v>
      </c>
      <c r="AD531" s="73">
        <v>46217</v>
      </c>
      <c r="AE531" s="73"/>
      <c r="AF531" s="73">
        <v>46223</v>
      </c>
      <c r="AG531" s="3">
        <v>-16889</v>
      </c>
      <c r="AH531" s="353" t="str">
        <f t="shared" si="39"/>
        <v>303</v>
      </c>
      <c r="AI531" s="3" t="str">
        <f t="shared" si="40"/>
        <v>58</v>
      </c>
      <c r="AJ531" s="64" t="str">
        <f>VLOOKUP(T531,'GL Name'!A:B,2,0)</f>
        <v>ต้นทุนผลิตหีบห่อ</v>
      </c>
      <c r="AL531" s="13">
        <f t="shared" si="41"/>
        <v>2.0834868849547044</v>
      </c>
      <c r="AM531" s="13" t="str">
        <f>VLOOKUP(I531,'Order 301-305 (เรียง)'!A:B,2,0)</f>
        <v>59000002</v>
      </c>
      <c r="AN531" t="str">
        <f>VLOOKUP(I531,'Order 301-305 (เรียง)'!A:C,3,0)</f>
        <v>GOLD BLEND ALL CAFE'  ขนาด 500 G.</v>
      </c>
    </row>
    <row r="532" spans="1:40" x14ac:dyDescent="0.3">
      <c r="A532" s="1" t="s">
        <v>121</v>
      </c>
      <c r="B532" s="1" t="s">
        <v>122</v>
      </c>
      <c r="C532" s="1" t="s">
        <v>64</v>
      </c>
      <c r="D532" s="1" t="s">
        <v>77</v>
      </c>
      <c r="E532" s="1" t="s">
        <v>78</v>
      </c>
      <c r="F532" s="1" t="s">
        <v>1402</v>
      </c>
      <c r="G532" s="1" t="s">
        <v>103</v>
      </c>
      <c r="H532" s="1" t="s">
        <v>772</v>
      </c>
      <c r="I532" s="1" t="s">
        <v>1403</v>
      </c>
      <c r="J532" s="1" t="s">
        <v>1404</v>
      </c>
      <c r="K532" s="1" t="s">
        <v>84</v>
      </c>
      <c r="L532" s="1" t="s">
        <v>95</v>
      </c>
      <c r="M532" s="1" t="s">
        <v>68</v>
      </c>
      <c r="N532" s="1" t="s">
        <v>71</v>
      </c>
      <c r="O532" s="1" t="s">
        <v>68</v>
      </c>
      <c r="P532" s="1" t="s">
        <v>1405</v>
      </c>
      <c r="Q532" s="1" t="s">
        <v>68</v>
      </c>
      <c r="R532" s="1" t="s">
        <v>68</v>
      </c>
      <c r="S532" s="1" t="s">
        <v>68</v>
      </c>
      <c r="T532" s="1" t="s">
        <v>108</v>
      </c>
      <c r="U532" s="1" t="s">
        <v>68</v>
      </c>
      <c r="V532" s="1" t="s">
        <v>68</v>
      </c>
      <c r="W532" s="1" t="s">
        <v>68</v>
      </c>
      <c r="X532" s="1" t="s">
        <v>68</v>
      </c>
      <c r="Y532" s="73"/>
      <c r="Z532" s="2" t="s">
        <v>102</v>
      </c>
      <c r="AA532" s="3">
        <v>-2802</v>
      </c>
      <c r="AB532" s="4">
        <v>-14010</v>
      </c>
      <c r="AC532" s="73">
        <v>46223</v>
      </c>
      <c r="AD532" s="73">
        <v>46217</v>
      </c>
      <c r="AE532" s="73"/>
      <c r="AF532" s="73">
        <v>46223</v>
      </c>
      <c r="AG532" s="3">
        <v>-2802</v>
      </c>
      <c r="AH532" s="353" t="str">
        <f t="shared" si="39"/>
        <v>303</v>
      </c>
      <c r="AI532" s="3" t="str">
        <f t="shared" si="40"/>
        <v>58</v>
      </c>
      <c r="AJ532" s="64" t="str">
        <f>VLOOKUP(T532,'GL Name'!A:B,2,0)</f>
        <v>ต้นทุนผลิตหีบห่อ</v>
      </c>
      <c r="AL532" s="13">
        <f t="shared" si="41"/>
        <v>5</v>
      </c>
      <c r="AM532" s="13" t="str">
        <f>VLOOKUP(I532,'Order 301-305 (เรียง)'!A:B,2,0)</f>
        <v>59000002</v>
      </c>
      <c r="AN532" t="str">
        <f>VLOOKUP(I532,'Order 301-305 (เรียง)'!A:C,3,0)</f>
        <v>GOLD BLEND ALL CAFE'  ขนาด 500 G.</v>
      </c>
    </row>
    <row r="533" spans="1:40" x14ac:dyDescent="0.3">
      <c r="A533" s="1" t="s">
        <v>81</v>
      </c>
      <c r="B533" s="1" t="s">
        <v>82</v>
      </c>
      <c r="C533" s="1" t="s">
        <v>64</v>
      </c>
      <c r="D533" s="1" t="s">
        <v>115</v>
      </c>
      <c r="E533" s="1" t="s">
        <v>116</v>
      </c>
      <c r="F533" s="1" t="s">
        <v>1402</v>
      </c>
      <c r="G533" s="1" t="s">
        <v>83</v>
      </c>
      <c r="H533" s="1" t="s">
        <v>1406</v>
      </c>
      <c r="I533" s="1" t="s">
        <v>1403</v>
      </c>
      <c r="J533" s="1" t="s">
        <v>1404</v>
      </c>
      <c r="K533" s="1" t="s">
        <v>84</v>
      </c>
      <c r="L533" s="1" t="s">
        <v>70</v>
      </c>
      <c r="M533" s="1" t="s">
        <v>68</v>
      </c>
      <c r="N533" s="1" t="s">
        <v>71</v>
      </c>
      <c r="O533" s="1" t="s">
        <v>68</v>
      </c>
      <c r="P533" s="1" t="s">
        <v>72</v>
      </c>
      <c r="Q533" s="1" t="s">
        <v>68</v>
      </c>
      <c r="R533" s="1" t="s">
        <v>68</v>
      </c>
      <c r="S533" s="1" t="s">
        <v>68</v>
      </c>
      <c r="T533" s="1" t="s">
        <v>117</v>
      </c>
      <c r="U533" s="1" t="s">
        <v>68</v>
      </c>
      <c r="V533" s="1" t="s">
        <v>68</v>
      </c>
      <c r="W533" s="1" t="s">
        <v>68</v>
      </c>
      <c r="X533" s="1" t="s">
        <v>68</v>
      </c>
      <c r="Y533" s="73"/>
      <c r="Z533" s="2" t="s">
        <v>74</v>
      </c>
      <c r="AA533" s="3">
        <v>16653</v>
      </c>
      <c r="AB533" s="4">
        <v>2828678.58</v>
      </c>
      <c r="AC533" s="73">
        <v>46223</v>
      </c>
      <c r="AD533" s="73">
        <v>46217</v>
      </c>
      <c r="AE533" s="73"/>
      <c r="AF533" s="73">
        <v>46223</v>
      </c>
      <c r="AG533" s="3">
        <v>8326500</v>
      </c>
      <c r="AH533" s="353" t="str">
        <f t="shared" ref="AH533:AH535" si="42">LEFT(I533,3)</f>
        <v>303</v>
      </c>
      <c r="AI533" s="3" t="str">
        <f t="shared" ref="AI533:AI535" si="43">LEFT(A533,2)</f>
        <v>59</v>
      </c>
      <c r="AJ533" s="64" t="str">
        <f>VLOOKUP(T533,'GL Name'!A:B,2,0)</f>
        <v>ต้นทุนผลิตโอน F/G</v>
      </c>
      <c r="AL533" s="13">
        <f t="shared" ref="AL533:AL535" si="44">AB533/AA533</f>
        <v>169.86</v>
      </c>
      <c r="AM533" s="13" t="str">
        <f>VLOOKUP(I533,'Order 301-305 (เรียง)'!A:B,2,0)</f>
        <v>59000002</v>
      </c>
      <c r="AN533" t="str">
        <f>VLOOKUP(I533,'Order 301-305 (เรียง)'!A:C,3,0)</f>
        <v>GOLD BLEND ALL CAFE'  ขนาด 500 G.</v>
      </c>
    </row>
    <row r="534" spans="1:40" x14ac:dyDescent="0.3">
      <c r="A534" s="1" t="s">
        <v>106</v>
      </c>
      <c r="B534" s="1" t="s">
        <v>107</v>
      </c>
      <c r="C534" s="1" t="s">
        <v>64</v>
      </c>
      <c r="D534" s="1" t="s">
        <v>93</v>
      </c>
      <c r="E534" s="1" t="s">
        <v>94</v>
      </c>
      <c r="F534" s="1" t="s">
        <v>1407</v>
      </c>
      <c r="G534" s="1" t="s">
        <v>101</v>
      </c>
      <c r="H534" s="1" t="s">
        <v>220</v>
      </c>
      <c r="I534" s="1" t="s">
        <v>68</v>
      </c>
      <c r="J534" s="1" t="s">
        <v>1408</v>
      </c>
      <c r="K534" s="1" t="s">
        <v>223</v>
      </c>
      <c r="L534" s="1" t="s">
        <v>95</v>
      </c>
      <c r="M534" s="1" t="s">
        <v>68</v>
      </c>
      <c r="N534" s="1" t="s">
        <v>71</v>
      </c>
      <c r="O534" s="1" t="s">
        <v>68</v>
      </c>
      <c r="P534" s="1" t="s">
        <v>72</v>
      </c>
      <c r="Q534" s="1" t="s">
        <v>68</v>
      </c>
      <c r="R534" s="1" t="s">
        <v>68</v>
      </c>
      <c r="S534" s="1" t="s">
        <v>68</v>
      </c>
      <c r="T534" s="1" t="s">
        <v>68</v>
      </c>
      <c r="U534" s="1" t="s">
        <v>68</v>
      </c>
      <c r="V534" s="1" t="s">
        <v>68</v>
      </c>
      <c r="W534" s="1" t="s">
        <v>68</v>
      </c>
      <c r="X534" s="1" t="s">
        <v>68</v>
      </c>
      <c r="Y534" s="73"/>
      <c r="Z534" s="2" t="s">
        <v>102</v>
      </c>
      <c r="AA534" s="3">
        <v>-30000</v>
      </c>
      <c r="AB534" s="4">
        <v>0</v>
      </c>
      <c r="AC534" s="73">
        <v>46223</v>
      </c>
      <c r="AD534" s="73">
        <v>46223</v>
      </c>
      <c r="AE534" s="73"/>
      <c r="AF534" s="73">
        <v>46223</v>
      </c>
      <c r="AG534" s="3">
        <v>-30000</v>
      </c>
      <c r="AH534" s="353" t="str">
        <f t="shared" si="42"/>
        <v/>
      </c>
      <c r="AI534" s="3" t="str">
        <f t="shared" si="43"/>
        <v>58</v>
      </c>
      <c r="AJ534" s="64" t="e">
        <f>VLOOKUP(T534,'GL Name'!A:B,2,0)</f>
        <v>#N/A</v>
      </c>
      <c r="AL534" s="13">
        <f t="shared" si="44"/>
        <v>0</v>
      </c>
      <c r="AM534" s="13" t="e">
        <f>VLOOKUP(I534,'Order 301-305 (เรียง)'!A:B,2,0)</f>
        <v>#N/A</v>
      </c>
      <c r="AN534" t="e">
        <f>VLOOKUP(I534,'Order 301-305 (เรียง)'!A:C,3,0)</f>
        <v>#N/A</v>
      </c>
    </row>
    <row r="535" spans="1:40" x14ac:dyDescent="0.3">
      <c r="A535" s="1" t="s">
        <v>106</v>
      </c>
      <c r="B535" s="1" t="s">
        <v>107</v>
      </c>
      <c r="C535" s="1" t="s">
        <v>64</v>
      </c>
      <c r="D535" s="1" t="s">
        <v>93</v>
      </c>
      <c r="E535" s="1" t="s">
        <v>94</v>
      </c>
      <c r="F535" s="1" t="s">
        <v>1407</v>
      </c>
      <c r="G535" s="1" t="s">
        <v>103</v>
      </c>
      <c r="H535" s="1" t="s">
        <v>220</v>
      </c>
      <c r="I535" s="1" t="s">
        <v>68</v>
      </c>
      <c r="J535" s="1" t="s">
        <v>1408</v>
      </c>
      <c r="K535" s="1" t="s">
        <v>223</v>
      </c>
      <c r="L535" s="1" t="s">
        <v>111</v>
      </c>
      <c r="M535" s="1" t="s">
        <v>68</v>
      </c>
      <c r="N535" s="1" t="s">
        <v>71</v>
      </c>
      <c r="O535" s="1" t="s">
        <v>68</v>
      </c>
      <c r="P535" s="1" t="s">
        <v>72</v>
      </c>
      <c r="Q535" s="1" t="s">
        <v>68</v>
      </c>
      <c r="R535" s="1" t="s">
        <v>68</v>
      </c>
      <c r="S535" s="1" t="s">
        <v>68</v>
      </c>
      <c r="T535" s="1" t="s">
        <v>68</v>
      </c>
      <c r="U535" s="1" t="s">
        <v>68</v>
      </c>
      <c r="V535" s="1" t="s">
        <v>68</v>
      </c>
      <c r="W535" s="1" t="s">
        <v>68</v>
      </c>
      <c r="X535" s="1" t="s">
        <v>68</v>
      </c>
      <c r="Y535" s="73"/>
      <c r="Z535" s="2" t="s">
        <v>102</v>
      </c>
      <c r="AA535" s="3">
        <v>30000</v>
      </c>
      <c r="AB535" s="4">
        <v>0</v>
      </c>
      <c r="AC535" s="73">
        <v>46223</v>
      </c>
      <c r="AD535" s="73">
        <v>46223</v>
      </c>
      <c r="AE535" s="73"/>
      <c r="AF535" s="73">
        <v>46223</v>
      </c>
      <c r="AG535" s="3">
        <v>30000</v>
      </c>
      <c r="AH535" s="353" t="str">
        <f t="shared" si="42"/>
        <v/>
      </c>
      <c r="AI535" s="3" t="str">
        <f t="shared" si="43"/>
        <v>58</v>
      </c>
      <c r="AJ535" s="64" t="e">
        <f>VLOOKUP(T535,'GL Name'!A:B,2,0)</f>
        <v>#N/A</v>
      </c>
      <c r="AL535" s="13">
        <f t="shared" si="44"/>
        <v>0</v>
      </c>
      <c r="AM535" s="13" t="e">
        <f>VLOOKUP(I535,'Order 301-305 (เรียง)'!A:B,2,0)</f>
        <v>#N/A</v>
      </c>
      <c r="AN535" t="e">
        <f>VLOOKUP(I535,'Order 301-305 (เรียง)'!A:C,3,0)</f>
        <v>#N/A</v>
      </c>
    </row>
    <row r="536" spans="1:40" x14ac:dyDescent="0.3">
      <c r="A536" s="1" t="s">
        <v>119</v>
      </c>
      <c r="B536" s="1" t="s">
        <v>120</v>
      </c>
      <c r="C536" s="1" t="s">
        <v>64</v>
      </c>
      <c r="D536" s="1" t="s">
        <v>93</v>
      </c>
      <c r="E536" s="1" t="s">
        <v>94</v>
      </c>
      <c r="F536" s="1" t="s">
        <v>1407</v>
      </c>
      <c r="G536" s="1" t="s">
        <v>101</v>
      </c>
      <c r="H536" s="1" t="s">
        <v>316</v>
      </c>
      <c r="I536" s="1" t="s">
        <v>68</v>
      </c>
      <c r="J536" s="1" t="s">
        <v>1408</v>
      </c>
      <c r="K536" s="1" t="s">
        <v>223</v>
      </c>
      <c r="L536" s="1" t="s">
        <v>92</v>
      </c>
      <c r="M536" s="1" t="s">
        <v>68</v>
      </c>
      <c r="N536" s="1" t="s">
        <v>71</v>
      </c>
      <c r="O536" s="1" t="s">
        <v>68</v>
      </c>
      <c r="P536" s="1" t="s">
        <v>72</v>
      </c>
      <c r="Q536" s="1" t="s">
        <v>68</v>
      </c>
      <c r="R536" s="1" t="s">
        <v>68</v>
      </c>
      <c r="S536" s="1" t="s">
        <v>68</v>
      </c>
      <c r="T536" s="1" t="s">
        <v>68</v>
      </c>
      <c r="U536" s="1" t="s">
        <v>68</v>
      </c>
      <c r="V536" s="1" t="s">
        <v>68</v>
      </c>
      <c r="W536" s="1" t="s">
        <v>68</v>
      </c>
      <c r="X536" s="1" t="s">
        <v>68</v>
      </c>
      <c r="Y536" s="73"/>
      <c r="Z536" s="2" t="s">
        <v>102</v>
      </c>
      <c r="AA536" s="3">
        <v>-24000</v>
      </c>
      <c r="AB536" s="4">
        <v>0</v>
      </c>
      <c r="AC536" s="73">
        <v>46223</v>
      </c>
      <c r="AD536" s="73">
        <v>46223</v>
      </c>
      <c r="AE536" s="73"/>
      <c r="AF536" s="73">
        <v>46223</v>
      </c>
      <c r="AG536" s="3">
        <v>-24000</v>
      </c>
      <c r="AH536" s="353" t="str">
        <f t="shared" ref="AH536:AH558" si="45">LEFT(I536,3)</f>
        <v/>
      </c>
      <c r="AI536" s="3" t="str">
        <f t="shared" ref="AI536:AI558" si="46">LEFT(A536,2)</f>
        <v>58</v>
      </c>
      <c r="AJ536" s="64" t="e">
        <f>VLOOKUP(T536,'GL Name'!A:B,2,0)</f>
        <v>#N/A</v>
      </c>
      <c r="AL536" s="13">
        <f t="shared" ref="AL536:AL558" si="47">AB536/AA536</f>
        <v>0</v>
      </c>
      <c r="AM536" s="13" t="e">
        <f>VLOOKUP(I536,'Order 301-305 (เรียง)'!A:B,2,0)</f>
        <v>#N/A</v>
      </c>
      <c r="AN536" t="e">
        <f>VLOOKUP(I536,'Order 301-305 (เรียง)'!A:C,3,0)</f>
        <v>#N/A</v>
      </c>
    </row>
    <row r="537" spans="1:40" x14ac:dyDescent="0.3">
      <c r="A537" s="1" t="s">
        <v>119</v>
      </c>
      <c r="B537" s="1" t="s">
        <v>120</v>
      </c>
      <c r="C537" s="1" t="s">
        <v>64</v>
      </c>
      <c r="D537" s="1" t="s">
        <v>93</v>
      </c>
      <c r="E537" s="1" t="s">
        <v>94</v>
      </c>
      <c r="F537" s="1" t="s">
        <v>1407</v>
      </c>
      <c r="G537" s="1" t="s">
        <v>103</v>
      </c>
      <c r="H537" s="1" t="s">
        <v>316</v>
      </c>
      <c r="I537" s="1" t="s">
        <v>68</v>
      </c>
      <c r="J537" s="1" t="s">
        <v>1408</v>
      </c>
      <c r="K537" s="1" t="s">
        <v>223</v>
      </c>
      <c r="L537" s="1" t="s">
        <v>89</v>
      </c>
      <c r="M537" s="1" t="s">
        <v>68</v>
      </c>
      <c r="N537" s="1" t="s">
        <v>71</v>
      </c>
      <c r="O537" s="1" t="s">
        <v>68</v>
      </c>
      <c r="P537" s="1" t="s">
        <v>72</v>
      </c>
      <c r="Q537" s="1" t="s">
        <v>68</v>
      </c>
      <c r="R537" s="1" t="s">
        <v>68</v>
      </c>
      <c r="S537" s="1" t="s">
        <v>68</v>
      </c>
      <c r="T537" s="1" t="s">
        <v>68</v>
      </c>
      <c r="U537" s="1" t="s">
        <v>68</v>
      </c>
      <c r="V537" s="1" t="s">
        <v>68</v>
      </c>
      <c r="W537" s="1" t="s">
        <v>68</v>
      </c>
      <c r="X537" s="1" t="s">
        <v>68</v>
      </c>
      <c r="Y537" s="73"/>
      <c r="Z537" s="2" t="s">
        <v>102</v>
      </c>
      <c r="AA537" s="3">
        <v>24000</v>
      </c>
      <c r="AB537" s="4">
        <v>0</v>
      </c>
      <c r="AC537" s="73">
        <v>46223</v>
      </c>
      <c r="AD537" s="73">
        <v>46223</v>
      </c>
      <c r="AE537" s="73"/>
      <c r="AF537" s="73">
        <v>46223</v>
      </c>
      <c r="AG537" s="3">
        <v>24000</v>
      </c>
      <c r="AH537" s="353" t="str">
        <f t="shared" si="45"/>
        <v/>
      </c>
      <c r="AI537" s="3" t="str">
        <f t="shared" si="46"/>
        <v>58</v>
      </c>
      <c r="AJ537" s="64" t="e">
        <f>VLOOKUP(T537,'GL Name'!A:B,2,0)</f>
        <v>#N/A</v>
      </c>
      <c r="AL537" s="13">
        <f t="shared" si="47"/>
        <v>0</v>
      </c>
      <c r="AM537" s="13" t="e">
        <f>VLOOKUP(I537,'Order 301-305 (เรียง)'!A:B,2,0)</f>
        <v>#N/A</v>
      </c>
      <c r="AN537" t="e">
        <f>VLOOKUP(I537,'Order 301-305 (เรียง)'!A:C,3,0)</f>
        <v>#N/A</v>
      </c>
    </row>
    <row r="538" spans="1:40" x14ac:dyDescent="0.3">
      <c r="A538" s="1" t="s">
        <v>121</v>
      </c>
      <c r="B538" s="1" t="s">
        <v>122</v>
      </c>
      <c r="C538" s="1" t="s">
        <v>64</v>
      </c>
      <c r="D538" s="1" t="s">
        <v>93</v>
      </c>
      <c r="E538" s="1" t="s">
        <v>94</v>
      </c>
      <c r="F538" s="1" t="s">
        <v>1407</v>
      </c>
      <c r="G538" s="1" t="s">
        <v>101</v>
      </c>
      <c r="H538" s="1" t="s">
        <v>704</v>
      </c>
      <c r="I538" s="1" t="s">
        <v>68</v>
      </c>
      <c r="J538" s="1" t="s">
        <v>1408</v>
      </c>
      <c r="K538" s="1" t="s">
        <v>223</v>
      </c>
      <c r="L538" s="1" t="s">
        <v>70</v>
      </c>
      <c r="M538" s="1" t="s">
        <v>68</v>
      </c>
      <c r="N538" s="1" t="s">
        <v>71</v>
      </c>
      <c r="O538" s="1" t="s">
        <v>68</v>
      </c>
      <c r="P538" s="1" t="s">
        <v>72</v>
      </c>
      <c r="Q538" s="1" t="s">
        <v>68</v>
      </c>
      <c r="R538" s="1" t="s">
        <v>68</v>
      </c>
      <c r="S538" s="1" t="s">
        <v>68</v>
      </c>
      <c r="T538" s="1" t="s">
        <v>68</v>
      </c>
      <c r="U538" s="1" t="s">
        <v>68</v>
      </c>
      <c r="V538" s="1" t="s">
        <v>68</v>
      </c>
      <c r="W538" s="1" t="s">
        <v>68</v>
      </c>
      <c r="X538" s="1" t="s">
        <v>68</v>
      </c>
      <c r="Y538" s="73"/>
      <c r="Z538" s="2" t="s">
        <v>102</v>
      </c>
      <c r="AA538" s="3">
        <v>-4000</v>
      </c>
      <c r="AB538" s="4">
        <v>0</v>
      </c>
      <c r="AC538" s="73">
        <v>46223</v>
      </c>
      <c r="AD538" s="73">
        <v>46223</v>
      </c>
      <c r="AE538" s="73"/>
      <c r="AF538" s="73">
        <v>46223</v>
      </c>
      <c r="AG538" s="3">
        <v>-4000</v>
      </c>
      <c r="AH538" s="353" t="str">
        <f t="shared" si="45"/>
        <v/>
      </c>
      <c r="AI538" s="3" t="str">
        <f t="shared" si="46"/>
        <v>58</v>
      </c>
      <c r="AJ538" s="64" t="e">
        <f>VLOOKUP(T538,'GL Name'!A:B,2,0)</f>
        <v>#N/A</v>
      </c>
      <c r="AL538" s="13">
        <f t="shared" si="47"/>
        <v>0</v>
      </c>
      <c r="AM538" s="13" t="e">
        <f>VLOOKUP(I538,'Order 301-305 (เรียง)'!A:B,2,0)</f>
        <v>#N/A</v>
      </c>
      <c r="AN538" t="e">
        <f>VLOOKUP(I538,'Order 301-305 (เรียง)'!A:C,3,0)</f>
        <v>#N/A</v>
      </c>
    </row>
    <row r="539" spans="1:40" x14ac:dyDescent="0.3">
      <c r="A539" s="1" t="s">
        <v>121</v>
      </c>
      <c r="B539" s="1" t="s">
        <v>122</v>
      </c>
      <c r="C539" s="1" t="s">
        <v>64</v>
      </c>
      <c r="D539" s="1" t="s">
        <v>93</v>
      </c>
      <c r="E539" s="1" t="s">
        <v>94</v>
      </c>
      <c r="F539" s="1" t="s">
        <v>1407</v>
      </c>
      <c r="G539" s="1" t="s">
        <v>103</v>
      </c>
      <c r="H539" s="1" t="s">
        <v>704</v>
      </c>
      <c r="I539" s="1" t="s">
        <v>68</v>
      </c>
      <c r="J539" s="1" t="s">
        <v>1408</v>
      </c>
      <c r="K539" s="1" t="s">
        <v>223</v>
      </c>
      <c r="L539" s="1" t="s">
        <v>86</v>
      </c>
      <c r="M539" s="1" t="s">
        <v>68</v>
      </c>
      <c r="N539" s="1" t="s">
        <v>71</v>
      </c>
      <c r="O539" s="1" t="s">
        <v>68</v>
      </c>
      <c r="P539" s="1" t="s">
        <v>72</v>
      </c>
      <c r="Q539" s="1" t="s">
        <v>68</v>
      </c>
      <c r="R539" s="1" t="s">
        <v>68</v>
      </c>
      <c r="S539" s="1" t="s">
        <v>68</v>
      </c>
      <c r="T539" s="1" t="s">
        <v>68</v>
      </c>
      <c r="U539" s="1" t="s">
        <v>68</v>
      </c>
      <c r="V539" s="1" t="s">
        <v>68</v>
      </c>
      <c r="W539" s="1" t="s">
        <v>68</v>
      </c>
      <c r="X539" s="1" t="s">
        <v>68</v>
      </c>
      <c r="Y539" s="73"/>
      <c r="Z539" s="2" t="s">
        <v>102</v>
      </c>
      <c r="AA539" s="3">
        <v>4000</v>
      </c>
      <c r="AB539" s="4">
        <v>0</v>
      </c>
      <c r="AC539" s="73">
        <v>46223</v>
      </c>
      <c r="AD539" s="73">
        <v>46223</v>
      </c>
      <c r="AE539" s="73"/>
      <c r="AF539" s="73">
        <v>46223</v>
      </c>
      <c r="AG539" s="3">
        <v>4000</v>
      </c>
      <c r="AH539" s="353" t="str">
        <f t="shared" si="45"/>
        <v/>
      </c>
      <c r="AI539" s="3" t="str">
        <f t="shared" si="46"/>
        <v>58</v>
      </c>
      <c r="AJ539" s="64" t="e">
        <f>VLOOKUP(T539,'GL Name'!A:B,2,0)</f>
        <v>#N/A</v>
      </c>
      <c r="AL539" s="13">
        <f t="shared" si="47"/>
        <v>0</v>
      </c>
      <c r="AM539" s="13" t="e">
        <f>VLOOKUP(I539,'Order 301-305 (เรียง)'!A:B,2,0)</f>
        <v>#N/A</v>
      </c>
      <c r="AN539" t="e">
        <f>VLOOKUP(I539,'Order 301-305 (เรียง)'!A:C,3,0)</f>
        <v>#N/A</v>
      </c>
    </row>
    <row r="540" spans="1:40" x14ac:dyDescent="0.3">
      <c r="A540" s="1" t="s">
        <v>81</v>
      </c>
      <c r="B540" s="1" t="s">
        <v>82</v>
      </c>
      <c r="C540" s="1" t="s">
        <v>64</v>
      </c>
      <c r="D540" s="1" t="s">
        <v>65</v>
      </c>
      <c r="E540" s="1" t="s">
        <v>66</v>
      </c>
      <c r="F540" s="1" t="s">
        <v>1409</v>
      </c>
      <c r="G540" s="1" t="s">
        <v>83</v>
      </c>
      <c r="H540" s="1" t="s">
        <v>1005</v>
      </c>
      <c r="I540" s="1" t="s">
        <v>68</v>
      </c>
      <c r="J540" s="1" t="s">
        <v>1410</v>
      </c>
      <c r="K540" s="1" t="s">
        <v>118</v>
      </c>
      <c r="L540" s="1" t="s">
        <v>70</v>
      </c>
      <c r="M540" s="1" t="s">
        <v>68</v>
      </c>
      <c r="N540" s="1" t="s">
        <v>71</v>
      </c>
      <c r="O540" s="1" t="s">
        <v>68</v>
      </c>
      <c r="P540" s="1" t="s">
        <v>72</v>
      </c>
      <c r="Q540" s="1" t="s">
        <v>68</v>
      </c>
      <c r="R540" s="1" t="s">
        <v>68</v>
      </c>
      <c r="S540" s="1" t="s">
        <v>68</v>
      </c>
      <c r="T540" s="1" t="s">
        <v>73</v>
      </c>
      <c r="U540" s="1" t="s">
        <v>68</v>
      </c>
      <c r="V540" s="1" t="s">
        <v>68</v>
      </c>
      <c r="W540" s="1" t="s">
        <v>68</v>
      </c>
      <c r="X540" s="1" t="s">
        <v>1411</v>
      </c>
      <c r="Y540" s="73"/>
      <c r="Z540" s="2" t="s">
        <v>85</v>
      </c>
      <c r="AA540" s="3">
        <v>-1704</v>
      </c>
      <c r="AB540" s="4">
        <v>-1736648.64</v>
      </c>
      <c r="AC540" s="73">
        <v>46223</v>
      </c>
      <c r="AD540" s="73">
        <v>46223</v>
      </c>
      <c r="AE540" s="73"/>
      <c r="AF540" s="73">
        <v>46223</v>
      </c>
      <c r="AG540" s="3">
        <v>-5112000</v>
      </c>
      <c r="AH540" s="353" t="str">
        <f t="shared" si="45"/>
        <v/>
      </c>
      <c r="AI540" s="3" t="str">
        <f t="shared" si="46"/>
        <v>59</v>
      </c>
      <c r="AJ540" s="64" t="str">
        <f>VLOOKUP(T540,'GL Name'!A:B,2,0)</f>
        <v>ต้นทุนขาย</v>
      </c>
      <c r="AL540" s="13">
        <f t="shared" si="47"/>
        <v>1019.16</v>
      </c>
      <c r="AM540" s="13" t="e">
        <f>VLOOKUP(I540,'Order 301-305 (เรียง)'!A:B,2,0)</f>
        <v>#N/A</v>
      </c>
      <c r="AN540" t="e">
        <f>VLOOKUP(I540,'Order 301-305 (เรียง)'!A:C,3,0)</f>
        <v>#N/A</v>
      </c>
    </row>
    <row r="541" spans="1:40" x14ac:dyDescent="0.3">
      <c r="A541" s="1" t="s">
        <v>81</v>
      </c>
      <c r="B541" s="1" t="s">
        <v>82</v>
      </c>
      <c r="C541" s="1" t="s">
        <v>64</v>
      </c>
      <c r="D541" s="1" t="s">
        <v>65</v>
      </c>
      <c r="E541" s="1" t="s">
        <v>66</v>
      </c>
      <c r="F541" s="1" t="s">
        <v>1409</v>
      </c>
      <c r="G541" s="1" t="s">
        <v>83</v>
      </c>
      <c r="H541" s="1" t="s">
        <v>1026</v>
      </c>
      <c r="I541" s="1" t="s">
        <v>68</v>
      </c>
      <c r="J541" s="1" t="s">
        <v>1410</v>
      </c>
      <c r="K541" s="1" t="s">
        <v>118</v>
      </c>
      <c r="L541" s="1" t="s">
        <v>86</v>
      </c>
      <c r="M541" s="1" t="s">
        <v>68</v>
      </c>
      <c r="N541" s="1" t="s">
        <v>71</v>
      </c>
      <c r="O541" s="1" t="s">
        <v>68</v>
      </c>
      <c r="P541" s="1" t="s">
        <v>72</v>
      </c>
      <c r="Q541" s="1" t="s">
        <v>68</v>
      </c>
      <c r="R541" s="1" t="s">
        <v>68</v>
      </c>
      <c r="S541" s="1" t="s">
        <v>68</v>
      </c>
      <c r="T541" s="1" t="s">
        <v>73</v>
      </c>
      <c r="U541" s="1" t="s">
        <v>68</v>
      </c>
      <c r="V541" s="1" t="s">
        <v>68</v>
      </c>
      <c r="W541" s="1" t="s">
        <v>68</v>
      </c>
      <c r="X541" s="1" t="s">
        <v>1411</v>
      </c>
      <c r="Y541" s="73"/>
      <c r="Z541" s="2" t="s">
        <v>85</v>
      </c>
      <c r="AA541" s="3">
        <v>-216</v>
      </c>
      <c r="AB541" s="4">
        <v>-220138.56</v>
      </c>
      <c r="AC541" s="73">
        <v>46223</v>
      </c>
      <c r="AD541" s="73">
        <v>46223</v>
      </c>
      <c r="AE541" s="73"/>
      <c r="AF541" s="73">
        <v>46223</v>
      </c>
      <c r="AG541" s="3">
        <v>-648000</v>
      </c>
      <c r="AH541" s="353" t="str">
        <f t="shared" si="45"/>
        <v/>
      </c>
      <c r="AI541" s="3" t="str">
        <f t="shared" si="46"/>
        <v>59</v>
      </c>
      <c r="AJ541" s="64" t="str">
        <f>VLOOKUP(T541,'GL Name'!A:B,2,0)</f>
        <v>ต้นทุนขาย</v>
      </c>
      <c r="AL541" s="13">
        <f t="shared" si="47"/>
        <v>1019.16</v>
      </c>
      <c r="AM541" s="13" t="e">
        <f>VLOOKUP(I541,'Order 301-305 (เรียง)'!A:B,2,0)</f>
        <v>#N/A</v>
      </c>
      <c r="AN541" t="e">
        <f>VLOOKUP(I541,'Order 301-305 (เรียง)'!A:C,3,0)</f>
        <v>#N/A</v>
      </c>
    </row>
    <row r="542" spans="1:40" x14ac:dyDescent="0.3">
      <c r="A542" s="1" t="s">
        <v>81</v>
      </c>
      <c r="B542" s="1" t="s">
        <v>82</v>
      </c>
      <c r="C542" s="1" t="s">
        <v>64</v>
      </c>
      <c r="D542" s="1" t="s">
        <v>65</v>
      </c>
      <c r="E542" s="1" t="s">
        <v>66</v>
      </c>
      <c r="F542" s="1" t="s">
        <v>1412</v>
      </c>
      <c r="G542" s="1" t="s">
        <v>83</v>
      </c>
      <c r="H542" s="1" t="s">
        <v>1026</v>
      </c>
      <c r="I542" s="1" t="s">
        <v>68</v>
      </c>
      <c r="J542" s="1" t="s">
        <v>1413</v>
      </c>
      <c r="K542" s="1" t="s">
        <v>118</v>
      </c>
      <c r="L542" s="1" t="s">
        <v>70</v>
      </c>
      <c r="M542" s="1" t="s">
        <v>68</v>
      </c>
      <c r="N542" s="1" t="s">
        <v>71</v>
      </c>
      <c r="O542" s="1" t="s">
        <v>68</v>
      </c>
      <c r="P542" s="1" t="s">
        <v>72</v>
      </c>
      <c r="Q542" s="1" t="s">
        <v>68</v>
      </c>
      <c r="R542" s="1" t="s">
        <v>68</v>
      </c>
      <c r="S542" s="1" t="s">
        <v>68</v>
      </c>
      <c r="T542" s="1" t="s">
        <v>73</v>
      </c>
      <c r="U542" s="1" t="s">
        <v>68</v>
      </c>
      <c r="V542" s="1" t="s">
        <v>68</v>
      </c>
      <c r="W542" s="1" t="s">
        <v>68</v>
      </c>
      <c r="X542" s="1" t="s">
        <v>1414</v>
      </c>
      <c r="Y542" s="73"/>
      <c r="Z542" s="2" t="s">
        <v>85</v>
      </c>
      <c r="AA542" s="3">
        <v>-1920</v>
      </c>
      <c r="AB542" s="4">
        <v>-1956787.2</v>
      </c>
      <c r="AC542" s="73">
        <v>46223</v>
      </c>
      <c r="AD542" s="73">
        <v>46223</v>
      </c>
      <c r="AE542" s="73"/>
      <c r="AF542" s="73">
        <v>46223</v>
      </c>
      <c r="AG542" s="3">
        <v>-5760000</v>
      </c>
      <c r="AH542" s="353" t="str">
        <f t="shared" si="45"/>
        <v/>
      </c>
      <c r="AI542" s="3" t="str">
        <f t="shared" si="46"/>
        <v>59</v>
      </c>
      <c r="AJ542" s="64" t="str">
        <f>VLOOKUP(T542,'GL Name'!A:B,2,0)</f>
        <v>ต้นทุนขาย</v>
      </c>
      <c r="AL542" s="13">
        <f t="shared" si="47"/>
        <v>1019.16</v>
      </c>
      <c r="AM542" s="13" t="e">
        <f>VLOOKUP(I542,'Order 301-305 (เรียง)'!A:B,2,0)</f>
        <v>#N/A</v>
      </c>
      <c r="AN542" t="e">
        <f>VLOOKUP(I542,'Order 301-305 (เรียง)'!A:C,3,0)</f>
        <v>#N/A</v>
      </c>
    </row>
    <row r="543" spans="1:40" x14ac:dyDescent="0.3">
      <c r="A543" s="1" t="s">
        <v>81</v>
      </c>
      <c r="B543" s="1" t="s">
        <v>82</v>
      </c>
      <c r="C543" s="1" t="s">
        <v>64</v>
      </c>
      <c r="D543" s="1" t="s">
        <v>65</v>
      </c>
      <c r="E543" s="1" t="s">
        <v>66</v>
      </c>
      <c r="F543" s="1" t="s">
        <v>1415</v>
      </c>
      <c r="G543" s="1" t="s">
        <v>83</v>
      </c>
      <c r="H543" s="1" t="s">
        <v>1026</v>
      </c>
      <c r="I543" s="1" t="s">
        <v>68</v>
      </c>
      <c r="J543" s="1" t="s">
        <v>593</v>
      </c>
      <c r="K543" s="1" t="s">
        <v>118</v>
      </c>
      <c r="L543" s="1" t="s">
        <v>70</v>
      </c>
      <c r="M543" s="1" t="s">
        <v>68</v>
      </c>
      <c r="N543" s="1" t="s">
        <v>71</v>
      </c>
      <c r="O543" s="1" t="s">
        <v>68</v>
      </c>
      <c r="P543" s="1" t="s">
        <v>72</v>
      </c>
      <c r="Q543" s="1" t="s">
        <v>68</v>
      </c>
      <c r="R543" s="1" t="s">
        <v>68</v>
      </c>
      <c r="S543" s="1" t="s">
        <v>68</v>
      </c>
      <c r="T543" s="1" t="s">
        <v>73</v>
      </c>
      <c r="U543" s="1" t="s">
        <v>68</v>
      </c>
      <c r="V543" s="1" t="s">
        <v>68</v>
      </c>
      <c r="W543" s="1" t="s">
        <v>68</v>
      </c>
      <c r="X543" s="1" t="s">
        <v>1416</v>
      </c>
      <c r="Y543" s="73"/>
      <c r="Z543" s="2" t="s">
        <v>85</v>
      </c>
      <c r="AA543" s="3">
        <v>-1215</v>
      </c>
      <c r="AB543" s="4">
        <v>-1238279.3999999999</v>
      </c>
      <c r="AC543" s="73">
        <v>46223</v>
      </c>
      <c r="AD543" s="73">
        <v>46223</v>
      </c>
      <c r="AE543" s="73"/>
      <c r="AF543" s="73">
        <v>46223</v>
      </c>
      <c r="AG543" s="3">
        <v>-3645000</v>
      </c>
      <c r="AH543" s="353" t="str">
        <f t="shared" si="45"/>
        <v/>
      </c>
      <c r="AI543" s="3" t="str">
        <f t="shared" si="46"/>
        <v>59</v>
      </c>
      <c r="AJ543" s="64" t="str">
        <f>VLOOKUP(T543,'GL Name'!A:B,2,0)</f>
        <v>ต้นทุนขาย</v>
      </c>
      <c r="AL543" s="13">
        <f t="shared" si="47"/>
        <v>1019.16</v>
      </c>
      <c r="AM543" s="13" t="e">
        <f>VLOOKUP(I543,'Order 301-305 (เรียง)'!A:B,2,0)</f>
        <v>#N/A</v>
      </c>
      <c r="AN543" t="e">
        <f>VLOOKUP(I543,'Order 301-305 (เรียง)'!A:C,3,0)</f>
        <v>#N/A</v>
      </c>
    </row>
    <row r="544" spans="1:40" x14ac:dyDescent="0.3">
      <c r="A544" s="1" t="s">
        <v>81</v>
      </c>
      <c r="B544" s="1" t="s">
        <v>82</v>
      </c>
      <c r="C544" s="1" t="s">
        <v>64</v>
      </c>
      <c r="D544" s="1" t="s">
        <v>65</v>
      </c>
      <c r="E544" s="1" t="s">
        <v>66</v>
      </c>
      <c r="F544" s="1" t="s">
        <v>1415</v>
      </c>
      <c r="G544" s="1" t="s">
        <v>83</v>
      </c>
      <c r="H544" s="1" t="s">
        <v>1031</v>
      </c>
      <c r="I544" s="1" t="s">
        <v>68</v>
      </c>
      <c r="J544" s="1" t="s">
        <v>593</v>
      </c>
      <c r="K544" s="1" t="s">
        <v>118</v>
      </c>
      <c r="L544" s="1" t="s">
        <v>86</v>
      </c>
      <c r="M544" s="1" t="s">
        <v>68</v>
      </c>
      <c r="N544" s="1" t="s">
        <v>71</v>
      </c>
      <c r="O544" s="1" t="s">
        <v>68</v>
      </c>
      <c r="P544" s="1" t="s">
        <v>72</v>
      </c>
      <c r="Q544" s="1" t="s">
        <v>68</v>
      </c>
      <c r="R544" s="1" t="s">
        <v>68</v>
      </c>
      <c r="S544" s="1" t="s">
        <v>68</v>
      </c>
      <c r="T544" s="1" t="s">
        <v>73</v>
      </c>
      <c r="U544" s="1" t="s">
        <v>68</v>
      </c>
      <c r="V544" s="1" t="s">
        <v>68</v>
      </c>
      <c r="W544" s="1" t="s">
        <v>68</v>
      </c>
      <c r="X544" s="1" t="s">
        <v>1416</v>
      </c>
      <c r="Y544" s="73"/>
      <c r="Z544" s="2" t="s">
        <v>85</v>
      </c>
      <c r="AA544" s="3">
        <v>-1665</v>
      </c>
      <c r="AB544" s="4">
        <v>-1696901.4</v>
      </c>
      <c r="AC544" s="73">
        <v>46223</v>
      </c>
      <c r="AD544" s="73">
        <v>46223</v>
      </c>
      <c r="AE544" s="73"/>
      <c r="AF544" s="73">
        <v>46223</v>
      </c>
      <c r="AG544" s="3">
        <v>-4995000</v>
      </c>
      <c r="AH544" s="353" t="str">
        <f t="shared" si="45"/>
        <v/>
      </c>
      <c r="AI544" s="3" t="str">
        <f t="shared" si="46"/>
        <v>59</v>
      </c>
      <c r="AJ544" s="64" t="str">
        <f>VLOOKUP(T544,'GL Name'!A:B,2,0)</f>
        <v>ต้นทุนขาย</v>
      </c>
      <c r="AL544" s="13">
        <f t="shared" si="47"/>
        <v>1019.16</v>
      </c>
      <c r="AM544" s="13" t="e">
        <f>VLOOKUP(I544,'Order 301-305 (เรียง)'!A:B,2,0)</f>
        <v>#N/A</v>
      </c>
      <c r="AN544" t="e">
        <f>VLOOKUP(I544,'Order 301-305 (เรียง)'!A:C,3,0)</f>
        <v>#N/A</v>
      </c>
    </row>
    <row r="545" spans="1:40" x14ac:dyDescent="0.3">
      <c r="A545" s="1" t="s">
        <v>81</v>
      </c>
      <c r="B545" s="1" t="s">
        <v>82</v>
      </c>
      <c r="C545" s="1" t="s">
        <v>64</v>
      </c>
      <c r="D545" s="1" t="s">
        <v>87</v>
      </c>
      <c r="E545" s="1" t="s">
        <v>88</v>
      </c>
      <c r="F545" s="1" t="s">
        <v>1417</v>
      </c>
      <c r="G545" s="1" t="s">
        <v>83</v>
      </c>
      <c r="H545" s="1" t="s">
        <v>1031</v>
      </c>
      <c r="I545" s="1" t="s">
        <v>68</v>
      </c>
      <c r="J545" s="1" t="s">
        <v>1418</v>
      </c>
      <c r="K545" s="1" t="s">
        <v>118</v>
      </c>
      <c r="L545" s="1" t="s">
        <v>86</v>
      </c>
      <c r="M545" s="1" t="s">
        <v>68</v>
      </c>
      <c r="N545" s="1" t="s">
        <v>71</v>
      </c>
      <c r="O545" s="1" t="s">
        <v>68</v>
      </c>
      <c r="P545" s="1" t="s">
        <v>1419</v>
      </c>
      <c r="Q545" s="1" t="s">
        <v>68</v>
      </c>
      <c r="R545" s="1" t="s">
        <v>308</v>
      </c>
      <c r="S545" s="1" t="s">
        <v>90</v>
      </c>
      <c r="T545" s="1" t="s">
        <v>91</v>
      </c>
      <c r="U545" s="1" t="s">
        <v>68</v>
      </c>
      <c r="V545" s="1" t="s">
        <v>68</v>
      </c>
      <c r="W545" s="1" t="s">
        <v>68</v>
      </c>
      <c r="X545" s="1" t="s">
        <v>68</v>
      </c>
      <c r="Y545" s="73"/>
      <c r="Z545" s="2" t="s">
        <v>74</v>
      </c>
      <c r="AA545" s="3">
        <v>-1</v>
      </c>
      <c r="AB545" s="4">
        <v>-169.86</v>
      </c>
      <c r="AC545" s="73">
        <v>46223</v>
      </c>
      <c r="AD545" s="73">
        <v>46223</v>
      </c>
      <c r="AE545" s="73"/>
      <c r="AF545" s="73">
        <v>46223</v>
      </c>
      <c r="AG545" s="3">
        <v>-500</v>
      </c>
      <c r="AH545" s="353" t="str">
        <f t="shared" si="45"/>
        <v/>
      </c>
      <c r="AI545" s="3" t="str">
        <f t="shared" si="46"/>
        <v>59</v>
      </c>
      <c r="AJ545" s="64" t="str">
        <f>VLOOKUP(T545,'GL Name'!A:B,2,0)</f>
        <v>ค่าวิจัยคุณภาพสินค้า</v>
      </c>
      <c r="AL545" s="13">
        <f t="shared" si="47"/>
        <v>169.86</v>
      </c>
      <c r="AM545" s="13" t="e">
        <f>VLOOKUP(I545,'Order 301-305 (เรียง)'!A:B,2,0)</f>
        <v>#N/A</v>
      </c>
      <c r="AN545" t="e">
        <f>VLOOKUP(I545,'Order 301-305 (เรียง)'!A:C,3,0)</f>
        <v>#N/A</v>
      </c>
    </row>
    <row r="546" spans="1:40" x14ac:dyDescent="0.3">
      <c r="A546" s="1" t="s">
        <v>81</v>
      </c>
      <c r="B546" s="1" t="s">
        <v>82</v>
      </c>
      <c r="C546" s="1" t="s">
        <v>64</v>
      </c>
      <c r="D546" s="1" t="s">
        <v>87</v>
      </c>
      <c r="E546" s="1" t="s">
        <v>88</v>
      </c>
      <c r="F546" s="1" t="s">
        <v>1417</v>
      </c>
      <c r="G546" s="1" t="s">
        <v>83</v>
      </c>
      <c r="H546" s="1" t="s">
        <v>1005</v>
      </c>
      <c r="I546" s="1" t="s">
        <v>68</v>
      </c>
      <c r="J546" s="1" t="s">
        <v>1418</v>
      </c>
      <c r="K546" s="1" t="s">
        <v>118</v>
      </c>
      <c r="L546" s="1" t="s">
        <v>70</v>
      </c>
      <c r="M546" s="1" t="s">
        <v>68</v>
      </c>
      <c r="N546" s="1" t="s">
        <v>71</v>
      </c>
      <c r="O546" s="1" t="s">
        <v>68</v>
      </c>
      <c r="P546" s="1" t="s">
        <v>1419</v>
      </c>
      <c r="Q546" s="1" t="s">
        <v>68</v>
      </c>
      <c r="R546" s="1" t="s">
        <v>308</v>
      </c>
      <c r="S546" s="1" t="s">
        <v>90</v>
      </c>
      <c r="T546" s="1" t="s">
        <v>91</v>
      </c>
      <c r="U546" s="1" t="s">
        <v>68</v>
      </c>
      <c r="V546" s="1" t="s">
        <v>68</v>
      </c>
      <c r="W546" s="1" t="s">
        <v>68</v>
      </c>
      <c r="X546" s="1" t="s">
        <v>68</v>
      </c>
      <c r="Y546" s="73"/>
      <c r="Z546" s="2" t="s">
        <v>74</v>
      </c>
      <c r="AA546" s="3">
        <v>-3</v>
      </c>
      <c r="AB546" s="4">
        <v>-509.58</v>
      </c>
      <c r="AC546" s="73">
        <v>46223</v>
      </c>
      <c r="AD546" s="73">
        <v>46223</v>
      </c>
      <c r="AE546" s="73"/>
      <c r="AF546" s="73">
        <v>46223</v>
      </c>
      <c r="AG546" s="3">
        <v>-1500</v>
      </c>
      <c r="AH546" s="353" t="str">
        <f t="shared" si="45"/>
        <v/>
      </c>
      <c r="AI546" s="3" t="str">
        <f t="shared" si="46"/>
        <v>59</v>
      </c>
      <c r="AJ546" s="64" t="str">
        <f>VLOOKUP(T546,'GL Name'!A:B,2,0)</f>
        <v>ค่าวิจัยคุณภาพสินค้า</v>
      </c>
      <c r="AL546" s="13">
        <f t="shared" si="47"/>
        <v>169.85999999999999</v>
      </c>
      <c r="AM546" s="13" t="e">
        <f>VLOOKUP(I546,'Order 301-305 (เรียง)'!A:B,2,0)</f>
        <v>#N/A</v>
      </c>
      <c r="AN546" t="e">
        <f>VLOOKUP(I546,'Order 301-305 (เรียง)'!A:C,3,0)</f>
        <v>#N/A</v>
      </c>
    </row>
    <row r="547" spans="1:40" x14ac:dyDescent="0.3">
      <c r="A547" s="1" t="s">
        <v>81</v>
      </c>
      <c r="B547" s="1" t="s">
        <v>82</v>
      </c>
      <c r="C547" s="1" t="s">
        <v>64</v>
      </c>
      <c r="D547" s="1" t="s">
        <v>87</v>
      </c>
      <c r="E547" s="1" t="s">
        <v>88</v>
      </c>
      <c r="F547" s="1" t="s">
        <v>1420</v>
      </c>
      <c r="G547" s="1" t="s">
        <v>83</v>
      </c>
      <c r="H547" s="1" t="s">
        <v>1031</v>
      </c>
      <c r="I547" s="1" t="s">
        <v>68</v>
      </c>
      <c r="J547" s="1" t="s">
        <v>1421</v>
      </c>
      <c r="K547" s="1" t="s">
        <v>118</v>
      </c>
      <c r="L547" s="1" t="s">
        <v>70</v>
      </c>
      <c r="M547" s="1" t="s">
        <v>68</v>
      </c>
      <c r="N547" s="1" t="s">
        <v>71</v>
      </c>
      <c r="O547" s="1" t="s">
        <v>68</v>
      </c>
      <c r="P547" s="1" t="s">
        <v>1422</v>
      </c>
      <c r="Q547" s="1" t="s">
        <v>68</v>
      </c>
      <c r="R547" s="1" t="s">
        <v>308</v>
      </c>
      <c r="S547" s="1" t="s">
        <v>90</v>
      </c>
      <c r="T547" s="1" t="s">
        <v>91</v>
      </c>
      <c r="U547" s="1" t="s">
        <v>68</v>
      </c>
      <c r="V547" s="1" t="s">
        <v>68</v>
      </c>
      <c r="W547" s="1" t="s">
        <v>68</v>
      </c>
      <c r="X547" s="1" t="s">
        <v>68</v>
      </c>
      <c r="Y547" s="73"/>
      <c r="Z547" s="2" t="s">
        <v>74</v>
      </c>
      <c r="AA547" s="3">
        <v>-4</v>
      </c>
      <c r="AB547" s="4">
        <v>-679.44</v>
      </c>
      <c r="AC547" s="73">
        <v>46223</v>
      </c>
      <c r="AD547" s="73">
        <v>46223</v>
      </c>
      <c r="AE547" s="73"/>
      <c r="AF547" s="73">
        <v>46223</v>
      </c>
      <c r="AG547" s="3">
        <v>-2000</v>
      </c>
      <c r="AH547" s="353" t="str">
        <f t="shared" si="45"/>
        <v/>
      </c>
      <c r="AI547" s="3" t="str">
        <f t="shared" si="46"/>
        <v>59</v>
      </c>
      <c r="AJ547" s="64" t="str">
        <f>VLOOKUP(T547,'GL Name'!A:B,2,0)</f>
        <v>ค่าวิจัยคุณภาพสินค้า</v>
      </c>
      <c r="AL547" s="13">
        <f t="shared" si="47"/>
        <v>169.86</v>
      </c>
      <c r="AM547" s="13" t="e">
        <f>VLOOKUP(I547,'Order 301-305 (เรียง)'!A:B,2,0)</f>
        <v>#N/A</v>
      </c>
      <c r="AN547" t="e">
        <f>VLOOKUP(I547,'Order 301-305 (เรียง)'!A:C,3,0)</f>
        <v>#N/A</v>
      </c>
    </row>
    <row r="548" spans="1:40" x14ac:dyDescent="0.3">
      <c r="A548" s="1" t="s">
        <v>9</v>
      </c>
      <c r="B548" s="1" t="s">
        <v>10</v>
      </c>
      <c r="C548" s="1" t="s">
        <v>64</v>
      </c>
      <c r="D548" s="1" t="s">
        <v>93</v>
      </c>
      <c r="E548" s="1" t="s">
        <v>94</v>
      </c>
      <c r="F548" s="1" t="s">
        <v>1423</v>
      </c>
      <c r="G548" s="1" t="s">
        <v>278</v>
      </c>
      <c r="H548" s="1" t="s">
        <v>561</v>
      </c>
      <c r="I548" s="1" t="s">
        <v>68</v>
      </c>
      <c r="J548" s="1" t="s">
        <v>1424</v>
      </c>
      <c r="K548" s="1" t="s">
        <v>118</v>
      </c>
      <c r="L548" s="1" t="s">
        <v>86</v>
      </c>
      <c r="M548" s="1" t="s">
        <v>68</v>
      </c>
      <c r="N548" s="1" t="s">
        <v>71</v>
      </c>
      <c r="O548" s="1" t="s">
        <v>68</v>
      </c>
      <c r="P548" s="1" t="s">
        <v>72</v>
      </c>
      <c r="Q548" s="1" t="s">
        <v>68</v>
      </c>
      <c r="R548" s="1" t="s">
        <v>68</v>
      </c>
      <c r="S548" s="1" t="s">
        <v>68</v>
      </c>
      <c r="T548" s="1" t="s">
        <v>68</v>
      </c>
      <c r="U548" s="1" t="s">
        <v>68</v>
      </c>
      <c r="V548" s="1" t="s">
        <v>68</v>
      </c>
      <c r="W548" s="1" t="s">
        <v>68</v>
      </c>
      <c r="X548" s="1" t="s">
        <v>68</v>
      </c>
      <c r="Y548" s="73"/>
      <c r="Z548" s="2" t="s">
        <v>80</v>
      </c>
      <c r="AA548" s="3">
        <v>6972</v>
      </c>
      <c r="AB548" s="4">
        <v>0</v>
      </c>
      <c r="AC548" s="73">
        <v>46223</v>
      </c>
      <c r="AD548" s="73">
        <v>46223</v>
      </c>
      <c r="AE548" s="73"/>
      <c r="AF548" s="73">
        <v>46223</v>
      </c>
      <c r="AG548" s="3">
        <v>6972000</v>
      </c>
      <c r="AH548" s="353" t="str">
        <f t="shared" si="45"/>
        <v/>
      </c>
      <c r="AI548" s="3" t="str">
        <f t="shared" si="46"/>
        <v>54</v>
      </c>
      <c r="AJ548" s="64" t="e">
        <f>VLOOKUP(T548,'GL Name'!A:B,2,0)</f>
        <v>#N/A</v>
      </c>
      <c r="AL548" s="13">
        <f t="shared" si="47"/>
        <v>0</v>
      </c>
      <c r="AM548" s="13" t="e">
        <f>VLOOKUP(I548,'Order 301-305 (เรียง)'!A:B,2,0)</f>
        <v>#N/A</v>
      </c>
      <c r="AN548" t="e">
        <f>VLOOKUP(I548,'Order 301-305 (เรียง)'!A:C,3,0)</f>
        <v>#N/A</v>
      </c>
    </row>
    <row r="549" spans="1:40" x14ac:dyDescent="0.3">
      <c r="A549" s="1" t="s">
        <v>9</v>
      </c>
      <c r="B549" s="1" t="s">
        <v>10</v>
      </c>
      <c r="C549" s="1" t="s">
        <v>64</v>
      </c>
      <c r="D549" s="1" t="s">
        <v>93</v>
      </c>
      <c r="E549" s="1" t="s">
        <v>94</v>
      </c>
      <c r="F549" s="1" t="s">
        <v>1423</v>
      </c>
      <c r="G549" s="1" t="s">
        <v>232</v>
      </c>
      <c r="H549" s="1" t="s">
        <v>561</v>
      </c>
      <c r="I549" s="1" t="s">
        <v>68</v>
      </c>
      <c r="J549" s="1" t="s">
        <v>1424</v>
      </c>
      <c r="K549" s="1" t="s">
        <v>118</v>
      </c>
      <c r="L549" s="1" t="s">
        <v>70</v>
      </c>
      <c r="M549" s="1" t="s">
        <v>68</v>
      </c>
      <c r="N549" s="1" t="s">
        <v>71</v>
      </c>
      <c r="O549" s="1" t="s">
        <v>68</v>
      </c>
      <c r="P549" s="1" t="s">
        <v>72</v>
      </c>
      <c r="Q549" s="1" t="s">
        <v>68</v>
      </c>
      <c r="R549" s="1" t="s">
        <v>68</v>
      </c>
      <c r="S549" s="1" t="s">
        <v>68</v>
      </c>
      <c r="T549" s="1" t="s">
        <v>68</v>
      </c>
      <c r="U549" s="1" t="s">
        <v>68</v>
      </c>
      <c r="V549" s="1" t="s">
        <v>68</v>
      </c>
      <c r="W549" s="1" t="s">
        <v>68</v>
      </c>
      <c r="X549" s="1" t="s">
        <v>68</v>
      </c>
      <c r="Y549" s="73"/>
      <c r="Z549" s="2" t="s">
        <v>80</v>
      </c>
      <c r="AA549" s="3">
        <v>-6972</v>
      </c>
      <c r="AB549" s="4">
        <v>0</v>
      </c>
      <c r="AC549" s="73">
        <v>46223</v>
      </c>
      <c r="AD549" s="73">
        <v>46223</v>
      </c>
      <c r="AE549" s="73"/>
      <c r="AF549" s="73">
        <v>46223</v>
      </c>
      <c r="AG549" s="3">
        <v>-6972000</v>
      </c>
      <c r="AH549" s="353" t="str">
        <f t="shared" si="45"/>
        <v/>
      </c>
      <c r="AI549" s="3" t="str">
        <f t="shared" si="46"/>
        <v>54</v>
      </c>
      <c r="AJ549" s="64" t="e">
        <f>VLOOKUP(T549,'GL Name'!A:B,2,0)</f>
        <v>#N/A</v>
      </c>
      <c r="AL549" s="13">
        <f t="shared" si="47"/>
        <v>0</v>
      </c>
      <c r="AM549" s="13" t="e">
        <f>VLOOKUP(I549,'Order 301-305 (เรียง)'!A:B,2,0)</f>
        <v>#N/A</v>
      </c>
      <c r="AN549" t="e">
        <f>VLOOKUP(I549,'Order 301-305 (เรียง)'!A:C,3,0)</f>
        <v>#N/A</v>
      </c>
    </row>
    <row r="550" spans="1:40" x14ac:dyDescent="0.3">
      <c r="A550" s="1" t="s">
        <v>17</v>
      </c>
      <c r="B550" s="1" t="s">
        <v>18</v>
      </c>
      <c r="C550" s="1" t="s">
        <v>64</v>
      </c>
      <c r="D550" s="1" t="s">
        <v>93</v>
      </c>
      <c r="E550" s="1" t="s">
        <v>94</v>
      </c>
      <c r="F550" s="1" t="s">
        <v>1423</v>
      </c>
      <c r="G550" s="1" t="s">
        <v>278</v>
      </c>
      <c r="H550" s="1" t="s">
        <v>304</v>
      </c>
      <c r="I550" s="1" t="s">
        <v>68</v>
      </c>
      <c r="J550" s="1" t="s">
        <v>1424</v>
      </c>
      <c r="K550" s="1" t="s">
        <v>118</v>
      </c>
      <c r="L550" s="1" t="s">
        <v>89</v>
      </c>
      <c r="M550" s="1" t="s">
        <v>68</v>
      </c>
      <c r="N550" s="1" t="s">
        <v>71</v>
      </c>
      <c r="O550" s="1" t="s">
        <v>68</v>
      </c>
      <c r="P550" s="1" t="s">
        <v>72</v>
      </c>
      <c r="Q550" s="1" t="s">
        <v>68</v>
      </c>
      <c r="R550" s="1" t="s">
        <v>68</v>
      </c>
      <c r="S550" s="1" t="s">
        <v>68</v>
      </c>
      <c r="T550" s="1" t="s">
        <v>68</v>
      </c>
      <c r="U550" s="1" t="s">
        <v>68</v>
      </c>
      <c r="V550" s="1" t="s">
        <v>68</v>
      </c>
      <c r="W550" s="1" t="s">
        <v>68</v>
      </c>
      <c r="X550" s="1" t="s">
        <v>68</v>
      </c>
      <c r="Y550" s="73"/>
      <c r="Z550" s="2" t="s">
        <v>80</v>
      </c>
      <c r="AA550" s="3">
        <v>8981.2000000000007</v>
      </c>
      <c r="AB550" s="4">
        <v>0</v>
      </c>
      <c r="AC550" s="73">
        <v>46223</v>
      </c>
      <c r="AD550" s="73">
        <v>46223</v>
      </c>
      <c r="AE550" s="73"/>
      <c r="AF550" s="73">
        <v>46223</v>
      </c>
      <c r="AG550" s="3">
        <v>8981200</v>
      </c>
      <c r="AH550" s="353" t="str">
        <f t="shared" si="45"/>
        <v/>
      </c>
      <c r="AI550" s="3" t="str">
        <f t="shared" si="46"/>
        <v>54</v>
      </c>
      <c r="AJ550" s="64" t="e">
        <f>VLOOKUP(T550,'GL Name'!A:B,2,0)</f>
        <v>#N/A</v>
      </c>
      <c r="AL550" s="13">
        <f t="shared" si="47"/>
        <v>0</v>
      </c>
      <c r="AM550" s="13" t="e">
        <f>VLOOKUP(I550,'Order 301-305 (เรียง)'!A:B,2,0)</f>
        <v>#N/A</v>
      </c>
      <c r="AN550" t="e">
        <f>VLOOKUP(I550,'Order 301-305 (เรียง)'!A:C,3,0)</f>
        <v>#N/A</v>
      </c>
    </row>
    <row r="551" spans="1:40" x14ac:dyDescent="0.3">
      <c r="A551" s="1" t="s">
        <v>17</v>
      </c>
      <c r="B551" s="1" t="s">
        <v>18</v>
      </c>
      <c r="C551" s="1" t="s">
        <v>64</v>
      </c>
      <c r="D551" s="1" t="s">
        <v>93</v>
      </c>
      <c r="E551" s="1" t="s">
        <v>94</v>
      </c>
      <c r="F551" s="1" t="s">
        <v>1423</v>
      </c>
      <c r="G551" s="1" t="s">
        <v>232</v>
      </c>
      <c r="H551" s="1" t="s">
        <v>304</v>
      </c>
      <c r="I551" s="1" t="s">
        <v>68</v>
      </c>
      <c r="J551" s="1" t="s">
        <v>1424</v>
      </c>
      <c r="K551" s="1" t="s">
        <v>118</v>
      </c>
      <c r="L551" s="1" t="s">
        <v>92</v>
      </c>
      <c r="M551" s="1" t="s">
        <v>68</v>
      </c>
      <c r="N551" s="1" t="s">
        <v>71</v>
      </c>
      <c r="O551" s="1" t="s">
        <v>68</v>
      </c>
      <c r="P551" s="1" t="s">
        <v>72</v>
      </c>
      <c r="Q551" s="1" t="s">
        <v>68</v>
      </c>
      <c r="R551" s="1" t="s">
        <v>68</v>
      </c>
      <c r="S551" s="1" t="s">
        <v>68</v>
      </c>
      <c r="T551" s="1" t="s">
        <v>68</v>
      </c>
      <c r="U551" s="1" t="s">
        <v>68</v>
      </c>
      <c r="V551" s="1" t="s">
        <v>68</v>
      </c>
      <c r="W551" s="1" t="s">
        <v>68</v>
      </c>
      <c r="X551" s="1" t="s">
        <v>68</v>
      </c>
      <c r="Y551" s="73"/>
      <c r="Z551" s="2" t="s">
        <v>80</v>
      </c>
      <c r="AA551" s="3">
        <v>-8981.2000000000007</v>
      </c>
      <c r="AB551" s="4">
        <v>0</v>
      </c>
      <c r="AC551" s="73">
        <v>46223</v>
      </c>
      <c r="AD551" s="73">
        <v>46223</v>
      </c>
      <c r="AE551" s="73"/>
      <c r="AF551" s="73">
        <v>46223</v>
      </c>
      <c r="AG551" s="3">
        <v>-8981200</v>
      </c>
      <c r="AH551" s="353" t="str">
        <f t="shared" si="45"/>
        <v/>
      </c>
      <c r="AI551" s="3" t="str">
        <f t="shared" si="46"/>
        <v>54</v>
      </c>
      <c r="AJ551" s="64" t="e">
        <f>VLOOKUP(T551,'GL Name'!A:B,2,0)</f>
        <v>#N/A</v>
      </c>
      <c r="AL551" s="13">
        <f t="shared" si="47"/>
        <v>0</v>
      </c>
      <c r="AM551" s="13" t="e">
        <f>VLOOKUP(I551,'Order 301-305 (เรียง)'!A:B,2,0)</f>
        <v>#N/A</v>
      </c>
      <c r="AN551" t="e">
        <f>VLOOKUP(I551,'Order 301-305 (เรียง)'!A:C,3,0)</f>
        <v>#N/A</v>
      </c>
    </row>
    <row r="552" spans="1:40" x14ac:dyDescent="0.3">
      <c r="A552" s="1" t="s">
        <v>17</v>
      </c>
      <c r="B552" s="1" t="s">
        <v>18</v>
      </c>
      <c r="C552" s="1" t="s">
        <v>64</v>
      </c>
      <c r="D552" s="1" t="s">
        <v>77</v>
      </c>
      <c r="E552" s="1" t="s">
        <v>78</v>
      </c>
      <c r="F552" s="1" t="s">
        <v>1425</v>
      </c>
      <c r="G552" s="1" t="s">
        <v>278</v>
      </c>
      <c r="H552" s="1" t="s">
        <v>304</v>
      </c>
      <c r="I552" s="1" t="s">
        <v>1426</v>
      </c>
      <c r="J552" s="1" t="s">
        <v>1427</v>
      </c>
      <c r="K552" s="1" t="s">
        <v>290</v>
      </c>
      <c r="L552" s="1" t="s">
        <v>70</v>
      </c>
      <c r="M552" s="1" t="s">
        <v>68</v>
      </c>
      <c r="N552" s="1" t="s">
        <v>71</v>
      </c>
      <c r="O552" s="1" t="s">
        <v>68</v>
      </c>
      <c r="P552" s="1" t="s">
        <v>1428</v>
      </c>
      <c r="Q552" s="1" t="s">
        <v>68</v>
      </c>
      <c r="R552" s="1" t="s">
        <v>68</v>
      </c>
      <c r="S552" s="1" t="s">
        <v>68</v>
      </c>
      <c r="T552" s="1" t="s">
        <v>79</v>
      </c>
      <c r="U552" s="1" t="s">
        <v>68</v>
      </c>
      <c r="V552" s="1" t="s">
        <v>68</v>
      </c>
      <c r="W552" s="1" t="s">
        <v>68</v>
      </c>
      <c r="X552" s="1" t="s">
        <v>68</v>
      </c>
      <c r="Y552" s="73"/>
      <c r="Z552" s="2" t="s">
        <v>80</v>
      </c>
      <c r="AA552" s="3">
        <v>-8981.2000000000007</v>
      </c>
      <c r="AB552" s="4">
        <v>-1399264.4</v>
      </c>
      <c r="AC552" s="73">
        <v>46223</v>
      </c>
      <c r="AD552" s="73">
        <v>46219</v>
      </c>
      <c r="AE552" s="73"/>
      <c r="AF552" s="73">
        <v>46223</v>
      </c>
      <c r="AG552" s="3">
        <v>-8981200</v>
      </c>
      <c r="AH552" s="353" t="str">
        <f t="shared" si="45"/>
        <v>301</v>
      </c>
      <c r="AI552" s="3" t="str">
        <f t="shared" si="46"/>
        <v>54</v>
      </c>
      <c r="AJ552" s="64" t="str">
        <f>VLOOKUP(T552,'GL Name'!A:B,2,0)</f>
        <v>ต้นทุนผลิต-วัตถุดิบ</v>
      </c>
      <c r="AL552" s="13">
        <f t="shared" si="47"/>
        <v>155.79926958535606</v>
      </c>
      <c r="AM552" s="13" t="str">
        <f>VLOOKUP(I552,'Order 301-305 (เรียง)'!A:B,2,0)</f>
        <v>Semi</v>
      </c>
      <c r="AN552" t="str">
        <f>VLOOKUP(I552,'Order 301-305 (เรียง)'!A:C,3,0)</f>
        <v>Semi เมล็ดกาแฟ</v>
      </c>
    </row>
    <row r="553" spans="1:40" x14ac:dyDescent="0.3">
      <c r="A553" s="1" t="s">
        <v>62</v>
      </c>
      <c r="B553" s="1" t="s">
        <v>63</v>
      </c>
      <c r="C553" s="1" t="s">
        <v>64</v>
      </c>
      <c r="D553" s="1" t="s">
        <v>65</v>
      </c>
      <c r="E553" s="1" t="s">
        <v>66</v>
      </c>
      <c r="F553" s="1" t="s">
        <v>1429</v>
      </c>
      <c r="G553" s="1" t="s">
        <v>67</v>
      </c>
      <c r="H553" s="1" t="s">
        <v>281</v>
      </c>
      <c r="I553" s="1" t="s">
        <v>68</v>
      </c>
      <c r="J553" s="1" t="s">
        <v>1430</v>
      </c>
      <c r="K553" s="1" t="s">
        <v>96</v>
      </c>
      <c r="L553" s="1" t="s">
        <v>70</v>
      </c>
      <c r="M553" s="1" t="s">
        <v>68</v>
      </c>
      <c r="N553" s="1" t="s">
        <v>71</v>
      </c>
      <c r="O553" s="1" t="s">
        <v>68</v>
      </c>
      <c r="P553" s="1" t="s">
        <v>72</v>
      </c>
      <c r="Q553" s="1" t="s">
        <v>68</v>
      </c>
      <c r="R553" s="1" t="s">
        <v>68</v>
      </c>
      <c r="S553" s="1" t="s">
        <v>68</v>
      </c>
      <c r="T553" s="1" t="s">
        <v>73</v>
      </c>
      <c r="U553" s="1" t="s">
        <v>68</v>
      </c>
      <c r="V553" s="1" t="s">
        <v>68</v>
      </c>
      <c r="W553" s="1" t="s">
        <v>68</v>
      </c>
      <c r="X553" s="1" t="s">
        <v>1431</v>
      </c>
      <c r="Y553" s="73"/>
      <c r="Z553" s="2" t="s">
        <v>74</v>
      </c>
      <c r="AA553" s="3">
        <v>-2</v>
      </c>
      <c r="AB553" s="4">
        <v>-339.64</v>
      </c>
      <c r="AC553" s="73">
        <v>46223</v>
      </c>
      <c r="AD553" s="73">
        <v>46223</v>
      </c>
      <c r="AE553" s="73"/>
      <c r="AF553" s="73">
        <v>46223</v>
      </c>
      <c r="AG553" s="3">
        <v>-1000</v>
      </c>
      <c r="AH553" s="353" t="str">
        <f t="shared" si="45"/>
        <v/>
      </c>
      <c r="AI553" s="3" t="str">
        <f t="shared" si="46"/>
        <v>59</v>
      </c>
      <c r="AJ553" s="64" t="str">
        <f>VLOOKUP(T553,'GL Name'!A:B,2,0)</f>
        <v>ต้นทุนขาย</v>
      </c>
      <c r="AL553" s="13">
        <f t="shared" si="47"/>
        <v>169.82</v>
      </c>
      <c r="AM553" s="13" t="e">
        <f>VLOOKUP(I553,'Order 301-305 (เรียง)'!A:B,2,0)</f>
        <v>#N/A</v>
      </c>
      <c r="AN553" t="e">
        <f>VLOOKUP(I553,'Order 301-305 (เรียง)'!A:C,3,0)</f>
        <v>#N/A</v>
      </c>
    </row>
    <row r="554" spans="1:40" x14ac:dyDescent="0.3">
      <c r="A554" s="1" t="s">
        <v>62</v>
      </c>
      <c r="B554" s="1" t="s">
        <v>63</v>
      </c>
      <c r="C554" s="1" t="s">
        <v>64</v>
      </c>
      <c r="D554" s="1" t="s">
        <v>65</v>
      </c>
      <c r="E554" s="1" t="s">
        <v>66</v>
      </c>
      <c r="F554" s="1" t="s">
        <v>1432</v>
      </c>
      <c r="G554" s="1" t="s">
        <v>67</v>
      </c>
      <c r="H554" s="1" t="s">
        <v>281</v>
      </c>
      <c r="I554" s="1" t="s">
        <v>68</v>
      </c>
      <c r="J554" s="1" t="s">
        <v>1433</v>
      </c>
      <c r="K554" s="1" t="s">
        <v>96</v>
      </c>
      <c r="L554" s="1" t="s">
        <v>70</v>
      </c>
      <c r="M554" s="1" t="s">
        <v>68</v>
      </c>
      <c r="N554" s="1" t="s">
        <v>71</v>
      </c>
      <c r="O554" s="1" t="s">
        <v>68</v>
      </c>
      <c r="P554" s="1" t="s">
        <v>72</v>
      </c>
      <c r="Q554" s="1" t="s">
        <v>68</v>
      </c>
      <c r="R554" s="1" t="s">
        <v>68</v>
      </c>
      <c r="S554" s="1" t="s">
        <v>68</v>
      </c>
      <c r="T554" s="1" t="s">
        <v>73</v>
      </c>
      <c r="U554" s="1" t="s">
        <v>68</v>
      </c>
      <c r="V554" s="1" t="s">
        <v>68</v>
      </c>
      <c r="W554" s="1" t="s">
        <v>68</v>
      </c>
      <c r="X554" s="1" t="s">
        <v>1434</v>
      </c>
      <c r="Y554" s="73"/>
      <c r="Z554" s="2" t="s">
        <v>74</v>
      </c>
      <c r="AA554" s="3">
        <v>-2</v>
      </c>
      <c r="AB554" s="4">
        <v>-339.64</v>
      </c>
      <c r="AC554" s="73">
        <v>46223</v>
      </c>
      <c r="AD554" s="73">
        <v>46223</v>
      </c>
      <c r="AE554" s="73"/>
      <c r="AF554" s="73">
        <v>46223</v>
      </c>
      <c r="AG554" s="3">
        <v>-1000</v>
      </c>
      <c r="AH554" s="353" t="str">
        <f t="shared" si="45"/>
        <v/>
      </c>
      <c r="AI554" s="3" t="str">
        <f t="shared" si="46"/>
        <v>59</v>
      </c>
      <c r="AJ554" s="64" t="str">
        <f>VLOOKUP(T554,'GL Name'!A:B,2,0)</f>
        <v>ต้นทุนขาย</v>
      </c>
      <c r="AL554" s="13">
        <f t="shared" si="47"/>
        <v>169.82</v>
      </c>
      <c r="AM554" s="13" t="e">
        <f>VLOOKUP(I554,'Order 301-305 (เรียง)'!A:B,2,0)</f>
        <v>#N/A</v>
      </c>
      <c r="AN554" t="e">
        <f>VLOOKUP(I554,'Order 301-305 (เรียง)'!A:C,3,0)</f>
        <v>#N/A</v>
      </c>
    </row>
    <row r="555" spans="1:40" x14ac:dyDescent="0.3">
      <c r="A555" s="1" t="s">
        <v>62</v>
      </c>
      <c r="B555" s="1" t="s">
        <v>63</v>
      </c>
      <c r="C555" s="1" t="s">
        <v>64</v>
      </c>
      <c r="D555" s="1" t="s">
        <v>65</v>
      </c>
      <c r="E555" s="1" t="s">
        <v>66</v>
      </c>
      <c r="F555" s="1" t="s">
        <v>1435</v>
      </c>
      <c r="G555" s="1" t="s">
        <v>67</v>
      </c>
      <c r="H555" s="1" t="s">
        <v>287</v>
      </c>
      <c r="I555" s="1" t="s">
        <v>68</v>
      </c>
      <c r="J555" s="1" t="s">
        <v>1436</v>
      </c>
      <c r="K555" s="1" t="s">
        <v>96</v>
      </c>
      <c r="L555" s="1" t="s">
        <v>70</v>
      </c>
      <c r="M555" s="1" t="s">
        <v>68</v>
      </c>
      <c r="N555" s="1" t="s">
        <v>71</v>
      </c>
      <c r="O555" s="1" t="s">
        <v>68</v>
      </c>
      <c r="P555" s="1" t="s">
        <v>72</v>
      </c>
      <c r="Q555" s="1" t="s">
        <v>68</v>
      </c>
      <c r="R555" s="1" t="s">
        <v>68</v>
      </c>
      <c r="S555" s="1" t="s">
        <v>68</v>
      </c>
      <c r="T555" s="1" t="s">
        <v>73</v>
      </c>
      <c r="U555" s="1" t="s">
        <v>68</v>
      </c>
      <c r="V555" s="1" t="s">
        <v>68</v>
      </c>
      <c r="W555" s="1" t="s">
        <v>68</v>
      </c>
      <c r="X555" s="1" t="s">
        <v>1437</v>
      </c>
      <c r="Y555" s="73"/>
      <c r="Z555" s="2" t="s">
        <v>74</v>
      </c>
      <c r="AA555" s="3">
        <v>-2</v>
      </c>
      <c r="AB555" s="4">
        <v>-339.64</v>
      </c>
      <c r="AC555" s="73">
        <v>46223</v>
      </c>
      <c r="AD555" s="73">
        <v>46223</v>
      </c>
      <c r="AE555" s="73"/>
      <c r="AF555" s="73">
        <v>46223</v>
      </c>
      <c r="AG555" s="3">
        <v>-1000</v>
      </c>
      <c r="AH555" s="353" t="str">
        <f t="shared" si="45"/>
        <v/>
      </c>
      <c r="AI555" s="3" t="str">
        <f t="shared" si="46"/>
        <v>59</v>
      </c>
      <c r="AJ555" s="64" t="str">
        <f>VLOOKUP(T555,'GL Name'!A:B,2,0)</f>
        <v>ต้นทุนขาย</v>
      </c>
      <c r="AL555" s="13">
        <f t="shared" si="47"/>
        <v>169.82</v>
      </c>
      <c r="AM555" s="13" t="e">
        <f>VLOOKUP(I555,'Order 301-305 (เรียง)'!A:B,2,0)</f>
        <v>#N/A</v>
      </c>
      <c r="AN555" t="e">
        <f>VLOOKUP(I555,'Order 301-305 (เรียง)'!A:C,3,0)</f>
        <v>#N/A</v>
      </c>
    </row>
    <row r="556" spans="1:40" x14ac:dyDescent="0.3">
      <c r="A556" s="1" t="s">
        <v>81</v>
      </c>
      <c r="B556" s="1" t="s">
        <v>82</v>
      </c>
      <c r="C556" s="1" t="s">
        <v>64</v>
      </c>
      <c r="D556" s="1" t="s">
        <v>87</v>
      </c>
      <c r="E556" s="1" t="s">
        <v>88</v>
      </c>
      <c r="F556" s="1" t="s">
        <v>1438</v>
      </c>
      <c r="G556" s="1" t="s">
        <v>83</v>
      </c>
      <c r="H556" s="1" t="s">
        <v>1031</v>
      </c>
      <c r="I556" s="1" t="s">
        <v>68</v>
      </c>
      <c r="J556" s="1" t="s">
        <v>1439</v>
      </c>
      <c r="K556" s="1" t="s">
        <v>223</v>
      </c>
      <c r="L556" s="1" t="s">
        <v>86</v>
      </c>
      <c r="M556" s="1" t="s">
        <v>68</v>
      </c>
      <c r="N556" s="1" t="s">
        <v>71</v>
      </c>
      <c r="O556" s="1" t="s">
        <v>68</v>
      </c>
      <c r="P556" s="1" t="s">
        <v>1440</v>
      </c>
      <c r="Q556" s="1" t="s">
        <v>68</v>
      </c>
      <c r="R556" s="1" t="s">
        <v>1441</v>
      </c>
      <c r="S556" s="1" t="s">
        <v>90</v>
      </c>
      <c r="T556" s="1" t="s">
        <v>91</v>
      </c>
      <c r="U556" s="1" t="s">
        <v>68</v>
      </c>
      <c r="V556" s="1" t="s">
        <v>68</v>
      </c>
      <c r="W556" s="1" t="s">
        <v>68</v>
      </c>
      <c r="X556" s="1" t="s">
        <v>68</v>
      </c>
      <c r="Y556" s="73"/>
      <c r="Z556" s="2" t="s">
        <v>74</v>
      </c>
      <c r="AA556" s="3">
        <v>-2</v>
      </c>
      <c r="AB556" s="4">
        <v>-339.72</v>
      </c>
      <c r="AC556" s="73">
        <v>46223</v>
      </c>
      <c r="AD556" s="73">
        <v>46223</v>
      </c>
      <c r="AE556" s="73"/>
      <c r="AF556" s="73">
        <v>46223</v>
      </c>
      <c r="AG556" s="3">
        <v>-1000</v>
      </c>
      <c r="AH556" s="353" t="str">
        <f t="shared" si="45"/>
        <v/>
      </c>
      <c r="AI556" s="3" t="str">
        <f t="shared" si="46"/>
        <v>59</v>
      </c>
      <c r="AJ556" s="64" t="str">
        <f>VLOOKUP(T556,'GL Name'!A:B,2,0)</f>
        <v>ค่าวิจัยคุณภาพสินค้า</v>
      </c>
      <c r="AL556" s="13">
        <f t="shared" si="47"/>
        <v>169.86</v>
      </c>
      <c r="AM556" s="13" t="e">
        <f>VLOOKUP(I556,'Order 301-305 (เรียง)'!A:B,2,0)</f>
        <v>#N/A</v>
      </c>
      <c r="AN556" t="e">
        <f>VLOOKUP(I556,'Order 301-305 (เรียง)'!A:C,3,0)</f>
        <v>#N/A</v>
      </c>
    </row>
    <row r="557" spans="1:40" x14ac:dyDescent="0.3">
      <c r="A557" s="1" t="s">
        <v>81</v>
      </c>
      <c r="B557" s="1" t="s">
        <v>82</v>
      </c>
      <c r="C557" s="1" t="s">
        <v>64</v>
      </c>
      <c r="D557" s="1" t="s">
        <v>87</v>
      </c>
      <c r="E557" s="1" t="s">
        <v>88</v>
      </c>
      <c r="F557" s="1" t="s">
        <v>1438</v>
      </c>
      <c r="G557" s="1" t="s">
        <v>83</v>
      </c>
      <c r="H557" s="1" t="s">
        <v>1031</v>
      </c>
      <c r="I557" s="1" t="s">
        <v>68</v>
      </c>
      <c r="J557" s="1" t="s">
        <v>1439</v>
      </c>
      <c r="K557" s="1" t="s">
        <v>223</v>
      </c>
      <c r="L557" s="1" t="s">
        <v>70</v>
      </c>
      <c r="M557" s="1" t="s">
        <v>68</v>
      </c>
      <c r="N557" s="1" t="s">
        <v>71</v>
      </c>
      <c r="O557" s="1" t="s">
        <v>68</v>
      </c>
      <c r="P557" s="1" t="s">
        <v>1440</v>
      </c>
      <c r="Q557" s="1" t="s">
        <v>68</v>
      </c>
      <c r="R557" s="1" t="s">
        <v>1442</v>
      </c>
      <c r="S557" s="1" t="s">
        <v>90</v>
      </c>
      <c r="T557" s="1" t="s">
        <v>91</v>
      </c>
      <c r="U557" s="1" t="s">
        <v>68</v>
      </c>
      <c r="V557" s="1" t="s">
        <v>68</v>
      </c>
      <c r="W557" s="1" t="s">
        <v>68</v>
      </c>
      <c r="X557" s="1" t="s">
        <v>68</v>
      </c>
      <c r="Y557" s="73"/>
      <c r="Z557" s="2" t="s">
        <v>74</v>
      </c>
      <c r="AA557" s="3">
        <v>-2</v>
      </c>
      <c r="AB557" s="4">
        <v>-339.72</v>
      </c>
      <c r="AC557" s="73">
        <v>46223</v>
      </c>
      <c r="AD557" s="73">
        <v>46223</v>
      </c>
      <c r="AE557" s="73"/>
      <c r="AF557" s="73">
        <v>46223</v>
      </c>
      <c r="AG557" s="3">
        <v>-1000</v>
      </c>
      <c r="AH557" s="353" t="str">
        <f t="shared" si="45"/>
        <v/>
      </c>
      <c r="AI557" s="3" t="str">
        <f t="shared" si="46"/>
        <v>59</v>
      </c>
      <c r="AJ557" s="64" t="str">
        <f>VLOOKUP(T557,'GL Name'!A:B,2,0)</f>
        <v>ค่าวิจัยคุณภาพสินค้า</v>
      </c>
      <c r="AL557" s="13">
        <f t="shared" si="47"/>
        <v>169.86</v>
      </c>
      <c r="AM557" s="13" t="e">
        <f>VLOOKUP(I557,'Order 301-305 (เรียง)'!A:B,2,0)</f>
        <v>#N/A</v>
      </c>
      <c r="AN557" t="e">
        <f>VLOOKUP(I557,'Order 301-305 (เรียง)'!A:C,3,0)</f>
        <v>#N/A</v>
      </c>
    </row>
    <row r="558" spans="1:40" x14ac:dyDescent="0.3">
      <c r="A558" s="1" t="s">
        <v>62</v>
      </c>
      <c r="B558" s="1" t="s">
        <v>63</v>
      </c>
      <c r="C558" s="1" t="s">
        <v>64</v>
      </c>
      <c r="D558" s="1" t="s">
        <v>65</v>
      </c>
      <c r="E558" s="1" t="s">
        <v>66</v>
      </c>
      <c r="F558" s="1" t="s">
        <v>1443</v>
      </c>
      <c r="G558" s="1" t="s">
        <v>67</v>
      </c>
      <c r="H558" s="1" t="s">
        <v>287</v>
      </c>
      <c r="I558" s="1" t="s">
        <v>68</v>
      </c>
      <c r="J558" s="1" t="s">
        <v>1444</v>
      </c>
      <c r="K558" s="1" t="s">
        <v>231</v>
      </c>
      <c r="L558" s="1" t="s">
        <v>70</v>
      </c>
      <c r="M558" s="1" t="s">
        <v>68</v>
      </c>
      <c r="N558" s="1" t="s">
        <v>71</v>
      </c>
      <c r="O558" s="1" t="s">
        <v>68</v>
      </c>
      <c r="P558" s="1" t="s">
        <v>72</v>
      </c>
      <c r="Q558" s="1" t="s">
        <v>68</v>
      </c>
      <c r="R558" s="1" t="s">
        <v>68</v>
      </c>
      <c r="S558" s="1" t="s">
        <v>68</v>
      </c>
      <c r="T558" s="1" t="s">
        <v>73</v>
      </c>
      <c r="U558" s="1" t="s">
        <v>68</v>
      </c>
      <c r="V558" s="1" t="s">
        <v>68</v>
      </c>
      <c r="W558" s="1" t="s">
        <v>68</v>
      </c>
      <c r="X558" s="1" t="s">
        <v>1445</v>
      </c>
      <c r="Y558" s="73"/>
      <c r="Z558" s="2" t="s">
        <v>74</v>
      </c>
      <c r="AA558" s="3">
        <v>-90</v>
      </c>
      <c r="AB558" s="4">
        <v>-15283.8</v>
      </c>
      <c r="AC558" s="73">
        <v>46223</v>
      </c>
      <c r="AD558" s="73">
        <v>46223</v>
      </c>
      <c r="AE558" s="73"/>
      <c r="AF558" s="73">
        <v>46223</v>
      </c>
      <c r="AG558" s="3">
        <v>-45000</v>
      </c>
      <c r="AH558" s="353" t="str">
        <f t="shared" si="45"/>
        <v/>
      </c>
      <c r="AI558" s="3" t="str">
        <f t="shared" si="46"/>
        <v>59</v>
      </c>
      <c r="AJ558" s="64" t="str">
        <f>VLOOKUP(T558,'GL Name'!A:B,2,0)</f>
        <v>ต้นทุนขาย</v>
      </c>
      <c r="AL558" s="13">
        <f t="shared" si="47"/>
        <v>169.82</v>
      </c>
      <c r="AM558" s="13" t="e">
        <f>VLOOKUP(I558,'Order 301-305 (เรียง)'!A:B,2,0)</f>
        <v>#N/A</v>
      </c>
      <c r="AN558" t="e">
        <f>VLOOKUP(I558,'Order 301-305 (เรียง)'!A:C,3,0)</f>
        <v>#N/A</v>
      </c>
    </row>
    <row r="559" spans="1:40" x14ac:dyDescent="0.3">
      <c r="A559" s="1" t="s">
        <v>9</v>
      </c>
      <c r="B559" s="1" t="s">
        <v>10</v>
      </c>
      <c r="C559" s="1" t="s">
        <v>64</v>
      </c>
      <c r="D559" s="1" t="s">
        <v>77</v>
      </c>
      <c r="E559" s="1" t="s">
        <v>78</v>
      </c>
      <c r="F559" s="1" t="s">
        <v>1458</v>
      </c>
      <c r="G559" s="1" t="s">
        <v>278</v>
      </c>
      <c r="H559" s="1" t="s">
        <v>561</v>
      </c>
      <c r="I559" s="1" t="s">
        <v>1459</v>
      </c>
      <c r="J559" s="1" t="s">
        <v>1460</v>
      </c>
      <c r="K559" s="1" t="s">
        <v>290</v>
      </c>
      <c r="L559" s="1" t="s">
        <v>70</v>
      </c>
      <c r="M559" s="1" t="s">
        <v>68</v>
      </c>
      <c r="N559" s="1" t="s">
        <v>71</v>
      </c>
      <c r="O559" s="1" t="s">
        <v>68</v>
      </c>
      <c r="P559" s="1" t="s">
        <v>1461</v>
      </c>
      <c r="Q559" s="1" t="s">
        <v>68</v>
      </c>
      <c r="R559" s="1" t="s">
        <v>68</v>
      </c>
      <c r="S559" s="1" t="s">
        <v>68</v>
      </c>
      <c r="T559" s="1" t="s">
        <v>79</v>
      </c>
      <c r="U559" s="1" t="s">
        <v>68</v>
      </c>
      <c r="V559" s="1" t="s">
        <v>68</v>
      </c>
      <c r="W559" s="1" t="s">
        <v>68</v>
      </c>
      <c r="X559" s="1" t="s">
        <v>68</v>
      </c>
      <c r="Y559" s="73"/>
      <c r="Z559" s="2" t="s">
        <v>80</v>
      </c>
      <c r="AA559" s="3">
        <v>-6972</v>
      </c>
      <c r="AB559" s="4">
        <v>-1843566.87</v>
      </c>
      <c r="AC559" s="73">
        <v>46223</v>
      </c>
      <c r="AD559" s="73">
        <v>46219</v>
      </c>
      <c r="AE559" s="73"/>
      <c r="AF559" s="73">
        <v>46223</v>
      </c>
      <c r="AG559" s="3">
        <v>-6972000</v>
      </c>
      <c r="AH559" s="353" t="str">
        <f t="shared" ref="AH559:AH572" si="48">LEFT(I559,3)</f>
        <v>301</v>
      </c>
      <c r="AI559" s="3" t="str">
        <f t="shared" ref="AI559:AI572" si="49">LEFT(A559,2)</f>
        <v>54</v>
      </c>
      <c r="AJ559" s="64" t="str">
        <f>VLOOKUP(T559,'GL Name'!A:B,2,0)</f>
        <v>ต้นทุนผลิต-วัตถุดิบ</v>
      </c>
      <c r="AL559" s="13">
        <f t="shared" ref="AL559:AL572" si="50">AB559/AA559</f>
        <v>264.42439328743546</v>
      </c>
      <c r="AM559" s="13" t="str">
        <f>VLOOKUP(I559,'Order 301-305 (เรียง)'!A:B,2,0)</f>
        <v>Semi</v>
      </c>
      <c r="AN559" t="str">
        <f>VLOOKUP(I559,'Order 301-305 (เรียง)'!A:C,3,0)</f>
        <v>Semi เมล็ดกาแฟ</v>
      </c>
    </row>
    <row r="560" spans="1:40" x14ac:dyDescent="0.3">
      <c r="A560" s="1" t="s">
        <v>13</v>
      </c>
      <c r="B560" s="1" t="s">
        <v>14</v>
      </c>
      <c r="C560" s="1" t="s">
        <v>64</v>
      </c>
      <c r="D560" s="1" t="s">
        <v>77</v>
      </c>
      <c r="E560" s="1" t="s">
        <v>78</v>
      </c>
      <c r="F560" s="1" t="s">
        <v>1462</v>
      </c>
      <c r="G560" s="1" t="s">
        <v>279</v>
      </c>
      <c r="H560" s="1" t="s">
        <v>561</v>
      </c>
      <c r="I560" s="1" t="s">
        <v>1463</v>
      </c>
      <c r="J560" s="1" t="s">
        <v>1464</v>
      </c>
      <c r="K560" s="1" t="s">
        <v>84</v>
      </c>
      <c r="L560" s="1" t="s">
        <v>86</v>
      </c>
      <c r="M560" s="1" t="s">
        <v>68</v>
      </c>
      <c r="N560" s="1" t="s">
        <v>71</v>
      </c>
      <c r="O560" s="1" t="s">
        <v>68</v>
      </c>
      <c r="P560" s="1" t="s">
        <v>1465</v>
      </c>
      <c r="Q560" s="1" t="s">
        <v>68</v>
      </c>
      <c r="R560" s="1" t="s">
        <v>68</v>
      </c>
      <c r="S560" s="1" t="s">
        <v>68</v>
      </c>
      <c r="T560" s="1" t="s">
        <v>123</v>
      </c>
      <c r="U560" s="1" t="s">
        <v>68</v>
      </c>
      <c r="V560" s="1" t="s">
        <v>68</v>
      </c>
      <c r="W560" s="1" t="s">
        <v>68</v>
      </c>
      <c r="X560" s="1" t="s">
        <v>68</v>
      </c>
      <c r="Y560" s="73"/>
      <c r="Z560" s="2" t="s">
        <v>80</v>
      </c>
      <c r="AA560" s="3">
        <v>-7571.4</v>
      </c>
      <c r="AB560" s="4">
        <v>-2050637.97</v>
      </c>
      <c r="AC560" s="73">
        <v>46223</v>
      </c>
      <c r="AD560" s="73">
        <v>46218</v>
      </c>
      <c r="AE560" s="73"/>
      <c r="AF560" s="73">
        <v>46223</v>
      </c>
      <c r="AG560" s="3">
        <v>-7571400</v>
      </c>
      <c r="AH560" s="353" t="str">
        <f t="shared" si="48"/>
        <v>302</v>
      </c>
      <c r="AI560" s="3" t="str">
        <f t="shared" si="49"/>
        <v>57</v>
      </c>
      <c r="AJ560" s="64" t="str">
        <f>VLOOKUP(T560,'GL Name'!A:B,2,0)</f>
        <v>ต้นทุนผลิตกึ่งสำเร็จ</v>
      </c>
      <c r="AL560" s="13">
        <f t="shared" si="50"/>
        <v>270.83999920754417</v>
      </c>
      <c r="AM560" s="13" t="str">
        <f>VLOOKUP(I560,'Order 301-305 (เรียง)'!A:B,2,0)</f>
        <v>59000002</v>
      </c>
      <c r="AN560" t="str">
        <f>VLOOKUP(I560,'Order 301-305 (เรียง)'!A:C,3,0)</f>
        <v>GOLD BLEND ALL CAFE'  ขนาด 500 G.</v>
      </c>
    </row>
    <row r="561" spans="1:40" x14ac:dyDescent="0.3">
      <c r="A561" s="1" t="s">
        <v>15</v>
      </c>
      <c r="B561" s="1" t="s">
        <v>233</v>
      </c>
      <c r="C561" s="1" t="s">
        <v>64</v>
      </c>
      <c r="D561" s="1" t="s">
        <v>77</v>
      </c>
      <c r="E561" s="1" t="s">
        <v>78</v>
      </c>
      <c r="F561" s="1" t="s">
        <v>1462</v>
      </c>
      <c r="G561" s="1" t="s">
        <v>279</v>
      </c>
      <c r="H561" s="1" t="s">
        <v>1390</v>
      </c>
      <c r="I561" s="1" t="s">
        <v>1463</v>
      </c>
      <c r="J561" s="1" t="s">
        <v>1464</v>
      </c>
      <c r="K561" s="1" t="s">
        <v>84</v>
      </c>
      <c r="L561" s="1" t="s">
        <v>92</v>
      </c>
      <c r="M561" s="1" t="s">
        <v>68</v>
      </c>
      <c r="N561" s="1" t="s">
        <v>71</v>
      </c>
      <c r="O561" s="1" t="s">
        <v>68</v>
      </c>
      <c r="P561" s="1" t="s">
        <v>1465</v>
      </c>
      <c r="Q561" s="1" t="s">
        <v>68</v>
      </c>
      <c r="R561" s="1" t="s">
        <v>68</v>
      </c>
      <c r="S561" s="1" t="s">
        <v>68</v>
      </c>
      <c r="T561" s="1" t="s">
        <v>123</v>
      </c>
      <c r="U561" s="1" t="s">
        <v>68</v>
      </c>
      <c r="V561" s="1" t="s">
        <v>68</v>
      </c>
      <c r="W561" s="1" t="s">
        <v>68</v>
      </c>
      <c r="X561" s="1" t="s">
        <v>68</v>
      </c>
      <c r="Y561" s="73"/>
      <c r="Z561" s="2" t="s">
        <v>80</v>
      </c>
      <c r="AA561" s="3">
        <v>-300.88</v>
      </c>
      <c r="AB561" s="4">
        <v>-81487.33</v>
      </c>
      <c r="AC561" s="73">
        <v>46223</v>
      </c>
      <c r="AD561" s="73">
        <v>46218</v>
      </c>
      <c r="AE561" s="73"/>
      <c r="AF561" s="73">
        <v>46223</v>
      </c>
      <c r="AG561" s="3">
        <v>-300880</v>
      </c>
      <c r="AH561" s="353" t="str">
        <f t="shared" si="48"/>
        <v>302</v>
      </c>
      <c r="AI561" s="3" t="str">
        <f t="shared" si="49"/>
        <v>57</v>
      </c>
      <c r="AJ561" s="64" t="str">
        <f>VLOOKUP(T561,'GL Name'!A:B,2,0)</f>
        <v>ต้นทุนผลิตกึ่งสำเร็จ</v>
      </c>
      <c r="AL561" s="13">
        <f t="shared" si="50"/>
        <v>270.82999867056634</v>
      </c>
      <c r="AM561" s="13" t="str">
        <f>VLOOKUP(I561,'Order 301-305 (เรียง)'!A:B,2,0)</f>
        <v>59000002</v>
      </c>
      <c r="AN561" t="str">
        <f>VLOOKUP(I561,'Order 301-305 (เรียง)'!A:C,3,0)</f>
        <v>GOLD BLEND ALL CAFE'  ขนาด 500 G.</v>
      </c>
    </row>
    <row r="562" spans="1:40" x14ac:dyDescent="0.3">
      <c r="A562" s="1" t="s">
        <v>19</v>
      </c>
      <c r="B562" s="1" t="s">
        <v>20</v>
      </c>
      <c r="C562" s="1" t="s">
        <v>64</v>
      </c>
      <c r="D562" s="1" t="s">
        <v>77</v>
      </c>
      <c r="E562" s="1" t="s">
        <v>78</v>
      </c>
      <c r="F562" s="1" t="s">
        <v>1462</v>
      </c>
      <c r="G562" s="1" t="s">
        <v>279</v>
      </c>
      <c r="H562" s="1" t="s">
        <v>304</v>
      </c>
      <c r="I562" s="1" t="s">
        <v>1463</v>
      </c>
      <c r="J562" s="1" t="s">
        <v>1464</v>
      </c>
      <c r="K562" s="1" t="s">
        <v>84</v>
      </c>
      <c r="L562" s="1" t="s">
        <v>89</v>
      </c>
      <c r="M562" s="1" t="s">
        <v>68</v>
      </c>
      <c r="N562" s="1" t="s">
        <v>71</v>
      </c>
      <c r="O562" s="1" t="s">
        <v>68</v>
      </c>
      <c r="P562" s="1" t="s">
        <v>1465</v>
      </c>
      <c r="Q562" s="1" t="s">
        <v>68</v>
      </c>
      <c r="R562" s="1" t="s">
        <v>68</v>
      </c>
      <c r="S562" s="1" t="s">
        <v>68</v>
      </c>
      <c r="T562" s="1" t="s">
        <v>123</v>
      </c>
      <c r="U562" s="1" t="s">
        <v>68</v>
      </c>
      <c r="V562" s="1" t="s">
        <v>68</v>
      </c>
      <c r="W562" s="1" t="s">
        <v>68</v>
      </c>
      <c r="X562" s="1" t="s">
        <v>68</v>
      </c>
      <c r="Y562" s="73"/>
      <c r="Z562" s="2" t="s">
        <v>80</v>
      </c>
      <c r="AA562" s="3">
        <v>-1968.64</v>
      </c>
      <c r="AB562" s="4">
        <v>-314844.59999999998</v>
      </c>
      <c r="AC562" s="73">
        <v>46223</v>
      </c>
      <c r="AD562" s="73">
        <v>46218</v>
      </c>
      <c r="AE562" s="73"/>
      <c r="AF562" s="73">
        <v>46223</v>
      </c>
      <c r="AG562" s="3">
        <v>-1968640</v>
      </c>
      <c r="AH562" s="353" t="str">
        <f t="shared" si="48"/>
        <v>302</v>
      </c>
      <c r="AI562" s="3" t="str">
        <f t="shared" si="49"/>
        <v>57</v>
      </c>
      <c r="AJ562" s="64" t="str">
        <f>VLOOKUP(T562,'GL Name'!A:B,2,0)</f>
        <v>ต้นทุนผลิตกึ่งสำเร็จ</v>
      </c>
      <c r="AL562" s="13">
        <f t="shared" si="50"/>
        <v>159.93000243823144</v>
      </c>
      <c r="AM562" s="13" t="str">
        <f>VLOOKUP(I562,'Order 301-305 (เรียง)'!A:B,2,0)</f>
        <v>59000002</v>
      </c>
      <c r="AN562" t="str">
        <f>VLOOKUP(I562,'Order 301-305 (เรียง)'!A:C,3,0)</f>
        <v>GOLD BLEND ALL CAFE'  ขนาด 500 G.</v>
      </c>
    </row>
    <row r="563" spans="1:40" x14ac:dyDescent="0.3">
      <c r="A563" s="1" t="s">
        <v>23</v>
      </c>
      <c r="B563" s="1" t="s">
        <v>24</v>
      </c>
      <c r="C563" s="1" t="s">
        <v>64</v>
      </c>
      <c r="D563" s="1" t="s">
        <v>115</v>
      </c>
      <c r="E563" s="1" t="s">
        <v>116</v>
      </c>
      <c r="F563" s="1" t="s">
        <v>1462</v>
      </c>
      <c r="G563" s="1" t="s">
        <v>103</v>
      </c>
      <c r="H563" s="1" t="s">
        <v>1466</v>
      </c>
      <c r="I563" s="1" t="s">
        <v>1463</v>
      </c>
      <c r="J563" s="1" t="s">
        <v>1464</v>
      </c>
      <c r="K563" s="1" t="s">
        <v>84</v>
      </c>
      <c r="L563" s="1" t="s">
        <v>70</v>
      </c>
      <c r="M563" s="1" t="s">
        <v>68</v>
      </c>
      <c r="N563" s="1" t="s">
        <v>71</v>
      </c>
      <c r="O563" s="1" t="s">
        <v>68</v>
      </c>
      <c r="P563" s="1" t="s">
        <v>72</v>
      </c>
      <c r="Q563" s="1" t="s">
        <v>68</v>
      </c>
      <c r="R563" s="1" t="s">
        <v>68</v>
      </c>
      <c r="S563" s="1" t="s">
        <v>68</v>
      </c>
      <c r="T563" s="1" t="s">
        <v>124</v>
      </c>
      <c r="U563" s="1" t="s">
        <v>68</v>
      </c>
      <c r="V563" s="1" t="s">
        <v>68</v>
      </c>
      <c r="W563" s="1" t="s">
        <v>68</v>
      </c>
      <c r="X563" s="1" t="s">
        <v>68</v>
      </c>
      <c r="Y563" s="73"/>
      <c r="Z563" s="2" t="s">
        <v>80</v>
      </c>
      <c r="AA563" s="3">
        <v>7914.58</v>
      </c>
      <c r="AB563" s="4">
        <v>2573346.54</v>
      </c>
      <c r="AC563" s="73">
        <v>46223</v>
      </c>
      <c r="AD563" s="73">
        <v>46218</v>
      </c>
      <c r="AE563" s="73"/>
      <c r="AF563" s="73">
        <v>46223</v>
      </c>
      <c r="AG563" s="3">
        <v>7914580</v>
      </c>
      <c r="AH563" s="353" t="str">
        <f t="shared" si="48"/>
        <v>302</v>
      </c>
      <c r="AI563" s="3" t="str">
        <f t="shared" si="49"/>
        <v>57</v>
      </c>
      <c r="AJ563" s="64" t="str">
        <f>VLOOKUP(T563,'GL Name'!A:B,2,0)</f>
        <v>ต้นทุนผลิตโอน Semi</v>
      </c>
      <c r="AL563" s="13">
        <f t="shared" si="50"/>
        <v>325.13999984838108</v>
      </c>
      <c r="AM563" s="13" t="str">
        <f>VLOOKUP(I563,'Order 301-305 (เรียง)'!A:B,2,0)</f>
        <v>59000002</v>
      </c>
      <c r="AN563" t="str">
        <f>VLOOKUP(I563,'Order 301-305 (เรียง)'!A:C,3,0)</f>
        <v>GOLD BLEND ALL CAFE'  ขนาด 500 G.</v>
      </c>
    </row>
    <row r="564" spans="1:40" x14ac:dyDescent="0.3">
      <c r="A564" s="1" t="s">
        <v>23</v>
      </c>
      <c r="B564" s="1" t="s">
        <v>24</v>
      </c>
      <c r="C564" s="1" t="s">
        <v>64</v>
      </c>
      <c r="D564" s="1" t="s">
        <v>77</v>
      </c>
      <c r="E564" s="1" t="s">
        <v>78</v>
      </c>
      <c r="F564" s="1" t="s">
        <v>1475</v>
      </c>
      <c r="G564" s="1" t="s">
        <v>103</v>
      </c>
      <c r="H564" s="1" t="s">
        <v>1466</v>
      </c>
      <c r="I564" s="1" t="s">
        <v>1476</v>
      </c>
      <c r="J564" s="1" t="s">
        <v>1477</v>
      </c>
      <c r="K564" s="1" t="s">
        <v>84</v>
      </c>
      <c r="L564" s="1" t="s">
        <v>86</v>
      </c>
      <c r="M564" s="1" t="s">
        <v>68</v>
      </c>
      <c r="N564" s="1" t="s">
        <v>71</v>
      </c>
      <c r="O564" s="1" t="s">
        <v>68</v>
      </c>
      <c r="P564" s="1" t="s">
        <v>1478</v>
      </c>
      <c r="Q564" s="1" t="s">
        <v>68</v>
      </c>
      <c r="R564" s="1" t="s">
        <v>68</v>
      </c>
      <c r="S564" s="1" t="s">
        <v>68</v>
      </c>
      <c r="T564" s="1" t="s">
        <v>123</v>
      </c>
      <c r="U564" s="1" t="s">
        <v>68</v>
      </c>
      <c r="V564" s="1" t="s">
        <v>68</v>
      </c>
      <c r="W564" s="1" t="s">
        <v>68</v>
      </c>
      <c r="X564" s="1" t="s">
        <v>68</v>
      </c>
      <c r="Y564" s="73"/>
      <c r="Z564" s="2" t="s">
        <v>80</v>
      </c>
      <c r="AA564" s="3">
        <v>-7914.58</v>
      </c>
      <c r="AB564" s="4">
        <v>-2573346.54</v>
      </c>
      <c r="AC564" s="73">
        <v>46223</v>
      </c>
      <c r="AD564" s="73">
        <v>46218</v>
      </c>
      <c r="AE564" s="73"/>
      <c r="AF564" s="73">
        <v>46223</v>
      </c>
      <c r="AG564" s="3">
        <v>-7914580</v>
      </c>
      <c r="AH564" s="353" t="str">
        <f t="shared" si="48"/>
        <v>303</v>
      </c>
      <c r="AI564" s="3" t="str">
        <f t="shared" si="49"/>
        <v>57</v>
      </c>
      <c r="AJ564" s="64" t="str">
        <f>VLOOKUP(T564,'GL Name'!A:B,2,0)</f>
        <v>ต้นทุนผลิตกึ่งสำเร็จ</v>
      </c>
      <c r="AL564" s="13">
        <f t="shared" si="50"/>
        <v>325.13999984838108</v>
      </c>
      <c r="AM564" s="13" t="str">
        <f>VLOOKUP(I564,'Order 301-305 (เรียง)'!A:B,2,0)</f>
        <v>59000002</v>
      </c>
      <c r="AN564" t="str">
        <f>VLOOKUP(I564,'Order 301-305 (เรียง)'!A:C,3,0)</f>
        <v>GOLD BLEND ALL CAFE'  ขนาด 500 G.</v>
      </c>
    </row>
    <row r="565" spans="1:40" x14ac:dyDescent="0.3">
      <c r="A565" s="1" t="s">
        <v>106</v>
      </c>
      <c r="B565" s="1" t="s">
        <v>107</v>
      </c>
      <c r="C565" s="1" t="s">
        <v>64</v>
      </c>
      <c r="D565" s="1" t="s">
        <v>77</v>
      </c>
      <c r="E565" s="1" t="s">
        <v>78</v>
      </c>
      <c r="F565" s="1" t="s">
        <v>1475</v>
      </c>
      <c r="G565" s="1" t="s">
        <v>103</v>
      </c>
      <c r="H565" s="1" t="s">
        <v>286</v>
      </c>
      <c r="I565" s="1" t="s">
        <v>1476</v>
      </c>
      <c r="J565" s="1" t="s">
        <v>1477</v>
      </c>
      <c r="K565" s="1" t="s">
        <v>84</v>
      </c>
      <c r="L565" s="1" t="s">
        <v>92</v>
      </c>
      <c r="M565" s="1" t="s">
        <v>68</v>
      </c>
      <c r="N565" s="1" t="s">
        <v>71</v>
      </c>
      <c r="O565" s="1" t="s">
        <v>68</v>
      </c>
      <c r="P565" s="1" t="s">
        <v>1478</v>
      </c>
      <c r="Q565" s="1" t="s">
        <v>68</v>
      </c>
      <c r="R565" s="1" t="s">
        <v>68</v>
      </c>
      <c r="S565" s="1" t="s">
        <v>68</v>
      </c>
      <c r="T565" s="1" t="s">
        <v>108</v>
      </c>
      <c r="U565" s="1" t="s">
        <v>68</v>
      </c>
      <c r="V565" s="1" t="s">
        <v>68</v>
      </c>
      <c r="W565" s="1" t="s">
        <v>68</v>
      </c>
      <c r="X565" s="1" t="s">
        <v>68</v>
      </c>
      <c r="Y565" s="73"/>
      <c r="Z565" s="2" t="s">
        <v>102</v>
      </c>
      <c r="AA565" s="3">
        <v>-16159</v>
      </c>
      <c r="AB565" s="4">
        <v>-13666.76</v>
      </c>
      <c r="AC565" s="73">
        <v>46223</v>
      </c>
      <c r="AD565" s="73">
        <v>46218</v>
      </c>
      <c r="AE565" s="73"/>
      <c r="AF565" s="73">
        <v>46223</v>
      </c>
      <c r="AG565" s="3">
        <v>-16159</v>
      </c>
      <c r="AH565" s="353" t="str">
        <f t="shared" si="48"/>
        <v>303</v>
      </c>
      <c r="AI565" s="3" t="str">
        <f t="shared" si="49"/>
        <v>58</v>
      </c>
      <c r="AJ565" s="64" t="str">
        <f>VLOOKUP(T565,'GL Name'!A:B,2,0)</f>
        <v>ต้นทุนผลิตหีบห่อ</v>
      </c>
      <c r="AL565" s="13">
        <f t="shared" si="50"/>
        <v>0.84576768364378985</v>
      </c>
      <c r="AM565" s="13" t="str">
        <f>VLOOKUP(I565,'Order 301-305 (เรียง)'!A:B,2,0)</f>
        <v>59000002</v>
      </c>
      <c r="AN565" t="str">
        <f>VLOOKUP(I565,'Order 301-305 (เรียง)'!A:C,3,0)</f>
        <v>GOLD BLEND ALL CAFE'  ขนาด 500 G.</v>
      </c>
    </row>
    <row r="566" spans="1:40" x14ac:dyDescent="0.3">
      <c r="A566" s="1" t="s">
        <v>119</v>
      </c>
      <c r="B566" s="1" t="s">
        <v>120</v>
      </c>
      <c r="C566" s="1" t="s">
        <v>64</v>
      </c>
      <c r="D566" s="1" t="s">
        <v>77</v>
      </c>
      <c r="E566" s="1" t="s">
        <v>78</v>
      </c>
      <c r="F566" s="1" t="s">
        <v>1475</v>
      </c>
      <c r="G566" s="1" t="s">
        <v>103</v>
      </c>
      <c r="H566" s="1" t="s">
        <v>316</v>
      </c>
      <c r="I566" s="1" t="s">
        <v>1476</v>
      </c>
      <c r="J566" s="1" t="s">
        <v>1477</v>
      </c>
      <c r="K566" s="1" t="s">
        <v>84</v>
      </c>
      <c r="L566" s="1" t="s">
        <v>111</v>
      </c>
      <c r="M566" s="1" t="s">
        <v>68</v>
      </c>
      <c r="N566" s="1" t="s">
        <v>71</v>
      </c>
      <c r="O566" s="1" t="s">
        <v>68</v>
      </c>
      <c r="P566" s="1" t="s">
        <v>72</v>
      </c>
      <c r="Q566" s="1" t="s">
        <v>68</v>
      </c>
      <c r="R566" s="1" t="s">
        <v>120</v>
      </c>
      <c r="S566" s="1" t="s">
        <v>68</v>
      </c>
      <c r="T566" s="1" t="s">
        <v>108</v>
      </c>
      <c r="U566" s="1" t="s">
        <v>68</v>
      </c>
      <c r="V566" s="1" t="s">
        <v>68</v>
      </c>
      <c r="W566" s="1" t="s">
        <v>68</v>
      </c>
      <c r="X566" s="1" t="s">
        <v>68</v>
      </c>
      <c r="Y566" s="73"/>
      <c r="Z566" s="2" t="s">
        <v>102</v>
      </c>
      <c r="AA566" s="3">
        <v>-5103</v>
      </c>
      <c r="AB566" s="4">
        <v>-10632.03</v>
      </c>
      <c r="AC566" s="73">
        <v>46223</v>
      </c>
      <c r="AD566" s="73">
        <v>46218</v>
      </c>
      <c r="AE566" s="73"/>
      <c r="AF566" s="73">
        <v>46223</v>
      </c>
      <c r="AG566" s="3">
        <v>-5103</v>
      </c>
      <c r="AH566" s="353" t="str">
        <f t="shared" si="48"/>
        <v>303</v>
      </c>
      <c r="AI566" s="3" t="str">
        <f t="shared" si="49"/>
        <v>58</v>
      </c>
      <c r="AJ566" s="64" t="str">
        <f>VLOOKUP(T566,'GL Name'!A:B,2,0)</f>
        <v>ต้นทุนผลิตหีบห่อ</v>
      </c>
      <c r="AL566" s="13">
        <f t="shared" si="50"/>
        <v>2.0834861845972958</v>
      </c>
      <c r="AM566" s="13" t="str">
        <f>VLOOKUP(I566,'Order 301-305 (เรียง)'!A:B,2,0)</f>
        <v>59000002</v>
      </c>
      <c r="AN566" t="str">
        <f>VLOOKUP(I566,'Order 301-305 (เรียง)'!A:C,3,0)</f>
        <v>GOLD BLEND ALL CAFE'  ขนาด 500 G.</v>
      </c>
    </row>
    <row r="567" spans="1:40" x14ac:dyDescent="0.3">
      <c r="A567" s="1" t="s">
        <v>119</v>
      </c>
      <c r="B567" s="1" t="s">
        <v>120</v>
      </c>
      <c r="C567" s="1" t="s">
        <v>64</v>
      </c>
      <c r="D567" s="1" t="s">
        <v>77</v>
      </c>
      <c r="E567" s="1" t="s">
        <v>78</v>
      </c>
      <c r="F567" s="1" t="s">
        <v>1475</v>
      </c>
      <c r="G567" s="1" t="s">
        <v>103</v>
      </c>
      <c r="H567" s="1" t="s">
        <v>307</v>
      </c>
      <c r="I567" s="1" t="s">
        <v>1476</v>
      </c>
      <c r="J567" s="1" t="s">
        <v>1477</v>
      </c>
      <c r="K567" s="1" t="s">
        <v>84</v>
      </c>
      <c r="L567" s="1" t="s">
        <v>89</v>
      </c>
      <c r="M567" s="1" t="s">
        <v>68</v>
      </c>
      <c r="N567" s="1" t="s">
        <v>71</v>
      </c>
      <c r="O567" s="1" t="s">
        <v>68</v>
      </c>
      <c r="P567" s="1" t="s">
        <v>1478</v>
      </c>
      <c r="Q567" s="1" t="s">
        <v>68</v>
      </c>
      <c r="R567" s="1" t="s">
        <v>68</v>
      </c>
      <c r="S567" s="1" t="s">
        <v>68</v>
      </c>
      <c r="T567" s="1" t="s">
        <v>108</v>
      </c>
      <c r="U567" s="1" t="s">
        <v>68</v>
      </c>
      <c r="V567" s="1" t="s">
        <v>68</v>
      </c>
      <c r="W567" s="1" t="s">
        <v>68</v>
      </c>
      <c r="X567" s="1" t="s">
        <v>68</v>
      </c>
      <c r="Y567" s="73"/>
      <c r="Z567" s="2" t="s">
        <v>102</v>
      </c>
      <c r="AA567" s="3">
        <v>-11056</v>
      </c>
      <c r="AB567" s="4">
        <v>-23035.03</v>
      </c>
      <c r="AC567" s="73">
        <v>46223</v>
      </c>
      <c r="AD567" s="73">
        <v>46218</v>
      </c>
      <c r="AE567" s="73"/>
      <c r="AF567" s="73">
        <v>46223</v>
      </c>
      <c r="AG567" s="3">
        <v>-11056</v>
      </c>
      <c r="AH567" s="353" t="str">
        <f t="shared" si="48"/>
        <v>303</v>
      </c>
      <c r="AI567" s="3" t="str">
        <f t="shared" si="49"/>
        <v>58</v>
      </c>
      <c r="AJ567" s="64" t="str">
        <f>VLOOKUP(T567,'GL Name'!A:B,2,0)</f>
        <v>ต้นทุนผลิตหีบห่อ</v>
      </c>
      <c r="AL567" s="13">
        <f t="shared" si="50"/>
        <v>2.0834867945007236</v>
      </c>
      <c r="AM567" s="13" t="str">
        <f>VLOOKUP(I567,'Order 301-305 (เรียง)'!A:B,2,0)</f>
        <v>59000002</v>
      </c>
      <c r="AN567" t="str">
        <f>VLOOKUP(I567,'Order 301-305 (เรียง)'!A:C,3,0)</f>
        <v>GOLD BLEND ALL CAFE'  ขนาด 500 G.</v>
      </c>
    </row>
    <row r="568" spans="1:40" x14ac:dyDescent="0.3">
      <c r="A568" s="1" t="s">
        <v>121</v>
      </c>
      <c r="B568" s="1" t="s">
        <v>122</v>
      </c>
      <c r="C568" s="1" t="s">
        <v>64</v>
      </c>
      <c r="D568" s="1" t="s">
        <v>77</v>
      </c>
      <c r="E568" s="1" t="s">
        <v>78</v>
      </c>
      <c r="F568" s="1" t="s">
        <v>1475</v>
      </c>
      <c r="G568" s="1" t="s">
        <v>103</v>
      </c>
      <c r="H568" s="1" t="s">
        <v>704</v>
      </c>
      <c r="I568" s="1" t="s">
        <v>1476</v>
      </c>
      <c r="J568" s="1" t="s">
        <v>1477</v>
      </c>
      <c r="K568" s="1" t="s">
        <v>84</v>
      </c>
      <c r="L568" s="1" t="s">
        <v>112</v>
      </c>
      <c r="M568" s="1" t="s">
        <v>68</v>
      </c>
      <c r="N568" s="1" t="s">
        <v>71</v>
      </c>
      <c r="O568" s="1" t="s">
        <v>68</v>
      </c>
      <c r="P568" s="1" t="s">
        <v>72</v>
      </c>
      <c r="Q568" s="1" t="s">
        <v>68</v>
      </c>
      <c r="R568" s="1" t="s">
        <v>122</v>
      </c>
      <c r="S568" s="1" t="s">
        <v>68</v>
      </c>
      <c r="T568" s="1" t="s">
        <v>108</v>
      </c>
      <c r="U568" s="1" t="s">
        <v>68</v>
      </c>
      <c r="V568" s="1" t="s">
        <v>68</v>
      </c>
      <c r="W568" s="1" t="s">
        <v>68</v>
      </c>
      <c r="X568" s="1" t="s">
        <v>68</v>
      </c>
      <c r="Y568" s="73"/>
      <c r="Z568" s="2" t="s">
        <v>102</v>
      </c>
      <c r="AA568" s="3">
        <v>-1112</v>
      </c>
      <c r="AB568" s="4">
        <v>-5560</v>
      </c>
      <c r="AC568" s="73">
        <v>46223</v>
      </c>
      <c r="AD568" s="73">
        <v>46218</v>
      </c>
      <c r="AE568" s="73"/>
      <c r="AF568" s="73">
        <v>46223</v>
      </c>
      <c r="AG568" s="3">
        <v>-1112</v>
      </c>
      <c r="AH568" s="353" t="str">
        <f t="shared" si="48"/>
        <v>303</v>
      </c>
      <c r="AI568" s="3" t="str">
        <f t="shared" si="49"/>
        <v>58</v>
      </c>
      <c r="AJ568" s="64" t="str">
        <f>VLOOKUP(T568,'GL Name'!A:B,2,0)</f>
        <v>ต้นทุนผลิตหีบห่อ</v>
      </c>
      <c r="AL568" s="13">
        <f t="shared" si="50"/>
        <v>5</v>
      </c>
      <c r="AM568" s="13" t="str">
        <f>VLOOKUP(I568,'Order 301-305 (เรียง)'!A:B,2,0)</f>
        <v>59000002</v>
      </c>
      <c r="AN568" t="str">
        <f>VLOOKUP(I568,'Order 301-305 (เรียง)'!A:C,3,0)</f>
        <v>GOLD BLEND ALL CAFE'  ขนาด 500 G.</v>
      </c>
    </row>
    <row r="569" spans="1:40" x14ac:dyDescent="0.3">
      <c r="A569" s="1" t="s">
        <v>121</v>
      </c>
      <c r="B569" s="1" t="s">
        <v>122</v>
      </c>
      <c r="C569" s="1" t="s">
        <v>64</v>
      </c>
      <c r="D569" s="1" t="s">
        <v>77</v>
      </c>
      <c r="E569" s="1" t="s">
        <v>78</v>
      </c>
      <c r="F569" s="1" t="s">
        <v>1475</v>
      </c>
      <c r="G569" s="1" t="s">
        <v>103</v>
      </c>
      <c r="H569" s="1" t="s">
        <v>772</v>
      </c>
      <c r="I569" s="1" t="s">
        <v>1476</v>
      </c>
      <c r="J569" s="1" t="s">
        <v>1477</v>
      </c>
      <c r="K569" s="1" t="s">
        <v>84</v>
      </c>
      <c r="L569" s="1" t="s">
        <v>95</v>
      </c>
      <c r="M569" s="1" t="s">
        <v>68</v>
      </c>
      <c r="N569" s="1" t="s">
        <v>71</v>
      </c>
      <c r="O569" s="1" t="s">
        <v>68</v>
      </c>
      <c r="P569" s="1" t="s">
        <v>1478</v>
      </c>
      <c r="Q569" s="1" t="s">
        <v>68</v>
      </c>
      <c r="R569" s="1" t="s">
        <v>68</v>
      </c>
      <c r="S569" s="1" t="s">
        <v>68</v>
      </c>
      <c r="T569" s="1" t="s">
        <v>108</v>
      </c>
      <c r="U569" s="1" t="s">
        <v>68</v>
      </c>
      <c r="V569" s="1" t="s">
        <v>68</v>
      </c>
      <c r="W569" s="1" t="s">
        <v>68</v>
      </c>
      <c r="X569" s="1" t="s">
        <v>68</v>
      </c>
      <c r="Y569" s="73"/>
      <c r="Z569" s="2" t="s">
        <v>102</v>
      </c>
      <c r="AA569" s="3">
        <v>-1541</v>
      </c>
      <c r="AB569" s="4">
        <v>-7705</v>
      </c>
      <c r="AC569" s="73">
        <v>46223</v>
      </c>
      <c r="AD569" s="73">
        <v>46218</v>
      </c>
      <c r="AE569" s="73"/>
      <c r="AF569" s="73">
        <v>46223</v>
      </c>
      <c r="AG569" s="3">
        <v>-1541</v>
      </c>
      <c r="AH569" s="353" t="str">
        <f t="shared" si="48"/>
        <v>303</v>
      </c>
      <c r="AI569" s="3" t="str">
        <f t="shared" si="49"/>
        <v>58</v>
      </c>
      <c r="AJ569" s="64" t="str">
        <f>VLOOKUP(T569,'GL Name'!A:B,2,0)</f>
        <v>ต้นทุนผลิตหีบห่อ</v>
      </c>
      <c r="AL569" s="13">
        <f t="shared" si="50"/>
        <v>5</v>
      </c>
      <c r="AM569" s="13" t="str">
        <f>VLOOKUP(I569,'Order 301-305 (เรียง)'!A:B,2,0)</f>
        <v>59000002</v>
      </c>
      <c r="AN569" t="str">
        <f>VLOOKUP(I569,'Order 301-305 (เรียง)'!A:C,3,0)</f>
        <v>GOLD BLEND ALL CAFE'  ขนาด 500 G.</v>
      </c>
    </row>
    <row r="570" spans="1:40" x14ac:dyDescent="0.3">
      <c r="A570" s="1" t="s">
        <v>81</v>
      </c>
      <c r="B570" s="1" t="s">
        <v>82</v>
      </c>
      <c r="C570" s="1" t="s">
        <v>64</v>
      </c>
      <c r="D570" s="1" t="s">
        <v>115</v>
      </c>
      <c r="E570" s="1" t="s">
        <v>116</v>
      </c>
      <c r="F570" s="1" t="s">
        <v>1475</v>
      </c>
      <c r="G570" s="1" t="s">
        <v>83</v>
      </c>
      <c r="H570" s="1" t="s">
        <v>1479</v>
      </c>
      <c r="I570" s="1" t="s">
        <v>1476</v>
      </c>
      <c r="J570" s="1" t="s">
        <v>1477</v>
      </c>
      <c r="K570" s="1" t="s">
        <v>84</v>
      </c>
      <c r="L570" s="1" t="s">
        <v>70</v>
      </c>
      <c r="M570" s="1" t="s">
        <v>68</v>
      </c>
      <c r="N570" s="1" t="s">
        <v>71</v>
      </c>
      <c r="O570" s="1" t="s">
        <v>68</v>
      </c>
      <c r="P570" s="1" t="s">
        <v>72</v>
      </c>
      <c r="Q570" s="1" t="s">
        <v>68</v>
      </c>
      <c r="R570" s="1" t="s">
        <v>68</v>
      </c>
      <c r="S570" s="1" t="s">
        <v>68</v>
      </c>
      <c r="T570" s="1" t="s">
        <v>117</v>
      </c>
      <c r="U570" s="1" t="s">
        <v>68</v>
      </c>
      <c r="V570" s="1" t="s">
        <v>68</v>
      </c>
      <c r="W570" s="1" t="s">
        <v>68</v>
      </c>
      <c r="X570" s="1" t="s">
        <v>68</v>
      </c>
      <c r="Y570" s="73"/>
      <c r="Z570" s="2" t="s">
        <v>74</v>
      </c>
      <c r="AA570" s="3">
        <v>15817</v>
      </c>
      <c r="AB570" s="4">
        <v>2686675.62</v>
      </c>
      <c r="AC570" s="73">
        <v>46223</v>
      </c>
      <c r="AD570" s="73">
        <v>46218</v>
      </c>
      <c r="AE570" s="73"/>
      <c r="AF570" s="73">
        <v>46223</v>
      </c>
      <c r="AG570" s="3">
        <v>7908500</v>
      </c>
      <c r="AH570" s="353" t="str">
        <f t="shared" si="48"/>
        <v>303</v>
      </c>
      <c r="AI570" s="3" t="str">
        <f t="shared" si="49"/>
        <v>59</v>
      </c>
      <c r="AJ570" s="64" t="str">
        <f>VLOOKUP(T570,'GL Name'!A:B,2,0)</f>
        <v>ต้นทุนผลิตโอน F/G</v>
      </c>
      <c r="AL570" s="13">
        <f t="shared" si="50"/>
        <v>169.86</v>
      </c>
      <c r="AM570" s="13" t="str">
        <f>VLOOKUP(I570,'Order 301-305 (เรียง)'!A:B,2,0)</f>
        <v>59000002</v>
      </c>
      <c r="AN570" t="str">
        <f>VLOOKUP(I570,'Order 301-305 (เรียง)'!A:C,3,0)</f>
        <v>GOLD BLEND ALL CAFE'  ขนาด 500 G.</v>
      </c>
    </row>
    <row r="571" spans="1:40" x14ac:dyDescent="0.3">
      <c r="A571" s="1" t="s">
        <v>13</v>
      </c>
      <c r="B571" s="1" t="s">
        <v>14</v>
      </c>
      <c r="C571" s="1" t="s">
        <v>64</v>
      </c>
      <c r="D571" s="1" t="s">
        <v>77</v>
      </c>
      <c r="E571" s="1" t="s">
        <v>78</v>
      </c>
      <c r="F571" s="1" t="s">
        <v>1480</v>
      </c>
      <c r="G571" s="1" t="s">
        <v>279</v>
      </c>
      <c r="H571" s="1" t="s">
        <v>944</v>
      </c>
      <c r="I571" s="1" t="s">
        <v>1481</v>
      </c>
      <c r="J571" s="1" t="s">
        <v>1482</v>
      </c>
      <c r="K571" s="1" t="s">
        <v>84</v>
      </c>
      <c r="L571" s="1" t="s">
        <v>86</v>
      </c>
      <c r="M571" s="1" t="s">
        <v>68</v>
      </c>
      <c r="N571" s="1" t="s">
        <v>71</v>
      </c>
      <c r="O571" s="1" t="s">
        <v>68</v>
      </c>
      <c r="P571" s="1" t="s">
        <v>1483</v>
      </c>
      <c r="Q571" s="1" t="s">
        <v>68</v>
      </c>
      <c r="R571" s="1" t="s">
        <v>68</v>
      </c>
      <c r="S571" s="1" t="s">
        <v>68</v>
      </c>
      <c r="T571" s="1" t="s">
        <v>123</v>
      </c>
      <c r="U571" s="1" t="s">
        <v>68</v>
      </c>
      <c r="V571" s="1" t="s">
        <v>68</v>
      </c>
      <c r="W571" s="1" t="s">
        <v>68</v>
      </c>
      <c r="X571" s="1" t="s">
        <v>68</v>
      </c>
      <c r="Y571" s="73"/>
      <c r="Z571" s="2" t="s">
        <v>80</v>
      </c>
      <c r="AA571" s="3">
        <v>-8183.1</v>
      </c>
      <c r="AB571" s="4">
        <v>-2216310.7999999998</v>
      </c>
      <c r="AC571" s="73">
        <v>46223</v>
      </c>
      <c r="AD571" s="73">
        <v>46219</v>
      </c>
      <c r="AE571" s="73"/>
      <c r="AF571" s="73">
        <v>46223</v>
      </c>
      <c r="AG571" s="3">
        <v>-8183100</v>
      </c>
      <c r="AH571" s="353" t="str">
        <f t="shared" si="48"/>
        <v>302</v>
      </c>
      <c r="AI571" s="3" t="str">
        <f t="shared" si="49"/>
        <v>57</v>
      </c>
      <c r="AJ571" s="64" t="str">
        <f>VLOOKUP(T571,'GL Name'!A:B,2,0)</f>
        <v>ต้นทุนผลิตกึ่งสำเร็จ</v>
      </c>
      <c r="AL571" s="13">
        <f t="shared" si="50"/>
        <v>270.83999951118767</v>
      </c>
      <c r="AM571" s="13" t="str">
        <f>VLOOKUP(I571,'Order 301-305 (เรียง)'!A:B,2,0)</f>
        <v>59000002</v>
      </c>
      <c r="AN571" t="str">
        <f>VLOOKUP(I571,'Order 301-305 (เรียง)'!A:C,3,0)</f>
        <v>GOLD BLEND ALL CAFE'  ขนาด 500 G.</v>
      </c>
    </row>
    <row r="572" spans="1:40" x14ac:dyDescent="0.3">
      <c r="A572" s="1" t="s">
        <v>15</v>
      </c>
      <c r="B572" s="1" t="s">
        <v>233</v>
      </c>
      <c r="C572" s="1" t="s">
        <v>64</v>
      </c>
      <c r="D572" s="1" t="s">
        <v>77</v>
      </c>
      <c r="E572" s="1" t="s">
        <v>78</v>
      </c>
      <c r="F572" s="1" t="s">
        <v>1480</v>
      </c>
      <c r="G572" s="1" t="s">
        <v>279</v>
      </c>
      <c r="H572" s="1" t="s">
        <v>1390</v>
      </c>
      <c r="I572" s="1" t="s">
        <v>1481</v>
      </c>
      <c r="J572" s="1" t="s">
        <v>1482</v>
      </c>
      <c r="K572" s="1" t="s">
        <v>84</v>
      </c>
      <c r="L572" s="1" t="s">
        <v>92</v>
      </c>
      <c r="M572" s="1" t="s">
        <v>68</v>
      </c>
      <c r="N572" s="1" t="s">
        <v>71</v>
      </c>
      <c r="O572" s="1" t="s">
        <v>68</v>
      </c>
      <c r="P572" s="1" t="s">
        <v>1483</v>
      </c>
      <c r="Q572" s="1" t="s">
        <v>68</v>
      </c>
      <c r="R572" s="1" t="s">
        <v>68</v>
      </c>
      <c r="S572" s="1" t="s">
        <v>68</v>
      </c>
      <c r="T572" s="1" t="s">
        <v>123</v>
      </c>
      <c r="U572" s="1" t="s">
        <v>68</v>
      </c>
      <c r="V572" s="1" t="s">
        <v>68</v>
      </c>
      <c r="W572" s="1" t="s">
        <v>68</v>
      </c>
      <c r="X572" s="1" t="s">
        <v>68</v>
      </c>
      <c r="Y572" s="73"/>
      <c r="Z572" s="2" t="s">
        <v>80</v>
      </c>
      <c r="AA572" s="3">
        <v>-841.34</v>
      </c>
      <c r="AB572" s="4">
        <v>-227860.11</v>
      </c>
      <c r="AC572" s="73">
        <v>46223</v>
      </c>
      <c r="AD572" s="73">
        <v>46219</v>
      </c>
      <c r="AE572" s="73"/>
      <c r="AF572" s="73">
        <v>46223</v>
      </c>
      <c r="AG572" s="3">
        <v>-841340</v>
      </c>
      <c r="AH572" s="353" t="str">
        <f t="shared" si="48"/>
        <v>302</v>
      </c>
      <c r="AI572" s="3" t="str">
        <f t="shared" si="49"/>
        <v>57</v>
      </c>
      <c r="AJ572" s="64" t="str">
        <f>VLOOKUP(T572,'GL Name'!A:B,2,0)</f>
        <v>ต้นทุนผลิตกึ่งสำเร็จ</v>
      </c>
      <c r="AL572" s="13">
        <f t="shared" si="50"/>
        <v>270.8299973851237</v>
      </c>
      <c r="AM572" s="13" t="str">
        <f>VLOOKUP(I572,'Order 301-305 (เรียง)'!A:B,2,0)</f>
        <v>59000002</v>
      </c>
      <c r="AN572" t="str">
        <f>VLOOKUP(I572,'Order 301-305 (เรียง)'!A:C,3,0)</f>
        <v>GOLD BLEND ALL CAFE'  ขนาด 500 G.</v>
      </c>
    </row>
    <row r="573" spans="1:40" x14ac:dyDescent="0.3">
      <c r="A573" s="1" t="s">
        <v>19</v>
      </c>
      <c r="B573" s="1" t="s">
        <v>20</v>
      </c>
      <c r="C573" s="1" t="s">
        <v>64</v>
      </c>
      <c r="D573" s="1" t="s">
        <v>77</v>
      </c>
      <c r="E573" s="1" t="s">
        <v>78</v>
      </c>
      <c r="F573" s="1" t="s">
        <v>1480</v>
      </c>
      <c r="G573" s="1" t="s">
        <v>279</v>
      </c>
      <c r="H573" s="1" t="s">
        <v>304</v>
      </c>
      <c r="I573" s="1" t="s">
        <v>1481</v>
      </c>
      <c r="J573" s="1" t="s">
        <v>1482</v>
      </c>
      <c r="K573" s="1" t="s">
        <v>84</v>
      </c>
      <c r="L573" s="1" t="s">
        <v>89</v>
      </c>
      <c r="M573" s="1" t="s">
        <v>68</v>
      </c>
      <c r="N573" s="1" t="s">
        <v>71</v>
      </c>
      <c r="O573" s="1" t="s">
        <v>68</v>
      </c>
      <c r="P573" s="1" t="s">
        <v>1483</v>
      </c>
      <c r="Q573" s="1" t="s">
        <v>68</v>
      </c>
      <c r="R573" s="1" t="s">
        <v>68</v>
      </c>
      <c r="S573" s="1" t="s">
        <v>68</v>
      </c>
      <c r="T573" s="1" t="s">
        <v>123</v>
      </c>
      <c r="U573" s="1" t="s">
        <v>68</v>
      </c>
      <c r="V573" s="1" t="s">
        <v>68</v>
      </c>
      <c r="W573" s="1" t="s">
        <v>68</v>
      </c>
      <c r="X573" s="1" t="s">
        <v>68</v>
      </c>
      <c r="Y573" s="73"/>
      <c r="Z573" s="2" t="s">
        <v>80</v>
      </c>
      <c r="AA573" s="3">
        <v>-2258.2600000000002</v>
      </c>
      <c r="AB573" s="4">
        <v>-361163.52000000002</v>
      </c>
      <c r="AC573" s="73">
        <v>46223</v>
      </c>
      <c r="AD573" s="73">
        <v>46219</v>
      </c>
      <c r="AE573" s="73"/>
      <c r="AF573" s="73">
        <v>46223</v>
      </c>
      <c r="AG573" s="3">
        <v>-2258260</v>
      </c>
      <c r="AH573" s="353" t="str">
        <f t="shared" ref="AH573:AH617" si="51">LEFT(I573,3)</f>
        <v>302</v>
      </c>
      <c r="AI573" s="3" t="str">
        <f t="shared" ref="AI573:AI617" si="52">LEFT(A573,2)</f>
        <v>57</v>
      </c>
      <c r="AJ573" s="64" t="str">
        <f>VLOOKUP(T573,'GL Name'!A:B,2,0)</f>
        <v>ต้นทุนผลิตกึ่งสำเร็จ</v>
      </c>
      <c r="AL573" s="13">
        <f t="shared" ref="AL573:AL617" si="53">AB573/AA573</f>
        <v>159.92999920292613</v>
      </c>
      <c r="AM573" s="13" t="str">
        <f>VLOOKUP(I573,'Order 301-305 (เรียง)'!A:B,2,0)</f>
        <v>59000002</v>
      </c>
      <c r="AN573" t="str">
        <f>VLOOKUP(I573,'Order 301-305 (เรียง)'!A:C,3,0)</f>
        <v>GOLD BLEND ALL CAFE'  ขนาด 500 G.</v>
      </c>
    </row>
    <row r="574" spans="1:40" x14ac:dyDescent="0.3">
      <c r="A574" s="1" t="s">
        <v>23</v>
      </c>
      <c r="B574" s="1" t="s">
        <v>24</v>
      </c>
      <c r="C574" s="1" t="s">
        <v>64</v>
      </c>
      <c r="D574" s="1" t="s">
        <v>115</v>
      </c>
      <c r="E574" s="1" t="s">
        <v>116</v>
      </c>
      <c r="F574" s="1" t="s">
        <v>1480</v>
      </c>
      <c r="G574" s="1" t="s">
        <v>103</v>
      </c>
      <c r="H574" s="1" t="s">
        <v>1484</v>
      </c>
      <c r="I574" s="1" t="s">
        <v>1481</v>
      </c>
      <c r="J574" s="1" t="s">
        <v>1482</v>
      </c>
      <c r="K574" s="1" t="s">
        <v>84</v>
      </c>
      <c r="L574" s="1" t="s">
        <v>70</v>
      </c>
      <c r="M574" s="1" t="s">
        <v>68</v>
      </c>
      <c r="N574" s="1" t="s">
        <v>71</v>
      </c>
      <c r="O574" s="1" t="s">
        <v>68</v>
      </c>
      <c r="P574" s="1" t="s">
        <v>72</v>
      </c>
      <c r="Q574" s="1" t="s">
        <v>68</v>
      </c>
      <c r="R574" s="1" t="s">
        <v>68</v>
      </c>
      <c r="S574" s="1" t="s">
        <v>68</v>
      </c>
      <c r="T574" s="1" t="s">
        <v>124</v>
      </c>
      <c r="U574" s="1" t="s">
        <v>68</v>
      </c>
      <c r="V574" s="1" t="s">
        <v>68</v>
      </c>
      <c r="W574" s="1" t="s">
        <v>68</v>
      </c>
      <c r="X574" s="1" t="s">
        <v>68</v>
      </c>
      <c r="Y574" s="73"/>
      <c r="Z574" s="2" t="s">
        <v>80</v>
      </c>
      <c r="AA574" s="3">
        <v>9086.34</v>
      </c>
      <c r="AB574" s="4">
        <v>2954332.59</v>
      </c>
      <c r="AC574" s="73">
        <v>46223</v>
      </c>
      <c r="AD574" s="73">
        <v>46219</v>
      </c>
      <c r="AE574" s="73"/>
      <c r="AF574" s="73">
        <v>46223</v>
      </c>
      <c r="AG574" s="3">
        <v>9086340</v>
      </c>
      <c r="AH574" s="353" t="str">
        <f t="shared" si="51"/>
        <v>302</v>
      </c>
      <c r="AI574" s="3" t="str">
        <f t="shared" si="52"/>
        <v>57</v>
      </c>
      <c r="AJ574" s="64" t="str">
        <f>VLOOKUP(T574,'GL Name'!A:B,2,0)</f>
        <v>ต้นทุนผลิตโอน Semi</v>
      </c>
      <c r="AL574" s="13">
        <f t="shared" si="53"/>
        <v>325.14000026413271</v>
      </c>
      <c r="AM574" s="13" t="str">
        <f>VLOOKUP(I574,'Order 301-305 (เรียง)'!A:B,2,0)</f>
        <v>59000002</v>
      </c>
      <c r="AN574" t="str">
        <f>VLOOKUP(I574,'Order 301-305 (เรียง)'!A:C,3,0)</f>
        <v>GOLD BLEND ALL CAFE'  ขนาด 500 G.</v>
      </c>
    </row>
    <row r="575" spans="1:40" x14ac:dyDescent="0.3">
      <c r="A575" s="1" t="s">
        <v>13</v>
      </c>
      <c r="B575" s="1" t="s">
        <v>14</v>
      </c>
      <c r="C575" s="1" t="s">
        <v>64</v>
      </c>
      <c r="D575" s="1" t="s">
        <v>77</v>
      </c>
      <c r="E575" s="1" t="s">
        <v>78</v>
      </c>
      <c r="F575" s="1" t="s">
        <v>1485</v>
      </c>
      <c r="G575" s="1" t="s">
        <v>279</v>
      </c>
      <c r="H575" s="1" t="s">
        <v>944</v>
      </c>
      <c r="I575" s="1" t="s">
        <v>1486</v>
      </c>
      <c r="J575" s="1" t="s">
        <v>1487</v>
      </c>
      <c r="K575" s="1" t="s">
        <v>84</v>
      </c>
      <c r="L575" s="1" t="s">
        <v>89</v>
      </c>
      <c r="M575" s="1" t="s">
        <v>68</v>
      </c>
      <c r="N575" s="1" t="s">
        <v>71</v>
      </c>
      <c r="O575" s="1" t="s">
        <v>68</v>
      </c>
      <c r="P575" s="1" t="s">
        <v>72</v>
      </c>
      <c r="Q575" s="1" t="s">
        <v>68</v>
      </c>
      <c r="R575" s="1" t="s">
        <v>14</v>
      </c>
      <c r="S575" s="1" t="s">
        <v>68</v>
      </c>
      <c r="T575" s="1" t="s">
        <v>123</v>
      </c>
      <c r="U575" s="1" t="s">
        <v>68</v>
      </c>
      <c r="V575" s="1" t="s">
        <v>68</v>
      </c>
      <c r="W575" s="1" t="s">
        <v>68</v>
      </c>
      <c r="X575" s="1" t="s">
        <v>68</v>
      </c>
      <c r="Y575" s="73"/>
      <c r="Z575" s="2" t="s">
        <v>80</v>
      </c>
      <c r="AA575" s="3">
        <v>-1160.74</v>
      </c>
      <c r="AB575" s="4">
        <v>-314374.82</v>
      </c>
      <c r="AC575" s="73">
        <v>46223</v>
      </c>
      <c r="AD575" s="73">
        <v>46220</v>
      </c>
      <c r="AE575" s="73"/>
      <c r="AF575" s="73">
        <v>46223</v>
      </c>
      <c r="AG575" s="3">
        <v>-1160740</v>
      </c>
      <c r="AH575" s="353" t="str">
        <f t="shared" si="51"/>
        <v>302</v>
      </c>
      <c r="AI575" s="3" t="str">
        <f t="shared" si="52"/>
        <v>57</v>
      </c>
      <c r="AJ575" s="64" t="str">
        <f>VLOOKUP(T575,'GL Name'!A:B,2,0)</f>
        <v>ต้นทุนผลิตกึ่งสำเร็จ</v>
      </c>
      <c r="AL575" s="13">
        <f t="shared" si="53"/>
        <v>270.83999862156901</v>
      </c>
      <c r="AM575" s="13" t="str">
        <f>VLOOKUP(I575,'Order 301-305 (เรียง)'!A:B,2,0)</f>
        <v>59000002</v>
      </c>
      <c r="AN575" t="str">
        <f>VLOOKUP(I575,'Order 301-305 (เรียง)'!A:C,3,0)</f>
        <v>GOLD BLEND ALL CAFE'  ขนาด 500 G.</v>
      </c>
    </row>
    <row r="576" spans="1:40" x14ac:dyDescent="0.3">
      <c r="A576" s="1" t="s">
        <v>13</v>
      </c>
      <c r="B576" s="1" t="s">
        <v>14</v>
      </c>
      <c r="C576" s="1" t="s">
        <v>64</v>
      </c>
      <c r="D576" s="1" t="s">
        <v>77</v>
      </c>
      <c r="E576" s="1" t="s">
        <v>78</v>
      </c>
      <c r="F576" s="1" t="s">
        <v>1485</v>
      </c>
      <c r="G576" s="1" t="s">
        <v>279</v>
      </c>
      <c r="H576" s="1" t="s">
        <v>561</v>
      </c>
      <c r="I576" s="1" t="s">
        <v>1486</v>
      </c>
      <c r="J576" s="1" t="s">
        <v>1487</v>
      </c>
      <c r="K576" s="1" t="s">
        <v>84</v>
      </c>
      <c r="L576" s="1" t="s">
        <v>86</v>
      </c>
      <c r="M576" s="1" t="s">
        <v>68</v>
      </c>
      <c r="N576" s="1" t="s">
        <v>71</v>
      </c>
      <c r="O576" s="1" t="s">
        <v>68</v>
      </c>
      <c r="P576" s="1" t="s">
        <v>1488</v>
      </c>
      <c r="Q576" s="1" t="s">
        <v>68</v>
      </c>
      <c r="R576" s="1" t="s">
        <v>68</v>
      </c>
      <c r="S576" s="1" t="s">
        <v>68</v>
      </c>
      <c r="T576" s="1" t="s">
        <v>123</v>
      </c>
      <c r="U576" s="1" t="s">
        <v>68</v>
      </c>
      <c r="V576" s="1" t="s">
        <v>68</v>
      </c>
      <c r="W576" s="1" t="s">
        <v>68</v>
      </c>
      <c r="X576" s="1" t="s">
        <v>68</v>
      </c>
      <c r="Y576" s="73"/>
      <c r="Z576" s="2" t="s">
        <v>80</v>
      </c>
      <c r="AA576" s="3">
        <v>-6136.36</v>
      </c>
      <c r="AB576" s="4">
        <v>-1661971.74</v>
      </c>
      <c r="AC576" s="73">
        <v>46223</v>
      </c>
      <c r="AD576" s="73">
        <v>46220</v>
      </c>
      <c r="AE576" s="73"/>
      <c r="AF576" s="73">
        <v>46223</v>
      </c>
      <c r="AG576" s="3">
        <v>-6136360</v>
      </c>
      <c r="AH576" s="353" t="str">
        <f t="shared" si="51"/>
        <v>302</v>
      </c>
      <c r="AI576" s="3" t="str">
        <f t="shared" si="52"/>
        <v>57</v>
      </c>
      <c r="AJ576" s="64" t="str">
        <f>VLOOKUP(T576,'GL Name'!A:B,2,0)</f>
        <v>ต้นทุนผลิตกึ่งสำเร็จ</v>
      </c>
      <c r="AL576" s="13">
        <f t="shared" si="53"/>
        <v>270.83999960888866</v>
      </c>
      <c r="AM576" s="13" t="str">
        <f>VLOOKUP(I576,'Order 301-305 (เรียง)'!A:B,2,0)</f>
        <v>59000002</v>
      </c>
      <c r="AN576" t="str">
        <f>VLOOKUP(I576,'Order 301-305 (เรียง)'!A:C,3,0)</f>
        <v>GOLD BLEND ALL CAFE'  ขนาด 500 G.</v>
      </c>
    </row>
    <row r="577" spans="1:40" x14ac:dyDescent="0.3">
      <c r="A577" s="1" t="s">
        <v>19</v>
      </c>
      <c r="B577" s="1" t="s">
        <v>20</v>
      </c>
      <c r="C577" s="1" t="s">
        <v>64</v>
      </c>
      <c r="D577" s="1" t="s">
        <v>77</v>
      </c>
      <c r="E577" s="1" t="s">
        <v>78</v>
      </c>
      <c r="F577" s="1" t="s">
        <v>1485</v>
      </c>
      <c r="G577" s="1" t="s">
        <v>279</v>
      </c>
      <c r="H577" s="1" t="s">
        <v>304</v>
      </c>
      <c r="I577" s="1" t="s">
        <v>1486</v>
      </c>
      <c r="J577" s="1" t="s">
        <v>1487</v>
      </c>
      <c r="K577" s="1" t="s">
        <v>84</v>
      </c>
      <c r="L577" s="1" t="s">
        <v>92</v>
      </c>
      <c r="M577" s="1" t="s">
        <v>68</v>
      </c>
      <c r="N577" s="1" t="s">
        <v>71</v>
      </c>
      <c r="O577" s="1" t="s">
        <v>68</v>
      </c>
      <c r="P577" s="1" t="s">
        <v>1488</v>
      </c>
      <c r="Q577" s="1" t="s">
        <v>68</v>
      </c>
      <c r="R577" s="1" t="s">
        <v>68</v>
      </c>
      <c r="S577" s="1" t="s">
        <v>68</v>
      </c>
      <c r="T577" s="1" t="s">
        <v>123</v>
      </c>
      <c r="U577" s="1" t="s">
        <v>68</v>
      </c>
      <c r="V577" s="1" t="s">
        <v>68</v>
      </c>
      <c r="W577" s="1" t="s">
        <v>68</v>
      </c>
      <c r="X577" s="1" t="s">
        <v>68</v>
      </c>
      <c r="Y577" s="73"/>
      <c r="Z577" s="2" t="s">
        <v>80</v>
      </c>
      <c r="AA577" s="3">
        <v>-1825.96</v>
      </c>
      <c r="AB577" s="4">
        <v>-292025.78000000003</v>
      </c>
      <c r="AC577" s="73">
        <v>46223</v>
      </c>
      <c r="AD577" s="73">
        <v>46220</v>
      </c>
      <c r="AE577" s="73"/>
      <c r="AF577" s="73">
        <v>46223</v>
      </c>
      <c r="AG577" s="3">
        <v>-1825960</v>
      </c>
      <c r="AH577" s="353" t="str">
        <f t="shared" si="51"/>
        <v>302</v>
      </c>
      <c r="AI577" s="3" t="str">
        <f t="shared" si="52"/>
        <v>57</v>
      </c>
      <c r="AJ577" s="64" t="str">
        <f>VLOOKUP(T577,'GL Name'!A:B,2,0)</f>
        <v>ต้นทุนผลิตกึ่งสำเร็จ</v>
      </c>
      <c r="AL577" s="13">
        <f t="shared" si="53"/>
        <v>159.92999846656008</v>
      </c>
      <c r="AM577" s="13" t="str">
        <f>VLOOKUP(I577,'Order 301-305 (เรียง)'!A:B,2,0)</f>
        <v>59000002</v>
      </c>
      <c r="AN577" t="str">
        <f>VLOOKUP(I577,'Order 301-305 (เรียง)'!A:C,3,0)</f>
        <v>GOLD BLEND ALL CAFE'  ขนาด 500 G.</v>
      </c>
    </row>
    <row r="578" spans="1:40" x14ac:dyDescent="0.3">
      <c r="A578" s="1" t="s">
        <v>23</v>
      </c>
      <c r="B578" s="1" t="s">
        <v>24</v>
      </c>
      <c r="C578" s="1" t="s">
        <v>64</v>
      </c>
      <c r="D578" s="1" t="s">
        <v>115</v>
      </c>
      <c r="E578" s="1" t="s">
        <v>116</v>
      </c>
      <c r="F578" s="1" t="s">
        <v>1485</v>
      </c>
      <c r="G578" s="1" t="s">
        <v>103</v>
      </c>
      <c r="H578" s="1" t="s">
        <v>1489</v>
      </c>
      <c r="I578" s="1" t="s">
        <v>1486</v>
      </c>
      <c r="J578" s="1" t="s">
        <v>1487</v>
      </c>
      <c r="K578" s="1" t="s">
        <v>84</v>
      </c>
      <c r="L578" s="1" t="s">
        <v>70</v>
      </c>
      <c r="M578" s="1" t="s">
        <v>68</v>
      </c>
      <c r="N578" s="1" t="s">
        <v>71</v>
      </c>
      <c r="O578" s="1" t="s">
        <v>68</v>
      </c>
      <c r="P578" s="1" t="s">
        <v>72</v>
      </c>
      <c r="Q578" s="1" t="s">
        <v>68</v>
      </c>
      <c r="R578" s="1" t="s">
        <v>68</v>
      </c>
      <c r="S578" s="1" t="s">
        <v>68</v>
      </c>
      <c r="T578" s="1" t="s">
        <v>124</v>
      </c>
      <c r="U578" s="1" t="s">
        <v>68</v>
      </c>
      <c r="V578" s="1" t="s">
        <v>68</v>
      </c>
      <c r="W578" s="1" t="s">
        <v>68</v>
      </c>
      <c r="X578" s="1" t="s">
        <v>68</v>
      </c>
      <c r="Y578" s="73"/>
      <c r="Z578" s="2" t="s">
        <v>80</v>
      </c>
      <c r="AA578" s="3">
        <v>7341.83</v>
      </c>
      <c r="AB578" s="4">
        <v>2387122.61</v>
      </c>
      <c r="AC578" s="73">
        <v>46223</v>
      </c>
      <c r="AD578" s="73">
        <v>46220</v>
      </c>
      <c r="AE578" s="73"/>
      <c r="AF578" s="73">
        <v>46223</v>
      </c>
      <c r="AG578" s="3">
        <v>7341830</v>
      </c>
      <c r="AH578" s="353" t="str">
        <f t="shared" si="51"/>
        <v>302</v>
      </c>
      <c r="AI578" s="3" t="str">
        <f t="shared" si="52"/>
        <v>57</v>
      </c>
      <c r="AJ578" s="64" t="str">
        <f>VLOOKUP(T578,'GL Name'!A:B,2,0)</f>
        <v>ต้นทุนผลิตโอน Semi</v>
      </c>
      <c r="AL578" s="13">
        <f t="shared" si="53"/>
        <v>325.14000051758211</v>
      </c>
      <c r="AM578" s="13" t="str">
        <f>VLOOKUP(I578,'Order 301-305 (เรียง)'!A:B,2,0)</f>
        <v>59000002</v>
      </c>
      <c r="AN578" t="str">
        <f>VLOOKUP(I578,'Order 301-305 (เรียง)'!A:C,3,0)</f>
        <v>GOLD BLEND ALL CAFE'  ขนาด 500 G.</v>
      </c>
    </row>
    <row r="579" spans="1:40" x14ac:dyDescent="0.3">
      <c r="A579" s="1" t="s">
        <v>15</v>
      </c>
      <c r="B579" s="1" t="s">
        <v>233</v>
      </c>
      <c r="C579" s="1" t="s">
        <v>64</v>
      </c>
      <c r="D579" s="1" t="s">
        <v>77</v>
      </c>
      <c r="E579" s="1" t="s">
        <v>78</v>
      </c>
      <c r="F579" s="1" t="s">
        <v>1490</v>
      </c>
      <c r="G579" s="1" t="s">
        <v>279</v>
      </c>
      <c r="H579" s="1" t="s">
        <v>1390</v>
      </c>
      <c r="I579" s="1" t="s">
        <v>1491</v>
      </c>
      <c r="J579" s="1" t="s">
        <v>1492</v>
      </c>
      <c r="K579" s="1" t="s">
        <v>84</v>
      </c>
      <c r="L579" s="1" t="s">
        <v>86</v>
      </c>
      <c r="M579" s="1" t="s">
        <v>68</v>
      </c>
      <c r="N579" s="1" t="s">
        <v>71</v>
      </c>
      <c r="O579" s="1" t="s">
        <v>68</v>
      </c>
      <c r="P579" s="1" t="s">
        <v>72</v>
      </c>
      <c r="Q579" s="1" t="s">
        <v>68</v>
      </c>
      <c r="R579" s="1" t="s">
        <v>233</v>
      </c>
      <c r="S579" s="1" t="s">
        <v>68</v>
      </c>
      <c r="T579" s="1" t="s">
        <v>123</v>
      </c>
      <c r="U579" s="1" t="s">
        <v>68</v>
      </c>
      <c r="V579" s="1" t="s">
        <v>68</v>
      </c>
      <c r="W579" s="1" t="s">
        <v>68</v>
      </c>
      <c r="X579" s="1" t="s">
        <v>68</v>
      </c>
      <c r="Y579" s="73"/>
      <c r="Z579" s="2" t="s">
        <v>80</v>
      </c>
      <c r="AA579" s="3">
        <v>-192</v>
      </c>
      <c r="AB579" s="4">
        <v>-51999.360000000001</v>
      </c>
      <c r="AC579" s="73">
        <v>46223</v>
      </c>
      <c r="AD579" s="73">
        <v>46220</v>
      </c>
      <c r="AE579" s="73"/>
      <c r="AF579" s="73">
        <v>46223</v>
      </c>
      <c r="AG579" s="3">
        <v>-192000</v>
      </c>
      <c r="AH579" s="353" t="str">
        <f t="shared" si="51"/>
        <v>302</v>
      </c>
      <c r="AI579" s="3" t="str">
        <f t="shared" si="52"/>
        <v>57</v>
      </c>
      <c r="AJ579" s="64" t="str">
        <f>VLOOKUP(T579,'GL Name'!A:B,2,0)</f>
        <v>ต้นทุนผลิตกึ่งสำเร็จ</v>
      </c>
      <c r="AL579" s="13">
        <f t="shared" si="53"/>
        <v>270.83</v>
      </c>
      <c r="AM579" s="13" t="str">
        <f>VLOOKUP(I579,'Order 301-305 (เรียง)'!A:B,2,0)</f>
        <v>59000014</v>
      </c>
      <c r="AN579" t="str">
        <f>VLOOKUP(I579,'Order 301-305 (เรียง)'!A:C,3,0)</f>
        <v>เมล็ดกาแฟ True Tower ขนาด 500 G.</v>
      </c>
    </row>
    <row r="580" spans="1:40" x14ac:dyDescent="0.3">
      <c r="A580" s="1" t="s">
        <v>21</v>
      </c>
      <c r="B580" s="1" t="s">
        <v>234</v>
      </c>
      <c r="C580" s="1" t="s">
        <v>64</v>
      </c>
      <c r="D580" s="1" t="s">
        <v>77</v>
      </c>
      <c r="E580" s="1" t="s">
        <v>78</v>
      </c>
      <c r="F580" s="1" t="s">
        <v>1490</v>
      </c>
      <c r="G580" s="1" t="s">
        <v>279</v>
      </c>
      <c r="H580" s="1" t="s">
        <v>1238</v>
      </c>
      <c r="I580" s="1" t="s">
        <v>1491</v>
      </c>
      <c r="J580" s="1" t="s">
        <v>1492</v>
      </c>
      <c r="K580" s="1" t="s">
        <v>84</v>
      </c>
      <c r="L580" s="1" t="s">
        <v>92</v>
      </c>
      <c r="M580" s="1" t="s">
        <v>68</v>
      </c>
      <c r="N580" s="1" t="s">
        <v>71</v>
      </c>
      <c r="O580" s="1" t="s">
        <v>68</v>
      </c>
      <c r="P580" s="1" t="s">
        <v>72</v>
      </c>
      <c r="Q580" s="1" t="s">
        <v>68</v>
      </c>
      <c r="R580" s="1" t="s">
        <v>234</v>
      </c>
      <c r="S580" s="1" t="s">
        <v>68</v>
      </c>
      <c r="T580" s="1" t="s">
        <v>123</v>
      </c>
      <c r="U580" s="1" t="s">
        <v>68</v>
      </c>
      <c r="V580" s="1" t="s">
        <v>68</v>
      </c>
      <c r="W580" s="1" t="s">
        <v>68</v>
      </c>
      <c r="X580" s="1" t="s">
        <v>68</v>
      </c>
      <c r="Y580" s="73"/>
      <c r="Z580" s="2" t="s">
        <v>80</v>
      </c>
      <c r="AA580" s="3">
        <v>-288.3</v>
      </c>
      <c r="AB580" s="4">
        <v>-46107.82</v>
      </c>
      <c r="AC580" s="73">
        <v>46223</v>
      </c>
      <c r="AD580" s="73">
        <v>46220</v>
      </c>
      <c r="AE580" s="73"/>
      <c r="AF580" s="73">
        <v>46223</v>
      </c>
      <c r="AG580" s="3">
        <v>-288300</v>
      </c>
      <c r="AH580" s="353" t="str">
        <f t="shared" si="51"/>
        <v>302</v>
      </c>
      <c r="AI580" s="3" t="str">
        <f t="shared" si="52"/>
        <v>57</v>
      </c>
      <c r="AJ580" s="64" t="str">
        <f>VLOOKUP(T580,'GL Name'!A:B,2,0)</f>
        <v>ต้นทุนผลิตกึ่งสำเร็จ</v>
      </c>
      <c r="AL580" s="13">
        <f t="shared" si="53"/>
        <v>159.93000346860907</v>
      </c>
      <c r="AM580" s="13" t="str">
        <f>VLOOKUP(I580,'Order 301-305 (เรียง)'!A:B,2,0)</f>
        <v>59000014</v>
      </c>
      <c r="AN580" t="str">
        <f>VLOOKUP(I580,'Order 301-305 (เรียง)'!A:C,3,0)</f>
        <v>เมล็ดกาแฟ True Tower ขนาด 500 G.</v>
      </c>
    </row>
    <row r="581" spans="1:40" x14ac:dyDescent="0.3">
      <c r="A581" s="1" t="s">
        <v>205</v>
      </c>
      <c r="B581" s="1" t="s">
        <v>206</v>
      </c>
      <c r="C581" s="1" t="s">
        <v>64</v>
      </c>
      <c r="D581" s="1" t="s">
        <v>115</v>
      </c>
      <c r="E581" s="1" t="s">
        <v>116</v>
      </c>
      <c r="F581" s="1" t="s">
        <v>1490</v>
      </c>
      <c r="G581" s="1" t="s">
        <v>103</v>
      </c>
      <c r="H581" s="1" t="s">
        <v>1493</v>
      </c>
      <c r="I581" s="1" t="s">
        <v>1491</v>
      </c>
      <c r="J581" s="1" t="s">
        <v>1492</v>
      </c>
      <c r="K581" s="1" t="s">
        <v>84</v>
      </c>
      <c r="L581" s="1" t="s">
        <v>70</v>
      </c>
      <c r="M581" s="1" t="s">
        <v>68</v>
      </c>
      <c r="N581" s="1" t="s">
        <v>71</v>
      </c>
      <c r="O581" s="1" t="s">
        <v>68</v>
      </c>
      <c r="P581" s="1" t="s">
        <v>72</v>
      </c>
      <c r="Q581" s="1" t="s">
        <v>68</v>
      </c>
      <c r="R581" s="1" t="s">
        <v>68</v>
      </c>
      <c r="S581" s="1" t="s">
        <v>68</v>
      </c>
      <c r="T581" s="1" t="s">
        <v>124</v>
      </c>
      <c r="U581" s="1" t="s">
        <v>68</v>
      </c>
      <c r="V581" s="1" t="s">
        <v>68</v>
      </c>
      <c r="W581" s="1" t="s">
        <v>68</v>
      </c>
      <c r="X581" s="1" t="s">
        <v>68</v>
      </c>
      <c r="Y581" s="73"/>
      <c r="Z581" s="2" t="s">
        <v>80</v>
      </c>
      <c r="AA581" s="3">
        <v>380</v>
      </c>
      <c r="AB581" s="4">
        <v>102478.39999999999</v>
      </c>
      <c r="AC581" s="73">
        <v>46223</v>
      </c>
      <c r="AD581" s="73">
        <v>46220</v>
      </c>
      <c r="AE581" s="73"/>
      <c r="AF581" s="73">
        <v>46223</v>
      </c>
      <c r="AG581" s="3">
        <v>380000</v>
      </c>
      <c r="AH581" s="353" t="str">
        <f t="shared" si="51"/>
        <v>302</v>
      </c>
      <c r="AI581" s="3" t="str">
        <f t="shared" si="52"/>
        <v>57</v>
      </c>
      <c r="AJ581" s="64" t="str">
        <f>VLOOKUP(T581,'GL Name'!A:B,2,0)</f>
        <v>ต้นทุนผลิตโอน Semi</v>
      </c>
      <c r="AL581" s="13">
        <f t="shared" si="53"/>
        <v>269.68</v>
      </c>
      <c r="AM581" s="13" t="str">
        <f>VLOOKUP(I581,'Order 301-305 (เรียง)'!A:B,2,0)</f>
        <v>59000014</v>
      </c>
      <c r="AN581" t="str">
        <f>VLOOKUP(I581,'Order 301-305 (เรียง)'!A:C,3,0)</f>
        <v>เมล็ดกาแฟ True Tower ขนาด 500 G.</v>
      </c>
    </row>
    <row r="582" spans="1:40" x14ac:dyDescent="0.3">
      <c r="A582" s="1" t="s">
        <v>23</v>
      </c>
      <c r="B582" s="1" t="s">
        <v>24</v>
      </c>
      <c r="C582" s="1" t="s">
        <v>64</v>
      </c>
      <c r="D582" s="1" t="s">
        <v>77</v>
      </c>
      <c r="E582" s="1" t="s">
        <v>78</v>
      </c>
      <c r="F582" s="1" t="s">
        <v>1494</v>
      </c>
      <c r="G582" s="1" t="s">
        <v>103</v>
      </c>
      <c r="H582" s="1" t="s">
        <v>1484</v>
      </c>
      <c r="I582" s="1" t="s">
        <v>1495</v>
      </c>
      <c r="J582" s="1" t="s">
        <v>1496</v>
      </c>
      <c r="K582" s="1" t="s">
        <v>84</v>
      </c>
      <c r="L582" s="1" t="s">
        <v>86</v>
      </c>
      <c r="M582" s="1" t="s">
        <v>68</v>
      </c>
      <c r="N582" s="1" t="s">
        <v>71</v>
      </c>
      <c r="O582" s="1" t="s">
        <v>68</v>
      </c>
      <c r="P582" s="1" t="s">
        <v>1497</v>
      </c>
      <c r="Q582" s="1" t="s">
        <v>68</v>
      </c>
      <c r="R582" s="1" t="s">
        <v>68</v>
      </c>
      <c r="S582" s="1" t="s">
        <v>68</v>
      </c>
      <c r="T582" s="1" t="s">
        <v>123</v>
      </c>
      <c r="U582" s="1" t="s">
        <v>68</v>
      </c>
      <c r="V582" s="1" t="s">
        <v>68</v>
      </c>
      <c r="W582" s="1" t="s">
        <v>68</v>
      </c>
      <c r="X582" s="1" t="s">
        <v>68</v>
      </c>
      <c r="Y582" s="73"/>
      <c r="Z582" s="2" t="s">
        <v>80</v>
      </c>
      <c r="AA582" s="3">
        <v>-9086.34</v>
      </c>
      <c r="AB582" s="4">
        <v>-2954332.59</v>
      </c>
      <c r="AC582" s="73">
        <v>46223</v>
      </c>
      <c r="AD582" s="73">
        <v>46219</v>
      </c>
      <c r="AE582" s="73"/>
      <c r="AF582" s="73">
        <v>46223</v>
      </c>
      <c r="AG582" s="3">
        <v>-9086340</v>
      </c>
      <c r="AH582" s="353" t="str">
        <f t="shared" si="51"/>
        <v>303</v>
      </c>
      <c r="AI582" s="3" t="str">
        <f t="shared" si="52"/>
        <v>57</v>
      </c>
      <c r="AJ582" s="64" t="str">
        <f>VLOOKUP(T582,'GL Name'!A:B,2,0)</f>
        <v>ต้นทุนผลิตกึ่งสำเร็จ</v>
      </c>
      <c r="AL582" s="13">
        <f t="shared" si="53"/>
        <v>325.14000026413271</v>
      </c>
      <c r="AM582" s="13" t="str">
        <f>VLOOKUP(I582,'Order 301-305 (เรียง)'!A:B,2,0)</f>
        <v>59000002</v>
      </c>
      <c r="AN582" t="str">
        <f>VLOOKUP(I582,'Order 301-305 (เรียง)'!A:C,3,0)</f>
        <v>GOLD BLEND ALL CAFE'  ขนาด 500 G.</v>
      </c>
    </row>
    <row r="583" spans="1:40" x14ac:dyDescent="0.3">
      <c r="A583" s="1" t="s">
        <v>106</v>
      </c>
      <c r="B583" s="1" t="s">
        <v>107</v>
      </c>
      <c r="C583" s="1" t="s">
        <v>64</v>
      </c>
      <c r="D583" s="1" t="s">
        <v>77</v>
      </c>
      <c r="E583" s="1" t="s">
        <v>78</v>
      </c>
      <c r="F583" s="1" t="s">
        <v>1494</v>
      </c>
      <c r="G583" s="1" t="s">
        <v>103</v>
      </c>
      <c r="H583" s="1" t="s">
        <v>286</v>
      </c>
      <c r="I583" s="1" t="s">
        <v>1495</v>
      </c>
      <c r="J583" s="1" t="s">
        <v>1496</v>
      </c>
      <c r="K583" s="1" t="s">
        <v>84</v>
      </c>
      <c r="L583" s="1" t="s">
        <v>92</v>
      </c>
      <c r="M583" s="1" t="s">
        <v>68</v>
      </c>
      <c r="N583" s="1" t="s">
        <v>71</v>
      </c>
      <c r="O583" s="1" t="s">
        <v>68</v>
      </c>
      <c r="P583" s="1" t="s">
        <v>1497</v>
      </c>
      <c r="Q583" s="1" t="s">
        <v>68</v>
      </c>
      <c r="R583" s="1" t="s">
        <v>68</v>
      </c>
      <c r="S583" s="1" t="s">
        <v>68</v>
      </c>
      <c r="T583" s="1" t="s">
        <v>108</v>
      </c>
      <c r="U583" s="1" t="s">
        <v>68</v>
      </c>
      <c r="V583" s="1" t="s">
        <v>68</v>
      </c>
      <c r="W583" s="1" t="s">
        <v>68</v>
      </c>
      <c r="X583" s="1" t="s">
        <v>68</v>
      </c>
      <c r="Y583" s="73"/>
      <c r="Z583" s="2" t="s">
        <v>102</v>
      </c>
      <c r="AA583" s="3">
        <v>-18388</v>
      </c>
      <c r="AB583" s="4">
        <v>-15551.98</v>
      </c>
      <c r="AC583" s="73">
        <v>46223</v>
      </c>
      <c r="AD583" s="73">
        <v>46219</v>
      </c>
      <c r="AE583" s="73"/>
      <c r="AF583" s="73">
        <v>46223</v>
      </c>
      <c r="AG583" s="3">
        <v>-18388</v>
      </c>
      <c r="AH583" s="353" t="str">
        <f t="shared" si="51"/>
        <v>303</v>
      </c>
      <c r="AI583" s="3" t="str">
        <f t="shared" si="52"/>
        <v>58</v>
      </c>
      <c r="AJ583" s="64" t="str">
        <f>VLOOKUP(T583,'GL Name'!A:B,2,0)</f>
        <v>ต้นทุนผลิตหีบห่อ</v>
      </c>
      <c r="AL583" s="13">
        <f t="shared" si="53"/>
        <v>0.84576789210354575</v>
      </c>
      <c r="AM583" s="13" t="str">
        <f>VLOOKUP(I583,'Order 301-305 (เรียง)'!A:B,2,0)</f>
        <v>59000002</v>
      </c>
      <c r="AN583" t="str">
        <f>VLOOKUP(I583,'Order 301-305 (เรียง)'!A:C,3,0)</f>
        <v>GOLD BLEND ALL CAFE'  ขนาด 500 G.</v>
      </c>
    </row>
    <row r="584" spans="1:40" x14ac:dyDescent="0.3">
      <c r="A584" s="1" t="s">
        <v>119</v>
      </c>
      <c r="B584" s="1" t="s">
        <v>120</v>
      </c>
      <c r="C584" s="1" t="s">
        <v>64</v>
      </c>
      <c r="D584" s="1" t="s">
        <v>77</v>
      </c>
      <c r="E584" s="1" t="s">
        <v>78</v>
      </c>
      <c r="F584" s="1" t="s">
        <v>1494</v>
      </c>
      <c r="G584" s="1" t="s">
        <v>103</v>
      </c>
      <c r="H584" s="1" t="s">
        <v>316</v>
      </c>
      <c r="I584" s="1" t="s">
        <v>1495</v>
      </c>
      <c r="J584" s="1" t="s">
        <v>1496</v>
      </c>
      <c r="K584" s="1" t="s">
        <v>84</v>
      </c>
      <c r="L584" s="1" t="s">
        <v>89</v>
      </c>
      <c r="M584" s="1" t="s">
        <v>68</v>
      </c>
      <c r="N584" s="1" t="s">
        <v>71</v>
      </c>
      <c r="O584" s="1" t="s">
        <v>68</v>
      </c>
      <c r="P584" s="1" t="s">
        <v>1497</v>
      </c>
      <c r="Q584" s="1" t="s">
        <v>68</v>
      </c>
      <c r="R584" s="1" t="s">
        <v>68</v>
      </c>
      <c r="S584" s="1" t="s">
        <v>68</v>
      </c>
      <c r="T584" s="1" t="s">
        <v>108</v>
      </c>
      <c r="U584" s="1" t="s">
        <v>68</v>
      </c>
      <c r="V584" s="1" t="s">
        <v>68</v>
      </c>
      <c r="W584" s="1" t="s">
        <v>68</v>
      </c>
      <c r="X584" s="1" t="s">
        <v>68</v>
      </c>
      <c r="Y584" s="73"/>
      <c r="Z584" s="2" t="s">
        <v>102</v>
      </c>
      <c r="AA584" s="3">
        <v>-18388</v>
      </c>
      <c r="AB584" s="4">
        <v>-38311.160000000003</v>
      </c>
      <c r="AC584" s="73">
        <v>46223</v>
      </c>
      <c r="AD584" s="73">
        <v>46219</v>
      </c>
      <c r="AE584" s="73"/>
      <c r="AF584" s="73">
        <v>46223</v>
      </c>
      <c r="AG584" s="3">
        <v>-18388</v>
      </c>
      <c r="AH584" s="353" t="str">
        <f t="shared" si="51"/>
        <v>303</v>
      </c>
      <c r="AI584" s="3" t="str">
        <f t="shared" si="52"/>
        <v>58</v>
      </c>
      <c r="AJ584" s="64" t="str">
        <f>VLOOKUP(T584,'GL Name'!A:B,2,0)</f>
        <v>ต้นทุนผลิตหีบห่อ</v>
      </c>
      <c r="AL584" s="13">
        <f t="shared" si="53"/>
        <v>2.0834870567761588</v>
      </c>
      <c r="AM584" s="13" t="str">
        <f>VLOOKUP(I584,'Order 301-305 (เรียง)'!A:B,2,0)</f>
        <v>59000002</v>
      </c>
      <c r="AN584" t="str">
        <f>VLOOKUP(I584,'Order 301-305 (เรียง)'!A:C,3,0)</f>
        <v>GOLD BLEND ALL CAFE'  ขนาด 500 G.</v>
      </c>
    </row>
    <row r="585" spans="1:40" x14ac:dyDescent="0.3">
      <c r="A585" s="1" t="s">
        <v>121</v>
      </c>
      <c r="B585" s="1" t="s">
        <v>122</v>
      </c>
      <c r="C585" s="1" t="s">
        <v>64</v>
      </c>
      <c r="D585" s="1" t="s">
        <v>77</v>
      </c>
      <c r="E585" s="1" t="s">
        <v>78</v>
      </c>
      <c r="F585" s="1" t="s">
        <v>1494</v>
      </c>
      <c r="G585" s="1" t="s">
        <v>103</v>
      </c>
      <c r="H585" s="1" t="s">
        <v>704</v>
      </c>
      <c r="I585" s="1" t="s">
        <v>1495</v>
      </c>
      <c r="J585" s="1" t="s">
        <v>1496</v>
      </c>
      <c r="K585" s="1" t="s">
        <v>84</v>
      </c>
      <c r="L585" s="1" t="s">
        <v>95</v>
      </c>
      <c r="M585" s="1" t="s">
        <v>68</v>
      </c>
      <c r="N585" s="1" t="s">
        <v>71</v>
      </c>
      <c r="O585" s="1" t="s">
        <v>68</v>
      </c>
      <c r="P585" s="1" t="s">
        <v>1497</v>
      </c>
      <c r="Q585" s="1" t="s">
        <v>68</v>
      </c>
      <c r="R585" s="1" t="s">
        <v>68</v>
      </c>
      <c r="S585" s="1" t="s">
        <v>68</v>
      </c>
      <c r="T585" s="1" t="s">
        <v>108</v>
      </c>
      <c r="U585" s="1" t="s">
        <v>68</v>
      </c>
      <c r="V585" s="1" t="s">
        <v>68</v>
      </c>
      <c r="W585" s="1" t="s">
        <v>68</v>
      </c>
      <c r="X585" s="1" t="s">
        <v>68</v>
      </c>
      <c r="Y585" s="73"/>
      <c r="Z585" s="2" t="s">
        <v>102</v>
      </c>
      <c r="AA585" s="3">
        <v>-3037</v>
      </c>
      <c r="AB585" s="4">
        <v>-15185</v>
      </c>
      <c r="AC585" s="73">
        <v>46223</v>
      </c>
      <c r="AD585" s="73">
        <v>46219</v>
      </c>
      <c r="AE585" s="73"/>
      <c r="AF585" s="73">
        <v>46223</v>
      </c>
      <c r="AG585" s="3">
        <v>-3037</v>
      </c>
      <c r="AH585" s="353" t="str">
        <f t="shared" si="51"/>
        <v>303</v>
      </c>
      <c r="AI585" s="3" t="str">
        <f t="shared" si="52"/>
        <v>58</v>
      </c>
      <c r="AJ585" s="64" t="str">
        <f>VLOOKUP(T585,'GL Name'!A:B,2,0)</f>
        <v>ต้นทุนผลิตหีบห่อ</v>
      </c>
      <c r="AL585" s="13">
        <f t="shared" si="53"/>
        <v>5</v>
      </c>
      <c r="AM585" s="13" t="str">
        <f>VLOOKUP(I585,'Order 301-305 (เรียง)'!A:B,2,0)</f>
        <v>59000002</v>
      </c>
      <c r="AN585" t="str">
        <f>VLOOKUP(I585,'Order 301-305 (เรียง)'!A:C,3,0)</f>
        <v>GOLD BLEND ALL CAFE'  ขนาด 500 G.</v>
      </c>
    </row>
    <row r="586" spans="1:40" x14ac:dyDescent="0.3">
      <c r="A586" s="1" t="s">
        <v>81</v>
      </c>
      <c r="B586" s="1" t="s">
        <v>82</v>
      </c>
      <c r="C586" s="1" t="s">
        <v>64</v>
      </c>
      <c r="D586" s="1" t="s">
        <v>115</v>
      </c>
      <c r="E586" s="1" t="s">
        <v>116</v>
      </c>
      <c r="F586" s="1" t="s">
        <v>1494</v>
      </c>
      <c r="G586" s="1" t="s">
        <v>83</v>
      </c>
      <c r="H586" s="1" t="s">
        <v>1498</v>
      </c>
      <c r="I586" s="1" t="s">
        <v>1495</v>
      </c>
      <c r="J586" s="1" t="s">
        <v>1496</v>
      </c>
      <c r="K586" s="1" t="s">
        <v>84</v>
      </c>
      <c r="L586" s="1" t="s">
        <v>70</v>
      </c>
      <c r="M586" s="1" t="s">
        <v>68</v>
      </c>
      <c r="N586" s="1" t="s">
        <v>71</v>
      </c>
      <c r="O586" s="1" t="s">
        <v>68</v>
      </c>
      <c r="P586" s="1" t="s">
        <v>72</v>
      </c>
      <c r="Q586" s="1" t="s">
        <v>68</v>
      </c>
      <c r="R586" s="1" t="s">
        <v>68</v>
      </c>
      <c r="S586" s="1" t="s">
        <v>68</v>
      </c>
      <c r="T586" s="1" t="s">
        <v>117</v>
      </c>
      <c r="U586" s="1" t="s">
        <v>68</v>
      </c>
      <c r="V586" s="1" t="s">
        <v>68</v>
      </c>
      <c r="W586" s="1" t="s">
        <v>68</v>
      </c>
      <c r="X586" s="1" t="s">
        <v>68</v>
      </c>
      <c r="Y586" s="73"/>
      <c r="Z586" s="2" t="s">
        <v>74</v>
      </c>
      <c r="AA586" s="3">
        <v>18160</v>
      </c>
      <c r="AB586" s="4">
        <v>3084657.6</v>
      </c>
      <c r="AC586" s="73">
        <v>46223</v>
      </c>
      <c r="AD586" s="73">
        <v>46219</v>
      </c>
      <c r="AE586" s="73"/>
      <c r="AF586" s="73">
        <v>46223</v>
      </c>
      <c r="AG586" s="3">
        <v>9080000</v>
      </c>
      <c r="AH586" s="353" t="str">
        <f t="shared" si="51"/>
        <v>303</v>
      </c>
      <c r="AI586" s="3" t="str">
        <f t="shared" si="52"/>
        <v>59</v>
      </c>
      <c r="AJ586" s="64" t="str">
        <f>VLOOKUP(T586,'GL Name'!A:B,2,0)</f>
        <v>ต้นทุนผลิตโอน F/G</v>
      </c>
      <c r="AL586" s="13">
        <f t="shared" si="53"/>
        <v>169.86</v>
      </c>
      <c r="AM586" s="13" t="str">
        <f>VLOOKUP(I586,'Order 301-305 (เรียง)'!A:B,2,0)</f>
        <v>59000002</v>
      </c>
      <c r="AN586" t="str">
        <f>VLOOKUP(I586,'Order 301-305 (เรียง)'!A:C,3,0)</f>
        <v>GOLD BLEND ALL CAFE'  ขนาด 500 G.</v>
      </c>
    </row>
    <row r="587" spans="1:40" x14ac:dyDescent="0.3">
      <c r="A587" s="1" t="s">
        <v>23</v>
      </c>
      <c r="B587" s="1" t="s">
        <v>24</v>
      </c>
      <c r="C587" s="1" t="s">
        <v>64</v>
      </c>
      <c r="D587" s="1" t="s">
        <v>77</v>
      </c>
      <c r="E587" s="1" t="s">
        <v>78</v>
      </c>
      <c r="F587" s="1" t="s">
        <v>1499</v>
      </c>
      <c r="G587" s="1" t="s">
        <v>103</v>
      </c>
      <c r="H587" s="1" t="s">
        <v>1489</v>
      </c>
      <c r="I587" s="1" t="s">
        <v>1500</v>
      </c>
      <c r="J587" s="1" t="s">
        <v>1501</v>
      </c>
      <c r="K587" s="1" t="s">
        <v>84</v>
      </c>
      <c r="L587" s="1" t="s">
        <v>86</v>
      </c>
      <c r="M587" s="1" t="s">
        <v>68</v>
      </c>
      <c r="N587" s="1" t="s">
        <v>71</v>
      </c>
      <c r="O587" s="1" t="s">
        <v>68</v>
      </c>
      <c r="P587" s="1" t="s">
        <v>1502</v>
      </c>
      <c r="Q587" s="1" t="s">
        <v>68</v>
      </c>
      <c r="R587" s="1" t="s">
        <v>68</v>
      </c>
      <c r="S587" s="1" t="s">
        <v>68</v>
      </c>
      <c r="T587" s="1" t="s">
        <v>123</v>
      </c>
      <c r="U587" s="1" t="s">
        <v>68</v>
      </c>
      <c r="V587" s="1" t="s">
        <v>68</v>
      </c>
      <c r="W587" s="1" t="s">
        <v>68</v>
      </c>
      <c r="X587" s="1" t="s">
        <v>68</v>
      </c>
      <c r="Y587" s="73"/>
      <c r="Z587" s="2" t="s">
        <v>80</v>
      </c>
      <c r="AA587" s="3">
        <v>-7341.83</v>
      </c>
      <c r="AB587" s="4">
        <v>-2387122.61</v>
      </c>
      <c r="AC587" s="73">
        <v>46223</v>
      </c>
      <c r="AD587" s="73">
        <v>46220</v>
      </c>
      <c r="AE587" s="73"/>
      <c r="AF587" s="73">
        <v>46223</v>
      </c>
      <c r="AG587" s="3">
        <v>-7341830</v>
      </c>
      <c r="AH587" s="353" t="str">
        <f t="shared" si="51"/>
        <v>303</v>
      </c>
      <c r="AI587" s="3" t="str">
        <f t="shared" si="52"/>
        <v>57</v>
      </c>
      <c r="AJ587" s="64" t="str">
        <f>VLOOKUP(T587,'GL Name'!A:B,2,0)</f>
        <v>ต้นทุนผลิตกึ่งสำเร็จ</v>
      </c>
      <c r="AL587" s="13">
        <f t="shared" si="53"/>
        <v>325.14000051758211</v>
      </c>
      <c r="AM587" s="13" t="str">
        <f>VLOOKUP(I587,'Order 301-305 (เรียง)'!A:B,2,0)</f>
        <v>59000002</v>
      </c>
      <c r="AN587" t="str">
        <f>VLOOKUP(I587,'Order 301-305 (เรียง)'!A:C,3,0)</f>
        <v>GOLD BLEND ALL CAFE'  ขนาด 500 G.</v>
      </c>
    </row>
    <row r="588" spans="1:40" x14ac:dyDescent="0.3">
      <c r="A588" s="1" t="s">
        <v>106</v>
      </c>
      <c r="B588" s="1" t="s">
        <v>107</v>
      </c>
      <c r="C588" s="1" t="s">
        <v>64</v>
      </c>
      <c r="D588" s="1" t="s">
        <v>77</v>
      </c>
      <c r="E588" s="1" t="s">
        <v>78</v>
      </c>
      <c r="F588" s="1" t="s">
        <v>1499</v>
      </c>
      <c r="G588" s="1" t="s">
        <v>103</v>
      </c>
      <c r="H588" s="1" t="s">
        <v>286</v>
      </c>
      <c r="I588" s="1" t="s">
        <v>1500</v>
      </c>
      <c r="J588" s="1" t="s">
        <v>1501</v>
      </c>
      <c r="K588" s="1" t="s">
        <v>84</v>
      </c>
      <c r="L588" s="1" t="s">
        <v>92</v>
      </c>
      <c r="M588" s="1" t="s">
        <v>68</v>
      </c>
      <c r="N588" s="1" t="s">
        <v>71</v>
      </c>
      <c r="O588" s="1" t="s">
        <v>68</v>
      </c>
      <c r="P588" s="1" t="s">
        <v>1502</v>
      </c>
      <c r="Q588" s="1" t="s">
        <v>68</v>
      </c>
      <c r="R588" s="1" t="s">
        <v>68</v>
      </c>
      <c r="S588" s="1" t="s">
        <v>68</v>
      </c>
      <c r="T588" s="1" t="s">
        <v>108</v>
      </c>
      <c r="U588" s="1" t="s">
        <v>68</v>
      </c>
      <c r="V588" s="1" t="s">
        <v>68</v>
      </c>
      <c r="W588" s="1" t="s">
        <v>68</v>
      </c>
      <c r="X588" s="1" t="s">
        <v>68</v>
      </c>
      <c r="Y588" s="73"/>
      <c r="Z588" s="2" t="s">
        <v>102</v>
      </c>
      <c r="AA588" s="3">
        <v>-39</v>
      </c>
      <c r="AB588" s="4">
        <v>-32.979999999999997</v>
      </c>
      <c r="AC588" s="73">
        <v>46223</v>
      </c>
      <c r="AD588" s="73">
        <v>46220</v>
      </c>
      <c r="AE588" s="73"/>
      <c r="AF588" s="73">
        <v>46223</v>
      </c>
      <c r="AG588" s="3">
        <v>-39</v>
      </c>
      <c r="AH588" s="353" t="str">
        <f t="shared" si="51"/>
        <v>303</v>
      </c>
      <c r="AI588" s="3" t="str">
        <f t="shared" si="52"/>
        <v>58</v>
      </c>
      <c r="AJ588" s="64" t="str">
        <f>VLOOKUP(T588,'GL Name'!A:B,2,0)</f>
        <v>ต้นทุนผลิตหีบห่อ</v>
      </c>
      <c r="AL588" s="13">
        <f t="shared" si="53"/>
        <v>0.84564102564102561</v>
      </c>
      <c r="AM588" s="13" t="str">
        <f>VLOOKUP(I588,'Order 301-305 (เรียง)'!A:B,2,0)</f>
        <v>59000002</v>
      </c>
      <c r="AN588" t="str">
        <f>VLOOKUP(I588,'Order 301-305 (เรียง)'!A:C,3,0)</f>
        <v>GOLD BLEND ALL CAFE'  ขนาด 500 G.</v>
      </c>
    </row>
    <row r="589" spans="1:40" x14ac:dyDescent="0.3">
      <c r="A589" s="1" t="s">
        <v>106</v>
      </c>
      <c r="B589" s="1" t="s">
        <v>107</v>
      </c>
      <c r="C589" s="1" t="s">
        <v>64</v>
      </c>
      <c r="D589" s="1" t="s">
        <v>77</v>
      </c>
      <c r="E589" s="1" t="s">
        <v>78</v>
      </c>
      <c r="F589" s="1" t="s">
        <v>1499</v>
      </c>
      <c r="G589" s="1" t="s">
        <v>103</v>
      </c>
      <c r="H589" s="1" t="s">
        <v>220</v>
      </c>
      <c r="I589" s="1" t="s">
        <v>1500</v>
      </c>
      <c r="J589" s="1" t="s">
        <v>1501</v>
      </c>
      <c r="K589" s="1" t="s">
        <v>84</v>
      </c>
      <c r="L589" s="1" t="s">
        <v>111</v>
      </c>
      <c r="M589" s="1" t="s">
        <v>68</v>
      </c>
      <c r="N589" s="1" t="s">
        <v>71</v>
      </c>
      <c r="O589" s="1" t="s">
        <v>68</v>
      </c>
      <c r="P589" s="1" t="s">
        <v>72</v>
      </c>
      <c r="Q589" s="1" t="s">
        <v>68</v>
      </c>
      <c r="R589" s="1" t="s">
        <v>107</v>
      </c>
      <c r="S589" s="1" t="s">
        <v>68</v>
      </c>
      <c r="T589" s="1" t="s">
        <v>108</v>
      </c>
      <c r="U589" s="1" t="s">
        <v>68</v>
      </c>
      <c r="V589" s="1" t="s">
        <v>68</v>
      </c>
      <c r="W589" s="1" t="s">
        <v>68</v>
      </c>
      <c r="X589" s="1" t="s">
        <v>68</v>
      </c>
      <c r="Y589" s="73"/>
      <c r="Z589" s="2" t="s">
        <v>102</v>
      </c>
      <c r="AA589" s="3">
        <v>-14938</v>
      </c>
      <c r="AB589" s="4">
        <v>-12634.08</v>
      </c>
      <c r="AC589" s="73">
        <v>46223</v>
      </c>
      <c r="AD589" s="73">
        <v>46220</v>
      </c>
      <c r="AE589" s="73"/>
      <c r="AF589" s="73">
        <v>46223</v>
      </c>
      <c r="AG589" s="3">
        <v>-14938</v>
      </c>
      <c r="AH589" s="353" t="str">
        <f t="shared" si="51"/>
        <v>303</v>
      </c>
      <c r="AI589" s="3" t="str">
        <f t="shared" si="52"/>
        <v>58</v>
      </c>
      <c r="AJ589" s="64" t="str">
        <f>VLOOKUP(T589,'GL Name'!A:B,2,0)</f>
        <v>ต้นทุนผลิตหีบห่อ</v>
      </c>
      <c r="AL589" s="13">
        <f t="shared" si="53"/>
        <v>0.84576784040701569</v>
      </c>
      <c r="AM589" s="13" t="str">
        <f>VLOOKUP(I589,'Order 301-305 (เรียง)'!A:B,2,0)</f>
        <v>59000002</v>
      </c>
      <c r="AN589" t="str">
        <f>VLOOKUP(I589,'Order 301-305 (เรียง)'!A:C,3,0)</f>
        <v>GOLD BLEND ALL CAFE'  ขนาด 500 G.</v>
      </c>
    </row>
    <row r="590" spans="1:40" x14ac:dyDescent="0.3">
      <c r="A590" s="1" t="s">
        <v>119</v>
      </c>
      <c r="B590" s="1" t="s">
        <v>120</v>
      </c>
      <c r="C590" s="1" t="s">
        <v>64</v>
      </c>
      <c r="D590" s="1" t="s">
        <v>77</v>
      </c>
      <c r="E590" s="1" t="s">
        <v>78</v>
      </c>
      <c r="F590" s="1" t="s">
        <v>1499</v>
      </c>
      <c r="G590" s="1" t="s">
        <v>103</v>
      </c>
      <c r="H590" s="1" t="s">
        <v>316</v>
      </c>
      <c r="I590" s="1" t="s">
        <v>1500</v>
      </c>
      <c r="J590" s="1" t="s">
        <v>1501</v>
      </c>
      <c r="K590" s="1" t="s">
        <v>84</v>
      </c>
      <c r="L590" s="1" t="s">
        <v>89</v>
      </c>
      <c r="M590" s="1" t="s">
        <v>68</v>
      </c>
      <c r="N590" s="1" t="s">
        <v>71</v>
      </c>
      <c r="O590" s="1" t="s">
        <v>68</v>
      </c>
      <c r="P590" s="1" t="s">
        <v>1502</v>
      </c>
      <c r="Q590" s="1" t="s">
        <v>68</v>
      </c>
      <c r="R590" s="1" t="s">
        <v>68</v>
      </c>
      <c r="S590" s="1" t="s">
        <v>68</v>
      </c>
      <c r="T590" s="1" t="s">
        <v>108</v>
      </c>
      <c r="U590" s="1" t="s">
        <v>68</v>
      </c>
      <c r="V590" s="1" t="s">
        <v>68</v>
      </c>
      <c r="W590" s="1" t="s">
        <v>68</v>
      </c>
      <c r="X590" s="1" t="s">
        <v>68</v>
      </c>
      <c r="Y590" s="73"/>
      <c r="Z590" s="2" t="s">
        <v>102</v>
      </c>
      <c r="AA590" s="3">
        <v>-14977</v>
      </c>
      <c r="AB590" s="4">
        <v>-31204.39</v>
      </c>
      <c r="AC590" s="73">
        <v>46223</v>
      </c>
      <c r="AD590" s="73">
        <v>46220</v>
      </c>
      <c r="AE590" s="73"/>
      <c r="AF590" s="73">
        <v>46223</v>
      </c>
      <c r="AG590" s="3">
        <v>-14977</v>
      </c>
      <c r="AH590" s="353" t="str">
        <f t="shared" si="51"/>
        <v>303</v>
      </c>
      <c r="AI590" s="3" t="str">
        <f t="shared" si="52"/>
        <v>58</v>
      </c>
      <c r="AJ590" s="64" t="str">
        <f>VLOOKUP(T590,'GL Name'!A:B,2,0)</f>
        <v>ต้นทุนผลิตหีบห่อ</v>
      </c>
      <c r="AL590" s="13">
        <f t="shared" si="53"/>
        <v>2.0834873472658075</v>
      </c>
      <c r="AM590" s="13" t="str">
        <f>VLOOKUP(I590,'Order 301-305 (เรียง)'!A:B,2,0)</f>
        <v>59000002</v>
      </c>
      <c r="AN590" t="str">
        <f>VLOOKUP(I590,'Order 301-305 (เรียง)'!A:C,3,0)</f>
        <v>GOLD BLEND ALL CAFE'  ขนาด 500 G.</v>
      </c>
    </row>
    <row r="591" spans="1:40" x14ac:dyDescent="0.3">
      <c r="A591" s="1" t="s">
        <v>121</v>
      </c>
      <c r="B591" s="1" t="s">
        <v>122</v>
      </c>
      <c r="C591" s="1" t="s">
        <v>64</v>
      </c>
      <c r="D591" s="1" t="s">
        <v>77</v>
      </c>
      <c r="E591" s="1" t="s">
        <v>78</v>
      </c>
      <c r="F591" s="1" t="s">
        <v>1499</v>
      </c>
      <c r="G591" s="1" t="s">
        <v>103</v>
      </c>
      <c r="H591" s="1" t="s">
        <v>704</v>
      </c>
      <c r="I591" s="1" t="s">
        <v>1500</v>
      </c>
      <c r="J591" s="1" t="s">
        <v>1501</v>
      </c>
      <c r="K591" s="1" t="s">
        <v>84</v>
      </c>
      <c r="L591" s="1" t="s">
        <v>95</v>
      </c>
      <c r="M591" s="1" t="s">
        <v>68</v>
      </c>
      <c r="N591" s="1" t="s">
        <v>71</v>
      </c>
      <c r="O591" s="1" t="s">
        <v>68</v>
      </c>
      <c r="P591" s="1" t="s">
        <v>1502</v>
      </c>
      <c r="Q591" s="1" t="s">
        <v>68</v>
      </c>
      <c r="R591" s="1" t="s">
        <v>68</v>
      </c>
      <c r="S591" s="1" t="s">
        <v>68</v>
      </c>
      <c r="T591" s="1" t="s">
        <v>108</v>
      </c>
      <c r="U591" s="1" t="s">
        <v>68</v>
      </c>
      <c r="V591" s="1" t="s">
        <v>68</v>
      </c>
      <c r="W591" s="1" t="s">
        <v>68</v>
      </c>
      <c r="X591" s="1" t="s">
        <v>68</v>
      </c>
      <c r="Y591" s="73"/>
      <c r="Z591" s="2" t="s">
        <v>102</v>
      </c>
      <c r="AA591" s="3">
        <v>-2473</v>
      </c>
      <c r="AB591" s="4">
        <v>-12365</v>
      </c>
      <c r="AC591" s="73">
        <v>46223</v>
      </c>
      <c r="AD591" s="73">
        <v>46220</v>
      </c>
      <c r="AE591" s="73"/>
      <c r="AF591" s="73">
        <v>46223</v>
      </c>
      <c r="AG591" s="3">
        <v>-2473</v>
      </c>
      <c r="AH591" s="353" t="str">
        <f t="shared" si="51"/>
        <v>303</v>
      </c>
      <c r="AI591" s="3" t="str">
        <f t="shared" si="52"/>
        <v>58</v>
      </c>
      <c r="AJ591" s="64" t="str">
        <f>VLOOKUP(T591,'GL Name'!A:B,2,0)</f>
        <v>ต้นทุนผลิตหีบห่อ</v>
      </c>
      <c r="AL591" s="13">
        <f t="shared" si="53"/>
        <v>5</v>
      </c>
      <c r="AM591" s="13" t="str">
        <f>VLOOKUP(I591,'Order 301-305 (เรียง)'!A:B,2,0)</f>
        <v>59000002</v>
      </c>
      <c r="AN591" t="str">
        <f>VLOOKUP(I591,'Order 301-305 (เรียง)'!A:C,3,0)</f>
        <v>GOLD BLEND ALL CAFE'  ขนาด 500 G.</v>
      </c>
    </row>
    <row r="592" spans="1:40" x14ac:dyDescent="0.3">
      <c r="A592" s="1" t="s">
        <v>81</v>
      </c>
      <c r="B592" s="1" t="s">
        <v>82</v>
      </c>
      <c r="C592" s="1" t="s">
        <v>64</v>
      </c>
      <c r="D592" s="1" t="s">
        <v>115</v>
      </c>
      <c r="E592" s="1" t="s">
        <v>116</v>
      </c>
      <c r="F592" s="1" t="s">
        <v>1499</v>
      </c>
      <c r="G592" s="1" t="s">
        <v>83</v>
      </c>
      <c r="H592" s="1" t="s">
        <v>1503</v>
      </c>
      <c r="I592" s="1" t="s">
        <v>1500</v>
      </c>
      <c r="J592" s="1" t="s">
        <v>1501</v>
      </c>
      <c r="K592" s="1" t="s">
        <v>84</v>
      </c>
      <c r="L592" s="1" t="s">
        <v>70</v>
      </c>
      <c r="M592" s="1" t="s">
        <v>68</v>
      </c>
      <c r="N592" s="1" t="s">
        <v>71</v>
      </c>
      <c r="O592" s="1" t="s">
        <v>68</v>
      </c>
      <c r="P592" s="1" t="s">
        <v>72</v>
      </c>
      <c r="Q592" s="1" t="s">
        <v>68</v>
      </c>
      <c r="R592" s="1" t="s">
        <v>68</v>
      </c>
      <c r="S592" s="1" t="s">
        <v>68</v>
      </c>
      <c r="T592" s="1" t="s">
        <v>117</v>
      </c>
      <c r="U592" s="1" t="s">
        <v>68</v>
      </c>
      <c r="V592" s="1" t="s">
        <v>68</v>
      </c>
      <c r="W592" s="1" t="s">
        <v>68</v>
      </c>
      <c r="X592" s="1" t="s">
        <v>68</v>
      </c>
      <c r="Y592" s="73"/>
      <c r="Z592" s="2" t="s">
        <v>74</v>
      </c>
      <c r="AA592" s="3">
        <v>14674</v>
      </c>
      <c r="AB592" s="4">
        <v>2492525.64</v>
      </c>
      <c r="AC592" s="73">
        <v>46223</v>
      </c>
      <c r="AD592" s="73">
        <v>46220</v>
      </c>
      <c r="AE592" s="73"/>
      <c r="AF592" s="73">
        <v>46223</v>
      </c>
      <c r="AG592" s="3">
        <v>7337000</v>
      </c>
      <c r="AH592" s="353" t="str">
        <f t="shared" si="51"/>
        <v>303</v>
      </c>
      <c r="AI592" s="3" t="str">
        <f t="shared" si="52"/>
        <v>59</v>
      </c>
      <c r="AJ592" s="64" t="str">
        <f>VLOOKUP(T592,'GL Name'!A:B,2,0)</f>
        <v>ต้นทุนผลิตโอน F/G</v>
      </c>
      <c r="AL592" s="13">
        <f t="shared" si="53"/>
        <v>169.86</v>
      </c>
      <c r="AM592" s="13" t="str">
        <f>VLOOKUP(I592,'Order 301-305 (เรียง)'!A:B,2,0)</f>
        <v>59000002</v>
      </c>
      <c r="AN592" t="str">
        <f>VLOOKUP(I592,'Order 301-305 (เรียง)'!A:C,3,0)</f>
        <v>GOLD BLEND ALL CAFE'  ขนาด 500 G.</v>
      </c>
    </row>
    <row r="593" spans="1:40" x14ac:dyDescent="0.3">
      <c r="A593" s="1" t="s">
        <v>205</v>
      </c>
      <c r="B593" s="1" t="s">
        <v>206</v>
      </c>
      <c r="C593" s="1" t="s">
        <v>64</v>
      </c>
      <c r="D593" s="1" t="s">
        <v>77</v>
      </c>
      <c r="E593" s="1" t="s">
        <v>78</v>
      </c>
      <c r="F593" s="1" t="s">
        <v>1504</v>
      </c>
      <c r="G593" s="1" t="s">
        <v>103</v>
      </c>
      <c r="H593" s="1" t="s">
        <v>1493</v>
      </c>
      <c r="I593" s="1" t="s">
        <v>1505</v>
      </c>
      <c r="J593" s="1" t="s">
        <v>1506</v>
      </c>
      <c r="K593" s="1" t="s">
        <v>84</v>
      </c>
      <c r="L593" s="1" t="s">
        <v>86</v>
      </c>
      <c r="M593" s="1" t="s">
        <v>68</v>
      </c>
      <c r="N593" s="1" t="s">
        <v>71</v>
      </c>
      <c r="O593" s="1" t="s">
        <v>68</v>
      </c>
      <c r="P593" s="1" t="s">
        <v>1507</v>
      </c>
      <c r="Q593" s="1" t="s">
        <v>68</v>
      </c>
      <c r="R593" s="1" t="s">
        <v>68</v>
      </c>
      <c r="S593" s="1" t="s">
        <v>68</v>
      </c>
      <c r="T593" s="1" t="s">
        <v>123</v>
      </c>
      <c r="U593" s="1" t="s">
        <v>68</v>
      </c>
      <c r="V593" s="1" t="s">
        <v>68</v>
      </c>
      <c r="W593" s="1" t="s">
        <v>68</v>
      </c>
      <c r="X593" s="1" t="s">
        <v>68</v>
      </c>
      <c r="Y593" s="73"/>
      <c r="Z593" s="2" t="s">
        <v>80</v>
      </c>
      <c r="AA593" s="3">
        <v>-380</v>
      </c>
      <c r="AB593" s="4">
        <v>-102478.39999999999</v>
      </c>
      <c r="AC593" s="73">
        <v>46223</v>
      </c>
      <c r="AD593" s="73">
        <v>46220</v>
      </c>
      <c r="AE593" s="73"/>
      <c r="AF593" s="73">
        <v>46223</v>
      </c>
      <c r="AG593" s="3">
        <v>-380000</v>
      </c>
      <c r="AH593" s="353" t="str">
        <f t="shared" si="51"/>
        <v>303</v>
      </c>
      <c r="AI593" s="3" t="str">
        <f t="shared" si="52"/>
        <v>57</v>
      </c>
      <c r="AJ593" s="64" t="str">
        <f>VLOOKUP(T593,'GL Name'!A:B,2,0)</f>
        <v>ต้นทุนผลิตกึ่งสำเร็จ</v>
      </c>
      <c r="AL593" s="13">
        <f t="shared" si="53"/>
        <v>269.68</v>
      </c>
      <c r="AM593" s="13" t="str">
        <f>VLOOKUP(I593,'Order 301-305 (เรียง)'!A:B,2,0)</f>
        <v>59000014</v>
      </c>
      <c r="AN593" t="str">
        <f>VLOOKUP(I593,'Order 301-305 (เรียง)'!A:C,3,0)</f>
        <v>เมล็ดกาแฟ True Tower ขนาด 500 G.</v>
      </c>
    </row>
    <row r="594" spans="1:40" x14ac:dyDescent="0.3">
      <c r="A594" s="1" t="s">
        <v>106</v>
      </c>
      <c r="B594" s="1" t="s">
        <v>107</v>
      </c>
      <c r="C594" s="1" t="s">
        <v>64</v>
      </c>
      <c r="D594" s="1" t="s">
        <v>77</v>
      </c>
      <c r="E594" s="1" t="s">
        <v>78</v>
      </c>
      <c r="F594" s="1" t="s">
        <v>1504</v>
      </c>
      <c r="G594" s="1" t="s">
        <v>103</v>
      </c>
      <c r="H594" s="1" t="s">
        <v>220</v>
      </c>
      <c r="I594" s="1" t="s">
        <v>1505</v>
      </c>
      <c r="J594" s="1" t="s">
        <v>1506</v>
      </c>
      <c r="K594" s="1" t="s">
        <v>84</v>
      </c>
      <c r="L594" s="1" t="s">
        <v>92</v>
      </c>
      <c r="M594" s="1" t="s">
        <v>68</v>
      </c>
      <c r="N594" s="1" t="s">
        <v>71</v>
      </c>
      <c r="O594" s="1" t="s">
        <v>68</v>
      </c>
      <c r="P594" s="1" t="s">
        <v>1507</v>
      </c>
      <c r="Q594" s="1" t="s">
        <v>68</v>
      </c>
      <c r="R594" s="1" t="s">
        <v>68</v>
      </c>
      <c r="S594" s="1" t="s">
        <v>68</v>
      </c>
      <c r="T594" s="1" t="s">
        <v>108</v>
      </c>
      <c r="U594" s="1" t="s">
        <v>68</v>
      </c>
      <c r="V594" s="1" t="s">
        <v>68</v>
      </c>
      <c r="W594" s="1" t="s">
        <v>68</v>
      </c>
      <c r="X594" s="1" t="s">
        <v>68</v>
      </c>
      <c r="Y594" s="73"/>
      <c r="Z594" s="2" t="s">
        <v>102</v>
      </c>
      <c r="AA594" s="3">
        <v>-878</v>
      </c>
      <c r="AB594" s="4">
        <v>-742.58</v>
      </c>
      <c r="AC594" s="73">
        <v>46223</v>
      </c>
      <c r="AD594" s="73">
        <v>46220</v>
      </c>
      <c r="AE594" s="73"/>
      <c r="AF594" s="73">
        <v>46223</v>
      </c>
      <c r="AG594" s="3">
        <v>-878</v>
      </c>
      <c r="AH594" s="353" t="str">
        <f t="shared" si="51"/>
        <v>303</v>
      </c>
      <c r="AI594" s="3" t="str">
        <f t="shared" si="52"/>
        <v>58</v>
      </c>
      <c r="AJ594" s="64" t="str">
        <f>VLOOKUP(T594,'GL Name'!A:B,2,0)</f>
        <v>ต้นทุนผลิตหีบห่อ</v>
      </c>
      <c r="AL594" s="13">
        <f t="shared" si="53"/>
        <v>0.84576309794988613</v>
      </c>
      <c r="AM594" s="13" t="str">
        <f>VLOOKUP(I594,'Order 301-305 (เรียง)'!A:B,2,0)</f>
        <v>59000014</v>
      </c>
      <c r="AN594" t="str">
        <f>VLOOKUP(I594,'Order 301-305 (เรียง)'!A:C,3,0)</f>
        <v>เมล็ดกาแฟ True Tower ขนาด 500 G.</v>
      </c>
    </row>
    <row r="595" spans="1:40" x14ac:dyDescent="0.3">
      <c r="A595" s="1" t="s">
        <v>126</v>
      </c>
      <c r="B595" s="1" t="s">
        <v>127</v>
      </c>
      <c r="C595" s="1" t="s">
        <v>64</v>
      </c>
      <c r="D595" s="1" t="s">
        <v>77</v>
      </c>
      <c r="E595" s="1" t="s">
        <v>78</v>
      </c>
      <c r="F595" s="1" t="s">
        <v>1504</v>
      </c>
      <c r="G595" s="1" t="s">
        <v>103</v>
      </c>
      <c r="H595" s="1" t="s">
        <v>704</v>
      </c>
      <c r="I595" s="1" t="s">
        <v>1505</v>
      </c>
      <c r="J595" s="1" t="s">
        <v>1506</v>
      </c>
      <c r="K595" s="1" t="s">
        <v>84</v>
      </c>
      <c r="L595" s="1" t="s">
        <v>111</v>
      </c>
      <c r="M595" s="1" t="s">
        <v>68</v>
      </c>
      <c r="N595" s="1" t="s">
        <v>71</v>
      </c>
      <c r="O595" s="1" t="s">
        <v>68</v>
      </c>
      <c r="P595" s="1" t="s">
        <v>72</v>
      </c>
      <c r="Q595" s="1" t="s">
        <v>68</v>
      </c>
      <c r="R595" s="1" t="s">
        <v>127</v>
      </c>
      <c r="S595" s="1" t="s">
        <v>68</v>
      </c>
      <c r="T595" s="1" t="s">
        <v>108</v>
      </c>
      <c r="U595" s="1" t="s">
        <v>68</v>
      </c>
      <c r="V595" s="1" t="s">
        <v>68</v>
      </c>
      <c r="W595" s="1" t="s">
        <v>68</v>
      </c>
      <c r="X595" s="1" t="s">
        <v>68</v>
      </c>
      <c r="Y595" s="73"/>
      <c r="Z595" s="2" t="s">
        <v>102</v>
      </c>
      <c r="AA595" s="3">
        <v>-32</v>
      </c>
      <c r="AB595" s="4">
        <v>-704</v>
      </c>
      <c r="AC595" s="73">
        <v>46223</v>
      </c>
      <c r="AD595" s="73">
        <v>46220</v>
      </c>
      <c r="AE595" s="73"/>
      <c r="AF595" s="73">
        <v>46223</v>
      </c>
      <c r="AG595" s="3">
        <v>-32</v>
      </c>
      <c r="AH595" s="353" t="str">
        <f t="shared" si="51"/>
        <v>303</v>
      </c>
      <c r="AI595" s="3" t="str">
        <f t="shared" si="52"/>
        <v>58</v>
      </c>
      <c r="AJ595" s="64" t="str">
        <f>VLOOKUP(T595,'GL Name'!A:B,2,0)</f>
        <v>ต้นทุนผลิตหีบห่อ</v>
      </c>
      <c r="AL595" s="13">
        <f t="shared" si="53"/>
        <v>22</v>
      </c>
      <c r="AM595" s="13" t="str">
        <f>VLOOKUP(I595,'Order 301-305 (เรียง)'!A:B,2,0)</f>
        <v>59000014</v>
      </c>
      <c r="AN595" t="str">
        <f>VLOOKUP(I595,'Order 301-305 (เรียง)'!A:C,3,0)</f>
        <v>เมล็ดกาแฟ True Tower ขนาด 500 G.</v>
      </c>
    </row>
    <row r="596" spans="1:40" x14ac:dyDescent="0.3">
      <c r="A596" s="1" t="s">
        <v>126</v>
      </c>
      <c r="B596" s="1" t="s">
        <v>127</v>
      </c>
      <c r="C596" s="1" t="s">
        <v>64</v>
      </c>
      <c r="D596" s="1" t="s">
        <v>77</v>
      </c>
      <c r="E596" s="1" t="s">
        <v>78</v>
      </c>
      <c r="F596" s="1" t="s">
        <v>1504</v>
      </c>
      <c r="G596" s="1" t="s">
        <v>103</v>
      </c>
      <c r="H596" s="1" t="s">
        <v>230</v>
      </c>
      <c r="I596" s="1" t="s">
        <v>1505</v>
      </c>
      <c r="J596" s="1" t="s">
        <v>1506</v>
      </c>
      <c r="K596" s="1" t="s">
        <v>84</v>
      </c>
      <c r="L596" s="1" t="s">
        <v>95</v>
      </c>
      <c r="M596" s="1" t="s">
        <v>68</v>
      </c>
      <c r="N596" s="1" t="s">
        <v>71</v>
      </c>
      <c r="O596" s="1" t="s">
        <v>68</v>
      </c>
      <c r="P596" s="1" t="s">
        <v>1507</v>
      </c>
      <c r="Q596" s="1" t="s">
        <v>68</v>
      </c>
      <c r="R596" s="1" t="s">
        <v>68</v>
      </c>
      <c r="S596" s="1" t="s">
        <v>68</v>
      </c>
      <c r="T596" s="1" t="s">
        <v>108</v>
      </c>
      <c r="U596" s="1" t="s">
        <v>68</v>
      </c>
      <c r="V596" s="1" t="s">
        <v>68</v>
      </c>
      <c r="W596" s="1" t="s">
        <v>68</v>
      </c>
      <c r="X596" s="1" t="s">
        <v>68</v>
      </c>
      <c r="Y596" s="73"/>
      <c r="Z596" s="2" t="s">
        <v>102</v>
      </c>
      <c r="AA596" s="3">
        <v>-6</v>
      </c>
      <c r="AB596" s="4">
        <v>-132</v>
      </c>
      <c r="AC596" s="73">
        <v>46223</v>
      </c>
      <c r="AD596" s="73">
        <v>46220</v>
      </c>
      <c r="AE596" s="73"/>
      <c r="AF596" s="73">
        <v>46223</v>
      </c>
      <c r="AG596" s="3">
        <v>-6</v>
      </c>
      <c r="AH596" s="353" t="str">
        <f t="shared" si="51"/>
        <v>303</v>
      </c>
      <c r="AI596" s="3" t="str">
        <f t="shared" si="52"/>
        <v>58</v>
      </c>
      <c r="AJ596" s="64" t="str">
        <f>VLOOKUP(T596,'GL Name'!A:B,2,0)</f>
        <v>ต้นทุนผลิตหีบห่อ</v>
      </c>
      <c r="AL596" s="13">
        <f t="shared" si="53"/>
        <v>22</v>
      </c>
      <c r="AM596" s="13" t="str">
        <f>VLOOKUP(I596,'Order 301-305 (เรียง)'!A:B,2,0)</f>
        <v>59000014</v>
      </c>
      <c r="AN596" t="str">
        <f>VLOOKUP(I596,'Order 301-305 (เรียง)'!A:C,3,0)</f>
        <v>เมล็ดกาแฟ True Tower ขนาด 500 G.</v>
      </c>
    </row>
    <row r="597" spans="1:40" x14ac:dyDescent="0.3">
      <c r="A597" s="1" t="s">
        <v>237</v>
      </c>
      <c r="B597" s="1" t="s">
        <v>238</v>
      </c>
      <c r="C597" s="1" t="s">
        <v>64</v>
      </c>
      <c r="D597" s="1" t="s">
        <v>77</v>
      </c>
      <c r="E597" s="1" t="s">
        <v>78</v>
      </c>
      <c r="F597" s="1" t="s">
        <v>1504</v>
      </c>
      <c r="G597" s="1" t="s">
        <v>103</v>
      </c>
      <c r="H597" s="1" t="s">
        <v>295</v>
      </c>
      <c r="I597" s="1" t="s">
        <v>1505</v>
      </c>
      <c r="J597" s="1" t="s">
        <v>1506</v>
      </c>
      <c r="K597" s="1" t="s">
        <v>84</v>
      </c>
      <c r="L597" s="1" t="s">
        <v>89</v>
      </c>
      <c r="M597" s="1" t="s">
        <v>68</v>
      </c>
      <c r="N597" s="1" t="s">
        <v>71</v>
      </c>
      <c r="O597" s="1" t="s">
        <v>68</v>
      </c>
      <c r="P597" s="1" t="s">
        <v>1507</v>
      </c>
      <c r="Q597" s="1" t="s">
        <v>68</v>
      </c>
      <c r="R597" s="1" t="s">
        <v>68</v>
      </c>
      <c r="S597" s="1" t="s">
        <v>68</v>
      </c>
      <c r="T597" s="1" t="s">
        <v>108</v>
      </c>
      <c r="U597" s="1" t="s">
        <v>68</v>
      </c>
      <c r="V597" s="1" t="s">
        <v>68</v>
      </c>
      <c r="W597" s="1" t="s">
        <v>68</v>
      </c>
      <c r="X597" s="1" t="s">
        <v>68</v>
      </c>
      <c r="Y597" s="73"/>
      <c r="Z597" s="2" t="s">
        <v>102</v>
      </c>
      <c r="AA597" s="3">
        <v>-878</v>
      </c>
      <c r="AB597" s="4">
        <v>-1507.23</v>
      </c>
      <c r="AC597" s="73">
        <v>46223</v>
      </c>
      <c r="AD597" s="73">
        <v>46220</v>
      </c>
      <c r="AE597" s="73"/>
      <c r="AF597" s="73">
        <v>46223</v>
      </c>
      <c r="AG597" s="3">
        <v>-878</v>
      </c>
      <c r="AH597" s="353" t="str">
        <f t="shared" si="51"/>
        <v>303</v>
      </c>
      <c r="AI597" s="3" t="str">
        <f t="shared" si="52"/>
        <v>58</v>
      </c>
      <c r="AJ597" s="64" t="str">
        <f>VLOOKUP(T597,'GL Name'!A:B,2,0)</f>
        <v>ต้นทุนผลิตหีบห่อ</v>
      </c>
      <c r="AL597" s="13">
        <f t="shared" si="53"/>
        <v>1.7166628701594533</v>
      </c>
      <c r="AM597" s="13" t="str">
        <f>VLOOKUP(I597,'Order 301-305 (เรียง)'!A:B,2,0)</f>
        <v>59000014</v>
      </c>
      <c r="AN597" t="str">
        <f>VLOOKUP(I597,'Order 301-305 (เรียง)'!A:C,3,0)</f>
        <v>เมล็ดกาแฟ True Tower ขนาด 500 G.</v>
      </c>
    </row>
    <row r="598" spans="1:40" x14ac:dyDescent="0.3">
      <c r="A598" s="1" t="s">
        <v>239</v>
      </c>
      <c r="B598" s="1" t="s">
        <v>240</v>
      </c>
      <c r="C598" s="1" t="s">
        <v>64</v>
      </c>
      <c r="D598" s="1" t="s">
        <v>115</v>
      </c>
      <c r="E598" s="1" t="s">
        <v>116</v>
      </c>
      <c r="F598" s="1" t="s">
        <v>1504</v>
      </c>
      <c r="G598" s="1" t="s">
        <v>83</v>
      </c>
      <c r="H598" s="1" t="s">
        <v>1508</v>
      </c>
      <c r="I598" s="1" t="s">
        <v>1505</v>
      </c>
      <c r="J598" s="1" t="s">
        <v>1506</v>
      </c>
      <c r="K598" s="1" t="s">
        <v>84</v>
      </c>
      <c r="L598" s="1" t="s">
        <v>70</v>
      </c>
      <c r="M598" s="1" t="s">
        <v>68</v>
      </c>
      <c r="N598" s="1" t="s">
        <v>71</v>
      </c>
      <c r="O598" s="1" t="s">
        <v>68</v>
      </c>
      <c r="P598" s="1" t="s">
        <v>72</v>
      </c>
      <c r="Q598" s="1" t="s">
        <v>68</v>
      </c>
      <c r="R598" s="1" t="s">
        <v>68</v>
      </c>
      <c r="S598" s="1" t="s">
        <v>68</v>
      </c>
      <c r="T598" s="1" t="s">
        <v>117</v>
      </c>
      <c r="U598" s="1" t="s">
        <v>68</v>
      </c>
      <c r="V598" s="1" t="s">
        <v>68</v>
      </c>
      <c r="W598" s="1" t="s">
        <v>68</v>
      </c>
      <c r="X598" s="1" t="s">
        <v>68</v>
      </c>
      <c r="Y598" s="73"/>
      <c r="Z598" s="2" t="s">
        <v>74</v>
      </c>
      <c r="AA598" s="3">
        <v>760</v>
      </c>
      <c r="AB598" s="4">
        <v>107623.6</v>
      </c>
      <c r="AC598" s="73">
        <v>46223</v>
      </c>
      <c r="AD598" s="73">
        <v>46220</v>
      </c>
      <c r="AE598" s="73"/>
      <c r="AF598" s="73">
        <v>46223</v>
      </c>
      <c r="AG598" s="3">
        <v>380000</v>
      </c>
      <c r="AH598" s="353" t="str">
        <f t="shared" si="51"/>
        <v>303</v>
      </c>
      <c r="AI598" s="3" t="str">
        <f t="shared" si="52"/>
        <v>59</v>
      </c>
      <c r="AJ598" s="64" t="str">
        <f>VLOOKUP(T598,'GL Name'!A:B,2,0)</f>
        <v>ต้นทุนผลิตโอน F/G</v>
      </c>
      <c r="AL598" s="13">
        <f t="shared" si="53"/>
        <v>141.61000000000001</v>
      </c>
      <c r="AM598" s="13" t="str">
        <f>VLOOKUP(I598,'Order 301-305 (เรียง)'!A:B,2,0)</f>
        <v>59000014</v>
      </c>
      <c r="AN598" t="str">
        <f>VLOOKUP(I598,'Order 301-305 (เรียง)'!A:C,3,0)</f>
        <v>เมล็ดกาแฟ True Tower ขนาด 500 G.</v>
      </c>
    </row>
    <row r="599" spans="1:40" x14ac:dyDescent="0.3">
      <c r="A599" s="1" t="s">
        <v>62</v>
      </c>
      <c r="B599" s="1" t="s">
        <v>63</v>
      </c>
      <c r="C599" s="1" t="s">
        <v>64</v>
      </c>
      <c r="D599" s="1" t="s">
        <v>93</v>
      </c>
      <c r="E599" s="1" t="s">
        <v>94</v>
      </c>
      <c r="F599" s="1" t="s">
        <v>1509</v>
      </c>
      <c r="G599" s="1" t="s">
        <v>83</v>
      </c>
      <c r="H599" s="1" t="s">
        <v>287</v>
      </c>
      <c r="I599" s="1" t="s">
        <v>68</v>
      </c>
      <c r="J599" s="1" t="s">
        <v>1510</v>
      </c>
      <c r="K599" s="1" t="s">
        <v>84</v>
      </c>
      <c r="L599" s="1" t="s">
        <v>92</v>
      </c>
      <c r="M599" s="1" t="s">
        <v>68</v>
      </c>
      <c r="N599" s="1" t="s">
        <v>71</v>
      </c>
      <c r="O599" s="1" t="s">
        <v>68</v>
      </c>
      <c r="P599" s="1" t="s">
        <v>72</v>
      </c>
      <c r="Q599" s="1" t="s">
        <v>68</v>
      </c>
      <c r="R599" s="1" t="s">
        <v>68</v>
      </c>
      <c r="S599" s="1" t="s">
        <v>68</v>
      </c>
      <c r="T599" s="1" t="s">
        <v>68</v>
      </c>
      <c r="U599" s="1" t="s">
        <v>68</v>
      </c>
      <c r="V599" s="1" t="s">
        <v>68</v>
      </c>
      <c r="W599" s="1" t="s">
        <v>68</v>
      </c>
      <c r="X599" s="1" t="s">
        <v>68</v>
      </c>
      <c r="Y599" s="73"/>
      <c r="Z599" s="2" t="s">
        <v>74</v>
      </c>
      <c r="AA599" s="3">
        <v>-600</v>
      </c>
      <c r="AB599" s="4">
        <v>0</v>
      </c>
      <c r="AC599" s="73">
        <v>46223</v>
      </c>
      <c r="AD599" s="73">
        <v>46223</v>
      </c>
      <c r="AE599" s="73"/>
      <c r="AF599" s="73">
        <v>46223</v>
      </c>
      <c r="AG599" s="3">
        <v>-300000</v>
      </c>
      <c r="AH599" s="353" t="str">
        <f t="shared" si="51"/>
        <v/>
      </c>
      <c r="AI599" s="3" t="str">
        <f t="shared" si="52"/>
        <v>59</v>
      </c>
      <c r="AJ599" s="64" t="e">
        <f>VLOOKUP(T599,'GL Name'!A:B,2,0)</f>
        <v>#N/A</v>
      </c>
      <c r="AL599" s="13">
        <f t="shared" si="53"/>
        <v>0</v>
      </c>
      <c r="AM599" s="13" t="e">
        <f>VLOOKUP(I599,'Order 301-305 (เรียง)'!A:B,2,0)</f>
        <v>#N/A</v>
      </c>
      <c r="AN599" t="e">
        <f>VLOOKUP(I599,'Order 301-305 (เรียง)'!A:C,3,0)</f>
        <v>#N/A</v>
      </c>
    </row>
    <row r="600" spans="1:40" x14ac:dyDescent="0.3">
      <c r="A600" s="1" t="s">
        <v>62</v>
      </c>
      <c r="B600" s="1" t="s">
        <v>63</v>
      </c>
      <c r="C600" s="1" t="s">
        <v>64</v>
      </c>
      <c r="D600" s="1" t="s">
        <v>93</v>
      </c>
      <c r="E600" s="1" t="s">
        <v>94</v>
      </c>
      <c r="F600" s="1" t="s">
        <v>1509</v>
      </c>
      <c r="G600" s="1" t="s">
        <v>67</v>
      </c>
      <c r="H600" s="1" t="s">
        <v>287</v>
      </c>
      <c r="I600" s="1" t="s">
        <v>68</v>
      </c>
      <c r="J600" s="1" t="s">
        <v>1510</v>
      </c>
      <c r="K600" s="1" t="s">
        <v>84</v>
      </c>
      <c r="L600" s="1" t="s">
        <v>89</v>
      </c>
      <c r="M600" s="1" t="s">
        <v>68</v>
      </c>
      <c r="N600" s="1" t="s">
        <v>71</v>
      </c>
      <c r="O600" s="1" t="s">
        <v>68</v>
      </c>
      <c r="P600" s="1" t="s">
        <v>72</v>
      </c>
      <c r="Q600" s="1" t="s">
        <v>68</v>
      </c>
      <c r="R600" s="1" t="s">
        <v>68</v>
      </c>
      <c r="S600" s="1" t="s">
        <v>68</v>
      </c>
      <c r="T600" s="1" t="s">
        <v>68</v>
      </c>
      <c r="U600" s="1" t="s">
        <v>68</v>
      </c>
      <c r="V600" s="1" t="s">
        <v>68</v>
      </c>
      <c r="W600" s="1" t="s">
        <v>68</v>
      </c>
      <c r="X600" s="1" t="s">
        <v>68</v>
      </c>
      <c r="Y600" s="73"/>
      <c r="Z600" s="2" t="s">
        <v>74</v>
      </c>
      <c r="AA600" s="3">
        <v>600</v>
      </c>
      <c r="AB600" s="4">
        <v>0</v>
      </c>
      <c r="AC600" s="73">
        <v>46223</v>
      </c>
      <c r="AD600" s="73">
        <v>46223</v>
      </c>
      <c r="AE600" s="73"/>
      <c r="AF600" s="73">
        <v>46223</v>
      </c>
      <c r="AG600" s="3">
        <v>300000</v>
      </c>
      <c r="AH600" s="353" t="str">
        <f t="shared" si="51"/>
        <v/>
      </c>
      <c r="AI600" s="3" t="str">
        <f t="shared" si="52"/>
        <v>59</v>
      </c>
      <c r="AJ600" s="64" t="e">
        <f>VLOOKUP(T600,'GL Name'!A:B,2,0)</f>
        <v>#N/A</v>
      </c>
      <c r="AL600" s="13">
        <f t="shared" si="53"/>
        <v>0</v>
      </c>
      <c r="AM600" s="13" t="e">
        <f>VLOOKUP(I600,'Order 301-305 (เรียง)'!A:B,2,0)</f>
        <v>#N/A</v>
      </c>
      <c r="AN600" t="e">
        <f>VLOOKUP(I600,'Order 301-305 (เรียง)'!A:C,3,0)</f>
        <v>#N/A</v>
      </c>
    </row>
    <row r="601" spans="1:40" x14ac:dyDescent="0.3">
      <c r="A601" s="1" t="s">
        <v>239</v>
      </c>
      <c r="B601" s="1" t="s">
        <v>240</v>
      </c>
      <c r="C601" s="1" t="s">
        <v>64</v>
      </c>
      <c r="D601" s="1" t="s">
        <v>93</v>
      </c>
      <c r="E601" s="1" t="s">
        <v>94</v>
      </c>
      <c r="F601" s="1" t="s">
        <v>1509</v>
      </c>
      <c r="G601" s="1" t="s">
        <v>83</v>
      </c>
      <c r="H601" s="1" t="s">
        <v>1508</v>
      </c>
      <c r="I601" s="1" t="s">
        <v>68</v>
      </c>
      <c r="J601" s="1" t="s">
        <v>1510</v>
      </c>
      <c r="K601" s="1" t="s">
        <v>84</v>
      </c>
      <c r="L601" s="1" t="s">
        <v>70</v>
      </c>
      <c r="M601" s="1" t="s">
        <v>68</v>
      </c>
      <c r="N601" s="1" t="s">
        <v>71</v>
      </c>
      <c r="O601" s="1" t="s">
        <v>68</v>
      </c>
      <c r="P601" s="1" t="s">
        <v>72</v>
      </c>
      <c r="Q601" s="1" t="s">
        <v>68</v>
      </c>
      <c r="R601" s="1" t="s">
        <v>68</v>
      </c>
      <c r="S601" s="1" t="s">
        <v>68</v>
      </c>
      <c r="T601" s="1" t="s">
        <v>68</v>
      </c>
      <c r="U601" s="1" t="s">
        <v>68</v>
      </c>
      <c r="V601" s="1" t="s">
        <v>68</v>
      </c>
      <c r="W601" s="1" t="s">
        <v>68</v>
      </c>
      <c r="X601" s="1" t="s">
        <v>68</v>
      </c>
      <c r="Y601" s="73"/>
      <c r="Z601" s="2" t="s">
        <v>74</v>
      </c>
      <c r="AA601" s="3">
        <v>-759</v>
      </c>
      <c r="AB601" s="4">
        <v>0</v>
      </c>
      <c r="AC601" s="73">
        <v>46223</v>
      </c>
      <c r="AD601" s="73">
        <v>46223</v>
      </c>
      <c r="AE601" s="73"/>
      <c r="AF601" s="73">
        <v>46223</v>
      </c>
      <c r="AG601" s="3">
        <v>-379500</v>
      </c>
      <c r="AH601" s="353" t="str">
        <f t="shared" si="51"/>
        <v/>
      </c>
      <c r="AI601" s="3" t="str">
        <f t="shared" si="52"/>
        <v>59</v>
      </c>
      <c r="AJ601" s="64" t="e">
        <f>VLOOKUP(T601,'GL Name'!A:B,2,0)</f>
        <v>#N/A</v>
      </c>
      <c r="AL601" s="13">
        <f t="shared" si="53"/>
        <v>0</v>
      </c>
      <c r="AM601" s="13" t="e">
        <f>VLOOKUP(I601,'Order 301-305 (เรียง)'!A:B,2,0)</f>
        <v>#N/A</v>
      </c>
      <c r="AN601" t="e">
        <f>VLOOKUP(I601,'Order 301-305 (เรียง)'!A:C,3,0)</f>
        <v>#N/A</v>
      </c>
    </row>
    <row r="602" spans="1:40" x14ac:dyDescent="0.3">
      <c r="A602" s="1" t="s">
        <v>239</v>
      </c>
      <c r="B602" s="1" t="s">
        <v>240</v>
      </c>
      <c r="C602" s="1" t="s">
        <v>64</v>
      </c>
      <c r="D602" s="1" t="s">
        <v>93</v>
      </c>
      <c r="E602" s="1" t="s">
        <v>94</v>
      </c>
      <c r="F602" s="1" t="s">
        <v>1509</v>
      </c>
      <c r="G602" s="1" t="s">
        <v>67</v>
      </c>
      <c r="H602" s="1" t="s">
        <v>1508</v>
      </c>
      <c r="I602" s="1" t="s">
        <v>68</v>
      </c>
      <c r="J602" s="1" t="s">
        <v>1510</v>
      </c>
      <c r="K602" s="1" t="s">
        <v>84</v>
      </c>
      <c r="L602" s="1" t="s">
        <v>86</v>
      </c>
      <c r="M602" s="1" t="s">
        <v>68</v>
      </c>
      <c r="N602" s="1" t="s">
        <v>71</v>
      </c>
      <c r="O602" s="1" t="s">
        <v>68</v>
      </c>
      <c r="P602" s="1" t="s">
        <v>72</v>
      </c>
      <c r="Q602" s="1" t="s">
        <v>68</v>
      </c>
      <c r="R602" s="1" t="s">
        <v>68</v>
      </c>
      <c r="S602" s="1" t="s">
        <v>68</v>
      </c>
      <c r="T602" s="1" t="s">
        <v>68</v>
      </c>
      <c r="U602" s="1" t="s">
        <v>68</v>
      </c>
      <c r="V602" s="1" t="s">
        <v>68</v>
      </c>
      <c r="W602" s="1" t="s">
        <v>68</v>
      </c>
      <c r="X602" s="1" t="s">
        <v>68</v>
      </c>
      <c r="Y602" s="73"/>
      <c r="Z602" s="2" t="s">
        <v>74</v>
      </c>
      <c r="AA602" s="3">
        <v>759</v>
      </c>
      <c r="AB602" s="4">
        <v>0</v>
      </c>
      <c r="AC602" s="73">
        <v>46223</v>
      </c>
      <c r="AD602" s="73">
        <v>46223</v>
      </c>
      <c r="AE602" s="73"/>
      <c r="AF602" s="73">
        <v>46223</v>
      </c>
      <c r="AG602" s="3">
        <v>379500</v>
      </c>
      <c r="AH602" s="353" t="str">
        <f t="shared" si="51"/>
        <v/>
      </c>
      <c r="AI602" s="3" t="str">
        <f t="shared" si="52"/>
        <v>59</v>
      </c>
      <c r="AJ602" s="64" t="e">
        <f>VLOOKUP(T602,'GL Name'!A:B,2,0)</f>
        <v>#N/A</v>
      </c>
      <c r="AL602" s="13">
        <f t="shared" si="53"/>
        <v>0</v>
      </c>
      <c r="AM602" s="13" t="e">
        <f>VLOOKUP(I602,'Order 301-305 (เรียง)'!A:B,2,0)</f>
        <v>#N/A</v>
      </c>
      <c r="AN602" t="e">
        <f>VLOOKUP(I602,'Order 301-305 (เรียง)'!A:C,3,0)</f>
        <v>#N/A</v>
      </c>
    </row>
    <row r="603" spans="1:40" x14ac:dyDescent="0.3">
      <c r="A603" s="1" t="s">
        <v>62</v>
      </c>
      <c r="B603" s="1" t="s">
        <v>63</v>
      </c>
      <c r="C603" s="1" t="s">
        <v>64</v>
      </c>
      <c r="D603" s="1" t="s">
        <v>77</v>
      </c>
      <c r="E603" s="1" t="s">
        <v>78</v>
      </c>
      <c r="F603" s="1" t="s">
        <v>1511</v>
      </c>
      <c r="G603" s="1" t="s">
        <v>83</v>
      </c>
      <c r="H603" s="1" t="s">
        <v>287</v>
      </c>
      <c r="I603" s="1" t="s">
        <v>1512</v>
      </c>
      <c r="J603" s="1" t="s">
        <v>1513</v>
      </c>
      <c r="K603" s="1" t="s">
        <v>84</v>
      </c>
      <c r="L603" s="1" t="s">
        <v>86</v>
      </c>
      <c r="M603" s="1" t="s">
        <v>68</v>
      </c>
      <c r="N603" s="1" t="s">
        <v>71</v>
      </c>
      <c r="O603" s="1" t="s">
        <v>68</v>
      </c>
      <c r="P603" s="1" t="s">
        <v>72</v>
      </c>
      <c r="Q603" s="1" t="s">
        <v>68</v>
      </c>
      <c r="R603" s="1" t="s">
        <v>63</v>
      </c>
      <c r="S603" s="1" t="s">
        <v>68</v>
      </c>
      <c r="T603" s="1" t="s">
        <v>110</v>
      </c>
      <c r="U603" s="1" t="s">
        <v>68</v>
      </c>
      <c r="V603" s="1" t="s">
        <v>68</v>
      </c>
      <c r="W603" s="1" t="s">
        <v>68</v>
      </c>
      <c r="X603" s="1" t="s">
        <v>68</v>
      </c>
      <c r="Y603" s="73"/>
      <c r="Z603" s="2" t="s">
        <v>74</v>
      </c>
      <c r="AA603" s="3">
        <v>-603</v>
      </c>
      <c r="AB603" s="4">
        <v>-102401.46</v>
      </c>
      <c r="AC603" s="73">
        <v>46223</v>
      </c>
      <c r="AD603" s="73">
        <v>46223</v>
      </c>
      <c r="AE603" s="73"/>
      <c r="AF603" s="73">
        <v>46223</v>
      </c>
      <c r="AG603" s="3">
        <v>-301500</v>
      </c>
      <c r="AH603" s="353" t="str">
        <f t="shared" si="51"/>
        <v>305</v>
      </c>
      <c r="AI603" s="3" t="str">
        <f t="shared" si="52"/>
        <v>59</v>
      </c>
      <c r="AJ603" s="64" t="str">
        <f>VLOOKUP(T603,'GL Name'!A:B,2,0)</f>
        <v>ต้นทุนผลิต-สินค้าสำเร็จรูป</v>
      </c>
      <c r="AL603" s="13">
        <f t="shared" si="53"/>
        <v>169.82000000000002</v>
      </c>
      <c r="AM603" s="13" t="str">
        <f>VLOOKUP(I603,'Order 301-305 (เรียง)'!A:B,2,0)</f>
        <v>59100000</v>
      </c>
      <c r="AN603" t="str">
        <f>VLOOKUP(I603,'Order 301-305 (เรียง)'!A:C,3,0)</f>
        <v>เมล็ดกาแฟ CPR Calibrate MF. 500 G.</v>
      </c>
    </row>
    <row r="604" spans="1:40" x14ac:dyDescent="0.3">
      <c r="A604" s="1" t="s">
        <v>113</v>
      </c>
      <c r="B604" s="1" t="s">
        <v>114</v>
      </c>
      <c r="C604" s="1" t="s">
        <v>64</v>
      </c>
      <c r="D604" s="1" t="s">
        <v>115</v>
      </c>
      <c r="E604" s="1" t="s">
        <v>116</v>
      </c>
      <c r="F604" s="1" t="s">
        <v>1511</v>
      </c>
      <c r="G604" s="1" t="s">
        <v>83</v>
      </c>
      <c r="H604" s="1" t="s">
        <v>287</v>
      </c>
      <c r="I604" s="1" t="s">
        <v>1512</v>
      </c>
      <c r="J604" s="1" t="s">
        <v>1513</v>
      </c>
      <c r="K604" s="1" t="s">
        <v>84</v>
      </c>
      <c r="L604" s="1" t="s">
        <v>70</v>
      </c>
      <c r="M604" s="1" t="s">
        <v>68</v>
      </c>
      <c r="N604" s="1" t="s">
        <v>71</v>
      </c>
      <c r="O604" s="1" t="s">
        <v>68</v>
      </c>
      <c r="P604" s="1" t="s">
        <v>72</v>
      </c>
      <c r="Q604" s="1" t="s">
        <v>68</v>
      </c>
      <c r="R604" s="1" t="s">
        <v>68</v>
      </c>
      <c r="S604" s="1" t="s">
        <v>68</v>
      </c>
      <c r="T604" s="1" t="s">
        <v>117</v>
      </c>
      <c r="U604" s="1" t="s">
        <v>68</v>
      </c>
      <c r="V604" s="1" t="s">
        <v>68</v>
      </c>
      <c r="W604" s="1" t="s">
        <v>68</v>
      </c>
      <c r="X604" s="1" t="s">
        <v>68</v>
      </c>
      <c r="Y604" s="73"/>
      <c r="Z604" s="2" t="s">
        <v>74</v>
      </c>
      <c r="AA604" s="3">
        <v>603</v>
      </c>
      <c r="AB604" s="4">
        <v>102401.46</v>
      </c>
      <c r="AC604" s="73">
        <v>46223</v>
      </c>
      <c r="AD604" s="73">
        <v>46223</v>
      </c>
      <c r="AE604" s="73"/>
      <c r="AF604" s="73">
        <v>46223</v>
      </c>
      <c r="AG604" s="3">
        <v>301500</v>
      </c>
      <c r="AH604" s="353" t="str">
        <f t="shared" si="51"/>
        <v>305</v>
      </c>
      <c r="AI604" s="3" t="str">
        <f t="shared" si="52"/>
        <v>59</v>
      </c>
      <c r="AJ604" s="64" t="str">
        <f>VLOOKUP(T604,'GL Name'!A:B,2,0)</f>
        <v>ต้นทุนผลิตโอน F/G</v>
      </c>
      <c r="AL604" s="13">
        <f t="shared" si="53"/>
        <v>169.82000000000002</v>
      </c>
      <c r="AM604" s="13" t="str">
        <f>VLOOKUP(I604,'Order 301-305 (เรียง)'!A:B,2,0)</f>
        <v>59100000</v>
      </c>
      <c r="AN604" t="str">
        <f>VLOOKUP(I604,'Order 301-305 (เรียง)'!A:C,3,0)</f>
        <v>เมล็ดกาแฟ CPR Calibrate MF. 500 G.</v>
      </c>
    </row>
    <row r="605" spans="1:40" x14ac:dyDescent="0.3">
      <c r="A605" s="1" t="s">
        <v>113</v>
      </c>
      <c r="B605" s="1" t="s">
        <v>114</v>
      </c>
      <c r="C605" s="1" t="s">
        <v>64</v>
      </c>
      <c r="D605" s="1" t="s">
        <v>125</v>
      </c>
      <c r="E605" s="1" t="s">
        <v>289</v>
      </c>
      <c r="F605" s="1" t="s">
        <v>1514</v>
      </c>
      <c r="G605" s="1" t="s">
        <v>83</v>
      </c>
      <c r="H605" s="1" t="s">
        <v>287</v>
      </c>
      <c r="I605" s="1" t="s">
        <v>68</v>
      </c>
      <c r="J605" s="1" t="s">
        <v>1515</v>
      </c>
      <c r="K605" s="1" t="s">
        <v>84</v>
      </c>
      <c r="L605" s="1" t="s">
        <v>70</v>
      </c>
      <c r="M605" s="1" t="s">
        <v>68</v>
      </c>
      <c r="N605" s="1" t="s">
        <v>71</v>
      </c>
      <c r="O605" s="1" t="s">
        <v>68</v>
      </c>
      <c r="P605" s="1" t="s">
        <v>1516</v>
      </c>
      <c r="Q605" s="1" t="s">
        <v>68</v>
      </c>
      <c r="R605" s="1" t="s">
        <v>68</v>
      </c>
      <c r="S605" s="1" t="s">
        <v>68</v>
      </c>
      <c r="T605" s="1" t="s">
        <v>68</v>
      </c>
      <c r="U605" s="1" t="s">
        <v>68</v>
      </c>
      <c r="V605" s="1" t="s">
        <v>68</v>
      </c>
      <c r="W605" s="1" t="s">
        <v>68</v>
      </c>
      <c r="X605" s="1" t="s">
        <v>68</v>
      </c>
      <c r="Y605" s="73"/>
      <c r="Z605" s="2" t="s">
        <v>74</v>
      </c>
      <c r="AA605" s="3">
        <v>-600</v>
      </c>
      <c r="AB605" s="4">
        <v>-101892</v>
      </c>
      <c r="AC605" s="73">
        <v>46223</v>
      </c>
      <c r="AD605" s="73">
        <v>46223</v>
      </c>
      <c r="AE605" s="73"/>
      <c r="AF605" s="73">
        <v>46223</v>
      </c>
      <c r="AG605" s="3">
        <v>-300000</v>
      </c>
      <c r="AH605" s="353" t="str">
        <f t="shared" si="51"/>
        <v/>
      </c>
      <c r="AI605" s="3" t="str">
        <f t="shared" si="52"/>
        <v>59</v>
      </c>
      <c r="AJ605" s="64" t="e">
        <f>VLOOKUP(T605,'GL Name'!A:B,2,0)</f>
        <v>#N/A</v>
      </c>
      <c r="AL605" s="13">
        <f t="shared" si="53"/>
        <v>169.82</v>
      </c>
      <c r="AM605" s="13" t="e">
        <f>VLOOKUP(I605,'Order 301-305 (เรียง)'!A:B,2,0)</f>
        <v>#N/A</v>
      </c>
      <c r="AN605" t="e">
        <f>VLOOKUP(I605,'Order 301-305 (เรียง)'!A:C,3,0)</f>
        <v>#N/A</v>
      </c>
    </row>
    <row r="606" spans="1:40" x14ac:dyDescent="0.3">
      <c r="A606" s="1" t="s">
        <v>239</v>
      </c>
      <c r="B606" s="1" t="s">
        <v>240</v>
      </c>
      <c r="C606" s="1" t="s">
        <v>64</v>
      </c>
      <c r="D606" s="1" t="s">
        <v>65</v>
      </c>
      <c r="E606" s="1" t="s">
        <v>66</v>
      </c>
      <c r="F606" s="1" t="s">
        <v>1525</v>
      </c>
      <c r="G606" s="1" t="s">
        <v>67</v>
      </c>
      <c r="H606" s="1" t="s">
        <v>1528</v>
      </c>
      <c r="I606" s="1" t="s">
        <v>68</v>
      </c>
      <c r="J606" s="1" t="s">
        <v>1526</v>
      </c>
      <c r="K606" s="1" t="s">
        <v>69</v>
      </c>
      <c r="L606" s="1" t="s">
        <v>70</v>
      </c>
      <c r="M606" s="1" t="s">
        <v>68</v>
      </c>
      <c r="N606" s="1" t="s">
        <v>71</v>
      </c>
      <c r="O606" s="1" t="s">
        <v>68</v>
      </c>
      <c r="P606" s="1" t="s">
        <v>72</v>
      </c>
      <c r="Q606" s="1" t="s">
        <v>68</v>
      </c>
      <c r="R606" s="1" t="s">
        <v>68</v>
      </c>
      <c r="S606" s="1" t="s">
        <v>68</v>
      </c>
      <c r="T606" s="1" t="s">
        <v>73</v>
      </c>
      <c r="U606" s="1" t="s">
        <v>68</v>
      </c>
      <c r="V606" s="1" t="s">
        <v>68</v>
      </c>
      <c r="W606" s="1" t="s">
        <v>68</v>
      </c>
      <c r="X606" s="1" t="s">
        <v>1527</v>
      </c>
      <c r="Y606" s="73"/>
      <c r="Z606" s="2" t="s">
        <v>74</v>
      </c>
      <c r="AA606" s="3">
        <v>-185</v>
      </c>
      <c r="AB606" s="4">
        <v>-26197.85</v>
      </c>
      <c r="AC606" s="73">
        <v>46224</v>
      </c>
      <c r="AD606" s="73">
        <v>46224</v>
      </c>
      <c r="AE606" s="73"/>
      <c r="AF606" s="73">
        <v>46224</v>
      </c>
      <c r="AG606" s="3">
        <v>-92500</v>
      </c>
      <c r="AH606" s="353" t="str">
        <f t="shared" si="51"/>
        <v/>
      </c>
      <c r="AI606" s="3" t="str">
        <f t="shared" si="52"/>
        <v>59</v>
      </c>
      <c r="AJ606" s="64" t="str">
        <f>VLOOKUP(T606,'GL Name'!A:B,2,0)</f>
        <v>ต้นทุนขาย</v>
      </c>
      <c r="AL606" s="13">
        <f t="shared" si="53"/>
        <v>141.60999999999999</v>
      </c>
      <c r="AM606" s="13" t="e">
        <f>VLOOKUP(I606,'Order 301-305 (เรียง)'!A:B,2,0)</f>
        <v>#N/A</v>
      </c>
      <c r="AN606" t="e">
        <f>VLOOKUP(I606,'Order 301-305 (เรียง)'!A:C,3,0)</f>
        <v>#N/A</v>
      </c>
    </row>
    <row r="607" spans="1:40" x14ac:dyDescent="0.3">
      <c r="A607" s="1" t="s">
        <v>239</v>
      </c>
      <c r="B607" s="1" t="s">
        <v>240</v>
      </c>
      <c r="C607" s="1" t="s">
        <v>64</v>
      </c>
      <c r="D607" s="1" t="s">
        <v>65</v>
      </c>
      <c r="E607" s="1" t="s">
        <v>66</v>
      </c>
      <c r="F607" s="1" t="s">
        <v>1525</v>
      </c>
      <c r="G607" s="1" t="s">
        <v>67</v>
      </c>
      <c r="H607" s="1" t="s">
        <v>1508</v>
      </c>
      <c r="I607" s="1" t="s">
        <v>68</v>
      </c>
      <c r="J607" s="1" t="s">
        <v>1526</v>
      </c>
      <c r="K607" s="1" t="s">
        <v>69</v>
      </c>
      <c r="L607" s="1" t="s">
        <v>86</v>
      </c>
      <c r="M607" s="1" t="s">
        <v>68</v>
      </c>
      <c r="N607" s="1" t="s">
        <v>71</v>
      </c>
      <c r="O607" s="1" t="s">
        <v>68</v>
      </c>
      <c r="P607" s="1" t="s">
        <v>72</v>
      </c>
      <c r="Q607" s="1" t="s">
        <v>68</v>
      </c>
      <c r="R607" s="1" t="s">
        <v>68</v>
      </c>
      <c r="S607" s="1" t="s">
        <v>68</v>
      </c>
      <c r="T607" s="1" t="s">
        <v>73</v>
      </c>
      <c r="U607" s="1" t="s">
        <v>68</v>
      </c>
      <c r="V607" s="1" t="s">
        <v>68</v>
      </c>
      <c r="W607" s="1" t="s">
        <v>68</v>
      </c>
      <c r="X607" s="1" t="s">
        <v>1527</v>
      </c>
      <c r="Y607" s="73"/>
      <c r="Z607" s="2" t="s">
        <v>74</v>
      </c>
      <c r="AA607" s="3">
        <v>-215</v>
      </c>
      <c r="AB607" s="4">
        <v>-30446.15</v>
      </c>
      <c r="AC607" s="73">
        <v>46224</v>
      </c>
      <c r="AD607" s="73">
        <v>46224</v>
      </c>
      <c r="AE607" s="73"/>
      <c r="AF607" s="73">
        <v>46224</v>
      </c>
      <c r="AG607" s="3">
        <v>-107500</v>
      </c>
      <c r="AH607" s="353" t="str">
        <f t="shared" si="51"/>
        <v/>
      </c>
      <c r="AI607" s="3" t="str">
        <f t="shared" si="52"/>
        <v>59</v>
      </c>
      <c r="AJ607" s="64" t="str">
        <f>VLOOKUP(T607,'GL Name'!A:B,2,0)</f>
        <v>ต้นทุนขาย</v>
      </c>
      <c r="AL607" s="13">
        <f t="shared" si="53"/>
        <v>141.61000000000001</v>
      </c>
      <c r="AM607" s="13" t="e">
        <f>VLOOKUP(I607,'Order 301-305 (เรียง)'!A:B,2,0)</f>
        <v>#N/A</v>
      </c>
      <c r="AN607" t="e">
        <f>VLOOKUP(I607,'Order 301-305 (เรียง)'!A:C,3,0)</f>
        <v>#N/A</v>
      </c>
    </row>
    <row r="608" spans="1:40" x14ac:dyDescent="0.3">
      <c r="A608" s="1" t="s">
        <v>239</v>
      </c>
      <c r="B608" s="1" t="s">
        <v>240</v>
      </c>
      <c r="C608" s="1" t="s">
        <v>64</v>
      </c>
      <c r="D608" s="1" t="s">
        <v>65</v>
      </c>
      <c r="E608" s="1" t="s">
        <v>66</v>
      </c>
      <c r="F608" s="1" t="s">
        <v>1529</v>
      </c>
      <c r="G608" s="1" t="s">
        <v>67</v>
      </c>
      <c r="H608" s="1" t="s">
        <v>1508</v>
      </c>
      <c r="I608" s="1" t="s">
        <v>68</v>
      </c>
      <c r="J608" s="1" t="s">
        <v>1530</v>
      </c>
      <c r="K608" s="1" t="s">
        <v>69</v>
      </c>
      <c r="L608" s="1" t="s">
        <v>70</v>
      </c>
      <c r="M608" s="1" t="s">
        <v>68</v>
      </c>
      <c r="N608" s="1" t="s">
        <v>71</v>
      </c>
      <c r="O608" s="1" t="s">
        <v>68</v>
      </c>
      <c r="P608" s="1" t="s">
        <v>72</v>
      </c>
      <c r="Q608" s="1" t="s">
        <v>68</v>
      </c>
      <c r="R608" s="1" t="s">
        <v>68</v>
      </c>
      <c r="S608" s="1" t="s">
        <v>68</v>
      </c>
      <c r="T608" s="1" t="s">
        <v>73</v>
      </c>
      <c r="U608" s="1" t="s">
        <v>68</v>
      </c>
      <c r="V608" s="1" t="s">
        <v>68</v>
      </c>
      <c r="W608" s="1" t="s">
        <v>68</v>
      </c>
      <c r="X608" s="1" t="s">
        <v>1531</v>
      </c>
      <c r="Y608" s="73"/>
      <c r="Z608" s="2" t="s">
        <v>74</v>
      </c>
      <c r="AA608" s="3">
        <v>-200</v>
      </c>
      <c r="AB608" s="4">
        <v>-28322</v>
      </c>
      <c r="AC608" s="73">
        <v>46224</v>
      </c>
      <c r="AD608" s="73">
        <v>46224</v>
      </c>
      <c r="AE608" s="73"/>
      <c r="AF608" s="73">
        <v>46224</v>
      </c>
      <c r="AG608" s="3">
        <v>-100000</v>
      </c>
      <c r="AH608" s="353" t="str">
        <f t="shared" si="51"/>
        <v/>
      </c>
      <c r="AI608" s="3" t="str">
        <f t="shared" si="52"/>
        <v>59</v>
      </c>
      <c r="AJ608" s="64" t="str">
        <f>VLOOKUP(T608,'GL Name'!A:B,2,0)</f>
        <v>ต้นทุนขาย</v>
      </c>
      <c r="AL608" s="13">
        <f t="shared" si="53"/>
        <v>141.61000000000001</v>
      </c>
      <c r="AM608" s="13" t="e">
        <f>VLOOKUP(I608,'Order 301-305 (เรียง)'!A:B,2,0)</f>
        <v>#N/A</v>
      </c>
      <c r="AN608" t="e">
        <f>VLOOKUP(I608,'Order 301-305 (เรียง)'!A:C,3,0)</f>
        <v>#N/A</v>
      </c>
    </row>
    <row r="609" spans="1:40" x14ac:dyDescent="0.3">
      <c r="A609" s="1" t="s">
        <v>239</v>
      </c>
      <c r="B609" s="1" t="s">
        <v>240</v>
      </c>
      <c r="C609" s="1" t="s">
        <v>64</v>
      </c>
      <c r="D609" s="1" t="s">
        <v>65</v>
      </c>
      <c r="E609" s="1" t="s">
        <v>66</v>
      </c>
      <c r="F609" s="1" t="s">
        <v>1532</v>
      </c>
      <c r="G609" s="1" t="s">
        <v>67</v>
      </c>
      <c r="H609" s="1" t="s">
        <v>1508</v>
      </c>
      <c r="I609" s="1" t="s">
        <v>68</v>
      </c>
      <c r="J609" s="1" t="s">
        <v>1533</v>
      </c>
      <c r="K609" s="1" t="s">
        <v>69</v>
      </c>
      <c r="L609" s="1" t="s">
        <v>70</v>
      </c>
      <c r="M609" s="1" t="s">
        <v>68</v>
      </c>
      <c r="N609" s="1" t="s">
        <v>71</v>
      </c>
      <c r="O609" s="1" t="s">
        <v>68</v>
      </c>
      <c r="P609" s="1" t="s">
        <v>72</v>
      </c>
      <c r="Q609" s="1" t="s">
        <v>68</v>
      </c>
      <c r="R609" s="1" t="s">
        <v>68</v>
      </c>
      <c r="S609" s="1" t="s">
        <v>68</v>
      </c>
      <c r="T609" s="1" t="s">
        <v>73</v>
      </c>
      <c r="U609" s="1" t="s">
        <v>68</v>
      </c>
      <c r="V609" s="1" t="s">
        <v>68</v>
      </c>
      <c r="W609" s="1" t="s">
        <v>68</v>
      </c>
      <c r="X609" s="1" t="s">
        <v>1534</v>
      </c>
      <c r="Y609" s="73"/>
      <c r="Z609" s="2" t="s">
        <v>74</v>
      </c>
      <c r="AA609" s="3">
        <v>-280</v>
      </c>
      <c r="AB609" s="4">
        <v>-39650.800000000003</v>
      </c>
      <c r="AC609" s="73">
        <v>46224</v>
      </c>
      <c r="AD609" s="73">
        <v>46224</v>
      </c>
      <c r="AE609" s="73"/>
      <c r="AF609" s="73">
        <v>46224</v>
      </c>
      <c r="AG609" s="3">
        <v>-140000</v>
      </c>
      <c r="AH609" s="353" t="str">
        <f t="shared" si="51"/>
        <v/>
      </c>
      <c r="AI609" s="3" t="str">
        <f t="shared" si="52"/>
        <v>59</v>
      </c>
      <c r="AJ609" s="64" t="str">
        <f>VLOOKUP(T609,'GL Name'!A:B,2,0)</f>
        <v>ต้นทุนขาย</v>
      </c>
      <c r="AL609" s="13">
        <f t="shared" si="53"/>
        <v>141.61000000000001</v>
      </c>
      <c r="AM609" s="13" t="e">
        <f>VLOOKUP(I609,'Order 301-305 (เรียง)'!A:B,2,0)</f>
        <v>#N/A</v>
      </c>
      <c r="AN609" t="e">
        <f>VLOOKUP(I609,'Order 301-305 (เรียง)'!A:C,3,0)</f>
        <v>#N/A</v>
      </c>
    </row>
    <row r="610" spans="1:40" x14ac:dyDescent="0.3">
      <c r="A610" s="1" t="s">
        <v>62</v>
      </c>
      <c r="B610" s="1" t="s">
        <v>63</v>
      </c>
      <c r="C610" s="1" t="s">
        <v>64</v>
      </c>
      <c r="D610" s="1" t="s">
        <v>65</v>
      </c>
      <c r="E610" s="1" t="s">
        <v>66</v>
      </c>
      <c r="F610" s="1" t="s">
        <v>1535</v>
      </c>
      <c r="G610" s="1" t="s">
        <v>67</v>
      </c>
      <c r="H610" s="1" t="s">
        <v>287</v>
      </c>
      <c r="I610" s="1" t="s">
        <v>68</v>
      </c>
      <c r="J610" s="1" t="s">
        <v>1536</v>
      </c>
      <c r="K610" s="1" t="s">
        <v>96</v>
      </c>
      <c r="L610" s="1" t="s">
        <v>70</v>
      </c>
      <c r="M610" s="1" t="s">
        <v>68</v>
      </c>
      <c r="N610" s="1" t="s">
        <v>71</v>
      </c>
      <c r="O610" s="1" t="s">
        <v>68</v>
      </c>
      <c r="P610" s="1" t="s">
        <v>72</v>
      </c>
      <c r="Q610" s="1" t="s">
        <v>68</v>
      </c>
      <c r="R610" s="1" t="s">
        <v>68</v>
      </c>
      <c r="S610" s="1" t="s">
        <v>68</v>
      </c>
      <c r="T610" s="1" t="s">
        <v>73</v>
      </c>
      <c r="U610" s="1" t="s">
        <v>68</v>
      </c>
      <c r="V610" s="1" t="s">
        <v>68</v>
      </c>
      <c r="W610" s="1" t="s">
        <v>68</v>
      </c>
      <c r="X610" s="1" t="s">
        <v>1537</v>
      </c>
      <c r="Y610" s="73"/>
      <c r="Z610" s="2" t="s">
        <v>74</v>
      </c>
      <c r="AA610" s="3">
        <v>-78</v>
      </c>
      <c r="AB610" s="4">
        <v>-13245.96</v>
      </c>
      <c r="AC610" s="73">
        <v>46224</v>
      </c>
      <c r="AD610" s="73">
        <v>46224</v>
      </c>
      <c r="AE610" s="73"/>
      <c r="AF610" s="73">
        <v>46224</v>
      </c>
      <c r="AG610" s="3">
        <v>-39000</v>
      </c>
      <c r="AH610" s="353" t="str">
        <f t="shared" si="51"/>
        <v/>
      </c>
      <c r="AI610" s="3" t="str">
        <f t="shared" si="52"/>
        <v>59</v>
      </c>
      <c r="AJ610" s="64" t="str">
        <f>VLOOKUP(T610,'GL Name'!A:B,2,0)</f>
        <v>ต้นทุนขาย</v>
      </c>
      <c r="AL610" s="13">
        <f t="shared" si="53"/>
        <v>169.82</v>
      </c>
      <c r="AM610" s="13" t="e">
        <f>VLOOKUP(I610,'Order 301-305 (เรียง)'!A:B,2,0)</f>
        <v>#N/A</v>
      </c>
      <c r="AN610" t="e">
        <f>VLOOKUP(I610,'Order 301-305 (เรียง)'!A:C,3,0)</f>
        <v>#N/A</v>
      </c>
    </row>
    <row r="611" spans="1:40" x14ac:dyDescent="0.3">
      <c r="A611" s="1" t="s">
        <v>121</v>
      </c>
      <c r="B611" s="1" t="s">
        <v>122</v>
      </c>
      <c r="C611" s="1" t="s">
        <v>64</v>
      </c>
      <c r="D611" s="1" t="s">
        <v>93</v>
      </c>
      <c r="E611" s="1" t="s">
        <v>94</v>
      </c>
      <c r="F611" s="1" t="s">
        <v>1538</v>
      </c>
      <c r="G611" s="1" t="s">
        <v>101</v>
      </c>
      <c r="H611" s="1" t="s">
        <v>1076</v>
      </c>
      <c r="I611" s="1" t="s">
        <v>68</v>
      </c>
      <c r="J611" s="1" t="s">
        <v>1539</v>
      </c>
      <c r="K611" s="1" t="s">
        <v>223</v>
      </c>
      <c r="L611" s="1" t="s">
        <v>70</v>
      </c>
      <c r="M611" s="1" t="s">
        <v>68</v>
      </c>
      <c r="N611" s="1" t="s">
        <v>71</v>
      </c>
      <c r="O611" s="1" t="s">
        <v>68</v>
      </c>
      <c r="P611" s="1" t="s">
        <v>72</v>
      </c>
      <c r="Q611" s="1" t="s">
        <v>68</v>
      </c>
      <c r="R611" s="1" t="s">
        <v>68</v>
      </c>
      <c r="S611" s="1" t="s">
        <v>68</v>
      </c>
      <c r="T611" s="1" t="s">
        <v>68</v>
      </c>
      <c r="U611" s="1" t="s">
        <v>68</v>
      </c>
      <c r="V611" s="1" t="s">
        <v>68</v>
      </c>
      <c r="W611" s="1" t="s">
        <v>68</v>
      </c>
      <c r="X611" s="1" t="s">
        <v>68</v>
      </c>
      <c r="Y611" s="73"/>
      <c r="Z611" s="2" t="s">
        <v>102</v>
      </c>
      <c r="AA611" s="3">
        <v>-3000</v>
      </c>
      <c r="AB611" s="4">
        <v>0</v>
      </c>
      <c r="AC611" s="73">
        <v>46224</v>
      </c>
      <c r="AD611" s="73">
        <v>46224</v>
      </c>
      <c r="AE611" s="73"/>
      <c r="AF611" s="73">
        <v>46224</v>
      </c>
      <c r="AG611" s="3">
        <v>-3000</v>
      </c>
      <c r="AH611" s="353" t="str">
        <f t="shared" si="51"/>
        <v/>
      </c>
      <c r="AI611" s="3" t="str">
        <f t="shared" si="52"/>
        <v>58</v>
      </c>
      <c r="AJ611" s="64" t="e">
        <f>VLOOKUP(T611,'GL Name'!A:B,2,0)</f>
        <v>#N/A</v>
      </c>
      <c r="AL611" s="13">
        <f t="shared" si="53"/>
        <v>0</v>
      </c>
      <c r="AM611" s="13" t="e">
        <f>VLOOKUP(I611,'Order 301-305 (เรียง)'!A:B,2,0)</f>
        <v>#N/A</v>
      </c>
      <c r="AN611" t="e">
        <f>VLOOKUP(I611,'Order 301-305 (เรียง)'!A:C,3,0)</f>
        <v>#N/A</v>
      </c>
    </row>
    <row r="612" spans="1:40" x14ac:dyDescent="0.3">
      <c r="A612" s="1" t="s">
        <v>121</v>
      </c>
      <c r="B612" s="1" t="s">
        <v>122</v>
      </c>
      <c r="C612" s="1" t="s">
        <v>64</v>
      </c>
      <c r="D612" s="1" t="s">
        <v>93</v>
      </c>
      <c r="E612" s="1" t="s">
        <v>94</v>
      </c>
      <c r="F612" s="1" t="s">
        <v>1538</v>
      </c>
      <c r="G612" s="1" t="s">
        <v>103</v>
      </c>
      <c r="H612" s="1" t="s">
        <v>1076</v>
      </c>
      <c r="I612" s="1" t="s">
        <v>68</v>
      </c>
      <c r="J612" s="1" t="s">
        <v>1539</v>
      </c>
      <c r="K612" s="1" t="s">
        <v>223</v>
      </c>
      <c r="L612" s="1" t="s">
        <v>86</v>
      </c>
      <c r="M612" s="1" t="s">
        <v>68</v>
      </c>
      <c r="N612" s="1" t="s">
        <v>71</v>
      </c>
      <c r="O612" s="1" t="s">
        <v>68</v>
      </c>
      <c r="P612" s="1" t="s">
        <v>72</v>
      </c>
      <c r="Q612" s="1" t="s">
        <v>68</v>
      </c>
      <c r="R612" s="1" t="s">
        <v>68</v>
      </c>
      <c r="S612" s="1" t="s">
        <v>68</v>
      </c>
      <c r="T612" s="1" t="s">
        <v>68</v>
      </c>
      <c r="U612" s="1" t="s">
        <v>68</v>
      </c>
      <c r="V612" s="1" t="s">
        <v>68</v>
      </c>
      <c r="W612" s="1" t="s">
        <v>68</v>
      </c>
      <c r="X612" s="1" t="s">
        <v>68</v>
      </c>
      <c r="Y612" s="73"/>
      <c r="Z612" s="2" t="s">
        <v>102</v>
      </c>
      <c r="AA612" s="3">
        <v>3000</v>
      </c>
      <c r="AB612" s="4">
        <v>0</v>
      </c>
      <c r="AC612" s="73">
        <v>46224</v>
      </c>
      <c r="AD612" s="73">
        <v>46224</v>
      </c>
      <c r="AE612" s="73"/>
      <c r="AF612" s="73">
        <v>46224</v>
      </c>
      <c r="AG612" s="3">
        <v>3000</v>
      </c>
      <c r="AH612" s="353" t="str">
        <f t="shared" si="51"/>
        <v/>
      </c>
      <c r="AI612" s="3" t="str">
        <f t="shared" si="52"/>
        <v>58</v>
      </c>
      <c r="AJ612" s="64" t="e">
        <f>VLOOKUP(T612,'GL Name'!A:B,2,0)</f>
        <v>#N/A</v>
      </c>
      <c r="AL612" s="13">
        <f t="shared" si="53"/>
        <v>0</v>
      </c>
      <c r="AM612" s="13" t="e">
        <f>VLOOKUP(I612,'Order 301-305 (เรียง)'!A:B,2,0)</f>
        <v>#N/A</v>
      </c>
      <c r="AN612" t="e">
        <f>VLOOKUP(I612,'Order 301-305 (เรียง)'!A:C,3,0)</f>
        <v>#N/A</v>
      </c>
    </row>
    <row r="613" spans="1:40" x14ac:dyDescent="0.3">
      <c r="A613" s="1" t="s">
        <v>62</v>
      </c>
      <c r="B613" s="1" t="s">
        <v>63</v>
      </c>
      <c r="C613" s="1" t="s">
        <v>64</v>
      </c>
      <c r="D613" s="1" t="s">
        <v>65</v>
      </c>
      <c r="E613" s="1" t="s">
        <v>66</v>
      </c>
      <c r="F613" s="1" t="s">
        <v>1540</v>
      </c>
      <c r="G613" s="1" t="s">
        <v>67</v>
      </c>
      <c r="H613" s="1" t="s">
        <v>287</v>
      </c>
      <c r="I613" s="1" t="s">
        <v>68</v>
      </c>
      <c r="J613" s="1" t="s">
        <v>1541</v>
      </c>
      <c r="K613" s="1" t="s">
        <v>96</v>
      </c>
      <c r="L613" s="1" t="s">
        <v>70</v>
      </c>
      <c r="M613" s="1" t="s">
        <v>68</v>
      </c>
      <c r="N613" s="1" t="s">
        <v>71</v>
      </c>
      <c r="O613" s="1" t="s">
        <v>68</v>
      </c>
      <c r="P613" s="1" t="s">
        <v>72</v>
      </c>
      <c r="Q613" s="1" t="s">
        <v>68</v>
      </c>
      <c r="R613" s="1" t="s">
        <v>68</v>
      </c>
      <c r="S613" s="1" t="s">
        <v>68</v>
      </c>
      <c r="T613" s="1" t="s">
        <v>73</v>
      </c>
      <c r="U613" s="1" t="s">
        <v>68</v>
      </c>
      <c r="V613" s="1" t="s">
        <v>68</v>
      </c>
      <c r="W613" s="1" t="s">
        <v>68</v>
      </c>
      <c r="X613" s="1" t="s">
        <v>1542</v>
      </c>
      <c r="Y613" s="73"/>
      <c r="Z613" s="2" t="s">
        <v>74</v>
      </c>
      <c r="AA613" s="3">
        <v>-2</v>
      </c>
      <c r="AB613" s="4">
        <v>-339.64</v>
      </c>
      <c r="AC613" s="73">
        <v>46224</v>
      </c>
      <c r="AD613" s="73">
        <v>46224</v>
      </c>
      <c r="AE613" s="73"/>
      <c r="AF613" s="73">
        <v>46224</v>
      </c>
      <c r="AG613" s="3">
        <v>-1000</v>
      </c>
      <c r="AH613" s="353" t="str">
        <f t="shared" si="51"/>
        <v/>
      </c>
      <c r="AI613" s="3" t="str">
        <f t="shared" si="52"/>
        <v>59</v>
      </c>
      <c r="AJ613" s="64" t="str">
        <f>VLOOKUP(T613,'GL Name'!A:B,2,0)</f>
        <v>ต้นทุนขาย</v>
      </c>
      <c r="AL613" s="13">
        <f t="shared" si="53"/>
        <v>169.82</v>
      </c>
      <c r="AM613" s="13" t="e">
        <f>VLOOKUP(I613,'Order 301-305 (เรียง)'!A:B,2,0)</f>
        <v>#N/A</v>
      </c>
      <c r="AN613" t="e">
        <f>VLOOKUP(I613,'Order 301-305 (เรียง)'!A:C,3,0)</f>
        <v>#N/A</v>
      </c>
    </row>
    <row r="614" spans="1:40" x14ac:dyDescent="0.3">
      <c r="A614" s="1" t="s">
        <v>62</v>
      </c>
      <c r="B614" s="1" t="s">
        <v>63</v>
      </c>
      <c r="C614" s="1" t="s">
        <v>64</v>
      </c>
      <c r="D614" s="1" t="s">
        <v>65</v>
      </c>
      <c r="E614" s="1" t="s">
        <v>66</v>
      </c>
      <c r="F614" s="1" t="s">
        <v>1552</v>
      </c>
      <c r="G614" s="1" t="s">
        <v>67</v>
      </c>
      <c r="H614" s="1" t="s">
        <v>287</v>
      </c>
      <c r="I614" s="1" t="s">
        <v>68</v>
      </c>
      <c r="J614" s="1" t="s">
        <v>1553</v>
      </c>
      <c r="K614" s="1" t="s">
        <v>231</v>
      </c>
      <c r="L614" s="1" t="s">
        <v>70</v>
      </c>
      <c r="M614" s="1" t="s">
        <v>68</v>
      </c>
      <c r="N614" s="1" t="s">
        <v>71</v>
      </c>
      <c r="O614" s="1" t="s">
        <v>68</v>
      </c>
      <c r="P614" s="1" t="s">
        <v>72</v>
      </c>
      <c r="Q614" s="1" t="s">
        <v>68</v>
      </c>
      <c r="R614" s="1" t="s">
        <v>68</v>
      </c>
      <c r="S614" s="1" t="s">
        <v>68</v>
      </c>
      <c r="T614" s="1" t="s">
        <v>73</v>
      </c>
      <c r="U614" s="1" t="s">
        <v>68</v>
      </c>
      <c r="V614" s="1" t="s">
        <v>68</v>
      </c>
      <c r="W614" s="1" t="s">
        <v>68</v>
      </c>
      <c r="X614" s="1" t="s">
        <v>1554</v>
      </c>
      <c r="Y614" s="73"/>
      <c r="Z614" s="2" t="s">
        <v>74</v>
      </c>
      <c r="AA614" s="3">
        <v>-42</v>
      </c>
      <c r="AB614" s="4">
        <v>-7132.44</v>
      </c>
      <c r="AC614" s="73">
        <v>46224</v>
      </c>
      <c r="AD614" s="73">
        <v>46224</v>
      </c>
      <c r="AE614" s="73"/>
      <c r="AF614" s="73">
        <v>46224</v>
      </c>
      <c r="AG614" s="3">
        <v>-21000</v>
      </c>
      <c r="AH614" s="353" t="str">
        <f t="shared" si="51"/>
        <v/>
      </c>
      <c r="AI614" s="3" t="str">
        <f t="shared" si="52"/>
        <v>59</v>
      </c>
      <c r="AJ614" s="64" t="str">
        <f>VLOOKUP(T614,'GL Name'!A:B,2,0)</f>
        <v>ต้นทุนขาย</v>
      </c>
      <c r="AL614" s="13">
        <f t="shared" si="53"/>
        <v>169.82</v>
      </c>
      <c r="AM614" s="13" t="e">
        <f>VLOOKUP(I614,'Order 301-305 (เรียง)'!A:B,2,0)</f>
        <v>#N/A</v>
      </c>
      <c r="AN614" t="e">
        <f>VLOOKUP(I614,'Order 301-305 (เรียง)'!A:C,3,0)</f>
        <v>#N/A</v>
      </c>
    </row>
    <row r="615" spans="1:40" x14ac:dyDescent="0.3">
      <c r="A615" s="1" t="s">
        <v>644</v>
      </c>
      <c r="B615" s="1" t="s">
        <v>645</v>
      </c>
      <c r="C615" s="1" t="s">
        <v>64</v>
      </c>
      <c r="D615" s="1" t="s">
        <v>1172</v>
      </c>
      <c r="E615" s="1" t="s">
        <v>1173</v>
      </c>
      <c r="F615" s="1" t="s">
        <v>1555</v>
      </c>
      <c r="G615" s="1" t="s">
        <v>67</v>
      </c>
      <c r="H615" s="1" t="s">
        <v>638</v>
      </c>
      <c r="I615" s="1" t="s">
        <v>68</v>
      </c>
      <c r="J615" s="1" t="s">
        <v>1556</v>
      </c>
      <c r="K615" s="1" t="s">
        <v>69</v>
      </c>
      <c r="L615" s="1" t="s">
        <v>70</v>
      </c>
      <c r="M615" s="1" t="s">
        <v>68</v>
      </c>
      <c r="N615" s="1" t="s">
        <v>71</v>
      </c>
      <c r="O615" s="1" t="s">
        <v>68</v>
      </c>
      <c r="P615" s="1" t="s">
        <v>1557</v>
      </c>
      <c r="Q615" s="1" t="s">
        <v>68</v>
      </c>
      <c r="R615" s="1" t="s">
        <v>1558</v>
      </c>
      <c r="S615" s="1" t="s">
        <v>1228</v>
      </c>
      <c r="T615" s="1" t="s">
        <v>100</v>
      </c>
      <c r="U615" s="1" t="s">
        <v>68</v>
      </c>
      <c r="V615" s="1" t="s">
        <v>68</v>
      </c>
      <c r="W615" s="1" t="s">
        <v>68</v>
      </c>
      <c r="X615" s="1" t="s">
        <v>68</v>
      </c>
      <c r="Y615" s="73"/>
      <c r="Z615" s="2" t="s">
        <v>74</v>
      </c>
      <c r="AA615" s="3">
        <v>-3</v>
      </c>
      <c r="AB615" s="4">
        <v>-555.05999999999995</v>
      </c>
      <c r="AC615" s="73">
        <v>46224</v>
      </c>
      <c r="AD615" s="73">
        <v>46224</v>
      </c>
      <c r="AE615" s="73"/>
      <c r="AF615" s="73">
        <v>46224</v>
      </c>
      <c r="AG615" s="3">
        <v>-1500</v>
      </c>
      <c r="AH615" s="353" t="str">
        <f t="shared" si="51"/>
        <v/>
      </c>
      <c r="AI615" s="3" t="str">
        <f t="shared" si="52"/>
        <v>59</v>
      </c>
      <c r="AJ615" s="64" t="str">
        <f>VLOOKUP(T615,'GL Name'!A:B,2,0)</f>
        <v>วัสดุสิ้นเปลือง</v>
      </c>
      <c r="AL615" s="13">
        <f t="shared" si="53"/>
        <v>185.01999999999998</v>
      </c>
      <c r="AM615" s="13" t="e">
        <f>VLOOKUP(I615,'Order 301-305 (เรียง)'!A:B,2,0)</f>
        <v>#N/A</v>
      </c>
      <c r="AN615" t="e">
        <f>VLOOKUP(I615,'Order 301-305 (เรียง)'!A:C,3,0)</f>
        <v>#N/A</v>
      </c>
    </row>
    <row r="616" spans="1:40" x14ac:dyDescent="0.3">
      <c r="A616" s="1" t="s">
        <v>81</v>
      </c>
      <c r="B616" s="1" t="s">
        <v>82</v>
      </c>
      <c r="C616" s="1" t="s">
        <v>64</v>
      </c>
      <c r="D616" s="1" t="s">
        <v>65</v>
      </c>
      <c r="E616" s="1" t="s">
        <v>66</v>
      </c>
      <c r="F616" s="1" t="s">
        <v>1559</v>
      </c>
      <c r="G616" s="1" t="s">
        <v>83</v>
      </c>
      <c r="H616" s="1" t="s">
        <v>1031</v>
      </c>
      <c r="I616" s="1" t="s">
        <v>68</v>
      </c>
      <c r="J616" s="1" t="s">
        <v>1560</v>
      </c>
      <c r="K616" s="1" t="s">
        <v>118</v>
      </c>
      <c r="L616" s="1" t="s">
        <v>70</v>
      </c>
      <c r="M616" s="1" t="s">
        <v>68</v>
      </c>
      <c r="N616" s="1" t="s">
        <v>71</v>
      </c>
      <c r="O616" s="1" t="s">
        <v>68</v>
      </c>
      <c r="P616" s="1" t="s">
        <v>72</v>
      </c>
      <c r="Q616" s="1" t="s">
        <v>68</v>
      </c>
      <c r="R616" s="1" t="s">
        <v>68</v>
      </c>
      <c r="S616" s="1" t="s">
        <v>68</v>
      </c>
      <c r="T616" s="1" t="s">
        <v>73</v>
      </c>
      <c r="U616" s="1" t="s">
        <v>68</v>
      </c>
      <c r="V616" s="1" t="s">
        <v>68</v>
      </c>
      <c r="W616" s="1" t="s">
        <v>68</v>
      </c>
      <c r="X616" s="1" t="s">
        <v>1561</v>
      </c>
      <c r="Y616" s="73"/>
      <c r="Z616" s="2" t="s">
        <v>85</v>
      </c>
      <c r="AA616" s="3">
        <v>-1547</v>
      </c>
      <c r="AB616" s="4">
        <v>-1576640.52</v>
      </c>
      <c r="AC616" s="73">
        <v>46224</v>
      </c>
      <c r="AD616" s="73">
        <v>46224</v>
      </c>
      <c r="AE616" s="73"/>
      <c r="AF616" s="73">
        <v>46224</v>
      </c>
      <c r="AG616" s="3">
        <v>-4641000</v>
      </c>
      <c r="AH616" s="353" t="str">
        <f t="shared" si="51"/>
        <v/>
      </c>
      <c r="AI616" s="3" t="str">
        <f t="shared" si="52"/>
        <v>59</v>
      </c>
      <c r="AJ616" s="64" t="str">
        <f>VLOOKUP(T616,'GL Name'!A:B,2,0)</f>
        <v>ต้นทุนขาย</v>
      </c>
      <c r="AL616" s="13">
        <f t="shared" si="53"/>
        <v>1019.16</v>
      </c>
      <c r="AM616" s="13" t="e">
        <f>VLOOKUP(I616,'Order 301-305 (เรียง)'!A:B,2,0)</f>
        <v>#N/A</v>
      </c>
      <c r="AN616" t="e">
        <f>VLOOKUP(I616,'Order 301-305 (เรียง)'!A:C,3,0)</f>
        <v>#N/A</v>
      </c>
    </row>
    <row r="617" spans="1:40" x14ac:dyDescent="0.3">
      <c r="A617" s="1" t="s">
        <v>81</v>
      </c>
      <c r="B617" s="1" t="s">
        <v>82</v>
      </c>
      <c r="C617" s="1" t="s">
        <v>64</v>
      </c>
      <c r="D617" s="1" t="s">
        <v>65</v>
      </c>
      <c r="E617" s="1" t="s">
        <v>66</v>
      </c>
      <c r="F617" s="1" t="s">
        <v>1559</v>
      </c>
      <c r="G617" s="1" t="s">
        <v>83</v>
      </c>
      <c r="H617" s="1" t="s">
        <v>1036</v>
      </c>
      <c r="I617" s="1" t="s">
        <v>68</v>
      </c>
      <c r="J617" s="1" t="s">
        <v>1560</v>
      </c>
      <c r="K617" s="1" t="s">
        <v>118</v>
      </c>
      <c r="L617" s="1" t="s">
        <v>86</v>
      </c>
      <c r="M617" s="1" t="s">
        <v>68</v>
      </c>
      <c r="N617" s="1" t="s">
        <v>71</v>
      </c>
      <c r="O617" s="1" t="s">
        <v>68</v>
      </c>
      <c r="P617" s="1" t="s">
        <v>72</v>
      </c>
      <c r="Q617" s="1" t="s">
        <v>68</v>
      </c>
      <c r="R617" s="1" t="s">
        <v>68</v>
      </c>
      <c r="S617" s="1" t="s">
        <v>68</v>
      </c>
      <c r="T617" s="1" t="s">
        <v>73</v>
      </c>
      <c r="U617" s="1" t="s">
        <v>68</v>
      </c>
      <c r="V617" s="1" t="s">
        <v>68</v>
      </c>
      <c r="W617" s="1" t="s">
        <v>68</v>
      </c>
      <c r="X617" s="1" t="s">
        <v>1561</v>
      </c>
      <c r="Y617" s="73"/>
      <c r="Z617" s="2" t="s">
        <v>85</v>
      </c>
      <c r="AA617" s="3">
        <v>-1333</v>
      </c>
      <c r="AB617" s="4">
        <v>-1358540.28</v>
      </c>
      <c r="AC617" s="73">
        <v>46224</v>
      </c>
      <c r="AD617" s="73">
        <v>46224</v>
      </c>
      <c r="AE617" s="73"/>
      <c r="AF617" s="73">
        <v>46224</v>
      </c>
      <c r="AG617" s="3">
        <v>-3999000</v>
      </c>
      <c r="AH617" s="353" t="str">
        <f t="shared" si="51"/>
        <v/>
      </c>
      <c r="AI617" s="3" t="str">
        <f t="shared" si="52"/>
        <v>59</v>
      </c>
      <c r="AJ617" s="64" t="str">
        <f>VLOOKUP(T617,'GL Name'!A:B,2,0)</f>
        <v>ต้นทุนขาย</v>
      </c>
      <c r="AL617" s="13">
        <f t="shared" si="53"/>
        <v>1019.16</v>
      </c>
      <c r="AM617" s="13" t="e">
        <f>VLOOKUP(I617,'Order 301-305 (เรียง)'!A:B,2,0)</f>
        <v>#N/A</v>
      </c>
      <c r="AN617" t="e">
        <f>VLOOKUP(I617,'Order 301-305 (เรียง)'!A:C,3,0)</f>
        <v>#N/A</v>
      </c>
    </row>
    <row r="618" spans="1:40" x14ac:dyDescent="0.3">
      <c r="A618" s="1" t="s">
        <v>81</v>
      </c>
      <c r="B618" s="1" t="s">
        <v>82</v>
      </c>
      <c r="C618" s="1" t="s">
        <v>64</v>
      </c>
      <c r="D618" s="1" t="s">
        <v>87</v>
      </c>
      <c r="E618" s="1" t="s">
        <v>88</v>
      </c>
      <c r="F618" s="1" t="s">
        <v>1562</v>
      </c>
      <c r="G618" s="1" t="s">
        <v>83</v>
      </c>
      <c r="H618" s="1" t="s">
        <v>1031</v>
      </c>
      <c r="I618" s="1" t="s">
        <v>68</v>
      </c>
      <c r="J618" s="1" t="s">
        <v>1563</v>
      </c>
      <c r="K618" s="1" t="s">
        <v>118</v>
      </c>
      <c r="L618" s="1" t="s">
        <v>70</v>
      </c>
      <c r="M618" s="1" t="s">
        <v>68</v>
      </c>
      <c r="N618" s="1" t="s">
        <v>71</v>
      </c>
      <c r="O618" s="1" t="s">
        <v>68</v>
      </c>
      <c r="P618" s="1" t="s">
        <v>1564</v>
      </c>
      <c r="Q618" s="1" t="s">
        <v>68</v>
      </c>
      <c r="R618" s="1" t="s">
        <v>308</v>
      </c>
      <c r="S618" s="1" t="s">
        <v>90</v>
      </c>
      <c r="T618" s="1" t="s">
        <v>189</v>
      </c>
      <c r="U618" s="1" t="s">
        <v>68</v>
      </c>
      <c r="V618" s="1" t="s">
        <v>68</v>
      </c>
      <c r="W618" s="1" t="s">
        <v>68</v>
      </c>
      <c r="X618" s="1" t="s">
        <v>68</v>
      </c>
      <c r="Y618" s="73"/>
      <c r="Z618" s="2" t="s">
        <v>74</v>
      </c>
      <c r="AA618" s="3">
        <v>-2</v>
      </c>
      <c r="AB618" s="4">
        <v>-339.72</v>
      </c>
      <c r="AC618" s="73">
        <v>46226</v>
      </c>
      <c r="AD618" s="73">
        <v>46226</v>
      </c>
      <c r="AE618" s="73"/>
      <c r="AF618" s="73">
        <v>46224</v>
      </c>
      <c r="AG618" s="3">
        <v>-1000</v>
      </c>
      <c r="AH618" s="353" t="str">
        <f t="shared" ref="AH618:AH624" si="54">LEFT(I618,3)</f>
        <v/>
      </c>
      <c r="AI618" s="3" t="str">
        <f t="shared" ref="AI618:AI624" si="55">LEFT(A618,2)</f>
        <v>59</v>
      </c>
      <c r="AJ618" s="64" t="str">
        <f>VLOOKUP(T618,'GL Name'!A:B,2,0)</f>
        <v>ค่าวิจัยและพัฒนาอื่น</v>
      </c>
      <c r="AL618" s="13">
        <f t="shared" ref="AL618:AL624" si="56">AB618/AA618</f>
        <v>169.86</v>
      </c>
      <c r="AM618" s="13" t="e">
        <f>VLOOKUP(I618,'Order 301-305 (เรียง)'!A:B,2,0)</f>
        <v>#N/A</v>
      </c>
      <c r="AN618" t="e">
        <f>VLOOKUP(I618,'Order 301-305 (เรียง)'!A:C,3,0)</f>
        <v>#N/A</v>
      </c>
    </row>
    <row r="619" spans="1:40" x14ac:dyDescent="0.3">
      <c r="A619" s="1" t="s">
        <v>239</v>
      </c>
      <c r="B619" s="1" t="s">
        <v>240</v>
      </c>
      <c r="C619" s="1" t="s">
        <v>64</v>
      </c>
      <c r="D619" s="1" t="s">
        <v>87</v>
      </c>
      <c r="E619" s="1" t="s">
        <v>88</v>
      </c>
      <c r="F619" s="1" t="s">
        <v>1565</v>
      </c>
      <c r="G619" s="1" t="s">
        <v>83</v>
      </c>
      <c r="H619" s="1" t="s">
        <v>1508</v>
      </c>
      <c r="I619" s="1" t="s">
        <v>68</v>
      </c>
      <c r="J619" s="1" t="s">
        <v>1566</v>
      </c>
      <c r="K619" s="1" t="s">
        <v>223</v>
      </c>
      <c r="L619" s="1" t="s">
        <v>70</v>
      </c>
      <c r="M619" s="1" t="s">
        <v>68</v>
      </c>
      <c r="N619" s="1" t="s">
        <v>71</v>
      </c>
      <c r="O619" s="1" t="s">
        <v>68</v>
      </c>
      <c r="P619" s="1" t="s">
        <v>1567</v>
      </c>
      <c r="Q619" s="1" t="s">
        <v>68</v>
      </c>
      <c r="R619" s="1" t="s">
        <v>1568</v>
      </c>
      <c r="S619" s="1" t="s">
        <v>90</v>
      </c>
      <c r="T619" s="1" t="s">
        <v>91</v>
      </c>
      <c r="U619" s="1" t="s">
        <v>68</v>
      </c>
      <c r="V619" s="1" t="s">
        <v>68</v>
      </c>
      <c r="W619" s="1" t="s">
        <v>68</v>
      </c>
      <c r="X619" s="1" t="s">
        <v>68</v>
      </c>
      <c r="Y619" s="73"/>
      <c r="Z619" s="2" t="s">
        <v>74</v>
      </c>
      <c r="AA619" s="3">
        <v>-1</v>
      </c>
      <c r="AB619" s="4">
        <v>-141.61000000000001</v>
      </c>
      <c r="AC619" s="73">
        <v>46224</v>
      </c>
      <c r="AD619" s="73">
        <v>46224</v>
      </c>
      <c r="AE619" s="73"/>
      <c r="AF619" s="73">
        <v>46224</v>
      </c>
      <c r="AG619" s="3">
        <v>-500</v>
      </c>
      <c r="AH619" s="353" t="str">
        <f t="shared" si="54"/>
        <v/>
      </c>
      <c r="AI619" s="3" t="str">
        <f t="shared" si="55"/>
        <v>59</v>
      </c>
      <c r="AJ619" s="64" t="str">
        <f>VLOOKUP(T619,'GL Name'!A:B,2,0)</f>
        <v>ค่าวิจัยคุณภาพสินค้า</v>
      </c>
      <c r="AL619" s="13">
        <f t="shared" si="56"/>
        <v>141.61000000000001</v>
      </c>
      <c r="AM619" s="13" t="e">
        <f>VLOOKUP(I619,'Order 301-305 (เรียง)'!A:B,2,0)</f>
        <v>#N/A</v>
      </c>
      <c r="AN619" t="e">
        <f>VLOOKUP(I619,'Order 301-305 (เรียง)'!A:C,3,0)</f>
        <v>#N/A</v>
      </c>
    </row>
    <row r="620" spans="1:40" x14ac:dyDescent="0.3">
      <c r="A620" s="1" t="s">
        <v>81</v>
      </c>
      <c r="B620" s="1" t="s">
        <v>82</v>
      </c>
      <c r="C620" s="1" t="s">
        <v>64</v>
      </c>
      <c r="D620" s="1" t="s">
        <v>87</v>
      </c>
      <c r="E620" s="1" t="s">
        <v>88</v>
      </c>
      <c r="F620" s="1" t="s">
        <v>1569</v>
      </c>
      <c r="G620" s="1" t="s">
        <v>83</v>
      </c>
      <c r="H620" s="1" t="s">
        <v>1031</v>
      </c>
      <c r="I620" s="1" t="s">
        <v>68</v>
      </c>
      <c r="J620" s="1" t="s">
        <v>1570</v>
      </c>
      <c r="K620" s="1" t="s">
        <v>223</v>
      </c>
      <c r="L620" s="1" t="s">
        <v>86</v>
      </c>
      <c r="M620" s="1" t="s">
        <v>68</v>
      </c>
      <c r="N620" s="1" t="s">
        <v>71</v>
      </c>
      <c r="O620" s="1" t="s">
        <v>68</v>
      </c>
      <c r="P620" s="1" t="s">
        <v>1571</v>
      </c>
      <c r="Q620" s="1" t="s">
        <v>68</v>
      </c>
      <c r="R620" s="1" t="s">
        <v>1572</v>
      </c>
      <c r="S620" s="1" t="s">
        <v>90</v>
      </c>
      <c r="T620" s="1" t="s">
        <v>91</v>
      </c>
      <c r="U620" s="1" t="s">
        <v>68</v>
      </c>
      <c r="V620" s="1" t="s">
        <v>68</v>
      </c>
      <c r="W620" s="1" t="s">
        <v>68</v>
      </c>
      <c r="X620" s="1" t="s">
        <v>68</v>
      </c>
      <c r="Y620" s="73"/>
      <c r="Z620" s="2" t="s">
        <v>74</v>
      </c>
      <c r="AA620" s="3">
        <v>-1</v>
      </c>
      <c r="AB620" s="4">
        <v>-169.86</v>
      </c>
      <c r="AC620" s="73">
        <v>46224</v>
      </c>
      <c r="AD620" s="73">
        <v>46224</v>
      </c>
      <c r="AE620" s="73"/>
      <c r="AF620" s="73">
        <v>46224</v>
      </c>
      <c r="AG620" s="3">
        <v>-500</v>
      </c>
      <c r="AH620" s="353" t="str">
        <f t="shared" si="54"/>
        <v/>
      </c>
      <c r="AI620" s="3" t="str">
        <f t="shared" si="55"/>
        <v>59</v>
      </c>
      <c r="AJ620" s="64" t="str">
        <f>VLOOKUP(T620,'GL Name'!A:B,2,0)</f>
        <v>ค่าวิจัยคุณภาพสินค้า</v>
      </c>
      <c r="AL620" s="13">
        <f t="shared" si="56"/>
        <v>169.86</v>
      </c>
      <c r="AM620" s="13" t="e">
        <f>VLOOKUP(I620,'Order 301-305 (เรียง)'!A:B,2,0)</f>
        <v>#N/A</v>
      </c>
      <c r="AN620" t="e">
        <f>VLOOKUP(I620,'Order 301-305 (เรียง)'!A:C,3,0)</f>
        <v>#N/A</v>
      </c>
    </row>
    <row r="621" spans="1:40" x14ac:dyDescent="0.3">
      <c r="A621" s="1" t="s">
        <v>81</v>
      </c>
      <c r="B621" s="1" t="s">
        <v>82</v>
      </c>
      <c r="C621" s="1" t="s">
        <v>64</v>
      </c>
      <c r="D621" s="1" t="s">
        <v>87</v>
      </c>
      <c r="E621" s="1" t="s">
        <v>88</v>
      </c>
      <c r="F621" s="1" t="s">
        <v>1569</v>
      </c>
      <c r="G621" s="1" t="s">
        <v>83</v>
      </c>
      <c r="H621" s="1" t="s">
        <v>1036</v>
      </c>
      <c r="I621" s="1" t="s">
        <v>68</v>
      </c>
      <c r="J621" s="1" t="s">
        <v>1570</v>
      </c>
      <c r="K621" s="1" t="s">
        <v>223</v>
      </c>
      <c r="L621" s="1" t="s">
        <v>70</v>
      </c>
      <c r="M621" s="1" t="s">
        <v>68</v>
      </c>
      <c r="N621" s="1" t="s">
        <v>71</v>
      </c>
      <c r="O621" s="1" t="s">
        <v>68</v>
      </c>
      <c r="P621" s="1" t="s">
        <v>1571</v>
      </c>
      <c r="Q621" s="1" t="s">
        <v>68</v>
      </c>
      <c r="R621" s="1" t="s">
        <v>1573</v>
      </c>
      <c r="S621" s="1" t="s">
        <v>90</v>
      </c>
      <c r="T621" s="1" t="s">
        <v>91</v>
      </c>
      <c r="U621" s="1" t="s">
        <v>68</v>
      </c>
      <c r="V621" s="1" t="s">
        <v>68</v>
      </c>
      <c r="W621" s="1" t="s">
        <v>68</v>
      </c>
      <c r="X621" s="1" t="s">
        <v>68</v>
      </c>
      <c r="Y621" s="73"/>
      <c r="Z621" s="2" t="s">
        <v>74</v>
      </c>
      <c r="AA621" s="3">
        <v>-6</v>
      </c>
      <c r="AB621" s="4">
        <v>-1019.16</v>
      </c>
      <c r="AC621" s="73">
        <v>46224</v>
      </c>
      <c r="AD621" s="73">
        <v>46224</v>
      </c>
      <c r="AE621" s="73"/>
      <c r="AF621" s="73">
        <v>46224</v>
      </c>
      <c r="AG621" s="3">
        <v>-3000</v>
      </c>
      <c r="AH621" s="353" t="str">
        <f t="shared" si="54"/>
        <v/>
      </c>
      <c r="AI621" s="3" t="str">
        <f t="shared" si="55"/>
        <v>59</v>
      </c>
      <c r="AJ621" s="64" t="str">
        <f>VLOOKUP(T621,'GL Name'!A:B,2,0)</f>
        <v>ค่าวิจัยคุณภาพสินค้า</v>
      </c>
      <c r="AL621" s="13">
        <f t="shared" si="56"/>
        <v>169.85999999999999</v>
      </c>
      <c r="AM621" s="13" t="e">
        <f>VLOOKUP(I621,'Order 301-305 (เรียง)'!A:B,2,0)</f>
        <v>#N/A</v>
      </c>
      <c r="AN621" t="e">
        <f>VLOOKUP(I621,'Order 301-305 (เรียง)'!A:C,3,0)</f>
        <v>#N/A</v>
      </c>
    </row>
    <row r="622" spans="1:40" x14ac:dyDescent="0.3">
      <c r="A622" s="1" t="s">
        <v>81</v>
      </c>
      <c r="B622" s="1" t="s">
        <v>82</v>
      </c>
      <c r="C622" s="1" t="s">
        <v>64</v>
      </c>
      <c r="D622" s="1" t="s">
        <v>87</v>
      </c>
      <c r="E622" s="1" t="s">
        <v>88</v>
      </c>
      <c r="F622" s="1" t="s">
        <v>1569</v>
      </c>
      <c r="G622" s="1" t="s">
        <v>83</v>
      </c>
      <c r="H622" s="1" t="s">
        <v>1036</v>
      </c>
      <c r="I622" s="1" t="s">
        <v>68</v>
      </c>
      <c r="J622" s="1" t="s">
        <v>1570</v>
      </c>
      <c r="K622" s="1" t="s">
        <v>223</v>
      </c>
      <c r="L622" s="1" t="s">
        <v>92</v>
      </c>
      <c r="M622" s="1" t="s">
        <v>68</v>
      </c>
      <c r="N622" s="1" t="s">
        <v>71</v>
      </c>
      <c r="O622" s="1" t="s">
        <v>68</v>
      </c>
      <c r="P622" s="1" t="s">
        <v>1571</v>
      </c>
      <c r="Q622" s="1" t="s">
        <v>68</v>
      </c>
      <c r="R622" s="1" t="s">
        <v>1572</v>
      </c>
      <c r="S622" s="1" t="s">
        <v>90</v>
      </c>
      <c r="T622" s="1" t="s">
        <v>91</v>
      </c>
      <c r="U622" s="1" t="s">
        <v>68</v>
      </c>
      <c r="V622" s="1" t="s">
        <v>68</v>
      </c>
      <c r="W622" s="1" t="s">
        <v>68</v>
      </c>
      <c r="X622" s="1" t="s">
        <v>68</v>
      </c>
      <c r="Y622" s="73"/>
      <c r="Z622" s="2" t="s">
        <v>74</v>
      </c>
      <c r="AA622" s="3">
        <v>-5</v>
      </c>
      <c r="AB622" s="4">
        <v>-849.3</v>
      </c>
      <c r="AC622" s="73">
        <v>46224</v>
      </c>
      <c r="AD622" s="73">
        <v>46224</v>
      </c>
      <c r="AE622" s="73"/>
      <c r="AF622" s="73">
        <v>46224</v>
      </c>
      <c r="AG622" s="3">
        <v>-2500</v>
      </c>
      <c r="AH622" s="353" t="str">
        <f t="shared" si="54"/>
        <v/>
      </c>
      <c r="AI622" s="3" t="str">
        <f t="shared" si="55"/>
        <v>59</v>
      </c>
      <c r="AJ622" s="64" t="str">
        <f>VLOOKUP(T622,'GL Name'!A:B,2,0)</f>
        <v>ค่าวิจัยคุณภาพสินค้า</v>
      </c>
      <c r="AL622" s="13">
        <f t="shared" si="56"/>
        <v>169.85999999999999</v>
      </c>
      <c r="AM622" s="13" t="e">
        <f>VLOOKUP(I622,'Order 301-305 (เรียง)'!A:B,2,0)</f>
        <v>#N/A</v>
      </c>
      <c r="AN622" t="e">
        <f>VLOOKUP(I622,'Order 301-305 (เรียง)'!A:C,3,0)</f>
        <v>#N/A</v>
      </c>
    </row>
    <row r="623" spans="1:40" x14ac:dyDescent="0.3">
      <c r="A623" s="1" t="s">
        <v>62</v>
      </c>
      <c r="B623" s="1" t="s">
        <v>63</v>
      </c>
      <c r="C623" s="1" t="s">
        <v>64</v>
      </c>
      <c r="D623" s="1" t="s">
        <v>97</v>
      </c>
      <c r="E623" s="1" t="s">
        <v>98</v>
      </c>
      <c r="F623" s="1" t="s">
        <v>1574</v>
      </c>
      <c r="G623" s="1" t="s">
        <v>67</v>
      </c>
      <c r="H623" s="1" t="s">
        <v>281</v>
      </c>
      <c r="I623" s="1" t="s">
        <v>68</v>
      </c>
      <c r="J623" s="1" t="s">
        <v>1575</v>
      </c>
      <c r="K623" s="1" t="s">
        <v>69</v>
      </c>
      <c r="L623" s="1" t="s">
        <v>70</v>
      </c>
      <c r="M623" s="1" t="s">
        <v>68</v>
      </c>
      <c r="N623" s="1" t="s">
        <v>71</v>
      </c>
      <c r="O623" s="1" t="s">
        <v>68</v>
      </c>
      <c r="P623" s="1" t="s">
        <v>1576</v>
      </c>
      <c r="Q623" s="1" t="s">
        <v>68</v>
      </c>
      <c r="R623" s="1" t="s">
        <v>1577</v>
      </c>
      <c r="S623" s="1" t="s">
        <v>1228</v>
      </c>
      <c r="T623" s="1" t="s">
        <v>99</v>
      </c>
      <c r="U623" s="1" t="s">
        <v>68</v>
      </c>
      <c r="V623" s="1" t="s">
        <v>68</v>
      </c>
      <c r="W623" s="1" t="s">
        <v>68</v>
      </c>
      <c r="X623" s="1" t="s">
        <v>68</v>
      </c>
      <c r="Y623" s="73"/>
      <c r="Z623" s="2" t="s">
        <v>74</v>
      </c>
      <c r="AA623" s="3">
        <v>-1</v>
      </c>
      <c r="AB623" s="4">
        <v>-169.82</v>
      </c>
      <c r="AC623" s="73">
        <v>46225</v>
      </c>
      <c r="AD623" s="73">
        <v>46225</v>
      </c>
      <c r="AE623" s="73"/>
      <c r="AF623" s="73">
        <v>46225</v>
      </c>
      <c r="AG623" s="3">
        <v>-500</v>
      </c>
      <c r="AH623" s="353" t="str">
        <f t="shared" si="54"/>
        <v/>
      </c>
      <c r="AI623" s="3" t="str">
        <f t="shared" si="55"/>
        <v>59</v>
      </c>
      <c r="AJ623" s="64" t="str">
        <f>VLOOKUP(T623,'GL Name'!A:B,2,0)</f>
        <v>ส่งเสริมฯ อื่น</v>
      </c>
      <c r="AL623" s="13">
        <f t="shared" si="56"/>
        <v>169.82</v>
      </c>
      <c r="AM623" s="13" t="e">
        <f>VLOOKUP(I623,'Order 301-305 (เรียง)'!A:B,2,0)</f>
        <v>#N/A</v>
      </c>
      <c r="AN623" t="e">
        <f>VLOOKUP(I623,'Order 301-305 (เรียง)'!A:C,3,0)</f>
        <v>#N/A</v>
      </c>
    </row>
    <row r="624" spans="1:40" x14ac:dyDescent="0.3">
      <c r="A624" s="1" t="s">
        <v>644</v>
      </c>
      <c r="B624" s="1" t="s">
        <v>645</v>
      </c>
      <c r="C624" s="1" t="s">
        <v>64</v>
      </c>
      <c r="D624" s="1" t="s">
        <v>97</v>
      </c>
      <c r="E624" s="1" t="s">
        <v>98</v>
      </c>
      <c r="F624" s="1" t="s">
        <v>1574</v>
      </c>
      <c r="G624" s="1" t="s">
        <v>67</v>
      </c>
      <c r="H624" s="1" t="s">
        <v>638</v>
      </c>
      <c r="I624" s="1" t="s">
        <v>68</v>
      </c>
      <c r="J624" s="1" t="s">
        <v>1575</v>
      </c>
      <c r="K624" s="1" t="s">
        <v>69</v>
      </c>
      <c r="L624" s="1" t="s">
        <v>86</v>
      </c>
      <c r="M624" s="1" t="s">
        <v>68</v>
      </c>
      <c r="N624" s="1" t="s">
        <v>71</v>
      </c>
      <c r="O624" s="1" t="s">
        <v>68</v>
      </c>
      <c r="P624" s="1" t="s">
        <v>1576</v>
      </c>
      <c r="Q624" s="1" t="s">
        <v>68</v>
      </c>
      <c r="R624" s="1" t="s">
        <v>1577</v>
      </c>
      <c r="S624" s="1" t="s">
        <v>1228</v>
      </c>
      <c r="T624" s="1" t="s">
        <v>99</v>
      </c>
      <c r="U624" s="1" t="s">
        <v>68</v>
      </c>
      <c r="V624" s="1" t="s">
        <v>68</v>
      </c>
      <c r="W624" s="1" t="s">
        <v>68</v>
      </c>
      <c r="X624" s="1" t="s">
        <v>68</v>
      </c>
      <c r="Y624" s="73"/>
      <c r="Z624" s="2" t="s">
        <v>74</v>
      </c>
      <c r="AA624" s="3">
        <v>-1</v>
      </c>
      <c r="AB624" s="4">
        <v>-185.02</v>
      </c>
      <c r="AC624" s="73">
        <v>46225</v>
      </c>
      <c r="AD624" s="73">
        <v>46225</v>
      </c>
      <c r="AE624" s="73"/>
      <c r="AF624" s="73">
        <v>46225</v>
      </c>
      <c r="AG624" s="3">
        <v>-500</v>
      </c>
      <c r="AH624" s="353" t="str">
        <f t="shared" si="54"/>
        <v/>
      </c>
      <c r="AI624" s="3" t="str">
        <f t="shared" si="55"/>
        <v>59</v>
      </c>
      <c r="AJ624" s="64" t="str">
        <f>VLOOKUP(T624,'GL Name'!A:B,2,0)</f>
        <v>ส่งเสริมฯ อื่น</v>
      </c>
      <c r="AL624" s="13">
        <f t="shared" si="56"/>
        <v>185.02</v>
      </c>
      <c r="AM624" s="13" t="e">
        <f>VLOOKUP(I624,'Order 301-305 (เรียง)'!A:B,2,0)</f>
        <v>#N/A</v>
      </c>
      <c r="AN624" t="e">
        <f>VLOOKUP(I624,'Order 301-305 (เรียง)'!A:C,3,0)</f>
        <v>#N/A</v>
      </c>
    </row>
    <row r="625" spans="1:40" x14ac:dyDescent="0.3">
      <c r="A625" s="1" t="s">
        <v>62</v>
      </c>
      <c r="B625" s="1" t="s">
        <v>63</v>
      </c>
      <c r="C625" s="1" t="s">
        <v>64</v>
      </c>
      <c r="D625" s="1" t="s">
        <v>125</v>
      </c>
      <c r="E625" s="1" t="s">
        <v>289</v>
      </c>
      <c r="F625" s="1" t="s">
        <v>1578</v>
      </c>
      <c r="G625" s="1" t="s">
        <v>83</v>
      </c>
      <c r="H625" s="1" t="s">
        <v>287</v>
      </c>
      <c r="I625" s="1" t="s">
        <v>68</v>
      </c>
      <c r="J625" s="1" t="s">
        <v>1579</v>
      </c>
      <c r="K625" s="1" t="s">
        <v>69</v>
      </c>
      <c r="L625" s="1" t="s">
        <v>86</v>
      </c>
      <c r="M625" s="1" t="s">
        <v>68</v>
      </c>
      <c r="N625" s="1" t="s">
        <v>71</v>
      </c>
      <c r="O625" s="1" t="s">
        <v>68</v>
      </c>
      <c r="P625" s="1" t="s">
        <v>72</v>
      </c>
      <c r="Q625" s="1" t="s">
        <v>1580</v>
      </c>
      <c r="R625" s="1" t="s">
        <v>1581</v>
      </c>
      <c r="S625" s="1" t="s">
        <v>68</v>
      </c>
      <c r="T625" s="1" t="s">
        <v>68</v>
      </c>
      <c r="U625" s="1" t="s">
        <v>68</v>
      </c>
      <c r="V625" s="1" t="s">
        <v>68</v>
      </c>
      <c r="W625" s="1" t="s">
        <v>68</v>
      </c>
      <c r="X625" s="1" t="s">
        <v>68</v>
      </c>
      <c r="Y625" s="73"/>
      <c r="Z625" s="2" t="s">
        <v>74</v>
      </c>
      <c r="AA625" s="3">
        <v>2</v>
      </c>
      <c r="AB625" s="4">
        <v>0</v>
      </c>
      <c r="AC625" s="73">
        <v>46225</v>
      </c>
      <c r="AD625" s="73">
        <v>46225</v>
      </c>
      <c r="AE625" s="73"/>
      <c r="AF625" s="73">
        <v>46225</v>
      </c>
      <c r="AG625" s="3">
        <v>1000</v>
      </c>
      <c r="AH625" s="353" t="str">
        <f t="shared" ref="AH625:AH666" si="57">LEFT(I625,3)</f>
        <v/>
      </c>
      <c r="AI625" s="3" t="str">
        <f t="shared" ref="AI625:AI666" si="58">LEFT(A625,2)</f>
        <v>59</v>
      </c>
      <c r="AJ625" s="64" t="e">
        <f>VLOOKUP(T625,'GL Name'!A:B,2,0)</f>
        <v>#N/A</v>
      </c>
      <c r="AL625" s="13">
        <f t="shared" ref="AL625:AL666" si="59">AB625/AA625</f>
        <v>0</v>
      </c>
      <c r="AM625" s="13" t="e">
        <f>VLOOKUP(I625,'Order 301-305 (เรียง)'!A:B,2,0)</f>
        <v>#N/A</v>
      </c>
      <c r="AN625" t="e">
        <f>VLOOKUP(I625,'Order 301-305 (เรียง)'!A:C,3,0)</f>
        <v>#N/A</v>
      </c>
    </row>
    <row r="626" spans="1:40" x14ac:dyDescent="0.3">
      <c r="A626" s="1" t="s">
        <v>62</v>
      </c>
      <c r="B626" s="1" t="s">
        <v>63</v>
      </c>
      <c r="C626" s="1" t="s">
        <v>64</v>
      </c>
      <c r="D626" s="1" t="s">
        <v>125</v>
      </c>
      <c r="E626" s="1" t="s">
        <v>289</v>
      </c>
      <c r="F626" s="1" t="s">
        <v>1578</v>
      </c>
      <c r="G626" s="1" t="s">
        <v>67</v>
      </c>
      <c r="H626" s="1" t="s">
        <v>287</v>
      </c>
      <c r="I626" s="1" t="s">
        <v>68</v>
      </c>
      <c r="J626" s="1" t="s">
        <v>1579</v>
      </c>
      <c r="K626" s="1" t="s">
        <v>69</v>
      </c>
      <c r="L626" s="1" t="s">
        <v>70</v>
      </c>
      <c r="M626" s="1" t="s">
        <v>68</v>
      </c>
      <c r="N626" s="1" t="s">
        <v>71</v>
      </c>
      <c r="O626" s="1" t="s">
        <v>68</v>
      </c>
      <c r="P626" s="1" t="s">
        <v>72</v>
      </c>
      <c r="Q626" s="1" t="s">
        <v>1580</v>
      </c>
      <c r="R626" s="1" t="s">
        <v>1581</v>
      </c>
      <c r="S626" s="1" t="s">
        <v>68</v>
      </c>
      <c r="T626" s="1" t="s">
        <v>68</v>
      </c>
      <c r="U626" s="1" t="s">
        <v>68</v>
      </c>
      <c r="V626" s="1" t="s">
        <v>68</v>
      </c>
      <c r="W626" s="1" t="s">
        <v>68</v>
      </c>
      <c r="X626" s="1" t="s">
        <v>68</v>
      </c>
      <c r="Y626" s="73"/>
      <c r="Z626" s="2" t="s">
        <v>74</v>
      </c>
      <c r="AA626" s="3">
        <v>-2</v>
      </c>
      <c r="AB626" s="4">
        <v>0</v>
      </c>
      <c r="AC626" s="73">
        <v>46225</v>
      </c>
      <c r="AD626" s="73">
        <v>46225</v>
      </c>
      <c r="AE626" s="73"/>
      <c r="AF626" s="73">
        <v>46225</v>
      </c>
      <c r="AG626" s="3">
        <v>-1000</v>
      </c>
      <c r="AH626" s="353" t="str">
        <f t="shared" si="57"/>
        <v/>
      </c>
      <c r="AI626" s="3" t="str">
        <f t="shared" si="58"/>
        <v>59</v>
      </c>
      <c r="AJ626" s="64" t="e">
        <f>VLOOKUP(T626,'GL Name'!A:B,2,0)</f>
        <v>#N/A</v>
      </c>
      <c r="AL626" s="13">
        <f t="shared" si="59"/>
        <v>0</v>
      </c>
      <c r="AM626" s="13" t="e">
        <f>VLOOKUP(I626,'Order 301-305 (เรียง)'!A:B,2,0)</f>
        <v>#N/A</v>
      </c>
      <c r="AN626" t="e">
        <f>VLOOKUP(I626,'Order 301-305 (เรียง)'!A:C,3,0)</f>
        <v>#N/A</v>
      </c>
    </row>
    <row r="627" spans="1:40" x14ac:dyDescent="0.3">
      <c r="A627" s="1" t="s">
        <v>62</v>
      </c>
      <c r="B627" s="1" t="s">
        <v>63</v>
      </c>
      <c r="C627" s="1" t="s">
        <v>64</v>
      </c>
      <c r="D627" s="1" t="s">
        <v>1582</v>
      </c>
      <c r="E627" s="1" t="s">
        <v>1583</v>
      </c>
      <c r="F627" s="1" t="s">
        <v>1584</v>
      </c>
      <c r="G627" s="1" t="s">
        <v>67</v>
      </c>
      <c r="H627" s="1" t="s">
        <v>281</v>
      </c>
      <c r="I627" s="1" t="s">
        <v>68</v>
      </c>
      <c r="J627" s="1" t="s">
        <v>1585</v>
      </c>
      <c r="K627" s="1" t="s">
        <v>1586</v>
      </c>
      <c r="L627" s="1" t="s">
        <v>92</v>
      </c>
      <c r="M627" s="1" t="s">
        <v>68</v>
      </c>
      <c r="N627" s="1" t="s">
        <v>71</v>
      </c>
      <c r="O627" s="1" t="s">
        <v>68</v>
      </c>
      <c r="P627" s="1" t="s">
        <v>1226</v>
      </c>
      <c r="Q627" s="1" t="s">
        <v>1587</v>
      </c>
      <c r="R627" s="1" t="s">
        <v>1588</v>
      </c>
      <c r="S627" s="1" t="s">
        <v>1228</v>
      </c>
      <c r="T627" s="1" t="s">
        <v>1229</v>
      </c>
      <c r="U627" s="1" t="s">
        <v>68</v>
      </c>
      <c r="V627" s="1" t="s">
        <v>68</v>
      </c>
      <c r="W627" s="1" t="s">
        <v>68</v>
      </c>
      <c r="X627" s="1" t="s">
        <v>68</v>
      </c>
      <c r="Y627" s="73"/>
      <c r="Z627" s="2" t="s">
        <v>74</v>
      </c>
      <c r="AA627" s="3">
        <v>1</v>
      </c>
      <c r="AB627" s="4">
        <v>169.82</v>
      </c>
      <c r="AC627" s="73">
        <v>46219</v>
      </c>
      <c r="AD627" s="73">
        <v>46225</v>
      </c>
      <c r="AE627" s="73"/>
      <c r="AF627" s="73">
        <v>46225</v>
      </c>
      <c r="AG627" s="3">
        <v>500</v>
      </c>
      <c r="AH627" s="353" t="str">
        <f t="shared" si="57"/>
        <v/>
      </c>
      <c r="AI627" s="3" t="str">
        <f t="shared" si="58"/>
        <v>59</v>
      </c>
      <c r="AJ627" s="64" t="e">
        <f>VLOOKUP(T627,'GL Name'!A:B,2,0)</f>
        <v>#N/A</v>
      </c>
      <c r="AL627" s="13">
        <f t="shared" si="59"/>
        <v>169.82</v>
      </c>
      <c r="AM627" s="13" t="e">
        <f>VLOOKUP(I627,'Order 301-305 (เรียง)'!A:B,2,0)</f>
        <v>#N/A</v>
      </c>
      <c r="AN627" t="e">
        <f>VLOOKUP(I627,'Order 301-305 (เรียง)'!A:C,3,0)</f>
        <v>#N/A</v>
      </c>
    </row>
    <row r="628" spans="1:40" x14ac:dyDescent="0.3">
      <c r="A628" s="1" t="s">
        <v>644</v>
      </c>
      <c r="B628" s="1" t="s">
        <v>645</v>
      </c>
      <c r="C628" s="1" t="s">
        <v>64</v>
      </c>
      <c r="D628" s="1" t="s">
        <v>1582</v>
      </c>
      <c r="E628" s="1" t="s">
        <v>1583</v>
      </c>
      <c r="F628" s="1" t="s">
        <v>1584</v>
      </c>
      <c r="G628" s="1" t="s">
        <v>67</v>
      </c>
      <c r="H628" s="1" t="s">
        <v>638</v>
      </c>
      <c r="I628" s="1" t="s">
        <v>68</v>
      </c>
      <c r="J628" s="1" t="s">
        <v>1585</v>
      </c>
      <c r="K628" s="1" t="s">
        <v>1586</v>
      </c>
      <c r="L628" s="1" t="s">
        <v>70</v>
      </c>
      <c r="M628" s="1" t="s">
        <v>68</v>
      </c>
      <c r="N628" s="1" t="s">
        <v>71</v>
      </c>
      <c r="O628" s="1" t="s">
        <v>68</v>
      </c>
      <c r="P628" s="1" t="s">
        <v>1226</v>
      </c>
      <c r="Q628" s="1" t="s">
        <v>1587</v>
      </c>
      <c r="R628" s="1" t="s">
        <v>1588</v>
      </c>
      <c r="S628" s="1" t="s">
        <v>1228</v>
      </c>
      <c r="T628" s="1" t="s">
        <v>1229</v>
      </c>
      <c r="U628" s="1" t="s">
        <v>68</v>
      </c>
      <c r="V628" s="1" t="s">
        <v>68</v>
      </c>
      <c r="W628" s="1" t="s">
        <v>68</v>
      </c>
      <c r="X628" s="1" t="s">
        <v>68</v>
      </c>
      <c r="Y628" s="73"/>
      <c r="Z628" s="2" t="s">
        <v>74</v>
      </c>
      <c r="AA628" s="3">
        <v>2</v>
      </c>
      <c r="AB628" s="4">
        <v>370.04</v>
      </c>
      <c r="AC628" s="73">
        <v>46219</v>
      </c>
      <c r="AD628" s="73">
        <v>46225</v>
      </c>
      <c r="AE628" s="73"/>
      <c r="AF628" s="73">
        <v>46225</v>
      </c>
      <c r="AG628" s="3">
        <v>1000</v>
      </c>
      <c r="AH628" s="353" t="str">
        <f t="shared" si="57"/>
        <v/>
      </c>
      <c r="AI628" s="3" t="str">
        <f t="shared" si="58"/>
        <v>59</v>
      </c>
      <c r="AJ628" s="64" t="e">
        <f>VLOOKUP(T628,'GL Name'!A:B,2,0)</f>
        <v>#N/A</v>
      </c>
      <c r="AL628" s="13">
        <f t="shared" si="59"/>
        <v>185.02</v>
      </c>
      <c r="AM628" s="13" t="e">
        <f>VLOOKUP(I628,'Order 301-305 (เรียง)'!A:B,2,0)</f>
        <v>#N/A</v>
      </c>
      <c r="AN628" t="e">
        <f>VLOOKUP(I628,'Order 301-305 (เรียง)'!A:C,3,0)</f>
        <v>#N/A</v>
      </c>
    </row>
    <row r="629" spans="1:40" x14ac:dyDescent="0.3">
      <c r="A629" s="1" t="s">
        <v>260</v>
      </c>
      <c r="B629" s="1" t="s">
        <v>261</v>
      </c>
      <c r="C629" s="1" t="s">
        <v>64</v>
      </c>
      <c r="D629" s="1" t="s">
        <v>1582</v>
      </c>
      <c r="E629" s="1" t="s">
        <v>1583</v>
      </c>
      <c r="F629" s="1" t="s">
        <v>1584</v>
      </c>
      <c r="G629" s="1" t="s">
        <v>67</v>
      </c>
      <c r="H629" s="1" t="s">
        <v>1230</v>
      </c>
      <c r="I629" s="1" t="s">
        <v>68</v>
      </c>
      <c r="J629" s="1" t="s">
        <v>1585</v>
      </c>
      <c r="K629" s="1" t="s">
        <v>1586</v>
      </c>
      <c r="L629" s="1" t="s">
        <v>86</v>
      </c>
      <c r="M629" s="1" t="s">
        <v>68</v>
      </c>
      <c r="N629" s="1" t="s">
        <v>71</v>
      </c>
      <c r="O629" s="1" t="s">
        <v>68</v>
      </c>
      <c r="P629" s="1" t="s">
        <v>1226</v>
      </c>
      <c r="Q629" s="1" t="s">
        <v>1587</v>
      </c>
      <c r="R629" s="1" t="s">
        <v>1588</v>
      </c>
      <c r="S629" s="1" t="s">
        <v>1228</v>
      </c>
      <c r="T629" s="1" t="s">
        <v>1229</v>
      </c>
      <c r="U629" s="1" t="s">
        <v>68</v>
      </c>
      <c r="V629" s="1" t="s">
        <v>68</v>
      </c>
      <c r="W629" s="1" t="s">
        <v>68</v>
      </c>
      <c r="X629" s="1" t="s">
        <v>68</v>
      </c>
      <c r="Y629" s="73"/>
      <c r="Z629" s="2" t="s">
        <v>74</v>
      </c>
      <c r="AA629" s="3">
        <v>1</v>
      </c>
      <c r="AB629" s="4">
        <v>189.99</v>
      </c>
      <c r="AC629" s="73">
        <v>46219</v>
      </c>
      <c r="AD629" s="73">
        <v>46225</v>
      </c>
      <c r="AE629" s="73"/>
      <c r="AF629" s="73">
        <v>46225</v>
      </c>
      <c r="AG629" s="3">
        <v>500</v>
      </c>
      <c r="AH629" s="353" t="str">
        <f t="shared" si="57"/>
        <v/>
      </c>
      <c r="AI629" s="3" t="str">
        <f t="shared" si="58"/>
        <v>59</v>
      </c>
      <c r="AJ629" s="64" t="e">
        <f>VLOOKUP(T629,'GL Name'!A:B,2,0)</f>
        <v>#N/A</v>
      </c>
      <c r="AL629" s="13">
        <f t="shared" si="59"/>
        <v>189.99</v>
      </c>
      <c r="AM629" s="13" t="e">
        <f>VLOOKUP(I629,'Order 301-305 (เรียง)'!A:B,2,0)</f>
        <v>#N/A</v>
      </c>
      <c r="AN629" t="e">
        <f>VLOOKUP(I629,'Order 301-305 (เรียง)'!A:C,3,0)</f>
        <v>#N/A</v>
      </c>
    </row>
    <row r="630" spans="1:40" x14ac:dyDescent="0.3">
      <c r="A630" s="1" t="s">
        <v>9</v>
      </c>
      <c r="B630" s="1" t="s">
        <v>10</v>
      </c>
      <c r="C630" s="1" t="s">
        <v>64</v>
      </c>
      <c r="D630" s="1" t="s">
        <v>87</v>
      </c>
      <c r="E630" s="1" t="s">
        <v>88</v>
      </c>
      <c r="F630" s="1" t="s">
        <v>1589</v>
      </c>
      <c r="G630" s="1" t="s">
        <v>278</v>
      </c>
      <c r="H630" s="1" t="s">
        <v>944</v>
      </c>
      <c r="I630" s="1" t="s">
        <v>68</v>
      </c>
      <c r="J630" s="1" t="s">
        <v>1590</v>
      </c>
      <c r="K630" s="1" t="s">
        <v>290</v>
      </c>
      <c r="L630" s="1" t="s">
        <v>70</v>
      </c>
      <c r="M630" s="1" t="s">
        <v>68</v>
      </c>
      <c r="N630" s="1" t="s">
        <v>71</v>
      </c>
      <c r="O630" s="1" t="s">
        <v>68</v>
      </c>
      <c r="P630" s="1" t="s">
        <v>1591</v>
      </c>
      <c r="Q630" s="1" t="s">
        <v>68</v>
      </c>
      <c r="R630" s="1" t="s">
        <v>1592</v>
      </c>
      <c r="S630" s="1" t="s">
        <v>90</v>
      </c>
      <c r="T630" s="1" t="s">
        <v>91</v>
      </c>
      <c r="U630" s="1" t="s">
        <v>68</v>
      </c>
      <c r="V630" s="1" t="s">
        <v>68</v>
      </c>
      <c r="W630" s="1" t="s">
        <v>68</v>
      </c>
      <c r="X630" s="1" t="s">
        <v>68</v>
      </c>
      <c r="Y630" s="73"/>
      <c r="Z630" s="2" t="s">
        <v>265</v>
      </c>
      <c r="AA630" s="3">
        <v>-500</v>
      </c>
      <c r="AB630" s="4">
        <v>-132.21</v>
      </c>
      <c r="AC630" s="73">
        <v>46217</v>
      </c>
      <c r="AD630" s="73">
        <v>46217</v>
      </c>
      <c r="AE630" s="73"/>
      <c r="AF630" s="73">
        <v>46225</v>
      </c>
      <c r="AG630" s="3">
        <v>-500</v>
      </c>
      <c r="AH630" s="353" t="str">
        <f t="shared" si="57"/>
        <v/>
      </c>
      <c r="AI630" s="3" t="str">
        <f t="shared" si="58"/>
        <v>54</v>
      </c>
      <c r="AJ630" s="64" t="str">
        <f>VLOOKUP(T630,'GL Name'!A:B,2,0)</f>
        <v>ค่าวิจัยคุณภาพสินค้า</v>
      </c>
      <c r="AL630" s="13">
        <f t="shared" si="59"/>
        <v>0.26441999999999999</v>
      </c>
      <c r="AM630" s="13" t="e">
        <f>VLOOKUP(I630,'Order 301-305 (เรียง)'!A:B,2,0)</f>
        <v>#N/A</v>
      </c>
      <c r="AN630" t="e">
        <f>VLOOKUP(I630,'Order 301-305 (เรียง)'!A:C,3,0)</f>
        <v>#N/A</v>
      </c>
    </row>
    <row r="631" spans="1:40" x14ac:dyDescent="0.3">
      <c r="A631" s="1" t="s">
        <v>9</v>
      </c>
      <c r="B631" s="1" t="s">
        <v>10</v>
      </c>
      <c r="C631" s="1" t="s">
        <v>64</v>
      </c>
      <c r="D631" s="1" t="s">
        <v>87</v>
      </c>
      <c r="E631" s="1" t="s">
        <v>88</v>
      </c>
      <c r="F631" s="1" t="s">
        <v>1598</v>
      </c>
      <c r="G631" s="1" t="s">
        <v>278</v>
      </c>
      <c r="H631" s="1" t="s">
        <v>944</v>
      </c>
      <c r="I631" s="1" t="s">
        <v>68</v>
      </c>
      <c r="J631" s="1" t="s">
        <v>1599</v>
      </c>
      <c r="K631" s="1" t="s">
        <v>290</v>
      </c>
      <c r="L631" s="1" t="s">
        <v>70</v>
      </c>
      <c r="M631" s="1" t="s">
        <v>68</v>
      </c>
      <c r="N631" s="1" t="s">
        <v>71</v>
      </c>
      <c r="O631" s="1" t="s">
        <v>68</v>
      </c>
      <c r="P631" s="1" t="s">
        <v>1600</v>
      </c>
      <c r="Q631" s="1" t="s">
        <v>68</v>
      </c>
      <c r="R631" s="1" t="s">
        <v>1601</v>
      </c>
      <c r="S631" s="1" t="s">
        <v>90</v>
      </c>
      <c r="T631" s="1" t="s">
        <v>91</v>
      </c>
      <c r="U631" s="1" t="s">
        <v>68</v>
      </c>
      <c r="V631" s="1" t="s">
        <v>68</v>
      </c>
      <c r="W631" s="1" t="s">
        <v>68</v>
      </c>
      <c r="X631" s="1" t="s">
        <v>68</v>
      </c>
      <c r="Y631" s="73"/>
      <c r="Z631" s="2" t="s">
        <v>265</v>
      </c>
      <c r="AA631" s="3">
        <v>-500</v>
      </c>
      <c r="AB631" s="4">
        <v>-132.21</v>
      </c>
      <c r="AC631" s="73">
        <v>46224</v>
      </c>
      <c r="AD631" s="73">
        <v>46224</v>
      </c>
      <c r="AE631" s="73"/>
      <c r="AF631" s="73">
        <v>46225</v>
      </c>
      <c r="AG631" s="3">
        <v>-500</v>
      </c>
      <c r="AH631" s="353" t="str">
        <f t="shared" si="57"/>
        <v/>
      </c>
      <c r="AI631" s="3" t="str">
        <f t="shared" si="58"/>
        <v>54</v>
      </c>
      <c r="AJ631" s="64" t="str">
        <f>VLOOKUP(T631,'GL Name'!A:B,2,0)</f>
        <v>ค่าวิจัยคุณภาพสินค้า</v>
      </c>
      <c r="AL631" s="13">
        <f t="shared" si="59"/>
        <v>0.26441999999999999</v>
      </c>
      <c r="AM631" s="13" t="e">
        <f>VLOOKUP(I631,'Order 301-305 (เรียง)'!A:B,2,0)</f>
        <v>#N/A</v>
      </c>
      <c r="AN631" t="e">
        <f>VLOOKUP(I631,'Order 301-305 (เรียง)'!A:C,3,0)</f>
        <v>#N/A</v>
      </c>
    </row>
    <row r="632" spans="1:40" x14ac:dyDescent="0.3">
      <c r="A632" s="1" t="s">
        <v>17</v>
      </c>
      <c r="B632" s="1" t="s">
        <v>18</v>
      </c>
      <c r="C632" s="1" t="s">
        <v>64</v>
      </c>
      <c r="D632" s="1" t="s">
        <v>87</v>
      </c>
      <c r="E632" s="1" t="s">
        <v>88</v>
      </c>
      <c r="F632" s="1" t="s">
        <v>1598</v>
      </c>
      <c r="G632" s="1" t="s">
        <v>278</v>
      </c>
      <c r="H632" s="1" t="s">
        <v>304</v>
      </c>
      <c r="I632" s="1" t="s">
        <v>68</v>
      </c>
      <c r="J632" s="1" t="s">
        <v>1599</v>
      </c>
      <c r="K632" s="1" t="s">
        <v>290</v>
      </c>
      <c r="L632" s="1" t="s">
        <v>86</v>
      </c>
      <c r="M632" s="1" t="s">
        <v>68</v>
      </c>
      <c r="N632" s="1" t="s">
        <v>71</v>
      </c>
      <c r="O632" s="1" t="s">
        <v>68</v>
      </c>
      <c r="P632" s="1" t="s">
        <v>1600</v>
      </c>
      <c r="Q632" s="1" t="s">
        <v>68</v>
      </c>
      <c r="R632" s="1" t="s">
        <v>1602</v>
      </c>
      <c r="S632" s="1" t="s">
        <v>90</v>
      </c>
      <c r="T632" s="1" t="s">
        <v>91</v>
      </c>
      <c r="U632" s="1" t="s">
        <v>68</v>
      </c>
      <c r="V632" s="1" t="s">
        <v>68</v>
      </c>
      <c r="W632" s="1" t="s">
        <v>68</v>
      </c>
      <c r="X632" s="1" t="s">
        <v>68</v>
      </c>
      <c r="Y632" s="73"/>
      <c r="Z632" s="2" t="s">
        <v>265</v>
      </c>
      <c r="AA632" s="3">
        <v>-500</v>
      </c>
      <c r="AB632" s="4">
        <v>-77.900000000000006</v>
      </c>
      <c r="AC632" s="73">
        <v>46224</v>
      </c>
      <c r="AD632" s="73">
        <v>46224</v>
      </c>
      <c r="AE632" s="73"/>
      <c r="AF632" s="73">
        <v>46225</v>
      </c>
      <c r="AG632" s="3">
        <v>-500</v>
      </c>
      <c r="AH632" s="353" t="str">
        <f t="shared" si="57"/>
        <v/>
      </c>
      <c r="AI632" s="3" t="str">
        <f t="shared" si="58"/>
        <v>54</v>
      </c>
      <c r="AJ632" s="64" t="str">
        <f>VLOOKUP(T632,'GL Name'!A:B,2,0)</f>
        <v>ค่าวิจัยคุณภาพสินค้า</v>
      </c>
      <c r="AL632" s="13">
        <f t="shared" si="59"/>
        <v>0.15580000000000002</v>
      </c>
      <c r="AM632" s="13" t="e">
        <f>VLOOKUP(I632,'Order 301-305 (เรียง)'!A:B,2,0)</f>
        <v>#N/A</v>
      </c>
      <c r="AN632" t="e">
        <f>VLOOKUP(I632,'Order 301-305 (เรียง)'!A:C,3,0)</f>
        <v>#N/A</v>
      </c>
    </row>
    <row r="633" spans="1:40" x14ac:dyDescent="0.3">
      <c r="A633" s="1" t="s">
        <v>9</v>
      </c>
      <c r="B633" s="1" t="s">
        <v>10</v>
      </c>
      <c r="C633" s="1" t="s">
        <v>64</v>
      </c>
      <c r="D633" s="1" t="s">
        <v>87</v>
      </c>
      <c r="E633" s="1" t="s">
        <v>88</v>
      </c>
      <c r="F633" s="1" t="s">
        <v>1603</v>
      </c>
      <c r="G633" s="1" t="s">
        <v>278</v>
      </c>
      <c r="H633" s="1" t="s">
        <v>944</v>
      </c>
      <c r="I633" s="1" t="s">
        <v>68</v>
      </c>
      <c r="J633" s="1" t="s">
        <v>1604</v>
      </c>
      <c r="K633" s="1" t="s">
        <v>290</v>
      </c>
      <c r="L633" s="1" t="s">
        <v>70</v>
      </c>
      <c r="M633" s="1" t="s">
        <v>68</v>
      </c>
      <c r="N633" s="1" t="s">
        <v>71</v>
      </c>
      <c r="O633" s="1" t="s">
        <v>68</v>
      </c>
      <c r="P633" s="1" t="s">
        <v>1605</v>
      </c>
      <c r="Q633" s="1" t="s">
        <v>68</v>
      </c>
      <c r="R633" s="1" t="s">
        <v>1606</v>
      </c>
      <c r="S633" s="1" t="s">
        <v>90</v>
      </c>
      <c r="T633" s="1" t="s">
        <v>91</v>
      </c>
      <c r="U633" s="1" t="s">
        <v>68</v>
      </c>
      <c r="V633" s="1" t="s">
        <v>68</v>
      </c>
      <c r="W633" s="1" t="s">
        <v>68</v>
      </c>
      <c r="X633" s="1" t="s">
        <v>68</v>
      </c>
      <c r="Y633" s="73"/>
      <c r="Z633" s="2" t="s">
        <v>265</v>
      </c>
      <c r="AA633" s="3">
        <v>-500</v>
      </c>
      <c r="AB633" s="4">
        <v>-132.21</v>
      </c>
      <c r="AC633" s="73">
        <v>46219</v>
      </c>
      <c r="AD633" s="73">
        <v>46219</v>
      </c>
      <c r="AE633" s="73"/>
      <c r="AF633" s="73">
        <v>46225</v>
      </c>
      <c r="AG633" s="3">
        <v>-500</v>
      </c>
      <c r="AH633" s="353" t="str">
        <f t="shared" si="57"/>
        <v/>
      </c>
      <c r="AI633" s="3" t="str">
        <f t="shared" si="58"/>
        <v>54</v>
      </c>
      <c r="AJ633" s="64" t="str">
        <f>VLOOKUP(T633,'GL Name'!A:B,2,0)</f>
        <v>ค่าวิจัยคุณภาพสินค้า</v>
      </c>
      <c r="AL633" s="13">
        <f t="shared" si="59"/>
        <v>0.26441999999999999</v>
      </c>
      <c r="AM633" s="13" t="e">
        <f>VLOOKUP(I633,'Order 301-305 (เรียง)'!A:B,2,0)</f>
        <v>#N/A</v>
      </c>
      <c r="AN633" t="e">
        <f>VLOOKUP(I633,'Order 301-305 (เรียง)'!A:C,3,0)</f>
        <v>#N/A</v>
      </c>
    </row>
    <row r="634" spans="1:40" x14ac:dyDescent="0.3">
      <c r="A634" s="1" t="s">
        <v>62</v>
      </c>
      <c r="B634" s="1" t="s">
        <v>63</v>
      </c>
      <c r="C634" s="1" t="s">
        <v>64</v>
      </c>
      <c r="D634" s="1" t="s">
        <v>1172</v>
      </c>
      <c r="E634" s="1" t="s">
        <v>1173</v>
      </c>
      <c r="F634" s="1" t="s">
        <v>1607</v>
      </c>
      <c r="G634" s="1" t="s">
        <v>67</v>
      </c>
      <c r="H634" s="1" t="s">
        <v>281</v>
      </c>
      <c r="I634" s="1" t="s">
        <v>68</v>
      </c>
      <c r="J634" s="1" t="s">
        <v>1608</v>
      </c>
      <c r="K634" s="1" t="s">
        <v>69</v>
      </c>
      <c r="L634" s="1" t="s">
        <v>92</v>
      </c>
      <c r="M634" s="1" t="s">
        <v>68</v>
      </c>
      <c r="N634" s="1" t="s">
        <v>71</v>
      </c>
      <c r="O634" s="1" t="s">
        <v>68</v>
      </c>
      <c r="P634" s="1" t="s">
        <v>1609</v>
      </c>
      <c r="Q634" s="1" t="s">
        <v>68</v>
      </c>
      <c r="R634" s="1" t="s">
        <v>1227</v>
      </c>
      <c r="S634" s="1" t="s">
        <v>1228</v>
      </c>
      <c r="T634" s="1" t="s">
        <v>100</v>
      </c>
      <c r="U634" s="1" t="s">
        <v>68</v>
      </c>
      <c r="V634" s="1" t="s">
        <v>68</v>
      </c>
      <c r="W634" s="1" t="s">
        <v>68</v>
      </c>
      <c r="X634" s="1" t="s">
        <v>68</v>
      </c>
      <c r="Y634" s="73"/>
      <c r="Z634" s="2" t="s">
        <v>74</v>
      </c>
      <c r="AA634" s="3">
        <v>-1</v>
      </c>
      <c r="AB634" s="4">
        <v>-169.82</v>
      </c>
      <c r="AC634" s="73">
        <v>46225</v>
      </c>
      <c r="AD634" s="73">
        <v>46225</v>
      </c>
      <c r="AE634" s="73"/>
      <c r="AF634" s="73">
        <v>46225</v>
      </c>
      <c r="AG634" s="3">
        <v>-500</v>
      </c>
      <c r="AH634" s="353" t="str">
        <f t="shared" si="57"/>
        <v/>
      </c>
      <c r="AI634" s="3" t="str">
        <f t="shared" si="58"/>
        <v>59</v>
      </c>
      <c r="AJ634" s="64" t="str">
        <f>VLOOKUP(T634,'GL Name'!A:B,2,0)</f>
        <v>วัสดุสิ้นเปลือง</v>
      </c>
      <c r="AL634" s="13">
        <f t="shared" si="59"/>
        <v>169.82</v>
      </c>
      <c r="AM634" s="13" t="e">
        <f>VLOOKUP(I634,'Order 301-305 (เรียง)'!A:B,2,0)</f>
        <v>#N/A</v>
      </c>
      <c r="AN634" t="e">
        <f>VLOOKUP(I634,'Order 301-305 (เรียง)'!A:C,3,0)</f>
        <v>#N/A</v>
      </c>
    </row>
    <row r="635" spans="1:40" x14ac:dyDescent="0.3">
      <c r="A635" s="1" t="s">
        <v>644</v>
      </c>
      <c r="B635" s="1" t="s">
        <v>645</v>
      </c>
      <c r="C635" s="1" t="s">
        <v>64</v>
      </c>
      <c r="D635" s="1" t="s">
        <v>1172</v>
      </c>
      <c r="E635" s="1" t="s">
        <v>1173</v>
      </c>
      <c r="F635" s="1" t="s">
        <v>1607</v>
      </c>
      <c r="G635" s="1" t="s">
        <v>67</v>
      </c>
      <c r="H635" s="1" t="s">
        <v>638</v>
      </c>
      <c r="I635" s="1" t="s">
        <v>68</v>
      </c>
      <c r="J635" s="1" t="s">
        <v>1608</v>
      </c>
      <c r="K635" s="1" t="s">
        <v>69</v>
      </c>
      <c r="L635" s="1" t="s">
        <v>70</v>
      </c>
      <c r="M635" s="1" t="s">
        <v>68</v>
      </c>
      <c r="N635" s="1" t="s">
        <v>71</v>
      </c>
      <c r="O635" s="1" t="s">
        <v>68</v>
      </c>
      <c r="P635" s="1" t="s">
        <v>1609</v>
      </c>
      <c r="Q635" s="1" t="s">
        <v>68</v>
      </c>
      <c r="R635" s="1" t="s">
        <v>1227</v>
      </c>
      <c r="S635" s="1" t="s">
        <v>1228</v>
      </c>
      <c r="T635" s="1" t="s">
        <v>100</v>
      </c>
      <c r="U635" s="1" t="s">
        <v>68</v>
      </c>
      <c r="V635" s="1" t="s">
        <v>68</v>
      </c>
      <c r="W635" s="1" t="s">
        <v>68</v>
      </c>
      <c r="X635" s="1" t="s">
        <v>68</v>
      </c>
      <c r="Y635" s="73"/>
      <c r="Z635" s="2" t="s">
        <v>74</v>
      </c>
      <c r="AA635" s="3">
        <v>-2</v>
      </c>
      <c r="AB635" s="4">
        <v>-370.04</v>
      </c>
      <c r="AC635" s="73">
        <v>46225</v>
      </c>
      <c r="AD635" s="73">
        <v>46225</v>
      </c>
      <c r="AE635" s="73"/>
      <c r="AF635" s="73">
        <v>46225</v>
      </c>
      <c r="AG635" s="3">
        <v>-1000</v>
      </c>
      <c r="AH635" s="353" t="str">
        <f t="shared" si="57"/>
        <v/>
      </c>
      <c r="AI635" s="3" t="str">
        <f t="shared" si="58"/>
        <v>59</v>
      </c>
      <c r="AJ635" s="64" t="str">
        <f>VLOOKUP(T635,'GL Name'!A:B,2,0)</f>
        <v>วัสดุสิ้นเปลือง</v>
      </c>
      <c r="AL635" s="13">
        <f t="shared" si="59"/>
        <v>185.02</v>
      </c>
      <c r="AM635" s="13" t="e">
        <f>VLOOKUP(I635,'Order 301-305 (เรียง)'!A:B,2,0)</f>
        <v>#N/A</v>
      </c>
      <c r="AN635" t="e">
        <f>VLOOKUP(I635,'Order 301-305 (เรียง)'!A:C,3,0)</f>
        <v>#N/A</v>
      </c>
    </row>
    <row r="636" spans="1:40" x14ac:dyDescent="0.3">
      <c r="A636" s="1" t="s">
        <v>260</v>
      </c>
      <c r="B636" s="1" t="s">
        <v>261</v>
      </c>
      <c r="C636" s="1" t="s">
        <v>64</v>
      </c>
      <c r="D636" s="1" t="s">
        <v>1172</v>
      </c>
      <c r="E636" s="1" t="s">
        <v>1173</v>
      </c>
      <c r="F636" s="1" t="s">
        <v>1607</v>
      </c>
      <c r="G636" s="1" t="s">
        <v>67</v>
      </c>
      <c r="H636" s="1" t="s">
        <v>1230</v>
      </c>
      <c r="I636" s="1" t="s">
        <v>68</v>
      </c>
      <c r="J636" s="1" t="s">
        <v>1608</v>
      </c>
      <c r="K636" s="1" t="s">
        <v>69</v>
      </c>
      <c r="L636" s="1" t="s">
        <v>86</v>
      </c>
      <c r="M636" s="1" t="s">
        <v>68</v>
      </c>
      <c r="N636" s="1" t="s">
        <v>71</v>
      </c>
      <c r="O636" s="1" t="s">
        <v>68</v>
      </c>
      <c r="P636" s="1" t="s">
        <v>1609</v>
      </c>
      <c r="Q636" s="1" t="s">
        <v>68</v>
      </c>
      <c r="R636" s="1" t="s">
        <v>1227</v>
      </c>
      <c r="S636" s="1" t="s">
        <v>1228</v>
      </c>
      <c r="T636" s="1" t="s">
        <v>100</v>
      </c>
      <c r="U636" s="1" t="s">
        <v>68</v>
      </c>
      <c r="V636" s="1" t="s">
        <v>68</v>
      </c>
      <c r="W636" s="1" t="s">
        <v>68</v>
      </c>
      <c r="X636" s="1" t="s">
        <v>68</v>
      </c>
      <c r="Y636" s="73"/>
      <c r="Z636" s="2" t="s">
        <v>74</v>
      </c>
      <c r="AA636" s="3">
        <v>-1</v>
      </c>
      <c r="AB636" s="4">
        <v>-189.99</v>
      </c>
      <c r="AC636" s="73">
        <v>46225</v>
      </c>
      <c r="AD636" s="73">
        <v>46225</v>
      </c>
      <c r="AE636" s="73"/>
      <c r="AF636" s="73">
        <v>46225</v>
      </c>
      <c r="AG636" s="3">
        <v>-500</v>
      </c>
      <c r="AH636" s="353" t="str">
        <f t="shared" si="57"/>
        <v/>
      </c>
      <c r="AI636" s="3" t="str">
        <f t="shared" si="58"/>
        <v>59</v>
      </c>
      <c r="AJ636" s="64" t="str">
        <f>VLOOKUP(T636,'GL Name'!A:B,2,0)</f>
        <v>วัสดุสิ้นเปลือง</v>
      </c>
      <c r="AL636" s="13">
        <f t="shared" si="59"/>
        <v>189.99</v>
      </c>
      <c r="AM636" s="13" t="e">
        <f>VLOOKUP(I636,'Order 301-305 (เรียง)'!A:B,2,0)</f>
        <v>#N/A</v>
      </c>
      <c r="AN636" t="e">
        <f>VLOOKUP(I636,'Order 301-305 (เรียง)'!A:C,3,0)</f>
        <v>#N/A</v>
      </c>
    </row>
    <row r="637" spans="1:40" x14ac:dyDescent="0.3">
      <c r="A637" s="1" t="s">
        <v>9</v>
      </c>
      <c r="B637" s="1" t="s">
        <v>10</v>
      </c>
      <c r="C637" s="1" t="s">
        <v>64</v>
      </c>
      <c r="D637" s="1" t="s">
        <v>87</v>
      </c>
      <c r="E637" s="1" t="s">
        <v>88</v>
      </c>
      <c r="F637" s="1" t="s">
        <v>1610</v>
      </c>
      <c r="G637" s="1" t="s">
        <v>278</v>
      </c>
      <c r="H637" s="1" t="s">
        <v>944</v>
      </c>
      <c r="I637" s="1" t="s">
        <v>68</v>
      </c>
      <c r="J637" s="1" t="s">
        <v>1611</v>
      </c>
      <c r="K637" s="1" t="s">
        <v>290</v>
      </c>
      <c r="L637" s="1" t="s">
        <v>70</v>
      </c>
      <c r="M637" s="1" t="s">
        <v>68</v>
      </c>
      <c r="N637" s="1" t="s">
        <v>71</v>
      </c>
      <c r="O637" s="1" t="s">
        <v>68</v>
      </c>
      <c r="P637" s="1" t="s">
        <v>1612</v>
      </c>
      <c r="Q637" s="1" t="s">
        <v>68</v>
      </c>
      <c r="R637" s="1" t="s">
        <v>1613</v>
      </c>
      <c r="S637" s="1" t="s">
        <v>90</v>
      </c>
      <c r="T637" s="1" t="s">
        <v>91</v>
      </c>
      <c r="U637" s="1" t="s">
        <v>68</v>
      </c>
      <c r="V637" s="1" t="s">
        <v>68</v>
      </c>
      <c r="W637" s="1" t="s">
        <v>68</v>
      </c>
      <c r="X637" s="1" t="s">
        <v>68</v>
      </c>
      <c r="Y637" s="73"/>
      <c r="Z637" s="2" t="s">
        <v>265</v>
      </c>
      <c r="AA637" s="3">
        <v>-500</v>
      </c>
      <c r="AB637" s="4">
        <v>-132.21</v>
      </c>
      <c r="AC637" s="73">
        <v>46220</v>
      </c>
      <c r="AD637" s="73">
        <v>46220</v>
      </c>
      <c r="AE637" s="73"/>
      <c r="AF637" s="73">
        <v>46225</v>
      </c>
      <c r="AG637" s="3">
        <v>-500</v>
      </c>
      <c r="AH637" s="353" t="str">
        <f t="shared" si="57"/>
        <v/>
      </c>
      <c r="AI637" s="3" t="str">
        <f t="shared" si="58"/>
        <v>54</v>
      </c>
      <c r="AJ637" s="64" t="str">
        <f>VLOOKUP(T637,'GL Name'!A:B,2,0)</f>
        <v>ค่าวิจัยคุณภาพสินค้า</v>
      </c>
      <c r="AL637" s="13">
        <f t="shared" si="59"/>
        <v>0.26441999999999999</v>
      </c>
      <c r="AM637" s="13" t="e">
        <f>VLOOKUP(I637,'Order 301-305 (เรียง)'!A:B,2,0)</f>
        <v>#N/A</v>
      </c>
      <c r="AN637" t="e">
        <f>VLOOKUP(I637,'Order 301-305 (เรียง)'!A:C,3,0)</f>
        <v>#N/A</v>
      </c>
    </row>
    <row r="638" spans="1:40" x14ac:dyDescent="0.3">
      <c r="A638" s="1" t="s">
        <v>81</v>
      </c>
      <c r="B638" s="1" t="s">
        <v>82</v>
      </c>
      <c r="C638" s="1" t="s">
        <v>64</v>
      </c>
      <c r="D638" s="1" t="s">
        <v>65</v>
      </c>
      <c r="E638" s="1" t="s">
        <v>66</v>
      </c>
      <c r="F638" s="1" t="s">
        <v>1614</v>
      </c>
      <c r="G638" s="1" t="s">
        <v>83</v>
      </c>
      <c r="H638" s="1" t="s">
        <v>1262</v>
      </c>
      <c r="I638" s="1" t="s">
        <v>68</v>
      </c>
      <c r="J638" s="1" t="s">
        <v>1615</v>
      </c>
      <c r="K638" s="1" t="s">
        <v>118</v>
      </c>
      <c r="L638" s="1" t="s">
        <v>86</v>
      </c>
      <c r="M638" s="1" t="s">
        <v>68</v>
      </c>
      <c r="N638" s="1" t="s">
        <v>71</v>
      </c>
      <c r="O638" s="1" t="s">
        <v>68</v>
      </c>
      <c r="P638" s="1" t="s">
        <v>72</v>
      </c>
      <c r="Q638" s="1" t="s">
        <v>68</v>
      </c>
      <c r="R638" s="1" t="s">
        <v>68</v>
      </c>
      <c r="S638" s="1" t="s">
        <v>68</v>
      </c>
      <c r="T638" s="1" t="s">
        <v>73</v>
      </c>
      <c r="U638" s="1" t="s">
        <v>68</v>
      </c>
      <c r="V638" s="1" t="s">
        <v>68</v>
      </c>
      <c r="W638" s="1" t="s">
        <v>68</v>
      </c>
      <c r="X638" s="1" t="s">
        <v>1616</v>
      </c>
      <c r="Y638" s="73"/>
      <c r="Z638" s="2" t="s">
        <v>85</v>
      </c>
      <c r="AA638" s="3">
        <v>-101</v>
      </c>
      <c r="AB638" s="4">
        <v>-102935.16</v>
      </c>
      <c r="AC638" s="73">
        <v>46225</v>
      </c>
      <c r="AD638" s="73">
        <v>46225</v>
      </c>
      <c r="AE638" s="73"/>
      <c r="AF638" s="73">
        <v>46225</v>
      </c>
      <c r="AG638" s="3">
        <v>-303000</v>
      </c>
      <c r="AH638" s="353" t="str">
        <f t="shared" si="57"/>
        <v/>
      </c>
      <c r="AI638" s="3" t="str">
        <f t="shared" si="58"/>
        <v>59</v>
      </c>
      <c r="AJ638" s="64" t="str">
        <f>VLOOKUP(T638,'GL Name'!A:B,2,0)</f>
        <v>ต้นทุนขาย</v>
      </c>
      <c r="AL638" s="13">
        <f t="shared" si="59"/>
        <v>1019.1600000000001</v>
      </c>
      <c r="AM638" s="13" t="e">
        <f>VLOOKUP(I638,'Order 301-305 (เรียง)'!A:B,2,0)</f>
        <v>#N/A</v>
      </c>
      <c r="AN638" t="e">
        <f>VLOOKUP(I638,'Order 301-305 (เรียง)'!A:C,3,0)</f>
        <v>#N/A</v>
      </c>
    </row>
    <row r="639" spans="1:40" x14ac:dyDescent="0.3">
      <c r="A639" s="1" t="s">
        <v>81</v>
      </c>
      <c r="B639" s="1" t="s">
        <v>82</v>
      </c>
      <c r="C639" s="1" t="s">
        <v>64</v>
      </c>
      <c r="D639" s="1" t="s">
        <v>65</v>
      </c>
      <c r="E639" s="1" t="s">
        <v>66</v>
      </c>
      <c r="F639" s="1" t="s">
        <v>1614</v>
      </c>
      <c r="G639" s="1" t="s">
        <v>83</v>
      </c>
      <c r="H639" s="1" t="s">
        <v>1036</v>
      </c>
      <c r="I639" s="1" t="s">
        <v>68</v>
      </c>
      <c r="J639" s="1" t="s">
        <v>1615</v>
      </c>
      <c r="K639" s="1" t="s">
        <v>118</v>
      </c>
      <c r="L639" s="1" t="s">
        <v>70</v>
      </c>
      <c r="M639" s="1" t="s">
        <v>68</v>
      </c>
      <c r="N639" s="1" t="s">
        <v>71</v>
      </c>
      <c r="O639" s="1" t="s">
        <v>68</v>
      </c>
      <c r="P639" s="1" t="s">
        <v>72</v>
      </c>
      <c r="Q639" s="1" t="s">
        <v>68</v>
      </c>
      <c r="R639" s="1" t="s">
        <v>68</v>
      </c>
      <c r="S639" s="1" t="s">
        <v>68</v>
      </c>
      <c r="T639" s="1" t="s">
        <v>73</v>
      </c>
      <c r="U639" s="1" t="s">
        <v>68</v>
      </c>
      <c r="V639" s="1" t="s">
        <v>68</v>
      </c>
      <c r="W639" s="1" t="s">
        <v>68</v>
      </c>
      <c r="X639" s="1" t="s">
        <v>1616</v>
      </c>
      <c r="Y639" s="73"/>
      <c r="Z639" s="2" t="s">
        <v>85</v>
      </c>
      <c r="AA639" s="3">
        <v>-1819</v>
      </c>
      <c r="AB639" s="4">
        <v>-1853852.04</v>
      </c>
      <c r="AC639" s="73">
        <v>46225</v>
      </c>
      <c r="AD639" s="73">
        <v>46225</v>
      </c>
      <c r="AE639" s="73"/>
      <c r="AF639" s="73">
        <v>46225</v>
      </c>
      <c r="AG639" s="3">
        <v>-5457000</v>
      </c>
      <c r="AH639" s="353" t="str">
        <f t="shared" si="57"/>
        <v/>
      </c>
      <c r="AI639" s="3" t="str">
        <f t="shared" si="58"/>
        <v>59</v>
      </c>
      <c r="AJ639" s="64" t="str">
        <f>VLOOKUP(T639,'GL Name'!A:B,2,0)</f>
        <v>ต้นทุนขาย</v>
      </c>
      <c r="AL639" s="13">
        <f t="shared" si="59"/>
        <v>1019.16</v>
      </c>
      <c r="AM639" s="13" t="e">
        <f>VLOOKUP(I639,'Order 301-305 (เรียง)'!A:B,2,0)</f>
        <v>#N/A</v>
      </c>
      <c r="AN639" t="e">
        <f>VLOOKUP(I639,'Order 301-305 (เรียง)'!A:C,3,0)</f>
        <v>#N/A</v>
      </c>
    </row>
    <row r="640" spans="1:40" x14ac:dyDescent="0.3">
      <c r="A640" s="1" t="s">
        <v>81</v>
      </c>
      <c r="B640" s="1" t="s">
        <v>82</v>
      </c>
      <c r="C640" s="1" t="s">
        <v>64</v>
      </c>
      <c r="D640" s="1" t="s">
        <v>65</v>
      </c>
      <c r="E640" s="1" t="s">
        <v>66</v>
      </c>
      <c r="F640" s="1" t="s">
        <v>1617</v>
      </c>
      <c r="G640" s="1" t="s">
        <v>83</v>
      </c>
      <c r="H640" s="1" t="s">
        <v>1262</v>
      </c>
      <c r="I640" s="1" t="s">
        <v>68</v>
      </c>
      <c r="J640" s="1" t="s">
        <v>1618</v>
      </c>
      <c r="K640" s="1" t="s">
        <v>118</v>
      </c>
      <c r="L640" s="1" t="s">
        <v>70</v>
      </c>
      <c r="M640" s="1" t="s">
        <v>68</v>
      </c>
      <c r="N640" s="1" t="s">
        <v>71</v>
      </c>
      <c r="O640" s="1" t="s">
        <v>68</v>
      </c>
      <c r="P640" s="1" t="s">
        <v>72</v>
      </c>
      <c r="Q640" s="1" t="s">
        <v>68</v>
      </c>
      <c r="R640" s="1" t="s">
        <v>68</v>
      </c>
      <c r="S640" s="1" t="s">
        <v>68</v>
      </c>
      <c r="T640" s="1" t="s">
        <v>73</v>
      </c>
      <c r="U640" s="1" t="s">
        <v>68</v>
      </c>
      <c r="V640" s="1" t="s">
        <v>68</v>
      </c>
      <c r="W640" s="1" t="s">
        <v>68</v>
      </c>
      <c r="X640" s="1" t="s">
        <v>1619</v>
      </c>
      <c r="Y640" s="73"/>
      <c r="Z640" s="2" t="s">
        <v>85</v>
      </c>
      <c r="AA640" s="3">
        <v>-1920</v>
      </c>
      <c r="AB640" s="4">
        <v>-1956787.2</v>
      </c>
      <c r="AC640" s="73">
        <v>46225</v>
      </c>
      <c r="AD640" s="73">
        <v>46225</v>
      </c>
      <c r="AE640" s="73"/>
      <c r="AF640" s="73">
        <v>46225</v>
      </c>
      <c r="AG640" s="3">
        <v>-5760000</v>
      </c>
      <c r="AH640" s="353" t="str">
        <f t="shared" si="57"/>
        <v/>
      </c>
      <c r="AI640" s="3" t="str">
        <f t="shared" si="58"/>
        <v>59</v>
      </c>
      <c r="AJ640" s="64" t="str">
        <f>VLOOKUP(T640,'GL Name'!A:B,2,0)</f>
        <v>ต้นทุนขาย</v>
      </c>
      <c r="AL640" s="13">
        <f t="shared" si="59"/>
        <v>1019.16</v>
      </c>
      <c r="AM640" s="13" t="e">
        <f>VLOOKUP(I640,'Order 301-305 (เรียง)'!A:B,2,0)</f>
        <v>#N/A</v>
      </c>
      <c r="AN640" t="e">
        <f>VLOOKUP(I640,'Order 301-305 (เรียง)'!A:C,3,0)</f>
        <v>#N/A</v>
      </c>
    </row>
    <row r="641" spans="1:40" x14ac:dyDescent="0.3">
      <c r="A641" s="1" t="s">
        <v>81</v>
      </c>
      <c r="B641" s="1" t="s">
        <v>82</v>
      </c>
      <c r="C641" s="1" t="s">
        <v>64</v>
      </c>
      <c r="D641" s="1" t="s">
        <v>87</v>
      </c>
      <c r="E641" s="1" t="s">
        <v>88</v>
      </c>
      <c r="F641" s="1" t="s">
        <v>1620</v>
      </c>
      <c r="G641" s="1" t="s">
        <v>83</v>
      </c>
      <c r="H641" s="1" t="s">
        <v>1036</v>
      </c>
      <c r="I641" s="1" t="s">
        <v>68</v>
      </c>
      <c r="J641" s="1" t="s">
        <v>1621</v>
      </c>
      <c r="K641" s="1" t="s">
        <v>118</v>
      </c>
      <c r="L641" s="1" t="s">
        <v>70</v>
      </c>
      <c r="M641" s="1" t="s">
        <v>68</v>
      </c>
      <c r="N641" s="1" t="s">
        <v>71</v>
      </c>
      <c r="O641" s="1" t="s">
        <v>68</v>
      </c>
      <c r="P641" s="1" t="s">
        <v>1622</v>
      </c>
      <c r="Q641" s="1" t="s">
        <v>68</v>
      </c>
      <c r="R641" s="1" t="s">
        <v>308</v>
      </c>
      <c r="S641" s="1" t="s">
        <v>90</v>
      </c>
      <c r="T641" s="1" t="s">
        <v>91</v>
      </c>
      <c r="U641" s="1" t="s">
        <v>68</v>
      </c>
      <c r="V641" s="1" t="s">
        <v>68</v>
      </c>
      <c r="W641" s="1" t="s">
        <v>68</v>
      </c>
      <c r="X641" s="1" t="s">
        <v>68</v>
      </c>
      <c r="Y641" s="73"/>
      <c r="Z641" s="2" t="s">
        <v>74</v>
      </c>
      <c r="AA641" s="3">
        <v>-2</v>
      </c>
      <c r="AB641" s="4">
        <v>-339.72</v>
      </c>
      <c r="AC641" s="73">
        <v>46227</v>
      </c>
      <c r="AD641" s="73">
        <v>46227</v>
      </c>
      <c r="AE641" s="73"/>
      <c r="AF641" s="73">
        <v>46225</v>
      </c>
      <c r="AG641" s="3">
        <v>-1000</v>
      </c>
      <c r="AH641" s="353" t="str">
        <f t="shared" si="57"/>
        <v/>
      </c>
      <c r="AI641" s="3" t="str">
        <f t="shared" si="58"/>
        <v>59</v>
      </c>
      <c r="AJ641" s="64" t="str">
        <f>VLOOKUP(T641,'GL Name'!A:B,2,0)</f>
        <v>ค่าวิจัยคุณภาพสินค้า</v>
      </c>
      <c r="AL641" s="13">
        <f t="shared" si="59"/>
        <v>169.86</v>
      </c>
      <c r="AM641" s="13" t="e">
        <f>VLOOKUP(I641,'Order 301-305 (เรียง)'!A:B,2,0)</f>
        <v>#N/A</v>
      </c>
      <c r="AN641" t="e">
        <f>VLOOKUP(I641,'Order 301-305 (เรียง)'!A:C,3,0)</f>
        <v>#N/A</v>
      </c>
    </row>
    <row r="642" spans="1:40" x14ac:dyDescent="0.3">
      <c r="A642" s="1" t="s">
        <v>81</v>
      </c>
      <c r="B642" s="1" t="s">
        <v>82</v>
      </c>
      <c r="C642" s="1" t="s">
        <v>64</v>
      </c>
      <c r="D642" s="1" t="s">
        <v>87</v>
      </c>
      <c r="E642" s="1" t="s">
        <v>88</v>
      </c>
      <c r="F642" s="1" t="s">
        <v>1620</v>
      </c>
      <c r="G642" s="1" t="s">
        <v>83</v>
      </c>
      <c r="H642" s="1" t="s">
        <v>1262</v>
      </c>
      <c r="I642" s="1" t="s">
        <v>68</v>
      </c>
      <c r="J642" s="1" t="s">
        <v>1621</v>
      </c>
      <c r="K642" s="1" t="s">
        <v>118</v>
      </c>
      <c r="L642" s="1" t="s">
        <v>86</v>
      </c>
      <c r="M642" s="1" t="s">
        <v>68</v>
      </c>
      <c r="N642" s="1" t="s">
        <v>71</v>
      </c>
      <c r="O642" s="1" t="s">
        <v>68</v>
      </c>
      <c r="P642" s="1" t="s">
        <v>1622</v>
      </c>
      <c r="Q642" s="1" t="s">
        <v>68</v>
      </c>
      <c r="R642" s="1" t="s">
        <v>308</v>
      </c>
      <c r="S642" s="1" t="s">
        <v>90</v>
      </c>
      <c r="T642" s="1" t="s">
        <v>91</v>
      </c>
      <c r="U642" s="1" t="s">
        <v>68</v>
      </c>
      <c r="V642" s="1" t="s">
        <v>68</v>
      </c>
      <c r="W642" s="1" t="s">
        <v>68</v>
      </c>
      <c r="X642" s="1" t="s">
        <v>68</v>
      </c>
      <c r="Y642" s="73"/>
      <c r="Z642" s="2" t="s">
        <v>74</v>
      </c>
      <c r="AA642" s="3">
        <v>-2</v>
      </c>
      <c r="AB642" s="4">
        <v>-339.72</v>
      </c>
      <c r="AC642" s="73">
        <v>46227</v>
      </c>
      <c r="AD642" s="73">
        <v>46227</v>
      </c>
      <c r="AE642" s="73"/>
      <c r="AF642" s="73">
        <v>46225</v>
      </c>
      <c r="AG642" s="3">
        <v>-1000</v>
      </c>
      <c r="AH642" s="353" t="str">
        <f t="shared" si="57"/>
        <v/>
      </c>
      <c r="AI642" s="3" t="str">
        <f t="shared" si="58"/>
        <v>59</v>
      </c>
      <c r="AJ642" s="64" t="str">
        <f>VLOOKUP(T642,'GL Name'!A:B,2,0)</f>
        <v>ค่าวิจัยคุณภาพสินค้า</v>
      </c>
      <c r="AL642" s="13">
        <f t="shared" si="59"/>
        <v>169.86</v>
      </c>
      <c r="AM642" s="13" t="e">
        <f>VLOOKUP(I642,'Order 301-305 (เรียง)'!A:B,2,0)</f>
        <v>#N/A</v>
      </c>
      <c r="AN642" t="e">
        <f>VLOOKUP(I642,'Order 301-305 (เรียง)'!A:C,3,0)</f>
        <v>#N/A</v>
      </c>
    </row>
    <row r="643" spans="1:40" x14ac:dyDescent="0.3">
      <c r="A643" s="1" t="s">
        <v>62</v>
      </c>
      <c r="B643" s="1" t="s">
        <v>63</v>
      </c>
      <c r="C643" s="1" t="s">
        <v>64</v>
      </c>
      <c r="D643" s="1" t="s">
        <v>65</v>
      </c>
      <c r="E643" s="1" t="s">
        <v>66</v>
      </c>
      <c r="F643" s="1" t="s">
        <v>1623</v>
      </c>
      <c r="G643" s="1" t="s">
        <v>67</v>
      </c>
      <c r="H643" s="1" t="s">
        <v>287</v>
      </c>
      <c r="I643" s="1" t="s">
        <v>68</v>
      </c>
      <c r="J643" s="1" t="s">
        <v>1624</v>
      </c>
      <c r="K643" s="1" t="s">
        <v>69</v>
      </c>
      <c r="L643" s="1" t="s">
        <v>70</v>
      </c>
      <c r="M643" s="1" t="s">
        <v>68</v>
      </c>
      <c r="N643" s="1" t="s">
        <v>71</v>
      </c>
      <c r="O643" s="1" t="s">
        <v>68</v>
      </c>
      <c r="P643" s="1" t="s">
        <v>72</v>
      </c>
      <c r="Q643" s="1" t="s">
        <v>68</v>
      </c>
      <c r="R643" s="1" t="s">
        <v>68</v>
      </c>
      <c r="S643" s="1" t="s">
        <v>68</v>
      </c>
      <c r="T643" s="1" t="s">
        <v>73</v>
      </c>
      <c r="U643" s="1" t="s">
        <v>68</v>
      </c>
      <c r="V643" s="1" t="s">
        <v>68</v>
      </c>
      <c r="W643" s="1" t="s">
        <v>68</v>
      </c>
      <c r="X643" s="1" t="s">
        <v>1625</v>
      </c>
      <c r="Y643" s="73"/>
      <c r="Z643" s="2" t="s">
        <v>74</v>
      </c>
      <c r="AA643" s="3">
        <v>-40</v>
      </c>
      <c r="AB643" s="4">
        <v>-6792.8</v>
      </c>
      <c r="AC643" s="73">
        <v>46225</v>
      </c>
      <c r="AD643" s="73">
        <v>46225</v>
      </c>
      <c r="AE643" s="73"/>
      <c r="AF643" s="73">
        <v>46225</v>
      </c>
      <c r="AG643" s="3">
        <v>-20000</v>
      </c>
      <c r="AH643" s="353" t="str">
        <f t="shared" si="57"/>
        <v/>
      </c>
      <c r="AI643" s="3" t="str">
        <f t="shared" si="58"/>
        <v>59</v>
      </c>
      <c r="AJ643" s="64" t="str">
        <f>VLOOKUP(T643,'GL Name'!A:B,2,0)</f>
        <v>ต้นทุนขาย</v>
      </c>
      <c r="AL643" s="13">
        <f t="shared" si="59"/>
        <v>169.82</v>
      </c>
      <c r="AM643" s="13" t="e">
        <f>VLOOKUP(I643,'Order 301-305 (เรียง)'!A:B,2,0)</f>
        <v>#N/A</v>
      </c>
      <c r="AN643" t="e">
        <f>VLOOKUP(I643,'Order 301-305 (เรียง)'!A:C,3,0)</f>
        <v>#N/A</v>
      </c>
    </row>
    <row r="644" spans="1:40" x14ac:dyDescent="0.3">
      <c r="A644" s="1" t="s">
        <v>15</v>
      </c>
      <c r="B644" s="1" t="s">
        <v>233</v>
      </c>
      <c r="C644" s="1" t="s">
        <v>64</v>
      </c>
      <c r="D644" s="1" t="s">
        <v>1626</v>
      </c>
      <c r="E644" s="1" t="s">
        <v>1627</v>
      </c>
      <c r="F644" s="1" t="s">
        <v>1628</v>
      </c>
      <c r="G644" s="1" t="s">
        <v>279</v>
      </c>
      <c r="H644" s="1" t="s">
        <v>1252</v>
      </c>
      <c r="I644" s="1" t="s">
        <v>68</v>
      </c>
      <c r="J644" s="1" t="s">
        <v>1629</v>
      </c>
      <c r="K644" s="1" t="s">
        <v>84</v>
      </c>
      <c r="L644" s="1" t="s">
        <v>70</v>
      </c>
      <c r="M644" s="1" t="s">
        <v>68</v>
      </c>
      <c r="N644" s="1" t="s">
        <v>71</v>
      </c>
      <c r="O644" s="1" t="s">
        <v>68</v>
      </c>
      <c r="P644" s="1" t="s">
        <v>72</v>
      </c>
      <c r="Q644" s="1" t="s">
        <v>68</v>
      </c>
      <c r="R644" s="1" t="s">
        <v>1630</v>
      </c>
      <c r="S644" s="1" t="s">
        <v>68</v>
      </c>
      <c r="T644" s="1" t="s">
        <v>68</v>
      </c>
      <c r="U644" s="1" t="s">
        <v>68</v>
      </c>
      <c r="V644" s="1" t="s">
        <v>68</v>
      </c>
      <c r="W644" s="1" t="s">
        <v>68</v>
      </c>
      <c r="X644" s="1" t="s">
        <v>68</v>
      </c>
      <c r="Y644" s="73"/>
      <c r="Z644" s="2" t="s">
        <v>80</v>
      </c>
      <c r="AA644" s="3">
        <v>-20.8</v>
      </c>
      <c r="AB644" s="4">
        <v>-5633.26</v>
      </c>
      <c r="AC644" s="73">
        <v>46216</v>
      </c>
      <c r="AD644" s="73">
        <v>46216</v>
      </c>
      <c r="AE644" s="73"/>
      <c r="AF644" s="73">
        <v>46225</v>
      </c>
      <c r="AG644" s="3">
        <v>-20800</v>
      </c>
      <c r="AH644" s="353" t="str">
        <f t="shared" si="57"/>
        <v/>
      </c>
      <c r="AI644" s="3" t="str">
        <f t="shared" si="58"/>
        <v>57</v>
      </c>
      <c r="AJ644" s="64" t="e">
        <f>VLOOKUP(T644,'GL Name'!A:B,2,0)</f>
        <v>#N/A</v>
      </c>
      <c r="AL644" s="13">
        <f t="shared" si="59"/>
        <v>270.82980769230767</v>
      </c>
      <c r="AM644" s="13" t="e">
        <f>VLOOKUP(I644,'Order 301-305 (เรียง)'!A:B,2,0)</f>
        <v>#N/A</v>
      </c>
      <c r="AN644" t="e">
        <f>VLOOKUP(I644,'Order 301-305 (เรียง)'!A:C,3,0)</f>
        <v>#N/A</v>
      </c>
    </row>
    <row r="645" spans="1:40" x14ac:dyDescent="0.3">
      <c r="A645" s="1" t="s">
        <v>106</v>
      </c>
      <c r="B645" s="1" t="s">
        <v>107</v>
      </c>
      <c r="C645" s="1" t="s">
        <v>64</v>
      </c>
      <c r="D645" s="1" t="s">
        <v>93</v>
      </c>
      <c r="E645" s="1" t="s">
        <v>94</v>
      </c>
      <c r="F645" s="1" t="s">
        <v>1631</v>
      </c>
      <c r="G645" s="1" t="s">
        <v>103</v>
      </c>
      <c r="H645" s="1" t="s">
        <v>220</v>
      </c>
      <c r="I645" s="1" t="s">
        <v>68</v>
      </c>
      <c r="J645" s="1" t="s">
        <v>1632</v>
      </c>
      <c r="K645" s="1" t="s">
        <v>223</v>
      </c>
      <c r="L645" s="1" t="s">
        <v>109</v>
      </c>
      <c r="M645" s="1" t="s">
        <v>68</v>
      </c>
      <c r="N645" s="1" t="s">
        <v>71</v>
      </c>
      <c r="O645" s="1" t="s">
        <v>68</v>
      </c>
      <c r="P645" s="1" t="s">
        <v>72</v>
      </c>
      <c r="Q645" s="1" t="s">
        <v>68</v>
      </c>
      <c r="R645" s="1" t="s">
        <v>68</v>
      </c>
      <c r="S645" s="1" t="s">
        <v>68</v>
      </c>
      <c r="T645" s="1" t="s">
        <v>68</v>
      </c>
      <c r="U645" s="1" t="s">
        <v>68</v>
      </c>
      <c r="V645" s="1" t="s">
        <v>68</v>
      </c>
      <c r="W645" s="1" t="s">
        <v>68</v>
      </c>
      <c r="X645" s="1" t="s">
        <v>68</v>
      </c>
      <c r="Y645" s="73"/>
      <c r="Z645" s="2" t="s">
        <v>102</v>
      </c>
      <c r="AA645" s="3">
        <v>20000</v>
      </c>
      <c r="AB645" s="4">
        <v>0</v>
      </c>
      <c r="AC645" s="73">
        <v>46225</v>
      </c>
      <c r="AD645" s="73">
        <v>46225</v>
      </c>
      <c r="AE645" s="73"/>
      <c r="AF645" s="73">
        <v>46225</v>
      </c>
      <c r="AG645" s="3">
        <v>20000</v>
      </c>
      <c r="AH645" s="353" t="str">
        <f t="shared" si="57"/>
        <v/>
      </c>
      <c r="AI645" s="3" t="str">
        <f t="shared" si="58"/>
        <v>58</v>
      </c>
      <c r="AJ645" s="64" t="e">
        <f>VLOOKUP(T645,'GL Name'!A:B,2,0)</f>
        <v>#N/A</v>
      </c>
      <c r="AL645" s="13">
        <f t="shared" si="59"/>
        <v>0</v>
      </c>
      <c r="AM645" s="13" t="e">
        <f>VLOOKUP(I645,'Order 301-305 (เรียง)'!A:B,2,0)</f>
        <v>#N/A</v>
      </c>
      <c r="AN645" t="e">
        <f>VLOOKUP(I645,'Order 301-305 (เรียง)'!A:C,3,0)</f>
        <v>#N/A</v>
      </c>
    </row>
    <row r="646" spans="1:40" x14ac:dyDescent="0.3">
      <c r="A646" s="1" t="s">
        <v>106</v>
      </c>
      <c r="B646" s="1" t="s">
        <v>107</v>
      </c>
      <c r="C646" s="1" t="s">
        <v>64</v>
      </c>
      <c r="D646" s="1" t="s">
        <v>93</v>
      </c>
      <c r="E646" s="1" t="s">
        <v>94</v>
      </c>
      <c r="F646" s="1" t="s">
        <v>1631</v>
      </c>
      <c r="G646" s="1" t="s">
        <v>101</v>
      </c>
      <c r="H646" s="1" t="s">
        <v>220</v>
      </c>
      <c r="I646" s="1" t="s">
        <v>68</v>
      </c>
      <c r="J646" s="1" t="s">
        <v>1632</v>
      </c>
      <c r="K646" s="1" t="s">
        <v>223</v>
      </c>
      <c r="L646" s="1" t="s">
        <v>112</v>
      </c>
      <c r="M646" s="1" t="s">
        <v>68</v>
      </c>
      <c r="N646" s="1" t="s">
        <v>71</v>
      </c>
      <c r="O646" s="1" t="s">
        <v>68</v>
      </c>
      <c r="P646" s="1" t="s">
        <v>72</v>
      </c>
      <c r="Q646" s="1" t="s">
        <v>68</v>
      </c>
      <c r="R646" s="1" t="s">
        <v>68</v>
      </c>
      <c r="S646" s="1" t="s">
        <v>68</v>
      </c>
      <c r="T646" s="1" t="s">
        <v>68</v>
      </c>
      <c r="U646" s="1" t="s">
        <v>68</v>
      </c>
      <c r="V646" s="1" t="s">
        <v>68</v>
      </c>
      <c r="W646" s="1" t="s">
        <v>68</v>
      </c>
      <c r="X646" s="1" t="s">
        <v>68</v>
      </c>
      <c r="Y646" s="73"/>
      <c r="Z646" s="2" t="s">
        <v>102</v>
      </c>
      <c r="AA646" s="3">
        <v>-20000</v>
      </c>
      <c r="AB646" s="4">
        <v>0</v>
      </c>
      <c r="AC646" s="73">
        <v>46225</v>
      </c>
      <c r="AD646" s="73">
        <v>46225</v>
      </c>
      <c r="AE646" s="73"/>
      <c r="AF646" s="73">
        <v>46225</v>
      </c>
      <c r="AG646" s="3">
        <v>-20000</v>
      </c>
      <c r="AH646" s="353" t="str">
        <f t="shared" si="57"/>
        <v/>
      </c>
      <c r="AI646" s="3" t="str">
        <f t="shared" si="58"/>
        <v>58</v>
      </c>
      <c r="AJ646" s="64" t="e">
        <f>VLOOKUP(T646,'GL Name'!A:B,2,0)</f>
        <v>#N/A</v>
      </c>
      <c r="AL646" s="13">
        <f t="shared" si="59"/>
        <v>0</v>
      </c>
      <c r="AM646" s="13" t="e">
        <f>VLOOKUP(I646,'Order 301-305 (เรียง)'!A:B,2,0)</f>
        <v>#N/A</v>
      </c>
      <c r="AN646" t="e">
        <f>VLOOKUP(I646,'Order 301-305 (เรียง)'!A:C,3,0)</f>
        <v>#N/A</v>
      </c>
    </row>
    <row r="647" spans="1:40" x14ac:dyDescent="0.3">
      <c r="A647" s="1" t="s">
        <v>119</v>
      </c>
      <c r="B647" s="1" t="s">
        <v>120</v>
      </c>
      <c r="C647" s="1" t="s">
        <v>64</v>
      </c>
      <c r="D647" s="1" t="s">
        <v>93</v>
      </c>
      <c r="E647" s="1" t="s">
        <v>94</v>
      </c>
      <c r="F647" s="1" t="s">
        <v>1631</v>
      </c>
      <c r="G647" s="1" t="s">
        <v>101</v>
      </c>
      <c r="H647" s="1" t="s">
        <v>316</v>
      </c>
      <c r="I647" s="1" t="s">
        <v>68</v>
      </c>
      <c r="J647" s="1" t="s">
        <v>1632</v>
      </c>
      <c r="K647" s="1" t="s">
        <v>223</v>
      </c>
      <c r="L647" s="1" t="s">
        <v>92</v>
      </c>
      <c r="M647" s="1" t="s">
        <v>68</v>
      </c>
      <c r="N647" s="1" t="s">
        <v>71</v>
      </c>
      <c r="O647" s="1" t="s">
        <v>68</v>
      </c>
      <c r="P647" s="1" t="s">
        <v>72</v>
      </c>
      <c r="Q647" s="1" t="s">
        <v>68</v>
      </c>
      <c r="R647" s="1" t="s">
        <v>68</v>
      </c>
      <c r="S647" s="1" t="s">
        <v>68</v>
      </c>
      <c r="T647" s="1" t="s">
        <v>68</v>
      </c>
      <c r="U647" s="1" t="s">
        <v>68</v>
      </c>
      <c r="V647" s="1" t="s">
        <v>68</v>
      </c>
      <c r="W647" s="1" t="s">
        <v>68</v>
      </c>
      <c r="X647" s="1" t="s">
        <v>68</v>
      </c>
      <c r="Y647" s="73"/>
      <c r="Z647" s="2" t="s">
        <v>102</v>
      </c>
      <c r="AA647" s="3">
        <v>-12832</v>
      </c>
      <c r="AB647" s="4">
        <v>0</v>
      </c>
      <c r="AC647" s="73">
        <v>46225</v>
      </c>
      <c r="AD647" s="73">
        <v>46225</v>
      </c>
      <c r="AE647" s="73"/>
      <c r="AF647" s="73">
        <v>46225</v>
      </c>
      <c r="AG647" s="3">
        <v>-12832</v>
      </c>
      <c r="AH647" s="353" t="str">
        <f t="shared" si="57"/>
        <v/>
      </c>
      <c r="AI647" s="3" t="str">
        <f t="shared" si="58"/>
        <v>58</v>
      </c>
      <c r="AJ647" s="64" t="e">
        <f>VLOOKUP(T647,'GL Name'!A:B,2,0)</f>
        <v>#N/A</v>
      </c>
      <c r="AL647" s="13">
        <f t="shared" si="59"/>
        <v>0</v>
      </c>
      <c r="AM647" s="13" t="e">
        <f>VLOOKUP(I647,'Order 301-305 (เรียง)'!A:B,2,0)</f>
        <v>#N/A</v>
      </c>
      <c r="AN647" t="e">
        <f>VLOOKUP(I647,'Order 301-305 (เรียง)'!A:C,3,0)</f>
        <v>#N/A</v>
      </c>
    </row>
    <row r="648" spans="1:40" x14ac:dyDescent="0.3">
      <c r="A648" s="1" t="s">
        <v>119</v>
      </c>
      <c r="B648" s="1" t="s">
        <v>120</v>
      </c>
      <c r="C648" s="1" t="s">
        <v>64</v>
      </c>
      <c r="D648" s="1" t="s">
        <v>93</v>
      </c>
      <c r="E648" s="1" t="s">
        <v>94</v>
      </c>
      <c r="F648" s="1" t="s">
        <v>1631</v>
      </c>
      <c r="G648" s="1" t="s">
        <v>103</v>
      </c>
      <c r="H648" s="1" t="s">
        <v>316</v>
      </c>
      <c r="I648" s="1" t="s">
        <v>68</v>
      </c>
      <c r="J648" s="1" t="s">
        <v>1632</v>
      </c>
      <c r="K648" s="1" t="s">
        <v>223</v>
      </c>
      <c r="L648" s="1" t="s">
        <v>89</v>
      </c>
      <c r="M648" s="1" t="s">
        <v>68</v>
      </c>
      <c r="N648" s="1" t="s">
        <v>71</v>
      </c>
      <c r="O648" s="1" t="s">
        <v>68</v>
      </c>
      <c r="P648" s="1" t="s">
        <v>72</v>
      </c>
      <c r="Q648" s="1" t="s">
        <v>68</v>
      </c>
      <c r="R648" s="1" t="s">
        <v>68</v>
      </c>
      <c r="S648" s="1" t="s">
        <v>68</v>
      </c>
      <c r="T648" s="1" t="s">
        <v>68</v>
      </c>
      <c r="U648" s="1" t="s">
        <v>68</v>
      </c>
      <c r="V648" s="1" t="s">
        <v>68</v>
      </c>
      <c r="W648" s="1" t="s">
        <v>68</v>
      </c>
      <c r="X648" s="1" t="s">
        <v>68</v>
      </c>
      <c r="Y648" s="73"/>
      <c r="Z648" s="2" t="s">
        <v>102</v>
      </c>
      <c r="AA648" s="3">
        <v>12832</v>
      </c>
      <c r="AB648" s="4">
        <v>0</v>
      </c>
      <c r="AC648" s="73">
        <v>46225</v>
      </c>
      <c r="AD648" s="73">
        <v>46225</v>
      </c>
      <c r="AE648" s="73"/>
      <c r="AF648" s="73">
        <v>46225</v>
      </c>
      <c r="AG648" s="3">
        <v>12832</v>
      </c>
      <c r="AH648" s="353" t="str">
        <f t="shared" si="57"/>
        <v/>
      </c>
      <c r="AI648" s="3" t="str">
        <f t="shared" si="58"/>
        <v>58</v>
      </c>
      <c r="AJ648" s="64" t="e">
        <f>VLOOKUP(T648,'GL Name'!A:B,2,0)</f>
        <v>#N/A</v>
      </c>
      <c r="AL648" s="13">
        <f t="shared" si="59"/>
        <v>0</v>
      </c>
      <c r="AM648" s="13" t="e">
        <f>VLOOKUP(I648,'Order 301-305 (เรียง)'!A:B,2,0)</f>
        <v>#N/A</v>
      </c>
      <c r="AN648" t="e">
        <f>VLOOKUP(I648,'Order 301-305 (เรียง)'!A:C,3,0)</f>
        <v>#N/A</v>
      </c>
    </row>
    <row r="649" spans="1:40" x14ac:dyDescent="0.3">
      <c r="A649" s="1" t="s">
        <v>119</v>
      </c>
      <c r="B649" s="1" t="s">
        <v>120</v>
      </c>
      <c r="C649" s="1" t="s">
        <v>64</v>
      </c>
      <c r="D649" s="1" t="s">
        <v>93</v>
      </c>
      <c r="E649" s="1" t="s">
        <v>94</v>
      </c>
      <c r="F649" s="1" t="s">
        <v>1631</v>
      </c>
      <c r="G649" s="1" t="s">
        <v>101</v>
      </c>
      <c r="H649" s="1" t="s">
        <v>772</v>
      </c>
      <c r="I649" s="1" t="s">
        <v>68</v>
      </c>
      <c r="J649" s="1" t="s">
        <v>1632</v>
      </c>
      <c r="K649" s="1" t="s">
        <v>223</v>
      </c>
      <c r="L649" s="1" t="s">
        <v>95</v>
      </c>
      <c r="M649" s="1" t="s">
        <v>68</v>
      </c>
      <c r="N649" s="1" t="s">
        <v>71</v>
      </c>
      <c r="O649" s="1" t="s">
        <v>68</v>
      </c>
      <c r="P649" s="1" t="s">
        <v>72</v>
      </c>
      <c r="Q649" s="1" t="s">
        <v>68</v>
      </c>
      <c r="R649" s="1" t="s">
        <v>68</v>
      </c>
      <c r="S649" s="1" t="s">
        <v>68</v>
      </c>
      <c r="T649" s="1" t="s">
        <v>68</v>
      </c>
      <c r="U649" s="1" t="s">
        <v>68</v>
      </c>
      <c r="V649" s="1" t="s">
        <v>68</v>
      </c>
      <c r="W649" s="1" t="s">
        <v>68</v>
      </c>
      <c r="X649" s="1" t="s">
        <v>68</v>
      </c>
      <c r="Y649" s="73"/>
      <c r="Z649" s="2" t="s">
        <v>102</v>
      </c>
      <c r="AA649" s="3">
        <v>-11168</v>
      </c>
      <c r="AB649" s="4">
        <v>0</v>
      </c>
      <c r="AC649" s="73">
        <v>46225</v>
      </c>
      <c r="AD649" s="73">
        <v>46225</v>
      </c>
      <c r="AE649" s="73"/>
      <c r="AF649" s="73">
        <v>46225</v>
      </c>
      <c r="AG649" s="3">
        <v>-11168</v>
      </c>
      <c r="AH649" s="353" t="str">
        <f t="shared" si="57"/>
        <v/>
      </c>
      <c r="AI649" s="3" t="str">
        <f t="shared" si="58"/>
        <v>58</v>
      </c>
      <c r="AJ649" s="64" t="e">
        <f>VLOOKUP(T649,'GL Name'!A:B,2,0)</f>
        <v>#N/A</v>
      </c>
      <c r="AL649" s="13">
        <f t="shared" si="59"/>
        <v>0</v>
      </c>
      <c r="AM649" s="13" t="e">
        <f>VLOOKUP(I649,'Order 301-305 (เรียง)'!A:B,2,0)</f>
        <v>#N/A</v>
      </c>
      <c r="AN649" t="e">
        <f>VLOOKUP(I649,'Order 301-305 (เรียง)'!A:C,3,0)</f>
        <v>#N/A</v>
      </c>
    </row>
    <row r="650" spans="1:40" x14ac:dyDescent="0.3">
      <c r="A650" s="1" t="s">
        <v>119</v>
      </c>
      <c r="B650" s="1" t="s">
        <v>120</v>
      </c>
      <c r="C650" s="1" t="s">
        <v>64</v>
      </c>
      <c r="D650" s="1" t="s">
        <v>93</v>
      </c>
      <c r="E650" s="1" t="s">
        <v>94</v>
      </c>
      <c r="F650" s="1" t="s">
        <v>1631</v>
      </c>
      <c r="G650" s="1" t="s">
        <v>103</v>
      </c>
      <c r="H650" s="1" t="s">
        <v>772</v>
      </c>
      <c r="I650" s="1" t="s">
        <v>68</v>
      </c>
      <c r="J650" s="1" t="s">
        <v>1632</v>
      </c>
      <c r="K650" s="1" t="s">
        <v>223</v>
      </c>
      <c r="L650" s="1" t="s">
        <v>111</v>
      </c>
      <c r="M650" s="1" t="s">
        <v>68</v>
      </c>
      <c r="N650" s="1" t="s">
        <v>71</v>
      </c>
      <c r="O650" s="1" t="s">
        <v>68</v>
      </c>
      <c r="P650" s="1" t="s">
        <v>72</v>
      </c>
      <c r="Q650" s="1" t="s">
        <v>68</v>
      </c>
      <c r="R650" s="1" t="s">
        <v>68</v>
      </c>
      <c r="S650" s="1" t="s">
        <v>68</v>
      </c>
      <c r="T650" s="1" t="s">
        <v>68</v>
      </c>
      <c r="U650" s="1" t="s">
        <v>68</v>
      </c>
      <c r="V650" s="1" t="s">
        <v>68</v>
      </c>
      <c r="W650" s="1" t="s">
        <v>68</v>
      </c>
      <c r="X650" s="1" t="s">
        <v>68</v>
      </c>
      <c r="Y650" s="73"/>
      <c r="Z650" s="2" t="s">
        <v>102</v>
      </c>
      <c r="AA650" s="3">
        <v>11168</v>
      </c>
      <c r="AB650" s="4">
        <v>0</v>
      </c>
      <c r="AC650" s="73">
        <v>46225</v>
      </c>
      <c r="AD650" s="73">
        <v>46225</v>
      </c>
      <c r="AE650" s="73"/>
      <c r="AF650" s="73">
        <v>46225</v>
      </c>
      <c r="AG650" s="3">
        <v>11168</v>
      </c>
      <c r="AH650" s="353" t="str">
        <f t="shared" si="57"/>
        <v/>
      </c>
      <c r="AI650" s="3" t="str">
        <f t="shared" si="58"/>
        <v>58</v>
      </c>
      <c r="AJ650" s="64" t="e">
        <f>VLOOKUP(T650,'GL Name'!A:B,2,0)</f>
        <v>#N/A</v>
      </c>
      <c r="AL650" s="13">
        <f t="shared" si="59"/>
        <v>0</v>
      </c>
      <c r="AM650" s="13" t="e">
        <f>VLOOKUP(I650,'Order 301-305 (เรียง)'!A:B,2,0)</f>
        <v>#N/A</v>
      </c>
      <c r="AN650" t="e">
        <f>VLOOKUP(I650,'Order 301-305 (เรียง)'!A:C,3,0)</f>
        <v>#N/A</v>
      </c>
    </row>
    <row r="651" spans="1:40" x14ac:dyDescent="0.3">
      <c r="A651" s="1" t="s">
        <v>121</v>
      </c>
      <c r="B651" s="1" t="s">
        <v>122</v>
      </c>
      <c r="C651" s="1" t="s">
        <v>64</v>
      </c>
      <c r="D651" s="1" t="s">
        <v>93</v>
      </c>
      <c r="E651" s="1" t="s">
        <v>94</v>
      </c>
      <c r="F651" s="1" t="s">
        <v>1631</v>
      </c>
      <c r="G651" s="1" t="s">
        <v>103</v>
      </c>
      <c r="H651" s="1" t="s">
        <v>1076</v>
      </c>
      <c r="I651" s="1" t="s">
        <v>68</v>
      </c>
      <c r="J651" s="1" t="s">
        <v>1632</v>
      </c>
      <c r="K651" s="1" t="s">
        <v>223</v>
      </c>
      <c r="L651" s="1" t="s">
        <v>86</v>
      </c>
      <c r="M651" s="1" t="s">
        <v>68</v>
      </c>
      <c r="N651" s="1" t="s">
        <v>71</v>
      </c>
      <c r="O651" s="1" t="s">
        <v>68</v>
      </c>
      <c r="P651" s="1" t="s">
        <v>72</v>
      </c>
      <c r="Q651" s="1" t="s">
        <v>68</v>
      </c>
      <c r="R651" s="1" t="s">
        <v>68</v>
      </c>
      <c r="S651" s="1" t="s">
        <v>68</v>
      </c>
      <c r="T651" s="1" t="s">
        <v>68</v>
      </c>
      <c r="U651" s="1" t="s">
        <v>68</v>
      </c>
      <c r="V651" s="1" t="s">
        <v>68</v>
      </c>
      <c r="W651" s="1" t="s">
        <v>68</v>
      </c>
      <c r="X651" s="1" t="s">
        <v>68</v>
      </c>
      <c r="Y651" s="73"/>
      <c r="Z651" s="2" t="s">
        <v>102</v>
      </c>
      <c r="AA651" s="3">
        <v>3000</v>
      </c>
      <c r="AB651" s="4">
        <v>0</v>
      </c>
      <c r="AC651" s="73">
        <v>46225</v>
      </c>
      <c r="AD651" s="73">
        <v>46225</v>
      </c>
      <c r="AE651" s="73"/>
      <c r="AF651" s="73">
        <v>46225</v>
      </c>
      <c r="AG651" s="3">
        <v>3000</v>
      </c>
      <c r="AH651" s="353" t="str">
        <f t="shared" si="57"/>
        <v/>
      </c>
      <c r="AI651" s="3" t="str">
        <f t="shared" si="58"/>
        <v>58</v>
      </c>
      <c r="AJ651" s="64" t="e">
        <f>VLOOKUP(T651,'GL Name'!A:B,2,0)</f>
        <v>#N/A</v>
      </c>
      <c r="AL651" s="13">
        <f t="shared" si="59"/>
        <v>0</v>
      </c>
      <c r="AM651" s="13" t="e">
        <f>VLOOKUP(I651,'Order 301-305 (เรียง)'!A:B,2,0)</f>
        <v>#N/A</v>
      </c>
      <c r="AN651" t="e">
        <f>VLOOKUP(I651,'Order 301-305 (เรียง)'!A:C,3,0)</f>
        <v>#N/A</v>
      </c>
    </row>
    <row r="652" spans="1:40" x14ac:dyDescent="0.3">
      <c r="A652" s="1" t="s">
        <v>121</v>
      </c>
      <c r="B652" s="1" t="s">
        <v>122</v>
      </c>
      <c r="C652" s="1" t="s">
        <v>64</v>
      </c>
      <c r="D652" s="1" t="s">
        <v>93</v>
      </c>
      <c r="E652" s="1" t="s">
        <v>94</v>
      </c>
      <c r="F652" s="1" t="s">
        <v>1631</v>
      </c>
      <c r="G652" s="1" t="s">
        <v>101</v>
      </c>
      <c r="H652" s="1" t="s">
        <v>1076</v>
      </c>
      <c r="I652" s="1" t="s">
        <v>68</v>
      </c>
      <c r="J652" s="1" t="s">
        <v>1632</v>
      </c>
      <c r="K652" s="1" t="s">
        <v>223</v>
      </c>
      <c r="L652" s="1" t="s">
        <v>70</v>
      </c>
      <c r="M652" s="1" t="s">
        <v>68</v>
      </c>
      <c r="N652" s="1" t="s">
        <v>71</v>
      </c>
      <c r="O652" s="1" t="s">
        <v>68</v>
      </c>
      <c r="P652" s="1" t="s">
        <v>72</v>
      </c>
      <c r="Q652" s="1" t="s">
        <v>68</v>
      </c>
      <c r="R652" s="1" t="s">
        <v>68</v>
      </c>
      <c r="S652" s="1" t="s">
        <v>68</v>
      </c>
      <c r="T652" s="1" t="s">
        <v>68</v>
      </c>
      <c r="U652" s="1" t="s">
        <v>68</v>
      </c>
      <c r="V652" s="1" t="s">
        <v>68</v>
      </c>
      <c r="W652" s="1" t="s">
        <v>68</v>
      </c>
      <c r="X652" s="1" t="s">
        <v>68</v>
      </c>
      <c r="Y652" s="73"/>
      <c r="Z652" s="2" t="s">
        <v>102</v>
      </c>
      <c r="AA652" s="3">
        <v>-3000</v>
      </c>
      <c r="AB652" s="4">
        <v>0</v>
      </c>
      <c r="AC652" s="73">
        <v>46225</v>
      </c>
      <c r="AD652" s="73">
        <v>46225</v>
      </c>
      <c r="AE652" s="73"/>
      <c r="AF652" s="73">
        <v>46225</v>
      </c>
      <c r="AG652" s="3">
        <v>-3000</v>
      </c>
      <c r="AH652" s="353" t="str">
        <f t="shared" si="57"/>
        <v/>
      </c>
      <c r="AI652" s="3" t="str">
        <f t="shared" si="58"/>
        <v>58</v>
      </c>
      <c r="AJ652" s="64" t="e">
        <f>VLOOKUP(T652,'GL Name'!A:B,2,0)</f>
        <v>#N/A</v>
      </c>
      <c r="AL652" s="13">
        <f t="shared" si="59"/>
        <v>0</v>
      </c>
      <c r="AM652" s="13" t="e">
        <f>VLOOKUP(I652,'Order 301-305 (เรียง)'!A:B,2,0)</f>
        <v>#N/A</v>
      </c>
      <c r="AN652" t="e">
        <f>VLOOKUP(I652,'Order 301-305 (เรียง)'!A:C,3,0)</f>
        <v>#N/A</v>
      </c>
    </row>
    <row r="653" spans="1:40" x14ac:dyDescent="0.3">
      <c r="A653" s="1" t="s">
        <v>21</v>
      </c>
      <c r="B653" s="1" t="s">
        <v>234</v>
      </c>
      <c r="C653" s="1" t="s">
        <v>64</v>
      </c>
      <c r="D653" s="1" t="s">
        <v>1626</v>
      </c>
      <c r="E653" s="1" t="s">
        <v>1627</v>
      </c>
      <c r="F653" s="1" t="s">
        <v>1633</v>
      </c>
      <c r="G653" s="1" t="s">
        <v>279</v>
      </c>
      <c r="H653" s="1" t="s">
        <v>1634</v>
      </c>
      <c r="I653" s="1" t="s">
        <v>68</v>
      </c>
      <c r="J653" s="1" t="s">
        <v>1635</v>
      </c>
      <c r="K653" s="1" t="s">
        <v>84</v>
      </c>
      <c r="L653" s="1" t="s">
        <v>86</v>
      </c>
      <c r="M653" s="1" t="s">
        <v>68</v>
      </c>
      <c r="N653" s="1" t="s">
        <v>71</v>
      </c>
      <c r="O653" s="1" t="s">
        <v>68</v>
      </c>
      <c r="P653" s="1" t="s">
        <v>72</v>
      </c>
      <c r="Q653" s="1" t="s">
        <v>1636</v>
      </c>
      <c r="R653" s="1" t="s">
        <v>1637</v>
      </c>
      <c r="S653" s="1" t="s">
        <v>68</v>
      </c>
      <c r="T653" s="1" t="s">
        <v>68</v>
      </c>
      <c r="U653" s="1" t="s">
        <v>68</v>
      </c>
      <c r="V653" s="1" t="s">
        <v>68</v>
      </c>
      <c r="W653" s="1" t="s">
        <v>68</v>
      </c>
      <c r="X653" s="1" t="s">
        <v>68</v>
      </c>
      <c r="Y653" s="73"/>
      <c r="Z653" s="2" t="s">
        <v>265</v>
      </c>
      <c r="AA653" s="3">
        <v>286800</v>
      </c>
      <c r="AB653" s="4">
        <v>45867.92</v>
      </c>
      <c r="AC653" s="73">
        <v>46225</v>
      </c>
      <c r="AD653" s="73">
        <v>46225</v>
      </c>
      <c r="AE653" s="73"/>
      <c r="AF653" s="73">
        <v>46225</v>
      </c>
      <c r="AG653" s="3">
        <v>286800</v>
      </c>
      <c r="AH653" s="353" t="str">
        <f t="shared" si="57"/>
        <v/>
      </c>
      <c r="AI653" s="3" t="str">
        <f t="shared" si="58"/>
        <v>57</v>
      </c>
      <c r="AJ653" s="64" t="e">
        <f>VLOOKUP(T653,'GL Name'!A:B,2,0)</f>
        <v>#N/A</v>
      </c>
      <c r="AL653" s="13">
        <f t="shared" si="59"/>
        <v>0.1599299860529986</v>
      </c>
      <c r="AM653" s="13" t="e">
        <f>VLOOKUP(I653,'Order 301-305 (เรียง)'!A:B,2,0)</f>
        <v>#N/A</v>
      </c>
      <c r="AN653" t="e">
        <f>VLOOKUP(I653,'Order 301-305 (เรียง)'!A:C,3,0)</f>
        <v>#N/A</v>
      </c>
    </row>
    <row r="654" spans="1:40" x14ac:dyDescent="0.3">
      <c r="A654" s="1" t="s">
        <v>62</v>
      </c>
      <c r="B654" s="1" t="s">
        <v>63</v>
      </c>
      <c r="C654" s="1" t="s">
        <v>64</v>
      </c>
      <c r="D654" s="1" t="s">
        <v>1181</v>
      </c>
      <c r="E654" s="1" t="s">
        <v>1182</v>
      </c>
      <c r="F654" s="1" t="s">
        <v>1639</v>
      </c>
      <c r="G654" s="1" t="s">
        <v>67</v>
      </c>
      <c r="H654" s="1" t="s">
        <v>287</v>
      </c>
      <c r="I654" s="1" t="s">
        <v>68</v>
      </c>
      <c r="J654" s="1" t="s">
        <v>1640</v>
      </c>
      <c r="K654" s="1" t="s">
        <v>96</v>
      </c>
      <c r="L654" s="1" t="s">
        <v>70</v>
      </c>
      <c r="M654" s="1" t="s">
        <v>68</v>
      </c>
      <c r="N654" s="1" t="s">
        <v>71</v>
      </c>
      <c r="O654" s="1" t="s">
        <v>68</v>
      </c>
      <c r="P654" s="1" t="s">
        <v>72</v>
      </c>
      <c r="Q654" s="1" t="s">
        <v>68</v>
      </c>
      <c r="R654" s="1" t="s">
        <v>68</v>
      </c>
      <c r="S654" s="1" t="s">
        <v>68</v>
      </c>
      <c r="T654" s="1" t="s">
        <v>73</v>
      </c>
      <c r="U654" s="1" t="s">
        <v>68</v>
      </c>
      <c r="V654" s="1" t="s">
        <v>68</v>
      </c>
      <c r="W654" s="1" t="s">
        <v>68</v>
      </c>
      <c r="X654" s="1" t="s">
        <v>1537</v>
      </c>
      <c r="Y654" s="73"/>
      <c r="Z654" s="2" t="s">
        <v>74</v>
      </c>
      <c r="AA654" s="3">
        <v>78</v>
      </c>
      <c r="AB654" s="4">
        <v>13245.96</v>
      </c>
      <c r="AC654" s="73">
        <v>46224</v>
      </c>
      <c r="AD654" s="73">
        <v>46226</v>
      </c>
      <c r="AE654" s="73"/>
      <c r="AF654" s="73">
        <v>46226</v>
      </c>
      <c r="AG654" s="3">
        <v>39000</v>
      </c>
      <c r="AH654" s="353" t="str">
        <f t="shared" si="57"/>
        <v/>
      </c>
      <c r="AI654" s="3" t="str">
        <f t="shared" si="58"/>
        <v>59</v>
      </c>
      <c r="AJ654" s="64" t="str">
        <f>VLOOKUP(T654,'GL Name'!A:B,2,0)</f>
        <v>ต้นทุนขาย</v>
      </c>
      <c r="AL654" s="13">
        <f t="shared" si="59"/>
        <v>169.82</v>
      </c>
      <c r="AM654" s="13" t="e">
        <f>VLOOKUP(I654,'Order 301-305 (เรียง)'!A:B,2,0)</f>
        <v>#N/A</v>
      </c>
      <c r="AN654" t="e">
        <f>VLOOKUP(I654,'Order 301-305 (เรียง)'!A:C,3,0)</f>
        <v>#N/A</v>
      </c>
    </row>
    <row r="655" spans="1:40" x14ac:dyDescent="0.3">
      <c r="A655" s="1" t="s">
        <v>62</v>
      </c>
      <c r="B655" s="1" t="s">
        <v>63</v>
      </c>
      <c r="C655" s="1" t="s">
        <v>64</v>
      </c>
      <c r="D655" s="1" t="s">
        <v>65</v>
      </c>
      <c r="E655" s="1" t="s">
        <v>66</v>
      </c>
      <c r="F655" s="1" t="s">
        <v>1641</v>
      </c>
      <c r="G655" s="1" t="s">
        <v>67</v>
      </c>
      <c r="H655" s="1" t="s">
        <v>287</v>
      </c>
      <c r="I655" s="1" t="s">
        <v>68</v>
      </c>
      <c r="J655" s="1" t="s">
        <v>1642</v>
      </c>
      <c r="K655" s="1" t="s">
        <v>96</v>
      </c>
      <c r="L655" s="1" t="s">
        <v>70</v>
      </c>
      <c r="M655" s="1" t="s">
        <v>68</v>
      </c>
      <c r="N655" s="1" t="s">
        <v>71</v>
      </c>
      <c r="O655" s="1" t="s">
        <v>68</v>
      </c>
      <c r="P655" s="1" t="s">
        <v>72</v>
      </c>
      <c r="Q655" s="1" t="s">
        <v>68</v>
      </c>
      <c r="R655" s="1" t="s">
        <v>68</v>
      </c>
      <c r="S655" s="1" t="s">
        <v>68</v>
      </c>
      <c r="T655" s="1" t="s">
        <v>73</v>
      </c>
      <c r="U655" s="1" t="s">
        <v>68</v>
      </c>
      <c r="V655" s="1" t="s">
        <v>68</v>
      </c>
      <c r="W655" s="1" t="s">
        <v>68</v>
      </c>
      <c r="X655" s="1" t="s">
        <v>1643</v>
      </c>
      <c r="Y655" s="73"/>
      <c r="Z655" s="2" t="s">
        <v>74</v>
      </c>
      <c r="AA655" s="3">
        <v>-120</v>
      </c>
      <c r="AB655" s="4">
        <v>-20378.400000000001</v>
      </c>
      <c r="AC655" s="73">
        <v>46226</v>
      </c>
      <c r="AD655" s="73">
        <v>46226</v>
      </c>
      <c r="AE655" s="73"/>
      <c r="AF655" s="73">
        <v>46226</v>
      </c>
      <c r="AG655" s="3">
        <v>-60000</v>
      </c>
      <c r="AH655" s="353" t="str">
        <f t="shared" si="57"/>
        <v/>
      </c>
      <c r="AI655" s="3" t="str">
        <f t="shared" si="58"/>
        <v>59</v>
      </c>
      <c r="AJ655" s="64" t="str">
        <f>VLOOKUP(T655,'GL Name'!A:B,2,0)</f>
        <v>ต้นทุนขาย</v>
      </c>
      <c r="AL655" s="13">
        <f t="shared" si="59"/>
        <v>169.82000000000002</v>
      </c>
      <c r="AM655" s="13" t="e">
        <f>VLOOKUP(I655,'Order 301-305 (เรียง)'!A:B,2,0)</f>
        <v>#N/A</v>
      </c>
      <c r="AN655" t="e">
        <f>VLOOKUP(I655,'Order 301-305 (เรียง)'!A:C,3,0)</f>
        <v>#N/A</v>
      </c>
    </row>
    <row r="656" spans="1:40" x14ac:dyDescent="0.3">
      <c r="A656" s="1" t="s">
        <v>106</v>
      </c>
      <c r="B656" s="1" t="s">
        <v>107</v>
      </c>
      <c r="C656" s="1" t="s">
        <v>64</v>
      </c>
      <c r="D656" s="1" t="s">
        <v>93</v>
      </c>
      <c r="E656" s="1" t="s">
        <v>94</v>
      </c>
      <c r="F656" s="1" t="s">
        <v>1644</v>
      </c>
      <c r="G656" s="1" t="s">
        <v>101</v>
      </c>
      <c r="H656" s="1" t="s">
        <v>220</v>
      </c>
      <c r="I656" s="1" t="s">
        <v>68</v>
      </c>
      <c r="J656" s="1" t="s">
        <v>1645</v>
      </c>
      <c r="K656" s="1" t="s">
        <v>223</v>
      </c>
      <c r="L656" s="1" t="s">
        <v>70</v>
      </c>
      <c r="M656" s="1" t="s">
        <v>68</v>
      </c>
      <c r="N656" s="1" t="s">
        <v>71</v>
      </c>
      <c r="O656" s="1" t="s">
        <v>68</v>
      </c>
      <c r="P656" s="1" t="s">
        <v>72</v>
      </c>
      <c r="Q656" s="1" t="s">
        <v>68</v>
      </c>
      <c r="R656" s="1" t="s">
        <v>68</v>
      </c>
      <c r="S656" s="1" t="s">
        <v>68</v>
      </c>
      <c r="T656" s="1" t="s">
        <v>68</v>
      </c>
      <c r="U656" s="1" t="s">
        <v>68</v>
      </c>
      <c r="V656" s="1" t="s">
        <v>68</v>
      </c>
      <c r="W656" s="1" t="s">
        <v>68</v>
      </c>
      <c r="X656" s="1" t="s">
        <v>68</v>
      </c>
      <c r="Y656" s="73"/>
      <c r="Z656" s="2" t="s">
        <v>102</v>
      </c>
      <c r="AA656" s="3">
        <v>-20000</v>
      </c>
      <c r="AB656" s="4">
        <v>0</v>
      </c>
      <c r="AC656" s="73">
        <v>46226</v>
      </c>
      <c r="AD656" s="73">
        <v>46226</v>
      </c>
      <c r="AE656" s="73"/>
      <c r="AF656" s="73">
        <v>46226</v>
      </c>
      <c r="AG656" s="3">
        <v>-20000</v>
      </c>
      <c r="AH656" s="353" t="str">
        <f t="shared" si="57"/>
        <v/>
      </c>
      <c r="AI656" s="3" t="str">
        <f t="shared" si="58"/>
        <v>58</v>
      </c>
      <c r="AJ656" s="64" t="e">
        <f>VLOOKUP(T656,'GL Name'!A:B,2,0)</f>
        <v>#N/A</v>
      </c>
      <c r="AL656" s="13">
        <f t="shared" si="59"/>
        <v>0</v>
      </c>
      <c r="AM656" s="13" t="e">
        <f>VLOOKUP(I656,'Order 301-305 (เรียง)'!A:B,2,0)</f>
        <v>#N/A</v>
      </c>
      <c r="AN656" t="e">
        <f>VLOOKUP(I656,'Order 301-305 (เรียง)'!A:C,3,0)</f>
        <v>#N/A</v>
      </c>
    </row>
    <row r="657" spans="1:40" x14ac:dyDescent="0.3">
      <c r="A657" s="1" t="s">
        <v>106</v>
      </c>
      <c r="B657" s="1" t="s">
        <v>107</v>
      </c>
      <c r="C657" s="1" t="s">
        <v>64</v>
      </c>
      <c r="D657" s="1" t="s">
        <v>93</v>
      </c>
      <c r="E657" s="1" t="s">
        <v>94</v>
      </c>
      <c r="F657" s="1" t="s">
        <v>1644</v>
      </c>
      <c r="G657" s="1" t="s">
        <v>103</v>
      </c>
      <c r="H657" s="1" t="s">
        <v>220</v>
      </c>
      <c r="I657" s="1" t="s">
        <v>68</v>
      </c>
      <c r="J657" s="1" t="s">
        <v>1645</v>
      </c>
      <c r="K657" s="1" t="s">
        <v>223</v>
      </c>
      <c r="L657" s="1" t="s">
        <v>86</v>
      </c>
      <c r="M657" s="1" t="s">
        <v>68</v>
      </c>
      <c r="N657" s="1" t="s">
        <v>71</v>
      </c>
      <c r="O657" s="1" t="s">
        <v>68</v>
      </c>
      <c r="P657" s="1" t="s">
        <v>72</v>
      </c>
      <c r="Q657" s="1" t="s">
        <v>68</v>
      </c>
      <c r="R657" s="1" t="s">
        <v>68</v>
      </c>
      <c r="S657" s="1" t="s">
        <v>68</v>
      </c>
      <c r="T657" s="1" t="s">
        <v>68</v>
      </c>
      <c r="U657" s="1" t="s">
        <v>68</v>
      </c>
      <c r="V657" s="1" t="s">
        <v>68</v>
      </c>
      <c r="W657" s="1" t="s">
        <v>68</v>
      </c>
      <c r="X657" s="1" t="s">
        <v>68</v>
      </c>
      <c r="Y657" s="73"/>
      <c r="Z657" s="2" t="s">
        <v>102</v>
      </c>
      <c r="AA657" s="3">
        <v>20000</v>
      </c>
      <c r="AB657" s="4">
        <v>0</v>
      </c>
      <c r="AC657" s="73">
        <v>46226</v>
      </c>
      <c r="AD657" s="73">
        <v>46226</v>
      </c>
      <c r="AE657" s="73"/>
      <c r="AF657" s="73">
        <v>46226</v>
      </c>
      <c r="AG657" s="3">
        <v>20000</v>
      </c>
      <c r="AH657" s="353" t="str">
        <f t="shared" si="57"/>
        <v/>
      </c>
      <c r="AI657" s="3" t="str">
        <f t="shared" si="58"/>
        <v>58</v>
      </c>
      <c r="AJ657" s="64" t="e">
        <f>VLOOKUP(T657,'GL Name'!A:B,2,0)</f>
        <v>#N/A</v>
      </c>
      <c r="AL657" s="13">
        <f t="shared" si="59"/>
        <v>0</v>
      </c>
      <c r="AM657" s="13" t="e">
        <f>VLOOKUP(I657,'Order 301-305 (เรียง)'!A:B,2,0)</f>
        <v>#N/A</v>
      </c>
      <c r="AN657" t="e">
        <f>VLOOKUP(I657,'Order 301-305 (เรียง)'!A:C,3,0)</f>
        <v>#N/A</v>
      </c>
    </row>
    <row r="658" spans="1:40" x14ac:dyDescent="0.3">
      <c r="A658" s="1" t="s">
        <v>119</v>
      </c>
      <c r="B658" s="1" t="s">
        <v>120</v>
      </c>
      <c r="C658" s="1" t="s">
        <v>64</v>
      </c>
      <c r="D658" s="1" t="s">
        <v>93</v>
      </c>
      <c r="E658" s="1" t="s">
        <v>94</v>
      </c>
      <c r="F658" s="1" t="s">
        <v>1644</v>
      </c>
      <c r="G658" s="1" t="s">
        <v>103</v>
      </c>
      <c r="H658" s="1" t="s">
        <v>772</v>
      </c>
      <c r="I658" s="1" t="s">
        <v>68</v>
      </c>
      <c r="J658" s="1" t="s">
        <v>1645</v>
      </c>
      <c r="K658" s="1" t="s">
        <v>223</v>
      </c>
      <c r="L658" s="1" t="s">
        <v>89</v>
      </c>
      <c r="M658" s="1" t="s">
        <v>68</v>
      </c>
      <c r="N658" s="1" t="s">
        <v>71</v>
      </c>
      <c r="O658" s="1" t="s">
        <v>68</v>
      </c>
      <c r="P658" s="1" t="s">
        <v>72</v>
      </c>
      <c r="Q658" s="1" t="s">
        <v>68</v>
      </c>
      <c r="R658" s="1" t="s">
        <v>68</v>
      </c>
      <c r="S658" s="1" t="s">
        <v>68</v>
      </c>
      <c r="T658" s="1" t="s">
        <v>68</v>
      </c>
      <c r="U658" s="1" t="s">
        <v>68</v>
      </c>
      <c r="V658" s="1" t="s">
        <v>68</v>
      </c>
      <c r="W658" s="1" t="s">
        <v>68</v>
      </c>
      <c r="X658" s="1" t="s">
        <v>68</v>
      </c>
      <c r="Y658" s="73"/>
      <c r="Z658" s="2" t="s">
        <v>102</v>
      </c>
      <c r="AA658" s="3">
        <v>36000</v>
      </c>
      <c r="AB658" s="4">
        <v>0</v>
      </c>
      <c r="AC658" s="73">
        <v>46226</v>
      </c>
      <c r="AD658" s="73">
        <v>46226</v>
      </c>
      <c r="AE658" s="73"/>
      <c r="AF658" s="73">
        <v>46226</v>
      </c>
      <c r="AG658" s="3">
        <v>36000</v>
      </c>
      <c r="AH658" s="353" t="str">
        <f t="shared" si="57"/>
        <v/>
      </c>
      <c r="AI658" s="3" t="str">
        <f t="shared" si="58"/>
        <v>58</v>
      </c>
      <c r="AJ658" s="64" t="e">
        <f>VLOOKUP(T658,'GL Name'!A:B,2,0)</f>
        <v>#N/A</v>
      </c>
      <c r="AL658" s="13">
        <f t="shared" si="59"/>
        <v>0</v>
      </c>
      <c r="AM658" s="13" t="e">
        <f>VLOOKUP(I658,'Order 301-305 (เรียง)'!A:B,2,0)</f>
        <v>#N/A</v>
      </c>
      <c r="AN658" t="e">
        <f>VLOOKUP(I658,'Order 301-305 (เรียง)'!A:C,3,0)</f>
        <v>#N/A</v>
      </c>
    </row>
    <row r="659" spans="1:40" x14ac:dyDescent="0.3">
      <c r="A659" s="1" t="s">
        <v>119</v>
      </c>
      <c r="B659" s="1" t="s">
        <v>120</v>
      </c>
      <c r="C659" s="1" t="s">
        <v>64</v>
      </c>
      <c r="D659" s="1" t="s">
        <v>93</v>
      </c>
      <c r="E659" s="1" t="s">
        <v>94</v>
      </c>
      <c r="F659" s="1" t="s">
        <v>1644</v>
      </c>
      <c r="G659" s="1" t="s">
        <v>101</v>
      </c>
      <c r="H659" s="1" t="s">
        <v>772</v>
      </c>
      <c r="I659" s="1" t="s">
        <v>68</v>
      </c>
      <c r="J659" s="1" t="s">
        <v>1645</v>
      </c>
      <c r="K659" s="1" t="s">
        <v>223</v>
      </c>
      <c r="L659" s="1" t="s">
        <v>92</v>
      </c>
      <c r="M659" s="1" t="s">
        <v>68</v>
      </c>
      <c r="N659" s="1" t="s">
        <v>71</v>
      </c>
      <c r="O659" s="1" t="s">
        <v>68</v>
      </c>
      <c r="P659" s="1" t="s">
        <v>72</v>
      </c>
      <c r="Q659" s="1" t="s">
        <v>68</v>
      </c>
      <c r="R659" s="1" t="s">
        <v>68</v>
      </c>
      <c r="S659" s="1" t="s">
        <v>68</v>
      </c>
      <c r="T659" s="1" t="s">
        <v>68</v>
      </c>
      <c r="U659" s="1" t="s">
        <v>68</v>
      </c>
      <c r="V659" s="1" t="s">
        <v>68</v>
      </c>
      <c r="W659" s="1" t="s">
        <v>68</v>
      </c>
      <c r="X659" s="1" t="s">
        <v>68</v>
      </c>
      <c r="Y659" s="73"/>
      <c r="Z659" s="2" t="s">
        <v>102</v>
      </c>
      <c r="AA659" s="3">
        <v>-36000</v>
      </c>
      <c r="AB659" s="4">
        <v>0</v>
      </c>
      <c r="AC659" s="73">
        <v>46226</v>
      </c>
      <c r="AD659" s="73">
        <v>46226</v>
      </c>
      <c r="AE659" s="73"/>
      <c r="AF659" s="73">
        <v>46226</v>
      </c>
      <c r="AG659" s="3">
        <v>-36000</v>
      </c>
      <c r="AH659" s="353" t="str">
        <f t="shared" si="57"/>
        <v/>
      </c>
      <c r="AI659" s="3" t="str">
        <f t="shared" si="58"/>
        <v>58</v>
      </c>
      <c r="AJ659" s="64" t="e">
        <f>VLOOKUP(T659,'GL Name'!A:B,2,0)</f>
        <v>#N/A</v>
      </c>
      <c r="AL659" s="13">
        <f t="shared" si="59"/>
        <v>0</v>
      </c>
      <c r="AM659" s="13" t="e">
        <f>VLOOKUP(I659,'Order 301-305 (เรียง)'!A:B,2,0)</f>
        <v>#N/A</v>
      </c>
      <c r="AN659" t="e">
        <f>VLOOKUP(I659,'Order 301-305 (เรียง)'!A:C,3,0)</f>
        <v>#N/A</v>
      </c>
    </row>
    <row r="660" spans="1:40" x14ac:dyDescent="0.3">
      <c r="A660" s="1" t="s">
        <v>121</v>
      </c>
      <c r="B660" s="1" t="s">
        <v>122</v>
      </c>
      <c r="C660" s="1" t="s">
        <v>64</v>
      </c>
      <c r="D660" s="1" t="s">
        <v>93</v>
      </c>
      <c r="E660" s="1" t="s">
        <v>94</v>
      </c>
      <c r="F660" s="1" t="s">
        <v>1644</v>
      </c>
      <c r="G660" s="1" t="s">
        <v>103</v>
      </c>
      <c r="H660" s="1" t="s">
        <v>1076</v>
      </c>
      <c r="I660" s="1" t="s">
        <v>68</v>
      </c>
      <c r="J660" s="1" t="s">
        <v>1645</v>
      </c>
      <c r="K660" s="1" t="s">
        <v>223</v>
      </c>
      <c r="L660" s="1" t="s">
        <v>111</v>
      </c>
      <c r="M660" s="1" t="s">
        <v>68</v>
      </c>
      <c r="N660" s="1" t="s">
        <v>71</v>
      </c>
      <c r="O660" s="1" t="s">
        <v>68</v>
      </c>
      <c r="P660" s="1" t="s">
        <v>72</v>
      </c>
      <c r="Q660" s="1" t="s">
        <v>68</v>
      </c>
      <c r="R660" s="1" t="s">
        <v>68</v>
      </c>
      <c r="S660" s="1" t="s">
        <v>68</v>
      </c>
      <c r="T660" s="1" t="s">
        <v>68</v>
      </c>
      <c r="U660" s="1" t="s">
        <v>68</v>
      </c>
      <c r="V660" s="1" t="s">
        <v>68</v>
      </c>
      <c r="W660" s="1" t="s">
        <v>68</v>
      </c>
      <c r="X660" s="1" t="s">
        <v>68</v>
      </c>
      <c r="Y660" s="73"/>
      <c r="Z660" s="2" t="s">
        <v>102</v>
      </c>
      <c r="AA660" s="3">
        <v>3000</v>
      </c>
      <c r="AB660" s="4">
        <v>0</v>
      </c>
      <c r="AC660" s="73">
        <v>46226</v>
      </c>
      <c r="AD660" s="73">
        <v>46226</v>
      </c>
      <c r="AE660" s="73"/>
      <c r="AF660" s="73">
        <v>46226</v>
      </c>
      <c r="AG660" s="3">
        <v>3000</v>
      </c>
      <c r="AH660" s="353" t="str">
        <f t="shared" si="57"/>
        <v/>
      </c>
      <c r="AI660" s="3" t="str">
        <f t="shared" si="58"/>
        <v>58</v>
      </c>
      <c r="AJ660" s="64" t="e">
        <f>VLOOKUP(T660,'GL Name'!A:B,2,0)</f>
        <v>#N/A</v>
      </c>
      <c r="AL660" s="13">
        <f t="shared" si="59"/>
        <v>0</v>
      </c>
      <c r="AM660" s="13" t="e">
        <f>VLOOKUP(I660,'Order 301-305 (เรียง)'!A:B,2,0)</f>
        <v>#N/A</v>
      </c>
      <c r="AN660" t="e">
        <f>VLOOKUP(I660,'Order 301-305 (เรียง)'!A:C,3,0)</f>
        <v>#N/A</v>
      </c>
    </row>
    <row r="661" spans="1:40" x14ac:dyDescent="0.3">
      <c r="A661" s="1" t="s">
        <v>121</v>
      </c>
      <c r="B661" s="1" t="s">
        <v>122</v>
      </c>
      <c r="C661" s="1" t="s">
        <v>64</v>
      </c>
      <c r="D661" s="1" t="s">
        <v>93</v>
      </c>
      <c r="E661" s="1" t="s">
        <v>94</v>
      </c>
      <c r="F661" s="1" t="s">
        <v>1644</v>
      </c>
      <c r="G661" s="1" t="s">
        <v>101</v>
      </c>
      <c r="H661" s="1" t="s">
        <v>1076</v>
      </c>
      <c r="I661" s="1" t="s">
        <v>68</v>
      </c>
      <c r="J661" s="1" t="s">
        <v>1645</v>
      </c>
      <c r="K661" s="1" t="s">
        <v>223</v>
      </c>
      <c r="L661" s="1" t="s">
        <v>95</v>
      </c>
      <c r="M661" s="1" t="s">
        <v>68</v>
      </c>
      <c r="N661" s="1" t="s">
        <v>71</v>
      </c>
      <c r="O661" s="1" t="s">
        <v>68</v>
      </c>
      <c r="P661" s="1" t="s">
        <v>72</v>
      </c>
      <c r="Q661" s="1" t="s">
        <v>68</v>
      </c>
      <c r="R661" s="1" t="s">
        <v>68</v>
      </c>
      <c r="S661" s="1" t="s">
        <v>68</v>
      </c>
      <c r="T661" s="1" t="s">
        <v>68</v>
      </c>
      <c r="U661" s="1" t="s">
        <v>68</v>
      </c>
      <c r="V661" s="1" t="s">
        <v>68</v>
      </c>
      <c r="W661" s="1" t="s">
        <v>68</v>
      </c>
      <c r="X661" s="1" t="s">
        <v>68</v>
      </c>
      <c r="Y661" s="73"/>
      <c r="Z661" s="2" t="s">
        <v>102</v>
      </c>
      <c r="AA661" s="3">
        <v>-3000</v>
      </c>
      <c r="AB661" s="4">
        <v>0</v>
      </c>
      <c r="AC661" s="73">
        <v>46226</v>
      </c>
      <c r="AD661" s="73">
        <v>46226</v>
      </c>
      <c r="AE661" s="73"/>
      <c r="AF661" s="73">
        <v>46226</v>
      </c>
      <c r="AG661" s="3">
        <v>-3000</v>
      </c>
      <c r="AH661" s="353" t="str">
        <f t="shared" si="57"/>
        <v/>
      </c>
      <c r="AI661" s="3" t="str">
        <f t="shared" si="58"/>
        <v>58</v>
      </c>
      <c r="AJ661" s="64" t="e">
        <f>VLOOKUP(T661,'GL Name'!A:B,2,0)</f>
        <v>#N/A</v>
      </c>
      <c r="AL661" s="13">
        <f t="shared" si="59"/>
        <v>0</v>
      </c>
      <c r="AM661" s="13" t="e">
        <f>VLOOKUP(I661,'Order 301-305 (เรียง)'!A:B,2,0)</f>
        <v>#N/A</v>
      </c>
      <c r="AN661" t="e">
        <f>VLOOKUP(I661,'Order 301-305 (เรียง)'!A:C,3,0)</f>
        <v>#N/A</v>
      </c>
    </row>
    <row r="662" spans="1:40" x14ac:dyDescent="0.3">
      <c r="A662" s="1" t="s">
        <v>62</v>
      </c>
      <c r="B662" s="1" t="s">
        <v>63</v>
      </c>
      <c r="C662" s="1" t="s">
        <v>64</v>
      </c>
      <c r="D662" s="1" t="s">
        <v>65</v>
      </c>
      <c r="E662" s="1" t="s">
        <v>66</v>
      </c>
      <c r="F662" s="1" t="s">
        <v>1646</v>
      </c>
      <c r="G662" s="1" t="s">
        <v>67</v>
      </c>
      <c r="H662" s="1" t="s">
        <v>287</v>
      </c>
      <c r="I662" s="1" t="s">
        <v>68</v>
      </c>
      <c r="J662" s="1" t="s">
        <v>808</v>
      </c>
      <c r="K662" s="1" t="s">
        <v>96</v>
      </c>
      <c r="L662" s="1" t="s">
        <v>70</v>
      </c>
      <c r="M662" s="1" t="s">
        <v>68</v>
      </c>
      <c r="N662" s="1" t="s">
        <v>71</v>
      </c>
      <c r="O662" s="1" t="s">
        <v>68</v>
      </c>
      <c r="P662" s="1" t="s">
        <v>72</v>
      </c>
      <c r="Q662" s="1" t="s">
        <v>68</v>
      </c>
      <c r="R662" s="1" t="s">
        <v>68</v>
      </c>
      <c r="S662" s="1" t="s">
        <v>68</v>
      </c>
      <c r="T662" s="1" t="s">
        <v>73</v>
      </c>
      <c r="U662" s="1" t="s">
        <v>68</v>
      </c>
      <c r="V662" s="1" t="s">
        <v>68</v>
      </c>
      <c r="W662" s="1" t="s">
        <v>68</v>
      </c>
      <c r="X662" s="1" t="s">
        <v>1647</v>
      </c>
      <c r="Y662" s="73"/>
      <c r="Z662" s="2" t="s">
        <v>74</v>
      </c>
      <c r="AA662" s="3">
        <v>-2</v>
      </c>
      <c r="AB662" s="4">
        <v>-339.64</v>
      </c>
      <c r="AC662" s="73">
        <v>46226</v>
      </c>
      <c r="AD662" s="73">
        <v>46226</v>
      </c>
      <c r="AE662" s="73"/>
      <c r="AF662" s="73">
        <v>46226</v>
      </c>
      <c r="AG662" s="3">
        <v>-1000</v>
      </c>
      <c r="AH662" s="353" t="str">
        <f t="shared" si="57"/>
        <v/>
      </c>
      <c r="AI662" s="3" t="str">
        <f t="shared" si="58"/>
        <v>59</v>
      </c>
      <c r="AJ662" s="64" t="str">
        <f>VLOOKUP(T662,'GL Name'!A:B,2,0)</f>
        <v>ต้นทุนขาย</v>
      </c>
      <c r="AL662" s="13">
        <f t="shared" si="59"/>
        <v>169.82</v>
      </c>
      <c r="AM662" s="13" t="e">
        <f>VLOOKUP(I662,'Order 301-305 (เรียง)'!A:B,2,0)</f>
        <v>#N/A</v>
      </c>
      <c r="AN662" t="e">
        <f>VLOOKUP(I662,'Order 301-305 (เรียง)'!A:C,3,0)</f>
        <v>#N/A</v>
      </c>
    </row>
    <row r="663" spans="1:40" x14ac:dyDescent="0.3">
      <c r="A663" s="1" t="s">
        <v>81</v>
      </c>
      <c r="B663" s="1" t="s">
        <v>82</v>
      </c>
      <c r="C663" s="1" t="s">
        <v>64</v>
      </c>
      <c r="D663" s="1" t="s">
        <v>65</v>
      </c>
      <c r="E663" s="1" t="s">
        <v>66</v>
      </c>
      <c r="F663" s="1" t="s">
        <v>1648</v>
      </c>
      <c r="G663" s="1" t="s">
        <v>83</v>
      </c>
      <c r="H663" s="1" t="s">
        <v>1262</v>
      </c>
      <c r="I663" s="1" t="s">
        <v>68</v>
      </c>
      <c r="J663" s="1" t="s">
        <v>1649</v>
      </c>
      <c r="K663" s="1" t="s">
        <v>118</v>
      </c>
      <c r="L663" s="1" t="s">
        <v>70</v>
      </c>
      <c r="M663" s="1" t="s">
        <v>68</v>
      </c>
      <c r="N663" s="1" t="s">
        <v>71</v>
      </c>
      <c r="O663" s="1" t="s">
        <v>68</v>
      </c>
      <c r="P663" s="1" t="s">
        <v>72</v>
      </c>
      <c r="Q663" s="1" t="s">
        <v>68</v>
      </c>
      <c r="R663" s="1" t="s">
        <v>68</v>
      </c>
      <c r="S663" s="1" t="s">
        <v>68</v>
      </c>
      <c r="T663" s="1" t="s">
        <v>73</v>
      </c>
      <c r="U663" s="1" t="s">
        <v>68</v>
      </c>
      <c r="V663" s="1" t="s">
        <v>68</v>
      </c>
      <c r="W663" s="1" t="s">
        <v>68</v>
      </c>
      <c r="X663" s="1" t="s">
        <v>1650</v>
      </c>
      <c r="Y663" s="73"/>
      <c r="Z663" s="2" t="s">
        <v>85</v>
      </c>
      <c r="AA663" s="3">
        <v>-1324</v>
      </c>
      <c r="AB663" s="4">
        <v>-1349367.84</v>
      </c>
      <c r="AC663" s="73">
        <v>46226</v>
      </c>
      <c r="AD663" s="73">
        <v>46226</v>
      </c>
      <c r="AE663" s="73"/>
      <c r="AF663" s="73">
        <v>46226</v>
      </c>
      <c r="AG663" s="3">
        <v>-3972000</v>
      </c>
      <c r="AH663" s="353" t="str">
        <f t="shared" si="57"/>
        <v/>
      </c>
      <c r="AI663" s="3" t="str">
        <f t="shared" si="58"/>
        <v>59</v>
      </c>
      <c r="AJ663" s="64" t="str">
        <f>VLOOKUP(T663,'GL Name'!A:B,2,0)</f>
        <v>ต้นทุนขาย</v>
      </c>
      <c r="AL663" s="13">
        <f t="shared" si="59"/>
        <v>1019.1600000000001</v>
      </c>
      <c r="AM663" s="13" t="e">
        <f>VLOOKUP(I663,'Order 301-305 (เรียง)'!A:B,2,0)</f>
        <v>#N/A</v>
      </c>
      <c r="AN663" t="e">
        <f>VLOOKUP(I663,'Order 301-305 (เรียง)'!A:C,3,0)</f>
        <v>#N/A</v>
      </c>
    </row>
    <row r="664" spans="1:40" x14ac:dyDescent="0.3">
      <c r="A664" s="1" t="s">
        <v>81</v>
      </c>
      <c r="B664" s="1" t="s">
        <v>82</v>
      </c>
      <c r="C664" s="1" t="s">
        <v>64</v>
      </c>
      <c r="D664" s="1" t="s">
        <v>65</v>
      </c>
      <c r="E664" s="1" t="s">
        <v>66</v>
      </c>
      <c r="F664" s="1" t="s">
        <v>1648</v>
      </c>
      <c r="G664" s="1" t="s">
        <v>83</v>
      </c>
      <c r="H664" s="1" t="s">
        <v>1271</v>
      </c>
      <c r="I664" s="1" t="s">
        <v>68</v>
      </c>
      <c r="J664" s="1" t="s">
        <v>1649</v>
      </c>
      <c r="K664" s="1" t="s">
        <v>118</v>
      </c>
      <c r="L664" s="1" t="s">
        <v>86</v>
      </c>
      <c r="M664" s="1" t="s">
        <v>68</v>
      </c>
      <c r="N664" s="1" t="s">
        <v>71</v>
      </c>
      <c r="O664" s="1" t="s">
        <v>68</v>
      </c>
      <c r="P664" s="1" t="s">
        <v>72</v>
      </c>
      <c r="Q664" s="1" t="s">
        <v>68</v>
      </c>
      <c r="R664" s="1" t="s">
        <v>68</v>
      </c>
      <c r="S664" s="1" t="s">
        <v>68</v>
      </c>
      <c r="T664" s="1" t="s">
        <v>73</v>
      </c>
      <c r="U664" s="1" t="s">
        <v>68</v>
      </c>
      <c r="V664" s="1" t="s">
        <v>68</v>
      </c>
      <c r="W664" s="1" t="s">
        <v>68</v>
      </c>
      <c r="X664" s="1" t="s">
        <v>1650</v>
      </c>
      <c r="Y664" s="73"/>
      <c r="Z664" s="2" t="s">
        <v>85</v>
      </c>
      <c r="AA664" s="3">
        <v>-1556</v>
      </c>
      <c r="AB664" s="4">
        <v>-1585812.96</v>
      </c>
      <c r="AC664" s="73">
        <v>46226</v>
      </c>
      <c r="AD664" s="73">
        <v>46226</v>
      </c>
      <c r="AE664" s="73"/>
      <c r="AF664" s="73">
        <v>46226</v>
      </c>
      <c r="AG664" s="3">
        <v>-4668000</v>
      </c>
      <c r="AH664" s="353" t="str">
        <f t="shared" si="57"/>
        <v/>
      </c>
      <c r="AI664" s="3" t="str">
        <f t="shared" si="58"/>
        <v>59</v>
      </c>
      <c r="AJ664" s="64" t="str">
        <f>VLOOKUP(T664,'GL Name'!A:B,2,0)</f>
        <v>ต้นทุนขาย</v>
      </c>
      <c r="AL664" s="13">
        <f t="shared" si="59"/>
        <v>1019.16</v>
      </c>
      <c r="AM664" s="13" t="e">
        <f>VLOOKUP(I664,'Order 301-305 (เรียง)'!A:B,2,0)</f>
        <v>#N/A</v>
      </c>
      <c r="AN664" t="e">
        <f>VLOOKUP(I664,'Order 301-305 (เรียง)'!A:C,3,0)</f>
        <v>#N/A</v>
      </c>
    </row>
    <row r="665" spans="1:40" x14ac:dyDescent="0.3">
      <c r="A665" s="1" t="s">
        <v>81</v>
      </c>
      <c r="B665" s="1" t="s">
        <v>82</v>
      </c>
      <c r="C665" s="1" t="s">
        <v>64</v>
      </c>
      <c r="D665" s="1" t="s">
        <v>87</v>
      </c>
      <c r="E665" s="1" t="s">
        <v>88</v>
      </c>
      <c r="F665" s="1" t="s">
        <v>1651</v>
      </c>
      <c r="G665" s="1" t="s">
        <v>83</v>
      </c>
      <c r="H665" s="1" t="s">
        <v>1262</v>
      </c>
      <c r="I665" s="1" t="s">
        <v>68</v>
      </c>
      <c r="J665" s="1" t="s">
        <v>1652</v>
      </c>
      <c r="K665" s="1" t="s">
        <v>118</v>
      </c>
      <c r="L665" s="1" t="s">
        <v>70</v>
      </c>
      <c r="M665" s="1" t="s">
        <v>68</v>
      </c>
      <c r="N665" s="1" t="s">
        <v>71</v>
      </c>
      <c r="O665" s="1" t="s">
        <v>68</v>
      </c>
      <c r="P665" s="1" t="s">
        <v>1653</v>
      </c>
      <c r="Q665" s="1" t="s">
        <v>68</v>
      </c>
      <c r="R665" s="1" t="s">
        <v>308</v>
      </c>
      <c r="S665" s="1" t="s">
        <v>90</v>
      </c>
      <c r="T665" s="1" t="s">
        <v>91</v>
      </c>
      <c r="U665" s="1" t="s">
        <v>68</v>
      </c>
      <c r="V665" s="1" t="s">
        <v>68</v>
      </c>
      <c r="W665" s="1" t="s">
        <v>68</v>
      </c>
      <c r="X665" s="1" t="s">
        <v>68</v>
      </c>
      <c r="Y665" s="73"/>
      <c r="Z665" s="2" t="s">
        <v>74</v>
      </c>
      <c r="AA665" s="3">
        <v>-2</v>
      </c>
      <c r="AB665" s="4">
        <v>-339.72</v>
      </c>
      <c r="AC665" s="73">
        <v>46228</v>
      </c>
      <c r="AD665" s="73">
        <v>46228</v>
      </c>
      <c r="AE665" s="73"/>
      <c r="AF665" s="73">
        <v>46226</v>
      </c>
      <c r="AG665" s="3">
        <v>-1000</v>
      </c>
      <c r="AH665" s="353" t="str">
        <f t="shared" si="57"/>
        <v/>
      </c>
      <c r="AI665" s="3" t="str">
        <f t="shared" si="58"/>
        <v>59</v>
      </c>
      <c r="AJ665" s="64" t="str">
        <f>VLOOKUP(T665,'GL Name'!A:B,2,0)</f>
        <v>ค่าวิจัยคุณภาพสินค้า</v>
      </c>
      <c r="AL665" s="13">
        <f t="shared" si="59"/>
        <v>169.86</v>
      </c>
      <c r="AM665" s="13" t="e">
        <f>VLOOKUP(I665,'Order 301-305 (เรียง)'!A:B,2,0)</f>
        <v>#N/A</v>
      </c>
      <c r="AN665" t="e">
        <f>VLOOKUP(I665,'Order 301-305 (เรียง)'!A:C,3,0)</f>
        <v>#N/A</v>
      </c>
    </row>
    <row r="666" spans="1:40" x14ac:dyDescent="0.3">
      <c r="A666" s="1" t="s">
        <v>81</v>
      </c>
      <c r="B666" s="1" t="s">
        <v>82</v>
      </c>
      <c r="C666" s="1" t="s">
        <v>64</v>
      </c>
      <c r="D666" s="1" t="s">
        <v>87</v>
      </c>
      <c r="E666" s="1" t="s">
        <v>88</v>
      </c>
      <c r="F666" s="1" t="s">
        <v>1654</v>
      </c>
      <c r="G666" s="1" t="s">
        <v>83</v>
      </c>
      <c r="H666" s="1" t="s">
        <v>1262</v>
      </c>
      <c r="I666" s="1" t="s">
        <v>68</v>
      </c>
      <c r="J666" s="1" t="s">
        <v>1655</v>
      </c>
      <c r="K666" s="1" t="s">
        <v>223</v>
      </c>
      <c r="L666" s="1" t="s">
        <v>70</v>
      </c>
      <c r="M666" s="1" t="s">
        <v>68</v>
      </c>
      <c r="N666" s="1" t="s">
        <v>71</v>
      </c>
      <c r="O666" s="1" t="s">
        <v>68</v>
      </c>
      <c r="P666" s="1" t="s">
        <v>1656</v>
      </c>
      <c r="Q666" s="1" t="s">
        <v>68</v>
      </c>
      <c r="R666" s="1" t="s">
        <v>1657</v>
      </c>
      <c r="S666" s="1" t="s">
        <v>90</v>
      </c>
      <c r="T666" s="1" t="s">
        <v>91</v>
      </c>
      <c r="U666" s="1" t="s">
        <v>68</v>
      </c>
      <c r="V666" s="1" t="s">
        <v>68</v>
      </c>
      <c r="W666" s="1" t="s">
        <v>68</v>
      </c>
      <c r="X666" s="1" t="s">
        <v>68</v>
      </c>
      <c r="Y666" s="73"/>
      <c r="Z666" s="2" t="s">
        <v>74</v>
      </c>
      <c r="AA666" s="3">
        <v>-1</v>
      </c>
      <c r="AB666" s="4">
        <v>-169.86</v>
      </c>
      <c r="AC666" s="73">
        <v>46226</v>
      </c>
      <c r="AD666" s="73">
        <v>46226</v>
      </c>
      <c r="AE666" s="73"/>
      <c r="AF666" s="73">
        <v>46226</v>
      </c>
      <c r="AG666" s="3">
        <v>-500</v>
      </c>
      <c r="AH666" s="353" t="str">
        <f t="shared" si="57"/>
        <v/>
      </c>
      <c r="AI666" s="3" t="str">
        <f t="shared" si="58"/>
        <v>59</v>
      </c>
      <c r="AJ666" s="64" t="str">
        <f>VLOOKUP(T666,'GL Name'!A:B,2,0)</f>
        <v>ค่าวิจัยคุณภาพสินค้า</v>
      </c>
      <c r="AL666" s="13">
        <f t="shared" si="59"/>
        <v>169.86</v>
      </c>
      <c r="AM666" s="13" t="e">
        <f>VLOOKUP(I666,'Order 301-305 (เรียง)'!A:B,2,0)</f>
        <v>#N/A</v>
      </c>
      <c r="AN666" t="e">
        <f>VLOOKUP(I666,'Order 301-305 (เรียง)'!A:C,3,0)</f>
        <v>#N/A</v>
      </c>
    </row>
    <row r="667" spans="1:40" x14ac:dyDescent="0.3">
      <c r="A667" s="1" t="s">
        <v>81</v>
      </c>
      <c r="B667" s="1" t="s">
        <v>82</v>
      </c>
      <c r="C667" s="1" t="s">
        <v>64</v>
      </c>
      <c r="D667" s="1" t="s">
        <v>87</v>
      </c>
      <c r="E667" s="1" t="s">
        <v>88</v>
      </c>
      <c r="F667" s="1" t="s">
        <v>1658</v>
      </c>
      <c r="G667" s="1" t="s">
        <v>83</v>
      </c>
      <c r="H667" s="1" t="s">
        <v>1262</v>
      </c>
      <c r="I667" s="1" t="s">
        <v>68</v>
      </c>
      <c r="J667" s="1" t="s">
        <v>1659</v>
      </c>
      <c r="K667" s="1" t="s">
        <v>223</v>
      </c>
      <c r="L667" s="1" t="s">
        <v>70</v>
      </c>
      <c r="M667" s="1" t="s">
        <v>68</v>
      </c>
      <c r="N667" s="1" t="s">
        <v>71</v>
      </c>
      <c r="O667" s="1" t="s">
        <v>68</v>
      </c>
      <c r="P667" s="1" t="s">
        <v>1660</v>
      </c>
      <c r="Q667" s="1" t="s">
        <v>68</v>
      </c>
      <c r="R667" s="1" t="s">
        <v>1661</v>
      </c>
      <c r="S667" s="1" t="s">
        <v>90</v>
      </c>
      <c r="T667" s="1" t="s">
        <v>91</v>
      </c>
      <c r="U667" s="1" t="s">
        <v>68</v>
      </c>
      <c r="V667" s="1" t="s">
        <v>68</v>
      </c>
      <c r="W667" s="1" t="s">
        <v>68</v>
      </c>
      <c r="X667" s="1" t="s">
        <v>68</v>
      </c>
      <c r="Y667" s="73"/>
      <c r="Z667" s="2" t="s">
        <v>74</v>
      </c>
      <c r="AA667" s="3">
        <v>-2</v>
      </c>
      <c r="AB667" s="4">
        <v>-339.72</v>
      </c>
      <c r="AC667" s="73">
        <v>46226</v>
      </c>
      <c r="AD667" s="73">
        <v>46226</v>
      </c>
      <c r="AE667" s="73"/>
      <c r="AF667" s="73">
        <v>46226</v>
      </c>
      <c r="AG667" s="3">
        <v>-1000</v>
      </c>
      <c r="AH667" s="353" t="str">
        <f t="shared" ref="AH667:AH671" si="60">LEFT(I667,3)</f>
        <v/>
      </c>
      <c r="AI667" s="3" t="str">
        <f t="shared" ref="AI667:AI671" si="61">LEFT(A667,2)</f>
        <v>59</v>
      </c>
      <c r="AJ667" s="64" t="str">
        <f>VLOOKUP(T667,'GL Name'!A:B,2,0)</f>
        <v>ค่าวิจัยคุณภาพสินค้า</v>
      </c>
      <c r="AL667" s="13">
        <f t="shared" ref="AL667:AL671" si="62">AB667/AA667</f>
        <v>169.86</v>
      </c>
      <c r="AM667" s="13" t="e">
        <f>VLOOKUP(I667,'Order 301-305 (เรียง)'!A:B,2,0)</f>
        <v>#N/A</v>
      </c>
      <c r="AN667" t="e">
        <f>VLOOKUP(I667,'Order 301-305 (เรียง)'!A:C,3,0)</f>
        <v>#N/A</v>
      </c>
    </row>
    <row r="668" spans="1:40" x14ac:dyDescent="0.3">
      <c r="A668" s="1" t="s">
        <v>81</v>
      </c>
      <c r="B668" s="1" t="s">
        <v>82</v>
      </c>
      <c r="C668" s="1" t="s">
        <v>64</v>
      </c>
      <c r="D668" s="1" t="s">
        <v>87</v>
      </c>
      <c r="E668" s="1" t="s">
        <v>88</v>
      </c>
      <c r="F668" s="1" t="s">
        <v>1662</v>
      </c>
      <c r="G668" s="1" t="s">
        <v>83</v>
      </c>
      <c r="H668" s="1" t="s">
        <v>1271</v>
      </c>
      <c r="I668" s="1" t="s">
        <v>68</v>
      </c>
      <c r="J668" s="1" t="s">
        <v>1663</v>
      </c>
      <c r="K668" s="1" t="s">
        <v>223</v>
      </c>
      <c r="L668" s="1" t="s">
        <v>86</v>
      </c>
      <c r="M668" s="1" t="s">
        <v>68</v>
      </c>
      <c r="N668" s="1" t="s">
        <v>71</v>
      </c>
      <c r="O668" s="1" t="s">
        <v>68</v>
      </c>
      <c r="P668" s="1" t="s">
        <v>1664</v>
      </c>
      <c r="Q668" s="1" t="s">
        <v>68</v>
      </c>
      <c r="R668" s="1" t="s">
        <v>1666</v>
      </c>
      <c r="S668" s="1" t="s">
        <v>90</v>
      </c>
      <c r="T668" s="1" t="s">
        <v>91</v>
      </c>
      <c r="U668" s="1" t="s">
        <v>68</v>
      </c>
      <c r="V668" s="1" t="s">
        <v>68</v>
      </c>
      <c r="W668" s="1" t="s">
        <v>68</v>
      </c>
      <c r="X668" s="1" t="s">
        <v>68</v>
      </c>
      <c r="Y668" s="73"/>
      <c r="Z668" s="2" t="s">
        <v>74</v>
      </c>
      <c r="AA668" s="3">
        <v>-6</v>
      </c>
      <c r="AB668" s="4">
        <v>-1019.16</v>
      </c>
      <c r="AC668" s="73">
        <v>46226</v>
      </c>
      <c r="AD668" s="73">
        <v>46226</v>
      </c>
      <c r="AE668" s="73"/>
      <c r="AF668" s="73">
        <v>46226</v>
      </c>
      <c r="AG668" s="3">
        <v>-3000</v>
      </c>
      <c r="AH668" s="353" t="str">
        <f t="shared" si="60"/>
        <v/>
      </c>
      <c r="AI668" s="3" t="str">
        <f t="shared" si="61"/>
        <v>59</v>
      </c>
      <c r="AJ668" s="64" t="str">
        <f>VLOOKUP(T668,'GL Name'!A:B,2,0)</f>
        <v>ค่าวิจัยคุณภาพสินค้า</v>
      </c>
      <c r="AL668" s="13">
        <f t="shared" si="62"/>
        <v>169.85999999999999</v>
      </c>
      <c r="AM668" s="13" t="e">
        <f>VLOOKUP(I668,'Order 301-305 (เรียง)'!A:B,2,0)</f>
        <v>#N/A</v>
      </c>
      <c r="AN668" t="e">
        <f>VLOOKUP(I668,'Order 301-305 (เรียง)'!A:C,3,0)</f>
        <v>#N/A</v>
      </c>
    </row>
    <row r="669" spans="1:40" x14ac:dyDescent="0.3">
      <c r="A669" s="1" t="s">
        <v>81</v>
      </c>
      <c r="B669" s="1" t="s">
        <v>82</v>
      </c>
      <c r="C669" s="1" t="s">
        <v>64</v>
      </c>
      <c r="D669" s="1" t="s">
        <v>87</v>
      </c>
      <c r="E669" s="1" t="s">
        <v>88</v>
      </c>
      <c r="F669" s="1" t="s">
        <v>1662</v>
      </c>
      <c r="G669" s="1" t="s">
        <v>83</v>
      </c>
      <c r="H669" s="1" t="s">
        <v>1271</v>
      </c>
      <c r="I669" s="1" t="s">
        <v>68</v>
      </c>
      <c r="J669" s="1" t="s">
        <v>1663</v>
      </c>
      <c r="K669" s="1" t="s">
        <v>223</v>
      </c>
      <c r="L669" s="1" t="s">
        <v>70</v>
      </c>
      <c r="M669" s="1" t="s">
        <v>68</v>
      </c>
      <c r="N669" s="1" t="s">
        <v>71</v>
      </c>
      <c r="O669" s="1" t="s">
        <v>68</v>
      </c>
      <c r="P669" s="1" t="s">
        <v>1664</v>
      </c>
      <c r="Q669" s="1" t="s">
        <v>68</v>
      </c>
      <c r="R669" s="1" t="s">
        <v>1665</v>
      </c>
      <c r="S669" s="1" t="s">
        <v>90</v>
      </c>
      <c r="T669" s="1" t="s">
        <v>91</v>
      </c>
      <c r="U669" s="1" t="s">
        <v>68</v>
      </c>
      <c r="V669" s="1" t="s">
        <v>68</v>
      </c>
      <c r="W669" s="1" t="s">
        <v>68</v>
      </c>
      <c r="X669" s="1" t="s">
        <v>68</v>
      </c>
      <c r="Y669" s="73"/>
      <c r="Z669" s="2" t="s">
        <v>74</v>
      </c>
      <c r="AA669" s="3">
        <v>-6</v>
      </c>
      <c r="AB669" s="4">
        <v>-1019.16</v>
      </c>
      <c r="AC669" s="73">
        <v>46226</v>
      </c>
      <c r="AD669" s="73">
        <v>46226</v>
      </c>
      <c r="AE669" s="73"/>
      <c r="AF669" s="73">
        <v>46226</v>
      </c>
      <c r="AG669" s="3">
        <v>-3000</v>
      </c>
      <c r="AH669" s="353" t="str">
        <f t="shared" si="60"/>
        <v/>
      </c>
      <c r="AI669" s="3" t="str">
        <f t="shared" si="61"/>
        <v>59</v>
      </c>
      <c r="AJ669" s="64" t="str">
        <f>VLOOKUP(T669,'GL Name'!A:B,2,0)</f>
        <v>ค่าวิจัยคุณภาพสินค้า</v>
      </c>
      <c r="AL669" s="13">
        <f t="shared" si="62"/>
        <v>169.85999999999999</v>
      </c>
      <c r="AM669" s="13" t="e">
        <f>VLOOKUP(I669,'Order 301-305 (เรียง)'!A:B,2,0)</f>
        <v>#N/A</v>
      </c>
      <c r="AN669" t="e">
        <f>VLOOKUP(I669,'Order 301-305 (เรียง)'!A:C,3,0)</f>
        <v>#N/A</v>
      </c>
    </row>
    <row r="670" spans="1:40" x14ac:dyDescent="0.3">
      <c r="A670" s="1" t="s">
        <v>81</v>
      </c>
      <c r="B670" s="1" t="s">
        <v>82</v>
      </c>
      <c r="C670" s="1" t="s">
        <v>64</v>
      </c>
      <c r="D670" s="1" t="s">
        <v>87</v>
      </c>
      <c r="E670" s="1" t="s">
        <v>88</v>
      </c>
      <c r="F670" s="1" t="s">
        <v>1667</v>
      </c>
      <c r="G670" s="1" t="s">
        <v>83</v>
      </c>
      <c r="H670" s="1" t="s">
        <v>1271</v>
      </c>
      <c r="I670" s="1" t="s">
        <v>68</v>
      </c>
      <c r="J670" s="1" t="s">
        <v>1668</v>
      </c>
      <c r="K670" s="1" t="s">
        <v>223</v>
      </c>
      <c r="L670" s="1" t="s">
        <v>86</v>
      </c>
      <c r="M670" s="1" t="s">
        <v>68</v>
      </c>
      <c r="N670" s="1" t="s">
        <v>71</v>
      </c>
      <c r="O670" s="1" t="s">
        <v>68</v>
      </c>
      <c r="P670" s="1" t="s">
        <v>1669</v>
      </c>
      <c r="Q670" s="1" t="s">
        <v>68</v>
      </c>
      <c r="R670" s="1" t="s">
        <v>1671</v>
      </c>
      <c r="S670" s="1" t="s">
        <v>90</v>
      </c>
      <c r="T670" s="1" t="s">
        <v>91</v>
      </c>
      <c r="U670" s="1" t="s">
        <v>68</v>
      </c>
      <c r="V670" s="1" t="s">
        <v>68</v>
      </c>
      <c r="W670" s="1" t="s">
        <v>68</v>
      </c>
      <c r="X670" s="1" t="s">
        <v>68</v>
      </c>
      <c r="Y670" s="73"/>
      <c r="Z670" s="2" t="s">
        <v>74</v>
      </c>
      <c r="AA670" s="3">
        <v>-6</v>
      </c>
      <c r="AB670" s="4">
        <v>-1019.16</v>
      </c>
      <c r="AC670" s="73">
        <v>46226</v>
      </c>
      <c r="AD670" s="73">
        <v>46226</v>
      </c>
      <c r="AE670" s="73"/>
      <c r="AF670" s="73">
        <v>46226</v>
      </c>
      <c r="AG670" s="3">
        <v>-3000</v>
      </c>
      <c r="AH670" s="353" t="str">
        <f t="shared" si="60"/>
        <v/>
      </c>
      <c r="AI670" s="3" t="str">
        <f t="shared" si="61"/>
        <v>59</v>
      </c>
      <c r="AJ670" s="64" t="str">
        <f>VLOOKUP(T670,'GL Name'!A:B,2,0)</f>
        <v>ค่าวิจัยคุณภาพสินค้า</v>
      </c>
      <c r="AL670" s="13">
        <f t="shared" si="62"/>
        <v>169.85999999999999</v>
      </c>
      <c r="AM670" s="13" t="e">
        <f>VLOOKUP(I670,'Order 301-305 (เรียง)'!A:B,2,0)</f>
        <v>#N/A</v>
      </c>
      <c r="AN670" t="e">
        <f>VLOOKUP(I670,'Order 301-305 (เรียง)'!A:C,3,0)</f>
        <v>#N/A</v>
      </c>
    </row>
    <row r="671" spans="1:40" x14ac:dyDescent="0.3">
      <c r="A671" s="1" t="s">
        <v>81</v>
      </c>
      <c r="B671" s="1" t="s">
        <v>82</v>
      </c>
      <c r="C671" s="1" t="s">
        <v>64</v>
      </c>
      <c r="D671" s="1" t="s">
        <v>87</v>
      </c>
      <c r="E671" s="1" t="s">
        <v>88</v>
      </c>
      <c r="F671" s="1" t="s">
        <v>1667</v>
      </c>
      <c r="G671" s="1" t="s">
        <v>83</v>
      </c>
      <c r="H671" s="1" t="s">
        <v>1271</v>
      </c>
      <c r="I671" s="1" t="s">
        <v>68</v>
      </c>
      <c r="J671" s="1" t="s">
        <v>1668</v>
      </c>
      <c r="K671" s="1" t="s">
        <v>223</v>
      </c>
      <c r="L671" s="1" t="s">
        <v>70</v>
      </c>
      <c r="M671" s="1" t="s">
        <v>68</v>
      </c>
      <c r="N671" s="1" t="s">
        <v>71</v>
      </c>
      <c r="O671" s="1" t="s">
        <v>68</v>
      </c>
      <c r="P671" s="1" t="s">
        <v>1669</v>
      </c>
      <c r="Q671" s="1" t="s">
        <v>68</v>
      </c>
      <c r="R671" s="1" t="s">
        <v>1670</v>
      </c>
      <c r="S671" s="1" t="s">
        <v>90</v>
      </c>
      <c r="T671" s="1" t="s">
        <v>91</v>
      </c>
      <c r="U671" s="1" t="s">
        <v>68</v>
      </c>
      <c r="V671" s="1" t="s">
        <v>68</v>
      </c>
      <c r="W671" s="1" t="s">
        <v>68</v>
      </c>
      <c r="X671" s="1" t="s">
        <v>68</v>
      </c>
      <c r="Y671" s="73"/>
      <c r="Z671" s="2" t="s">
        <v>74</v>
      </c>
      <c r="AA671" s="3">
        <v>-6</v>
      </c>
      <c r="AB671" s="4">
        <v>-1019.16</v>
      </c>
      <c r="AC671" s="73">
        <v>46226</v>
      </c>
      <c r="AD671" s="73">
        <v>46226</v>
      </c>
      <c r="AE671" s="73"/>
      <c r="AF671" s="73">
        <v>46226</v>
      </c>
      <c r="AG671" s="3">
        <v>-3000</v>
      </c>
      <c r="AH671" s="353" t="str">
        <f t="shared" si="60"/>
        <v/>
      </c>
      <c r="AI671" s="3" t="str">
        <f t="shared" si="61"/>
        <v>59</v>
      </c>
      <c r="AJ671" s="64" t="str">
        <f>VLOOKUP(T671,'GL Name'!A:B,2,0)</f>
        <v>ค่าวิจัยคุณภาพสินค้า</v>
      </c>
      <c r="AL671" s="13">
        <f t="shared" si="62"/>
        <v>169.85999999999999</v>
      </c>
      <c r="AM671" s="13" t="e">
        <f>VLOOKUP(I671,'Order 301-305 (เรียง)'!A:B,2,0)</f>
        <v>#N/A</v>
      </c>
      <c r="AN671" t="e">
        <f>VLOOKUP(I671,'Order 301-305 (เรียง)'!A:C,3,0)</f>
        <v>#N/A</v>
      </c>
    </row>
    <row r="672" spans="1:40" x14ac:dyDescent="0.3">
      <c r="A672" s="1" t="s">
        <v>81</v>
      </c>
      <c r="B672" s="1" t="s">
        <v>82</v>
      </c>
      <c r="C672" s="1" t="s">
        <v>64</v>
      </c>
      <c r="D672" s="1" t="s">
        <v>87</v>
      </c>
      <c r="E672" s="1" t="s">
        <v>88</v>
      </c>
      <c r="F672" s="1" t="s">
        <v>1672</v>
      </c>
      <c r="G672" s="1" t="s">
        <v>83</v>
      </c>
      <c r="H672" s="1" t="s">
        <v>1271</v>
      </c>
      <c r="I672" s="1" t="s">
        <v>68</v>
      </c>
      <c r="J672" s="1" t="s">
        <v>1673</v>
      </c>
      <c r="K672" s="1" t="s">
        <v>223</v>
      </c>
      <c r="L672" s="1" t="s">
        <v>86</v>
      </c>
      <c r="M672" s="1" t="s">
        <v>68</v>
      </c>
      <c r="N672" s="1" t="s">
        <v>71</v>
      </c>
      <c r="O672" s="1" t="s">
        <v>68</v>
      </c>
      <c r="P672" s="1" t="s">
        <v>1674</v>
      </c>
      <c r="Q672" s="1" t="s">
        <v>68</v>
      </c>
      <c r="R672" s="1" t="s">
        <v>1676</v>
      </c>
      <c r="S672" s="1" t="s">
        <v>90</v>
      </c>
      <c r="T672" s="1" t="s">
        <v>91</v>
      </c>
      <c r="U672" s="1" t="s">
        <v>68</v>
      </c>
      <c r="V672" s="1" t="s">
        <v>68</v>
      </c>
      <c r="W672" s="1" t="s">
        <v>68</v>
      </c>
      <c r="X672" s="1" t="s">
        <v>68</v>
      </c>
      <c r="Y672" s="73"/>
      <c r="Z672" s="2" t="s">
        <v>74</v>
      </c>
      <c r="AA672" s="3">
        <v>-6</v>
      </c>
      <c r="AB672" s="4">
        <v>-1019.16</v>
      </c>
      <c r="AC672" s="73">
        <v>46226</v>
      </c>
      <c r="AD672" s="73">
        <v>46226</v>
      </c>
      <c r="AE672" s="73"/>
      <c r="AF672" s="73">
        <v>46226</v>
      </c>
      <c r="AG672" s="3">
        <v>-3000</v>
      </c>
      <c r="AH672" s="353" t="str">
        <f t="shared" ref="AH672:AH674" si="63">LEFT(I672,3)</f>
        <v/>
      </c>
      <c r="AI672" s="3" t="str">
        <f t="shared" ref="AI672:AI674" si="64">LEFT(A672,2)</f>
        <v>59</v>
      </c>
      <c r="AJ672" s="64" t="str">
        <f>VLOOKUP(T672,'GL Name'!A:B,2,0)</f>
        <v>ค่าวิจัยคุณภาพสินค้า</v>
      </c>
      <c r="AL672" s="13">
        <f t="shared" ref="AL672:AL674" si="65">AB672/AA672</f>
        <v>169.85999999999999</v>
      </c>
      <c r="AM672" s="13" t="e">
        <f>VLOOKUP(I672,'Order 301-305 (เรียง)'!A:B,2,0)</f>
        <v>#N/A</v>
      </c>
      <c r="AN672" t="e">
        <f>VLOOKUP(I672,'Order 301-305 (เรียง)'!A:C,3,0)</f>
        <v>#N/A</v>
      </c>
    </row>
    <row r="673" spans="1:40" x14ac:dyDescent="0.3">
      <c r="A673" s="1" t="s">
        <v>81</v>
      </c>
      <c r="B673" s="1" t="s">
        <v>82</v>
      </c>
      <c r="C673" s="1" t="s">
        <v>64</v>
      </c>
      <c r="D673" s="1" t="s">
        <v>87</v>
      </c>
      <c r="E673" s="1" t="s">
        <v>88</v>
      </c>
      <c r="F673" s="1" t="s">
        <v>1672</v>
      </c>
      <c r="G673" s="1" t="s">
        <v>83</v>
      </c>
      <c r="H673" s="1" t="s">
        <v>1271</v>
      </c>
      <c r="I673" s="1" t="s">
        <v>68</v>
      </c>
      <c r="J673" s="1" t="s">
        <v>1673</v>
      </c>
      <c r="K673" s="1" t="s">
        <v>223</v>
      </c>
      <c r="L673" s="1" t="s">
        <v>70</v>
      </c>
      <c r="M673" s="1" t="s">
        <v>68</v>
      </c>
      <c r="N673" s="1" t="s">
        <v>71</v>
      </c>
      <c r="O673" s="1" t="s">
        <v>68</v>
      </c>
      <c r="P673" s="1" t="s">
        <v>1674</v>
      </c>
      <c r="Q673" s="1" t="s">
        <v>68</v>
      </c>
      <c r="R673" s="1" t="s">
        <v>1675</v>
      </c>
      <c r="S673" s="1" t="s">
        <v>90</v>
      </c>
      <c r="T673" s="1" t="s">
        <v>91</v>
      </c>
      <c r="U673" s="1" t="s">
        <v>68</v>
      </c>
      <c r="V673" s="1" t="s">
        <v>68</v>
      </c>
      <c r="W673" s="1" t="s">
        <v>68</v>
      </c>
      <c r="X673" s="1" t="s">
        <v>68</v>
      </c>
      <c r="Y673" s="73"/>
      <c r="Z673" s="2" t="s">
        <v>74</v>
      </c>
      <c r="AA673" s="3">
        <v>-6</v>
      </c>
      <c r="AB673" s="4">
        <v>-1019.16</v>
      </c>
      <c r="AC673" s="73">
        <v>46226</v>
      </c>
      <c r="AD673" s="73">
        <v>46226</v>
      </c>
      <c r="AE673" s="73"/>
      <c r="AF673" s="73">
        <v>46226</v>
      </c>
      <c r="AG673" s="3">
        <v>-3000</v>
      </c>
      <c r="AH673" s="353" t="str">
        <f t="shared" si="63"/>
        <v/>
      </c>
      <c r="AI673" s="3" t="str">
        <f t="shared" si="64"/>
        <v>59</v>
      </c>
      <c r="AJ673" s="64" t="str">
        <f>VLOOKUP(T673,'GL Name'!A:B,2,0)</f>
        <v>ค่าวิจัยคุณภาพสินค้า</v>
      </c>
      <c r="AL673" s="13">
        <f t="shared" si="65"/>
        <v>169.85999999999999</v>
      </c>
      <c r="AM673" s="13" t="e">
        <f>VLOOKUP(I673,'Order 301-305 (เรียง)'!A:B,2,0)</f>
        <v>#N/A</v>
      </c>
      <c r="AN673" t="e">
        <f>VLOOKUP(I673,'Order 301-305 (เรียง)'!A:C,3,0)</f>
        <v>#N/A</v>
      </c>
    </row>
    <row r="674" spans="1:40" x14ac:dyDescent="0.3">
      <c r="A674" s="1" t="s">
        <v>119</v>
      </c>
      <c r="B674" s="1" t="s">
        <v>120</v>
      </c>
      <c r="C674" s="1" t="s">
        <v>64</v>
      </c>
      <c r="D674" s="1" t="s">
        <v>93</v>
      </c>
      <c r="E674" s="1" t="s">
        <v>94</v>
      </c>
      <c r="F674" s="1" t="s">
        <v>1677</v>
      </c>
      <c r="G674" s="1" t="s">
        <v>103</v>
      </c>
      <c r="H674" s="1" t="s">
        <v>772</v>
      </c>
      <c r="I674" s="1" t="s">
        <v>68</v>
      </c>
      <c r="J674" s="1" t="s">
        <v>1678</v>
      </c>
      <c r="K674" s="1" t="s">
        <v>223</v>
      </c>
      <c r="L674" s="1" t="s">
        <v>89</v>
      </c>
      <c r="M674" s="1" t="s">
        <v>68</v>
      </c>
      <c r="N674" s="1" t="s">
        <v>71</v>
      </c>
      <c r="O674" s="1" t="s">
        <v>68</v>
      </c>
      <c r="P674" s="1" t="s">
        <v>72</v>
      </c>
      <c r="Q674" s="1" t="s">
        <v>68</v>
      </c>
      <c r="R674" s="1" t="s">
        <v>68</v>
      </c>
      <c r="S674" s="1" t="s">
        <v>68</v>
      </c>
      <c r="T674" s="1" t="s">
        <v>68</v>
      </c>
      <c r="U674" s="1" t="s">
        <v>68</v>
      </c>
      <c r="V674" s="1" t="s">
        <v>68</v>
      </c>
      <c r="W674" s="1" t="s">
        <v>68</v>
      </c>
      <c r="X674" s="1" t="s">
        <v>68</v>
      </c>
      <c r="Y674" s="73"/>
      <c r="Z674" s="2" t="s">
        <v>102</v>
      </c>
      <c r="AA674" s="3">
        <v>36000</v>
      </c>
      <c r="AB674" s="4">
        <v>0</v>
      </c>
      <c r="AC674" s="73">
        <v>46227</v>
      </c>
      <c r="AD674" s="73">
        <v>46227</v>
      </c>
      <c r="AE674" s="73"/>
      <c r="AF674" s="73">
        <v>46227</v>
      </c>
      <c r="AG674" s="3">
        <v>36000</v>
      </c>
      <c r="AH674" s="353" t="str">
        <f t="shared" si="63"/>
        <v/>
      </c>
      <c r="AI674" s="3" t="str">
        <f t="shared" si="64"/>
        <v>58</v>
      </c>
      <c r="AJ674" s="64" t="e">
        <f>VLOOKUP(T674,'GL Name'!A:B,2,0)</f>
        <v>#N/A</v>
      </c>
      <c r="AL674" s="13">
        <f t="shared" si="65"/>
        <v>0</v>
      </c>
      <c r="AM674" s="13" t="e">
        <f>VLOOKUP(I674,'Order 301-305 (เรียง)'!A:B,2,0)</f>
        <v>#N/A</v>
      </c>
      <c r="AN674" t="e">
        <f>VLOOKUP(I674,'Order 301-305 (เรียง)'!A:C,3,0)</f>
        <v>#N/A</v>
      </c>
    </row>
    <row r="675" spans="1:40" x14ac:dyDescent="0.3">
      <c r="A675" s="1" t="s">
        <v>119</v>
      </c>
      <c r="B675" s="1" t="s">
        <v>120</v>
      </c>
      <c r="C675" s="1" t="s">
        <v>64</v>
      </c>
      <c r="D675" s="1" t="s">
        <v>93</v>
      </c>
      <c r="E675" s="1" t="s">
        <v>94</v>
      </c>
      <c r="F675" s="1" t="s">
        <v>1677</v>
      </c>
      <c r="G675" s="1" t="s">
        <v>101</v>
      </c>
      <c r="H675" s="1" t="s">
        <v>772</v>
      </c>
      <c r="I675" s="1" t="s">
        <v>68</v>
      </c>
      <c r="J675" s="1" t="s">
        <v>1678</v>
      </c>
      <c r="K675" s="1" t="s">
        <v>223</v>
      </c>
      <c r="L675" s="1" t="s">
        <v>92</v>
      </c>
      <c r="M675" s="1" t="s">
        <v>68</v>
      </c>
      <c r="N675" s="1" t="s">
        <v>71</v>
      </c>
      <c r="O675" s="1" t="s">
        <v>68</v>
      </c>
      <c r="P675" s="1" t="s">
        <v>72</v>
      </c>
      <c r="Q675" s="1" t="s">
        <v>68</v>
      </c>
      <c r="R675" s="1" t="s">
        <v>68</v>
      </c>
      <c r="S675" s="1" t="s">
        <v>68</v>
      </c>
      <c r="T675" s="1" t="s">
        <v>68</v>
      </c>
      <c r="U675" s="1" t="s">
        <v>68</v>
      </c>
      <c r="V675" s="1" t="s">
        <v>68</v>
      </c>
      <c r="W675" s="1" t="s">
        <v>68</v>
      </c>
      <c r="X675" s="1" t="s">
        <v>68</v>
      </c>
      <c r="Y675" s="73"/>
      <c r="Z675" s="2" t="s">
        <v>102</v>
      </c>
      <c r="AA675" s="3">
        <v>-36000</v>
      </c>
      <c r="AB675" s="4">
        <v>0</v>
      </c>
      <c r="AC675" s="73">
        <v>46227</v>
      </c>
      <c r="AD675" s="73">
        <v>46227</v>
      </c>
      <c r="AE675" s="73"/>
      <c r="AF675" s="73">
        <v>46227</v>
      </c>
      <c r="AG675" s="3">
        <v>-36000</v>
      </c>
      <c r="AH675" s="353" t="str">
        <f t="shared" ref="AH675:AH681" si="66">LEFT(I675,3)</f>
        <v/>
      </c>
      <c r="AI675" s="3" t="str">
        <f t="shared" ref="AI675:AI681" si="67">LEFT(A675,2)</f>
        <v>58</v>
      </c>
      <c r="AJ675" s="64" t="e">
        <f>VLOOKUP(T675,'GL Name'!A:B,2,0)</f>
        <v>#N/A</v>
      </c>
      <c r="AL675" s="13">
        <f t="shared" ref="AL675:AL681" si="68">AB675/AA675</f>
        <v>0</v>
      </c>
      <c r="AM675" s="13" t="e">
        <f>VLOOKUP(I675,'Order 301-305 (เรียง)'!A:B,2,0)</f>
        <v>#N/A</v>
      </c>
      <c r="AN675" t="e">
        <f>VLOOKUP(I675,'Order 301-305 (เรียง)'!A:C,3,0)</f>
        <v>#N/A</v>
      </c>
    </row>
    <row r="676" spans="1:40" x14ac:dyDescent="0.3">
      <c r="A676" s="1" t="s">
        <v>121</v>
      </c>
      <c r="B676" s="1" t="s">
        <v>122</v>
      </c>
      <c r="C676" s="1" t="s">
        <v>64</v>
      </c>
      <c r="D676" s="1" t="s">
        <v>93</v>
      </c>
      <c r="E676" s="1" t="s">
        <v>94</v>
      </c>
      <c r="F676" s="1" t="s">
        <v>1677</v>
      </c>
      <c r="G676" s="1" t="s">
        <v>103</v>
      </c>
      <c r="H676" s="1" t="s">
        <v>1076</v>
      </c>
      <c r="I676" s="1" t="s">
        <v>68</v>
      </c>
      <c r="J676" s="1" t="s">
        <v>1678</v>
      </c>
      <c r="K676" s="1" t="s">
        <v>223</v>
      </c>
      <c r="L676" s="1" t="s">
        <v>86</v>
      </c>
      <c r="M676" s="1" t="s">
        <v>68</v>
      </c>
      <c r="N676" s="1" t="s">
        <v>71</v>
      </c>
      <c r="O676" s="1" t="s">
        <v>68</v>
      </c>
      <c r="P676" s="1" t="s">
        <v>72</v>
      </c>
      <c r="Q676" s="1" t="s">
        <v>68</v>
      </c>
      <c r="R676" s="1" t="s">
        <v>68</v>
      </c>
      <c r="S676" s="1" t="s">
        <v>68</v>
      </c>
      <c r="T676" s="1" t="s">
        <v>68</v>
      </c>
      <c r="U676" s="1" t="s">
        <v>68</v>
      </c>
      <c r="V676" s="1" t="s">
        <v>68</v>
      </c>
      <c r="W676" s="1" t="s">
        <v>68</v>
      </c>
      <c r="X676" s="1" t="s">
        <v>68</v>
      </c>
      <c r="Y676" s="73"/>
      <c r="Z676" s="2" t="s">
        <v>102</v>
      </c>
      <c r="AA676" s="3">
        <v>3000</v>
      </c>
      <c r="AB676" s="4">
        <v>0</v>
      </c>
      <c r="AC676" s="73">
        <v>46227</v>
      </c>
      <c r="AD676" s="73">
        <v>46227</v>
      </c>
      <c r="AE676" s="73"/>
      <c r="AF676" s="73">
        <v>46227</v>
      </c>
      <c r="AG676" s="3">
        <v>3000</v>
      </c>
      <c r="AH676" s="353" t="str">
        <f t="shared" si="66"/>
        <v/>
      </c>
      <c r="AI676" s="3" t="str">
        <f t="shared" si="67"/>
        <v>58</v>
      </c>
      <c r="AJ676" s="64" t="e">
        <f>VLOOKUP(T676,'GL Name'!A:B,2,0)</f>
        <v>#N/A</v>
      </c>
      <c r="AL676" s="13">
        <f t="shared" si="68"/>
        <v>0</v>
      </c>
      <c r="AM676" s="13" t="e">
        <f>VLOOKUP(I676,'Order 301-305 (เรียง)'!A:B,2,0)</f>
        <v>#N/A</v>
      </c>
      <c r="AN676" t="e">
        <f>VLOOKUP(I676,'Order 301-305 (เรียง)'!A:C,3,0)</f>
        <v>#N/A</v>
      </c>
    </row>
    <row r="677" spans="1:40" x14ac:dyDescent="0.3">
      <c r="A677" s="1" t="s">
        <v>121</v>
      </c>
      <c r="B677" s="1" t="s">
        <v>122</v>
      </c>
      <c r="C677" s="1" t="s">
        <v>64</v>
      </c>
      <c r="D677" s="1" t="s">
        <v>93</v>
      </c>
      <c r="E677" s="1" t="s">
        <v>94</v>
      </c>
      <c r="F677" s="1" t="s">
        <v>1677</v>
      </c>
      <c r="G677" s="1" t="s">
        <v>101</v>
      </c>
      <c r="H677" s="1" t="s">
        <v>1076</v>
      </c>
      <c r="I677" s="1" t="s">
        <v>68</v>
      </c>
      <c r="J677" s="1" t="s">
        <v>1678</v>
      </c>
      <c r="K677" s="1" t="s">
        <v>223</v>
      </c>
      <c r="L677" s="1" t="s">
        <v>70</v>
      </c>
      <c r="M677" s="1" t="s">
        <v>68</v>
      </c>
      <c r="N677" s="1" t="s">
        <v>71</v>
      </c>
      <c r="O677" s="1" t="s">
        <v>68</v>
      </c>
      <c r="P677" s="1" t="s">
        <v>72</v>
      </c>
      <c r="Q677" s="1" t="s">
        <v>68</v>
      </c>
      <c r="R677" s="1" t="s">
        <v>68</v>
      </c>
      <c r="S677" s="1" t="s">
        <v>68</v>
      </c>
      <c r="T677" s="1" t="s">
        <v>68</v>
      </c>
      <c r="U677" s="1" t="s">
        <v>68</v>
      </c>
      <c r="V677" s="1" t="s">
        <v>68</v>
      </c>
      <c r="W677" s="1" t="s">
        <v>68</v>
      </c>
      <c r="X677" s="1" t="s">
        <v>68</v>
      </c>
      <c r="Y677" s="73"/>
      <c r="Z677" s="2" t="s">
        <v>102</v>
      </c>
      <c r="AA677" s="3">
        <v>-3000</v>
      </c>
      <c r="AB677" s="4">
        <v>0</v>
      </c>
      <c r="AC677" s="73">
        <v>46227</v>
      </c>
      <c r="AD677" s="73">
        <v>46227</v>
      </c>
      <c r="AE677" s="73"/>
      <c r="AF677" s="73">
        <v>46227</v>
      </c>
      <c r="AG677" s="3">
        <v>-3000</v>
      </c>
      <c r="AH677" s="353" t="str">
        <f t="shared" si="66"/>
        <v/>
      </c>
      <c r="AI677" s="3" t="str">
        <f t="shared" si="67"/>
        <v>58</v>
      </c>
      <c r="AJ677" s="64" t="e">
        <f>VLOOKUP(T677,'GL Name'!A:B,2,0)</f>
        <v>#N/A</v>
      </c>
      <c r="AL677" s="13">
        <f t="shared" si="68"/>
        <v>0</v>
      </c>
      <c r="AM677" s="13" t="e">
        <f>VLOOKUP(I677,'Order 301-305 (เรียง)'!A:B,2,0)</f>
        <v>#N/A</v>
      </c>
      <c r="AN677" t="e">
        <f>VLOOKUP(I677,'Order 301-305 (เรียง)'!A:C,3,0)</f>
        <v>#N/A</v>
      </c>
    </row>
    <row r="678" spans="1:40" x14ac:dyDescent="0.3">
      <c r="A678" s="1" t="s">
        <v>62</v>
      </c>
      <c r="B678" s="1" t="s">
        <v>63</v>
      </c>
      <c r="C678" s="1" t="s">
        <v>64</v>
      </c>
      <c r="D678" s="1" t="s">
        <v>65</v>
      </c>
      <c r="E678" s="1" t="s">
        <v>66</v>
      </c>
      <c r="F678" s="1" t="s">
        <v>1679</v>
      </c>
      <c r="G678" s="1" t="s">
        <v>67</v>
      </c>
      <c r="H678" s="1" t="s">
        <v>287</v>
      </c>
      <c r="I678" s="1" t="s">
        <v>68</v>
      </c>
      <c r="J678" s="1" t="s">
        <v>1680</v>
      </c>
      <c r="K678" s="1" t="s">
        <v>96</v>
      </c>
      <c r="L678" s="1" t="s">
        <v>70</v>
      </c>
      <c r="M678" s="1" t="s">
        <v>68</v>
      </c>
      <c r="N678" s="1" t="s">
        <v>71</v>
      </c>
      <c r="O678" s="1" t="s">
        <v>68</v>
      </c>
      <c r="P678" s="1" t="s">
        <v>72</v>
      </c>
      <c r="Q678" s="1" t="s">
        <v>68</v>
      </c>
      <c r="R678" s="1" t="s">
        <v>68</v>
      </c>
      <c r="S678" s="1" t="s">
        <v>68</v>
      </c>
      <c r="T678" s="1" t="s">
        <v>73</v>
      </c>
      <c r="U678" s="1" t="s">
        <v>68</v>
      </c>
      <c r="V678" s="1" t="s">
        <v>68</v>
      </c>
      <c r="W678" s="1" t="s">
        <v>68</v>
      </c>
      <c r="X678" s="1" t="s">
        <v>1681</v>
      </c>
      <c r="Y678" s="73"/>
      <c r="Z678" s="2" t="s">
        <v>74</v>
      </c>
      <c r="AA678" s="3">
        <v>-6</v>
      </c>
      <c r="AB678" s="4">
        <v>-1018.92</v>
      </c>
      <c r="AC678" s="73">
        <v>46227</v>
      </c>
      <c r="AD678" s="73">
        <v>46227</v>
      </c>
      <c r="AE678" s="73"/>
      <c r="AF678" s="73">
        <v>46227</v>
      </c>
      <c r="AG678" s="3">
        <v>-3000</v>
      </c>
      <c r="AH678" s="353" t="str">
        <f t="shared" si="66"/>
        <v/>
      </c>
      <c r="AI678" s="3" t="str">
        <f t="shared" si="67"/>
        <v>59</v>
      </c>
      <c r="AJ678" s="64" t="str">
        <f>VLOOKUP(T678,'GL Name'!A:B,2,0)</f>
        <v>ต้นทุนขาย</v>
      </c>
      <c r="AL678" s="13">
        <f t="shared" si="68"/>
        <v>169.82</v>
      </c>
      <c r="AM678" s="13" t="e">
        <f>VLOOKUP(I678,'Order 301-305 (เรียง)'!A:B,2,0)</f>
        <v>#N/A</v>
      </c>
      <c r="AN678" t="e">
        <f>VLOOKUP(I678,'Order 301-305 (เรียง)'!A:C,3,0)</f>
        <v>#N/A</v>
      </c>
    </row>
    <row r="679" spans="1:40" x14ac:dyDescent="0.3">
      <c r="A679" s="1" t="s">
        <v>81</v>
      </c>
      <c r="B679" s="1" t="s">
        <v>82</v>
      </c>
      <c r="C679" s="1" t="s">
        <v>64</v>
      </c>
      <c r="D679" s="1" t="s">
        <v>65</v>
      </c>
      <c r="E679" s="1" t="s">
        <v>66</v>
      </c>
      <c r="F679" s="1" t="s">
        <v>1682</v>
      </c>
      <c r="G679" s="1" t="s">
        <v>83</v>
      </c>
      <c r="H679" s="1" t="s">
        <v>1271</v>
      </c>
      <c r="I679" s="1" t="s">
        <v>68</v>
      </c>
      <c r="J679" s="1" t="s">
        <v>519</v>
      </c>
      <c r="K679" s="1" t="s">
        <v>294</v>
      </c>
      <c r="L679" s="1" t="s">
        <v>70</v>
      </c>
      <c r="M679" s="1" t="s">
        <v>68</v>
      </c>
      <c r="N679" s="1" t="s">
        <v>71</v>
      </c>
      <c r="O679" s="1" t="s">
        <v>68</v>
      </c>
      <c r="P679" s="1" t="s">
        <v>72</v>
      </c>
      <c r="Q679" s="1" t="s">
        <v>68</v>
      </c>
      <c r="R679" s="1" t="s">
        <v>68</v>
      </c>
      <c r="S679" s="1" t="s">
        <v>68</v>
      </c>
      <c r="T679" s="1" t="s">
        <v>73</v>
      </c>
      <c r="U679" s="1" t="s">
        <v>68</v>
      </c>
      <c r="V679" s="1" t="s">
        <v>68</v>
      </c>
      <c r="W679" s="1" t="s">
        <v>68</v>
      </c>
      <c r="X679" s="1" t="s">
        <v>1683</v>
      </c>
      <c r="Y679" s="73"/>
      <c r="Z679" s="2" t="s">
        <v>85</v>
      </c>
      <c r="AA679" s="3">
        <v>-1336</v>
      </c>
      <c r="AB679" s="4">
        <v>-1361597.76</v>
      </c>
      <c r="AC679" s="73">
        <v>46227</v>
      </c>
      <c r="AD679" s="73">
        <v>46227</v>
      </c>
      <c r="AE679" s="73"/>
      <c r="AF679" s="73">
        <v>46227</v>
      </c>
      <c r="AG679" s="3">
        <v>-4008000</v>
      </c>
      <c r="AH679" s="353" t="str">
        <f t="shared" si="66"/>
        <v/>
      </c>
      <c r="AI679" s="3" t="str">
        <f t="shared" si="67"/>
        <v>59</v>
      </c>
      <c r="AJ679" s="64" t="str">
        <f>VLOOKUP(T679,'GL Name'!A:B,2,0)</f>
        <v>ต้นทุนขาย</v>
      </c>
      <c r="AL679" s="13">
        <f t="shared" si="68"/>
        <v>1019.16</v>
      </c>
      <c r="AM679" s="13" t="e">
        <f>VLOOKUP(I679,'Order 301-305 (เรียง)'!A:B,2,0)</f>
        <v>#N/A</v>
      </c>
      <c r="AN679" t="e">
        <f>VLOOKUP(I679,'Order 301-305 (เรียง)'!A:C,3,0)</f>
        <v>#N/A</v>
      </c>
    </row>
    <row r="680" spans="1:40" x14ac:dyDescent="0.3">
      <c r="A680" s="1" t="s">
        <v>81</v>
      </c>
      <c r="B680" s="1" t="s">
        <v>82</v>
      </c>
      <c r="C680" s="1" t="s">
        <v>64</v>
      </c>
      <c r="D680" s="1" t="s">
        <v>65</v>
      </c>
      <c r="E680" s="1" t="s">
        <v>66</v>
      </c>
      <c r="F680" s="1" t="s">
        <v>1682</v>
      </c>
      <c r="G680" s="1" t="s">
        <v>83</v>
      </c>
      <c r="H680" s="1" t="s">
        <v>1396</v>
      </c>
      <c r="I680" s="1" t="s">
        <v>68</v>
      </c>
      <c r="J680" s="1" t="s">
        <v>519</v>
      </c>
      <c r="K680" s="1" t="s">
        <v>294</v>
      </c>
      <c r="L680" s="1" t="s">
        <v>86</v>
      </c>
      <c r="M680" s="1" t="s">
        <v>68</v>
      </c>
      <c r="N680" s="1" t="s">
        <v>71</v>
      </c>
      <c r="O680" s="1" t="s">
        <v>68</v>
      </c>
      <c r="P680" s="1" t="s">
        <v>72</v>
      </c>
      <c r="Q680" s="1" t="s">
        <v>68</v>
      </c>
      <c r="R680" s="1" t="s">
        <v>68</v>
      </c>
      <c r="S680" s="1" t="s">
        <v>68</v>
      </c>
      <c r="T680" s="1" t="s">
        <v>73</v>
      </c>
      <c r="U680" s="1" t="s">
        <v>68</v>
      </c>
      <c r="V680" s="1" t="s">
        <v>68</v>
      </c>
      <c r="W680" s="1" t="s">
        <v>68</v>
      </c>
      <c r="X680" s="1" t="s">
        <v>1683</v>
      </c>
      <c r="Y680" s="73"/>
      <c r="Z680" s="2" t="s">
        <v>85</v>
      </c>
      <c r="AA680" s="3">
        <v>-2504</v>
      </c>
      <c r="AB680" s="4">
        <v>-2551976.64</v>
      </c>
      <c r="AC680" s="73">
        <v>46227</v>
      </c>
      <c r="AD680" s="73">
        <v>46227</v>
      </c>
      <c r="AE680" s="73"/>
      <c r="AF680" s="73">
        <v>46227</v>
      </c>
      <c r="AG680" s="3">
        <v>-7512000</v>
      </c>
      <c r="AH680" s="353" t="str">
        <f t="shared" si="66"/>
        <v/>
      </c>
      <c r="AI680" s="3" t="str">
        <f t="shared" si="67"/>
        <v>59</v>
      </c>
      <c r="AJ680" s="64" t="str">
        <f>VLOOKUP(T680,'GL Name'!A:B,2,0)</f>
        <v>ต้นทุนขาย</v>
      </c>
      <c r="AL680" s="13">
        <f t="shared" si="68"/>
        <v>1019.1600000000001</v>
      </c>
      <c r="AM680" s="13" t="e">
        <f>VLOOKUP(I680,'Order 301-305 (เรียง)'!A:B,2,0)</f>
        <v>#N/A</v>
      </c>
      <c r="AN680" t="e">
        <f>VLOOKUP(I680,'Order 301-305 (เรียง)'!A:C,3,0)</f>
        <v>#N/A</v>
      </c>
    </row>
    <row r="681" spans="1:40" x14ac:dyDescent="0.3">
      <c r="A681" s="1" t="s">
        <v>81</v>
      </c>
      <c r="B681" s="1" t="s">
        <v>82</v>
      </c>
      <c r="C681" s="1" t="s">
        <v>64</v>
      </c>
      <c r="D681" s="1" t="s">
        <v>65</v>
      </c>
      <c r="E681" s="1" t="s">
        <v>66</v>
      </c>
      <c r="F681" s="1" t="s">
        <v>1684</v>
      </c>
      <c r="G681" s="1" t="s">
        <v>83</v>
      </c>
      <c r="H681" s="1" t="s">
        <v>1396</v>
      </c>
      <c r="I681" s="1" t="s">
        <v>68</v>
      </c>
      <c r="J681" s="1" t="s">
        <v>1685</v>
      </c>
      <c r="K681" s="1" t="s">
        <v>294</v>
      </c>
      <c r="L681" s="1" t="s">
        <v>70</v>
      </c>
      <c r="M681" s="1" t="s">
        <v>68</v>
      </c>
      <c r="N681" s="1" t="s">
        <v>71</v>
      </c>
      <c r="O681" s="1" t="s">
        <v>68</v>
      </c>
      <c r="P681" s="1" t="s">
        <v>72</v>
      </c>
      <c r="Q681" s="1" t="s">
        <v>68</v>
      </c>
      <c r="R681" s="1" t="s">
        <v>68</v>
      </c>
      <c r="S681" s="1" t="s">
        <v>68</v>
      </c>
      <c r="T681" s="1" t="s">
        <v>73</v>
      </c>
      <c r="U681" s="1" t="s">
        <v>68</v>
      </c>
      <c r="V681" s="1" t="s">
        <v>68</v>
      </c>
      <c r="W681" s="1" t="s">
        <v>68</v>
      </c>
      <c r="X681" s="1" t="s">
        <v>1686</v>
      </c>
      <c r="Y681" s="73"/>
      <c r="Z681" s="2" t="s">
        <v>85</v>
      </c>
      <c r="AA681" s="3">
        <v>-598</v>
      </c>
      <c r="AB681" s="4">
        <v>-609457.68000000005</v>
      </c>
      <c r="AC681" s="73">
        <v>46227</v>
      </c>
      <c r="AD681" s="73">
        <v>46227</v>
      </c>
      <c r="AE681" s="73"/>
      <c r="AF681" s="73">
        <v>46227</v>
      </c>
      <c r="AG681" s="3">
        <v>-1794000</v>
      </c>
      <c r="AH681" s="353" t="str">
        <f t="shared" si="66"/>
        <v/>
      </c>
      <c r="AI681" s="3" t="str">
        <f t="shared" si="67"/>
        <v>59</v>
      </c>
      <c r="AJ681" s="64" t="str">
        <f>VLOOKUP(T681,'GL Name'!A:B,2,0)</f>
        <v>ต้นทุนขาย</v>
      </c>
      <c r="AL681" s="13">
        <f t="shared" si="68"/>
        <v>1019.1600000000001</v>
      </c>
      <c r="AM681" s="13" t="e">
        <f>VLOOKUP(I681,'Order 301-305 (เรียง)'!A:B,2,0)</f>
        <v>#N/A</v>
      </c>
      <c r="AN681" t="e">
        <f>VLOOKUP(I681,'Order 301-305 (เรียง)'!A:C,3,0)</f>
        <v>#N/A</v>
      </c>
    </row>
    <row r="682" spans="1:40" x14ac:dyDescent="0.3">
      <c r="A682" s="1" t="s">
        <v>81</v>
      </c>
      <c r="B682" s="1" t="s">
        <v>82</v>
      </c>
      <c r="C682" s="1" t="s">
        <v>64</v>
      </c>
      <c r="D682" s="1" t="s">
        <v>65</v>
      </c>
      <c r="E682" s="1" t="s">
        <v>66</v>
      </c>
      <c r="F682" s="1" t="s">
        <v>1684</v>
      </c>
      <c r="G682" s="1" t="s">
        <v>83</v>
      </c>
      <c r="H682" s="1" t="s">
        <v>1406</v>
      </c>
      <c r="I682" s="1" t="s">
        <v>68</v>
      </c>
      <c r="J682" s="1" t="s">
        <v>1685</v>
      </c>
      <c r="K682" s="1" t="s">
        <v>294</v>
      </c>
      <c r="L682" s="1" t="s">
        <v>86</v>
      </c>
      <c r="M682" s="1" t="s">
        <v>68</v>
      </c>
      <c r="N682" s="1" t="s">
        <v>71</v>
      </c>
      <c r="O682" s="1" t="s">
        <v>68</v>
      </c>
      <c r="P682" s="1" t="s">
        <v>72</v>
      </c>
      <c r="Q682" s="1" t="s">
        <v>68</v>
      </c>
      <c r="R682" s="1" t="s">
        <v>68</v>
      </c>
      <c r="S682" s="1" t="s">
        <v>68</v>
      </c>
      <c r="T682" s="1" t="s">
        <v>73</v>
      </c>
      <c r="U682" s="1" t="s">
        <v>68</v>
      </c>
      <c r="V682" s="1" t="s">
        <v>68</v>
      </c>
      <c r="W682" s="1" t="s">
        <v>68</v>
      </c>
      <c r="X682" s="1" t="s">
        <v>1686</v>
      </c>
      <c r="Y682" s="73"/>
      <c r="Z682" s="2" t="s">
        <v>85</v>
      </c>
      <c r="AA682" s="3">
        <v>-2282</v>
      </c>
      <c r="AB682" s="4">
        <v>-2325723.12</v>
      </c>
      <c r="AC682" s="73">
        <v>46227</v>
      </c>
      <c r="AD682" s="73">
        <v>46227</v>
      </c>
      <c r="AE682" s="73"/>
      <c r="AF682" s="73">
        <v>46227</v>
      </c>
      <c r="AG682" s="3">
        <v>-6846000</v>
      </c>
      <c r="AH682" s="353" t="str">
        <f t="shared" ref="AH682:AH693" si="69">LEFT(I682,3)</f>
        <v/>
      </c>
      <c r="AI682" s="3" t="str">
        <f t="shared" ref="AI682:AI693" si="70">LEFT(A682,2)</f>
        <v>59</v>
      </c>
      <c r="AJ682" s="64" t="str">
        <f>VLOOKUP(T682,'GL Name'!A:B,2,0)</f>
        <v>ต้นทุนขาย</v>
      </c>
      <c r="AL682" s="13">
        <f t="shared" ref="AL682:AL693" si="71">AB682/AA682</f>
        <v>1019.1600000000001</v>
      </c>
      <c r="AM682" s="13" t="e">
        <f>VLOOKUP(I682,'Order 301-305 (เรียง)'!A:B,2,0)</f>
        <v>#N/A</v>
      </c>
      <c r="AN682" t="e">
        <f>VLOOKUP(I682,'Order 301-305 (เรียง)'!A:C,3,0)</f>
        <v>#N/A</v>
      </c>
    </row>
    <row r="683" spans="1:40" x14ac:dyDescent="0.3">
      <c r="A683" s="1" t="s">
        <v>81</v>
      </c>
      <c r="B683" s="1" t="s">
        <v>82</v>
      </c>
      <c r="C683" s="1" t="s">
        <v>64</v>
      </c>
      <c r="D683" s="1" t="s">
        <v>87</v>
      </c>
      <c r="E683" s="1" t="s">
        <v>88</v>
      </c>
      <c r="F683" s="1" t="s">
        <v>1687</v>
      </c>
      <c r="G683" s="1" t="s">
        <v>83</v>
      </c>
      <c r="H683" s="1" t="s">
        <v>1271</v>
      </c>
      <c r="I683" s="1" t="s">
        <v>68</v>
      </c>
      <c r="J683" s="1" t="s">
        <v>1688</v>
      </c>
      <c r="K683" s="1" t="s">
        <v>294</v>
      </c>
      <c r="L683" s="1" t="s">
        <v>70</v>
      </c>
      <c r="M683" s="1" t="s">
        <v>68</v>
      </c>
      <c r="N683" s="1" t="s">
        <v>71</v>
      </c>
      <c r="O683" s="1" t="s">
        <v>68</v>
      </c>
      <c r="P683" s="1" t="s">
        <v>1689</v>
      </c>
      <c r="Q683" s="1" t="s">
        <v>68</v>
      </c>
      <c r="R683" s="1" t="s">
        <v>308</v>
      </c>
      <c r="S683" s="1" t="s">
        <v>90</v>
      </c>
      <c r="T683" s="1" t="s">
        <v>91</v>
      </c>
      <c r="U683" s="1" t="s">
        <v>68</v>
      </c>
      <c r="V683" s="1" t="s">
        <v>68</v>
      </c>
      <c r="W683" s="1" t="s">
        <v>68</v>
      </c>
      <c r="X683" s="1" t="s">
        <v>68</v>
      </c>
      <c r="Y683" s="73"/>
      <c r="Z683" s="2" t="s">
        <v>74</v>
      </c>
      <c r="AA683" s="3">
        <v>-2</v>
      </c>
      <c r="AB683" s="4">
        <v>-339.72</v>
      </c>
      <c r="AC683" s="73">
        <v>46227</v>
      </c>
      <c r="AD683" s="73">
        <v>46227</v>
      </c>
      <c r="AE683" s="73"/>
      <c r="AF683" s="73">
        <v>46227</v>
      </c>
      <c r="AG683" s="3">
        <v>-1000</v>
      </c>
      <c r="AH683" s="353" t="str">
        <f t="shared" si="69"/>
        <v/>
      </c>
      <c r="AI683" s="3" t="str">
        <f t="shared" si="70"/>
        <v>59</v>
      </c>
      <c r="AJ683" s="64" t="str">
        <f>VLOOKUP(T683,'GL Name'!A:B,2,0)</f>
        <v>ค่าวิจัยคุณภาพสินค้า</v>
      </c>
      <c r="AL683" s="13">
        <f t="shared" si="71"/>
        <v>169.86</v>
      </c>
      <c r="AM683" s="13" t="e">
        <f>VLOOKUP(I683,'Order 301-305 (เรียง)'!A:B,2,0)</f>
        <v>#N/A</v>
      </c>
      <c r="AN683" t="e">
        <f>VLOOKUP(I683,'Order 301-305 (เรียง)'!A:C,3,0)</f>
        <v>#N/A</v>
      </c>
    </row>
    <row r="684" spans="1:40" x14ac:dyDescent="0.3">
      <c r="A684" s="1" t="s">
        <v>81</v>
      </c>
      <c r="B684" s="1" t="s">
        <v>82</v>
      </c>
      <c r="C684" s="1" t="s">
        <v>64</v>
      </c>
      <c r="D684" s="1" t="s">
        <v>87</v>
      </c>
      <c r="E684" s="1" t="s">
        <v>88</v>
      </c>
      <c r="F684" s="1" t="s">
        <v>1687</v>
      </c>
      <c r="G684" s="1" t="s">
        <v>83</v>
      </c>
      <c r="H684" s="1" t="s">
        <v>1396</v>
      </c>
      <c r="I684" s="1" t="s">
        <v>68</v>
      </c>
      <c r="J684" s="1" t="s">
        <v>1688</v>
      </c>
      <c r="K684" s="1" t="s">
        <v>294</v>
      </c>
      <c r="L684" s="1" t="s">
        <v>86</v>
      </c>
      <c r="M684" s="1" t="s">
        <v>68</v>
      </c>
      <c r="N684" s="1" t="s">
        <v>71</v>
      </c>
      <c r="O684" s="1" t="s">
        <v>68</v>
      </c>
      <c r="P684" s="1" t="s">
        <v>1689</v>
      </c>
      <c r="Q684" s="1" t="s">
        <v>68</v>
      </c>
      <c r="R684" s="1" t="s">
        <v>308</v>
      </c>
      <c r="S684" s="1" t="s">
        <v>90</v>
      </c>
      <c r="T684" s="1" t="s">
        <v>91</v>
      </c>
      <c r="U684" s="1" t="s">
        <v>68</v>
      </c>
      <c r="V684" s="1" t="s">
        <v>68</v>
      </c>
      <c r="W684" s="1" t="s">
        <v>68</v>
      </c>
      <c r="X684" s="1" t="s">
        <v>68</v>
      </c>
      <c r="Y684" s="73"/>
      <c r="Z684" s="2" t="s">
        <v>74</v>
      </c>
      <c r="AA684" s="3">
        <v>-2</v>
      </c>
      <c r="AB684" s="4">
        <v>-339.72</v>
      </c>
      <c r="AC684" s="73">
        <v>46227</v>
      </c>
      <c r="AD684" s="73">
        <v>46227</v>
      </c>
      <c r="AE684" s="73"/>
      <c r="AF684" s="73">
        <v>46227</v>
      </c>
      <c r="AG684" s="3">
        <v>-1000</v>
      </c>
      <c r="AH684" s="353" t="str">
        <f t="shared" si="69"/>
        <v/>
      </c>
      <c r="AI684" s="3" t="str">
        <f t="shared" si="70"/>
        <v>59</v>
      </c>
      <c r="AJ684" s="64" t="str">
        <f>VLOOKUP(T684,'GL Name'!A:B,2,0)</f>
        <v>ค่าวิจัยคุณภาพสินค้า</v>
      </c>
      <c r="AL684" s="13">
        <f t="shared" si="71"/>
        <v>169.86</v>
      </c>
      <c r="AM684" s="13" t="e">
        <f>VLOOKUP(I684,'Order 301-305 (เรียง)'!A:B,2,0)</f>
        <v>#N/A</v>
      </c>
      <c r="AN684" t="e">
        <f>VLOOKUP(I684,'Order 301-305 (เรียง)'!A:C,3,0)</f>
        <v>#N/A</v>
      </c>
    </row>
    <row r="685" spans="1:40" x14ac:dyDescent="0.3">
      <c r="A685" s="1" t="s">
        <v>75</v>
      </c>
      <c r="B685" s="1" t="s">
        <v>76</v>
      </c>
      <c r="C685" s="1" t="s">
        <v>64</v>
      </c>
      <c r="D685" s="1" t="s">
        <v>65</v>
      </c>
      <c r="E685" s="1" t="s">
        <v>66</v>
      </c>
      <c r="F685" s="1" t="s">
        <v>1690</v>
      </c>
      <c r="G685" s="1" t="s">
        <v>67</v>
      </c>
      <c r="H685" s="1" t="s">
        <v>383</v>
      </c>
      <c r="I685" s="1" t="s">
        <v>68</v>
      </c>
      <c r="J685" s="1" t="s">
        <v>1691</v>
      </c>
      <c r="K685" s="1" t="s">
        <v>69</v>
      </c>
      <c r="L685" s="1" t="s">
        <v>70</v>
      </c>
      <c r="M685" s="1" t="s">
        <v>68</v>
      </c>
      <c r="N685" s="1" t="s">
        <v>71</v>
      </c>
      <c r="O685" s="1" t="s">
        <v>68</v>
      </c>
      <c r="P685" s="1" t="s">
        <v>72</v>
      </c>
      <c r="Q685" s="1" t="s">
        <v>68</v>
      </c>
      <c r="R685" s="1" t="s">
        <v>68</v>
      </c>
      <c r="S685" s="1" t="s">
        <v>68</v>
      </c>
      <c r="T685" s="1" t="s">
        <v>73</v>
      </c>
      <c r="U685" s="1" t="s">
        <v>68</v>
      </c>
      <c r="V685" s="1" t="s">
        <v>68</v>
      </c>
      <c r="W685" s="1" t="s">
        <v>68</v>
      </c>
      <c r="X685" s="1" t="s">
        <v>1692</v>
      </c>
      <c r="Y685" s="73"/>
      <c r="Z685" s="2" t="s">
        <v>74</v>
      </c>
      <c r="AA685" s="3">
        <v>-40</v>
      </c>
      <c r="AB685" s="4">
        <v>-5723.6</v>
      </c>
      <c r="AC685" s="73">
        <v>46227</v>
      </c>
      <c r="AD685" s="73">
        <v>46227</v>
      </c>
      <c r="AE685" s="73"/>
      <c r="AF685" s="73">
        <v>46227</v>
      </c>
      <c r="AG685" s="3">
        <v>-20000</v>
      </c>
      <c r="AH685" s="353" t="str">
        <f t="shared" si="69"/>
        <v/>
      </c>
      <c r="AI685" s="3" t="str">
        <f t="shared" si="70"/>
        <v>59</v>
      </c>
      <c r="AJ685" s="64" t="str">
        <f>VLOOKUP(T685,'GL Name'!A:B,2,0)</f>
        <v>ต้นทุนขาย</v>
      </c>
      <c r="AL685" s="13">
        <f t="shared" si="71"/>
        <v>143.09</v>
      </c>
      <c r="AM685" s="13" t="e">
        <f>VLOOKUP(I685,'Order 301-305 (เรียง)'!A:B,2,0)</f>
        <v>#N/A</v>
      </c>
      <c r="AN685" t="e">
        <f>VLOOKUP(I685,'Order 301-305 (เรียง)'!A:C,3,0)</f>
        <v>#N/A</v>
      </c>
    </row>
    <row r="686" spans="1:40" x14ac:dyDescent="0.3">
      <c r="A686" s="1" t="s">
        <v>81</v>
      </c>
      <c r="B686" s="1" t="s">
        <v>82</v>
      </c>
      <c r="C686" s="1" t="s">
        <v>64</v>
      </c>
      <c r="D686" s="1" t="s">
        <v>87</v>
      </c>
      <c r="E686" s="1" t="s">
        <v>88</v>
      </c>
      <c r="F686" s="1" t="s">
        <v>1693</v>
      </c>
      <c r="G686" s="1" t="s">
        <v>83</v>
      </c>
      <c r="H686" s="1" t="s">
        <v>1406</v>
      </c>
      <c r="I686" s="1" t="s">
        <v>68</v>
      </c>
      <c r="J686" s="1" t="s">
        <v>1694</v>
      </c>
      <c r="K686" s="1" t="s">
        <v>223</v>
      </c>
      <c r="L686" s="1" t="s">
        <v>86</v>
      </c>
      <c r="M686" s="1" t="s">
        <v>68</v>
      </c>
      <c r="N686" s="1" t="s">
        <v>71</v>
      </c>
      <c r="O686" s="1" t="s">
        <v>68</v>
      </c>
      <c r="P686" s="1" t="s">
        <v>1695</v>
      </c>
      <c r="Q686" s="1" t="s">
        <v>68</v>
      </c>
      <c r="R686" s="1" t="s">
        <v>1696</v>
      </c>
      <c r="S686" s="1" t="s">
        <v>90</v>
      </c>
      <c r="T686" s="1" t="s">
        <v>91</v>
      </c>
      <c r="U686" s="1" t="s">
        <v>68</v>
      </c>
      <c r="V686" s="1" t="s">
        <v>68</v>
      </c>
      <c r="W686" s="1" t="s">
        <v>68</v>
      </c>
      <c r="X686" s="1" t="s">
        <v>68</v>
      </c>
      <c r="Y686" s="73"/>
      <c r="Z686" s="2" t="s">
        <v>74</v>
      </c>
      <c r="AA686" s="3">
        <v>-6</v>
      </c>
      <c r="AB686" s="4">
        <v>-1019.16</v>
      </c>
      <c r="AC686" s="73">
        <v>46227</v>
      </c>
      <c r="AD686" s="73">
        <v>46227</v>
      </c>
      <c r="AE686" s="73"/>
      <c r="AF686" s="73">
        <v>46227</v>
      </c>
      <c r="AG686" s="3">
        <v>-3000</v>
      </c>
      <c r="AH686" s="353" t="str">
        <f t="shared" si="69"/>
        <v/>
      </c>
      <c r="AI686" s="3" t="str">
        <f t="shared" si="70"/>
        <v>59</v>
      </c>
      <c r="AJ686" s="64" t="str">
        <f>VLOOKUP(T686,'GL Name'!A:B,2,0)</f>
        <v>ค่าวิจัยคุณภาพสินค้า</v>
      </c>
      <c r="AL686" s="13">
        <f t="shared" si="71"/>
        <v>169.85999999999999</v>
      </c>
      <c r="AM686" s="13" t="e">
        <f>VLOOKUP(I686,'Order 301-305 (เรียง)'!A:B,2,0)</f>
        <v>#N/A</v>
      </c>
      <c r="AN686" t="e">
        <f>VLOOKUP(I686,'Order 301-305 (เรียง)'!A:C,3,0)</f>
        <v>#N/A</v>
      </c>
    </row>
    <row r="687" spans="1:40" x14ac:dyDescent="0.3">
      <c r="A687" s="1" t="s">
        <v>81</v>
      </c>
      <c r="B687" s="1" t="s">
        <v>82</v>
      </c>
      <c r="C687" s="1" t="s">
        <v>64</v>
      </c>
      <c r="D687" s="1" t="s">
        <v>87</v>
      </c>
      <c r="E687" s="1" t="s">
        <v>88</v>
      </c>
      <c r="F687" s="1" t="s">
        <v>1693</v>
      </c>
      <c r="G687" s="1" t="s">
        <v>83</v>
      </c>
      <c r="H687" s="1" t="s">
        <v>1406</v>
      </c>
      <c r="I687" s="1" t="s">
        <v>68</v>
      </c>
      <c r="J687" s="1" t="s">
        <v>1694</v>
      </c>
      <c r="K687" s="1" t="s">
        <v>223</v>
      </c>
      <c r="L687" s="1" t="s">
        <v>70</v>
      </c>
      <c r="M687" s="1" t="s">
        <v>68</v>
      </c>
      <c r="N687" s="1" t="s">
        <v>71</v>
      </c>
      <c r="O687" s="1" t="s">
        <v>68</v>
      </c>
      <c r="P687" s="1" t="s">
        <v>1695</v>
      </c>
      <c r="Q687" s="1" t="s">
        <v>68</v>
      </c>
      <c r="R687" s="1" t="s">
        <v>1697</v>
      </c>
      <c r="S687" s="1" t="s">
        <v>90</v>
      </c>
      <c r="T687" s="1" t="s">
        <v>91</v>
      </c>
      <c r="U687" s="1" t="s">
        <v>68</v>
      </c>
      <c r="V687" s="1" t="s">
        <v>68</v>
      </c>
      <c r="W687" s="1" t="s">
        <v>68</v>
      </c>
      <c r="X687" s="1" t="s">
        <v>68</v>
      </c>
      <c r="Y687" s="73"/>
      <c r="Z687" s="2" t="s">
        <v>74</v>
      </c>
      <c r="AA687" s="3">
        <v>-6</v>
      </c>
      <c r="AB687" s="4">
        <v>-1019.16</v>
      </c>
      <c r="AC687" s="73">
        <v>46227</v>
      </c>
      <c r="AD687" s="73">
        <v>46227</v>
      </c>
      <c r="AE687" s="73"/>
      <c r="AF687" s="73">
        <v>46227</v>
      </c>
      <c r="AG687" s="3">
        <v>-3000</v>
      </c>
      <c r="AH687" s="353" t="str">
        <f t="shared" si="69"/>
        <v/>
      </c>
      <c r="AI687" s="3" t="str">
        <f t="shared" si="70"/>
        <v>59</v>
      </c>
      <c r="AJ687" s="64" t="str">
        <f>VLOOKUP(T687,'GL Name'!A:B,2,0)</f>
        <v>ค่าวิจัยคุณภาพสินค้า</v>
      </c>
      <c r="AL687" s="13">
        <f t="shared" si="71"/>
        <v>169.85999999999999</v>
      </c>
      <c r="AM687" s="13" t="e">
        <f>VLOOKUP(I687,'Order 301-305 (เรียง)'!A:B,2,0)</f>
        <v>#N/A</v>
      </c>
      <c r="AN687" t="e">
        <f>VLOOKUP(I687,'Order 301-305 (เรียง)'!A:C,3,0)</f>
        <v>#N/A</v>
      </c>
    </row>
    <row r="688" spans="1:40" x14ac:dyDescent="0.3">
      <c r="A688" s="1" t="s">
        <v>81</v>
      </c>
      <c r="B688" s="1" t="s">
        <v>82</v>
      </c>
      <c r="C688" s="1" t="s">
        <v>64</v>
      </c>
      <c r="D688" s="1" t="s">
        <v>87</v>
      </c>
      <c r="E688" s="1" t="s">
        <v>88</v>
      </c>
      <c r="F688" s="1" t="s">
        <v>1698</v>
      </c>
      <c r="G688" s="1" t="s">
        <v>83</v>
      </c>
      <c r="H688" s="1" t="s">
        <v>1396</v>
      </c>
      <c r="I688" s="1" t="s">
        <v>68</v>
      </c>
      <c r="J688" s="1" t="s">
        <v>1699</v>
      </c>
      <c r="K688" s="1" t="s">
        <v>223</v>
      </c>
      <c r="L688" s="1" t="s">
        <v>70</v>
      </c>
      <c r="M688" s="1" t="s">
        <v>68</v>
      </c>
      <c r="N688" s="1" t="s">
        <v>71</v>
      </c>
      <c r="O688" s="1" t="s">
        <v>68</v>
      </c>
      <c r="P688" s="1" t="s">
        <v>1700</v>
      </c>
      <c r="Q688" s="1" t="s">
        <v>68</v>
      </c>
      <c r="R688" s="1" t="s">
        <v>1701</v>
      </c>
      <c r="S688" s="1" t="s">
        <v>90</v>
      </c>
      <c r="T688" s="1" t="s">
        <v>91</v>
      </c>
      <c r="U688" s="1" t="s">
        <v>68</v>
      </c>
      <c r="V688" s="1" t="s">
        <v>68</v>
      </c>
      <c r="W688" s="1" t="s">
        <v>68</v>
      </c>
      <c r="X688" s="1" t="s">
        <v>68</v>
      </c>
      <c r="Y688" s="73"/>
      <c r="Z688" s="2" t="s">
        <v>74</v>
      </c>
      <c r="AA688" s="3">
        <v>-1</v>
      </c>
      <c r="AB688" s="4">
        <v>-169.86</v>
      </c>
      <c r="AC688" s="73">
        <v>46227</v>
      </c>
      <c r="AD688" s="73">
        <v>46227</v>
      </c>
      <c r="AE688" s="73"/>
      <c r="AF688" s="73">
        <v>46227</v>
      </c>
      <c r="AG688" s="3">
        <v>-500</v>
      </c>
      <c r="AH688" s="353" t="str">
        <f t="shared" si="69"/>
        <v/>
      </c>
      <c r="AI688" s="3" t="str">
        <f t="shared" si="70"/>
        <v>59</v>
      </c>
      <c r="AJ688" s="64" t="str">
        <f>VLOOKUP(T688,'GL Name'!A:B,2,0)</f>
        <v>ค่าวิจัยคุณภาพสินค้า</v>
      </c>
      <c r="AL688" s="13">
        <f t="shared" si="71"/>
        <v>169.86</v>
      </c>
      <c r="AM688" s="13" t="e">
        <f>VLOOKUP(I688,'Order 301-305 (เรียง)'!A:B,2,0)</f>
        <v>#N/A</v>
      </c>
      <c r="AN688" t="e">
        <f>VLOOKUP(I688,'Order 301-305 (เรียง)'!A:C,3,0)</f>
        <v>#N/A</v>
      </c>
    </row>
    <row r="689" spans="1:40" x14ac:dyDescent="0.3">
      <c r="A689" s="1" t="s">
        <v>81</v>
      </c>
      <c r="B689" s="1" t="s">
        <v>82</v>
      </c>
      <c r="C689" s="1" t="s">
        <v>64</v>
      </c>
      <c r="D689" s="1" t="s">
        <v>87</v>
      </c>
      <c r="E689" s="1" t="s">
        <v>88</v>
      </c>
      <c r="F689" s="1" t="s">
        <v>1702</v>
      </c>
      <c r="G689" s="1" t="s">
        <v>83</v>
      </c>
      <c r="H689" s="1" t="s">
        <v>1406</v>
      </c>
      <c r="I689" s="1" t="s">
        <v>68</v>
      </c>
      <c r="J689" s="1" t="s">
        <v>1703</v>
      </c>
      <c r="K689" s="1" t="s">
        <v>223</v>
      </c>
      <c r="L689" s="1" t="s">
        <v>70</v>
      </c>
      <c r="M689" s="1" t="s">
        <v>68</v>
      </c>
      <c r="N689" s="1" t="s">
        <v>71</v>
      </c>
      <c r="O689" s="1" t="s">
        <v>68</v>
      </c>
      <c r="P689" s="1" t="s">
        <v>1704</v>
      </c>
      <c r="Q689" s="1" t="s">
        <v>68</v>
      </c>
      <c r="R689" s="1" t="s">
        <v>1705</v>
      </c>
      <c r="S689" s="1" t="s">
        <v>90</v>
      </c>
      <c r="T689" s="1" t="s">
        <v>91</v>
      </c>
      <c r="U689" s="1" t="s">
        <v>68</v>
      </c>
      <c r="V689" s="1" t="s">
        <v>68</v>
      </c>
      <c r="W689" s="1" t="s">
        <v>68</v>
      </c>
      <c r="X689" s="1" t="s">
        <v>68</v>
      </c>
      <c r="Y689" s="73"/>
      <c r="Z689" s="2" t="s">
        <v>74</v>
      </c>
      <c r="AA689" s="3">
        <v>-3</v>
      </c>
      <c r="AB689" s="4">
        <v>-509.58</v>
      </c>
      <c r="AC689" s="73">
        <v>46227</v>
      </c>
      <c r="AD689" s="73">
        <v>46227</v>
      </c>
      <c r="AE689" s="73"/>
      <c r="AF689" s="73">
        <v>46227</v>
      </c>
      <c r="AG689" s="3">
        <v>-1500</v>
      </c>
      <c r="AH689" s="353" t="str">
        <f t="shared" si="69"/>
        <v/>
      </c>
      <c r="AI689" s="3" t="str">
        <f t="shared" si="70"/>
        <v>59</v>
      </c>
      <c r="AJ689" s="64" t="str">
        <f>VLOOKUP(T689,'GL Name'!A:B,2,0)</f>
        <v>ค่าวิจัยคุณภาพสินค้า</v>
      </c>
      <c r="AL689" s="13">
        <f t="shared" si="71"/>
        <v>169.85999999999999</v>
      </c>
      <c r="AM689" s="13" t="e">
        <f>VLOOKUP(I689,'Order 301-305 (เรียง)'!A:B,2,0)</f>
        <v>#N/A</v>
      </c>
      <c r="AN689" t="e">
        <f>VLOOKUP(I689,'Order 301-305 (เรียง)'!A:C,3,0)</f>
        <v>#N/A</v>
      </c>
    </row>
    <row r="690" spans="1:40" x14ac:dyDescent="0.3">
      <c r="A690" s="1" t="s">
        <v>106</v>
      </c>
      <c r="B690" s="1" t="s">
        <v>107</v>
      </c>
      <c r="C690" s="1" t="s">
        <v>64</v>
      </c>
      <c r="D690" s="1" t="s">
        <v>125</v>
      </c>
      <c r="E690" s="1" t="s">
        <v>289</v>
      </c>
      <c r="F690" s="1" t="s">
        <v>1706</v>
      </c>
      <c r="G690" s="1" t="s">
        <v>101</v>
      </c>
      <c r="H690" s="1" t="s">
        <v>286</v>
      </c>
      <c r="I690" s="1" t="s">
        <v>68</v>
      </c>
      <c r="J690" s="1" t="s">
        <v>1707</v>
      </c>
      <c r="K690" s="1" t="s">
        <v>294</v>
      </c>
      <c r="L690" s="1" t="s">
        <v>70</v>
      </c>
      <c r="M690" s="1" t="s">
        <v>68</v>
      </c>
      <c r="N690" s="1" t="s">
        <v>71</v>
      </c>
      <c r="O690" s="1" t="s">
        <v>68</v>
      </c>
      <c r="P690" s="1" t="s">
        <v>72</v>
      </c>
      <c r="Q690" s="1" t="s">
        <v>68</v>
      </c>
      <c r="R690" s="1" t="s">
        <v>68</v>
      </c>
      <c r="S690" s="1" t="s">
        <v>68</v>
      </c>
      <c r="T690" s="1" t="s">
        <v>68</v>
      </c>
      <c r="U690" s="1" t="s">
        <v>68</v>
      </c>
      <c r="V690" s="1" t="s">
        <v>68</v>
      </c>
      <c r="W690" s="1" t="s">
        <v>68</v>
      </c>
      <c r="X690" s="1" t="s">
        <v>68</v>
      </c>
      <c r="Y690" s="73"/>
      <c r="Z690" s="2" t="s">
        <v>102</v>
      </c>
      <c r="AA690" s="3">
        <v>-20000</v>
      </c>
      <c r="AB690" s="4">
        <v>0</v>
      </c>
      <c r="AC690" s="73">
        <v>46228</v>
      </c>
      <c r="AD690" s="73">
        <v>46228</v>
      </c>
      <c r="AE690" s="73"/>
      <c r="AF690" s="73">
        <v>46228</v>
      </c>
      <c r="AG690" s="3">
        <v>-20000</v>
      </c>
      <c r="AH690" s="353" t="str">
        <f t="shared" si="69"/>
        <v/>
      </c>
      <c r="AI690" s="3" t="str">
        <f t="shared" si="70"/>
        <v>58</v>
      </c>
      <c r="AJ690" s="64" t="e">
        <f>VLOOKUP(T690,'GL Name'!A:B,2,0)</f>
        <v>#N/A</v>
      </c>
      <c r="AL690" s="13">
        <f t="shared" si="71"/>
        <v>0</v>
      </c>
      <c r="AM690" s="13" t="e">
        <f>VLOOKUP(I690,'Order 301-305 (เรียง)'!A:B,2,0)</f>
        <v>#N/A</v>
      </c>
      <c r="AN690" t="e">
        <f>VLOOKUP(I690,'Order 301-305 (เรียง)'!A:C,3,0)</f>
        <v>#N/A</v>
      </c>
    </row>
    <row r="691" spans="1:40" x14ac:dyDescent="0.3">
      <c r="A691" s="1" t="s">
        <v>106</v>
      </c>
      <c r="B691" s="1" t="s">
        <v>107</v>
      </c>
      <c r="C691" s="1" t="s">
        <v>64</v>
      </c>
      <c r="D691" s="1" t="s">
        <v>125</v>
      </c>
      <c r="E691" s="1" t="s">
        <v>289</v>
      </c>
      <c r="F691" s="1" t="s">
        <v>1706</v>
      </c>
      <c r="G691" s="1" t="s">
        <v>103</v>
      </c>
      <c r="H691" s="1" t="s">
        <v>286</v>
      </c>
      <c r="I691" s="1" t="s">
        <v>68</v>
      </c>
      <c r="J691" s="1" t="s">
        <v>1707</v>
      </c>
      <c r="K691" s="1" t="s">
        <v>294</v>
      </c>
      <c r="L691" s="1" t="s">
        <v>86</v>
      </c>
      <c r="M691" s="1" t="s">
        <v>68</v>
      </c>
      <c r="N691" s="1" t="s">
        <v>71</v>
      </c>
      <c r="O691" s="1" t="s">
        <v>68</v>
      </c>
      <c r="P691" s="1" t="s">
        <v>72</v>
      </c>
      <c r="Q691" s="1" t="s">
        <v>68</v>
      </c>
      <c r="R691" s="1" t="s">
        <v>68</v>
      </c>
      <c r="S691" s="1" t="s">
        <v>68</v>
      </c>
      <c r="T691" s="1" t="s">
        <v>68</v>
      </c>
      <c r="U691" s="1" t="s">
        <v>68</v>
      </c>
      <c r="V691" s="1" t="s">
        <v>68</v>
      </c>
      <c r="W691" s="1" t="s">
        <v>68</v>
      </c>
      <c r="X691" s="1" t="s">
        <v>68</v>
      </c>
      <c r="Y691" s="73"/>
      <c r="Z691" s="2" t="s">
        <v>102</v>
      </c>
      <c r="AA691" s="3">
        <v>20000</v>
      </c>
      <c r="AB691" s="4">
        <v>0</v>
      </c>
      <c r="AC691" s="73">
        <v>46228</v>
      </c>
      <c r="AD691" s="73">
        <v>46228</v>
      </c>
      <c r="AE691" s="73"/>
      <c r="AF691" s="73">
        <v>46228</v>
      </c>
      <c r="AG691" s="3">
        <v>20000</v>
      </c>
      <c r="AH691" s="353" t="str">
        <f t="shared" si="69"/>
        <v/>
      </c>
      <c r="AI691" s="3" t="str">
        <f t="shared" si="70"/>
        <v>58</v>
      </c>
      <c r="AJ691" s="64" t="e">
        <f>VLOOKUP(T691,'GL Name'!A:B,2,0)</f>
        <v>#N/A</v>
      </c>
      <c r="AL691" s="13">
        <f t="shared" si="71"/>
        <v>0</v>
      </c>
      <c r="AM691" s="13" t="e">
        <f>VLOOKUP(I691,'Order 301-305 (เรียง)'!A:B,2,0)</f>
        <v>#N/A</v>
      </c>
      <c r="AN691" t="e">
        <f>VLOOKUP(I691,'Order 301-305 (เรียง)'!A:C,3,0)</f>
        <v>#N/A</v>
      </c>
    </row>
    <row r="692" spans="1:40" x14ac:dyDescent="0.3">
      <c r="A692" s="1" t="s">
        <v>121</v>
      </c>
      <c r="B692" s="1" t="s">
        <v>122</v>
      </c>
      <c r="C692" s="1" t="s">
        <v>64</v>
      </c>
      <c r="D692" s="1" t="s">
        <v>125</v>
      </c>
      <c r="E692" s="1" t="s">
        <v>289</v>
      </c>
      <c r="F692" s="1" t="s">
        <v>1706</v>
      </c>
      <c r="G692" s="1" t="s">
        <v>103</v>
      </c>
      <c r="H692" s="1" t="s">
        <v>1076</v>
      </c>
      <c r="I692" s="1" t="s">
        <v>68</v>
      </c>
      <c r="J692" s="1" t="s">
        <v>1707</v>
      </c>
      <c r="K692" s="1" t="s">
        <v>294</v>
      </c>
      <c r="L692" s="1" t="s">
        <v>89</v>
      </c>
      <c r="M692" s="1" t="s">
        <v>68</v>
      </c>
      <c r="N692" s="1" t="s">
        <v>71</v>
      </c>
      <c r="O692" s="1" t="s">
        <v>68</v>
      </c>
      <c r="P692" s="1" t="s">
        <v>72</v>
      </c>
      <c r="Q692" s="1" t="s">
        <v>68</v>
      </c>
      <c r="R692" s="1" t="s">
        <v>68</v>
      </c>
      <c r="S692" s="1" t="s">
        <v>68</v>
      </c>
      <c r="T692" s="1" t="s">
        <v>68</v>
      </c>
      <c r="U692" s="1" t="s">
        <v>68</v>
      </c>
      <c r="V692" s="1" t="s">
        <v>68</v>
      </c>
      <c r="W692" s="1" t="s">
        <v>68</v>
      </c>
      <c r="X692" s="1" t="s">
        <v>68</v>
      </c>
      <c r="Y692" s="73"/>
      <c r="Z692" s="2" t="s">
        <v>102</v>
      </c>
      <c r="AA692" s="3">
        <v>3000</v>
      </c>
      <c r="AB692" s="4">
        <v>0</v>
      </c>
      <c r="AC692" s="73">
        <v>46228</v>
      </c>
      <c r="AD692" s="73">
        <v>46228</v>
      </c>
      <c r="AE692" s="73"/>
      <c r="AF692" s="73">
        <v>46228</v>
      </c>
      <c r="AG692" s="3">
        <v>3000</v>
      </c>
      <c r="AH692" s="353" t="str">
        <f t="shared" si="69"/>
        <v/>
      </c>
      <c r="AI692" s="3" t="str">
        <f t="shared" si="70"/>
        <v>58</v>
      </c>
      <c r="AJ692" s="64" t="e">
        <f>VLOOKUP(T692,'GL Name'!A:B,2,0)</f>
        <v>#N/A</v>
      </c>
      <c r="AL692" s="13">
        <f t="shared" si="71"/>
        <v>0</v>
      </c>
      <c r="AM692" s="13" t="e">
        <f>VLOOKUP(I692,'Order 301-305 (เรียง)'!A:B,2,0)</f>
        <v>#N/A</v>
      </c>
      <c r="AN692" t="e">
        <f>VLOOKUP(I692,'Order 301-305 (เรียง)'!A:C,3,0)</f>
        <v>#N/A</v>
      </c>
    </row>
    <row r="693" spans="1:40" x14ac:dyDescent="0.3">
      <c r="A693" s="1" t="s">
        <v>121</v>
      </c>
      <c r="B693" s="1" t="s">
        <v>122</v>
      </c>
      <c r="C693" s="1" t="s">
        <v>64</v>
      </c>
      <c r="D693" s="1" t="s">
        <v>125</v>
      </c>
      <c r="E693" s="1" t="s">
        <v>289</v>
      </c>
      <c r="F693" s="1" t="s">
        <v>1706</v>
      </c>
      <c r="G693" s="1" t="s">
        <v>101</v>
      </c>
      <c r="H693" s="1" t="s">
        <v>1076</v>
      </c>
      <c r="I693" s="1" t="s">
        <v>68</v>
      </c>
      <c r="J693" s="1" t="s">
        <v>1707</v>
      </c>
      <c r="K693" s="1" t="s">
        <v>294</v>
      </c>
      <c r="L693" s="1" t="s">
        <v>92</v>
      </c>
      <c r="M693" s="1" t="s">
        <v>68</v>
      </c>
      <c r="N693" s="1" t="s">
        <v>71</v>
      </c>
      <c r="O693" s="1" t="s">
        <v>68</v>
      </c>
      <c r="P693" s="1" t="s">
        <v>72</v>
      </c>
      <c r="Q693" s="1" t="s">
        <v>68</v>
      </c>
      <c r="R693" s="1" t="s">
        <v>68</v>
      </c>
      <c r="S693" s="1" t="s">
        <v>68</v>
      </c>
      <c r="T693" s="1" t="s">
        <v>68</v>
      </c>
      <c r="U693" s="1" t="s">
        <v>68</v>
      </c>
      <c r="V693" s="1" t="s">
        <v>68</v>
      </c>
      <c r="W693" s="1" t="s">
        <v>68</v>
      </c>
      <c r="X693" s="1" t="s">
        <v>68</v>
      </c>
      <c r="Y693" s="73"/>
      <c r="Z693" s="2" t="s">
        <v>102</v>
      </c>
      <c r="AA693" s="3">
        <v>-3000</v>
      </c>
      <c r="AB693" s="4">
        <v>0</v>
      </c>
      <c r="AC693" s="73">
        <v>46228</v>
      </c>
      <c r="AD693" s="73">
        <v>46228</v>
      </c>
      <c r="AE693" s="73"/>
      <c r="AF693" s="73">
        <v>46228</v>
      </c>
      <c r="AG693" s="3">
        <v>-3000</v>
      </c>
      <c r="AH693" s="353" t="str">
        <f t="shared" si="69"/>
        <v/>
      </c>
      <c r="AI693" s="3" t="str">
        <f t="shared" si="70"/>
        <v>58</v>
      </c>
      <c r="AJ693" s="64" t="e">
        <f>VLOOKUP(T693,'GL Name'!A:B,2,0)</f>
        <v>#N/A</v>
      </c>
      <c r="AL693" s="13">
        <f t="shared" si="71"/>
        <v>0</v>
      </c>
      <c r="AM693" s="13" t="e">
        <f>VLOOKUP(I693,'Order 301-305 (เรียง)'!A:B,2,0)</f>
        <v>#N/A</v>
      </c>
      <c r="AN693" t="e">
        <f>VLOOKUP(I693,'Order 301-305 (เรียง)'!A:C,3,0)</f>
        <v>#N/A</v>
      </c>
    </row>
    <row r="694" spans="1:40" x14ac:dyDescent="0.3">
      <c r="A694" s="1" t="s">
        <v>9</v>
      </c>
      <c r="B694" s="1" t="s">
        <v>10</v>
      </c>
      <c r="C694" s="1" t="s">
        <v>64</v>
      </c>
      <c r="D694" s="1" t="s">
        <v>125</v>
      </c>
      <c r="E694" s="1" t="s">
        <v>289</v>
      </c>
      <c r="F694" s="1" t="s">
        <v>1708</v>
      </c>
      <c r="G694" s="1" t="s">
        <v>232</v>
      </c>
      <c r="H694" s="1" t="s">
        <v>1709</v>
      </c>
      <c r="I694" s="1" t="s">
        <v>68</v>
      </c>
      <c r="J694" s="1" t="s">
        <v>1710</v>
      </c>
      <c r="K694" s="1" t="s">
        <v>294</v>
      </c>
      <c r="L694" s="1" t="s">
        <v>70</v>
      </c>
      <c r="M694" s="1" t="s">
        <v>68</v>
      </c>
      <c r="N694" s="1" t="s">
        <v>71</v>
      </c>
      <c r="O694" s="1" t="s">
        <v>68</v>
      </c>
      <c r="P694" s="1" t="s">
        <v>72</v>
      </c>
      <c r="Q694" s="1" t="s">
        <v>68</v>
      </c>
      <c r="R694" s="1" t="s">
        <v>68</v>
      </c>
      <c r="S694" s="1" t="s">
        <v>68</v>
      </c>
      <c r="T694" s="1" t="s">
        <v>68</v>
      </c>
      <c r="U694" s="1" t="s">
        <v>68</v>
      </c>
      <c r="V694" s="1" t="s">
        <v>68</v>
      </c>
      <c r="W694" s="1" t="s">
        <v>68</v>
      </c>
      <c r="X694" s="1" t="s">
        <v>68</v>
      </c>
      <c r="Y694" s="73"/>
      <c r="Z694" s="2" t="s">
        <v>80</v>
      </c>
      <c r="AA694" s="3">
        <v>-29997</v>
      </c>
      <c r="AB694" s="4">
        <v>0</v>
      </c>
      <c r="AC694" s="73">
        <v>46228</v>
      </c>
      <c r="AD694" s="73">
        <v>46228</v>
      </c>
      <c r="AE694" s="73"/>
      <c r="AF694" s="73">
        <v>46228</v>
      </c>
      <c r="AG694" s="3">
        <v>-29997000</v>
      </c>
      <c r="AH694" s="353" t="str">
        <f t="shared" ref="AH694:AH716" si="72">LEFT(I694,3)</f>
        <v/>
      </c>
      <c r="AI694" s="3" t="str">
        <f t="shared" ref="AI694:AI716" si="73">LEFT(A694,2)</f>
        <v>54</v>
      </c>
      <c r="AJ694" s="64" t="e">
        <f>VLOOKUP(T694,'GL Name'!A:B,2,0)</f>
        <v>#N/A</v>
      </c>
      <c r="AL694" s="13">
        <f t="shared" ref="AL694:AL716" si="74">AB694/AA694</f>
        <v>0</v>
      </c>
      <c r="AM694" s="13" t="e">
        <f>VLOOKUP(I694,'Order 301-305 (เรียง)'!A:B,2,0)</f>
        <v>#N/A</v>
      </c>
      <c r="AN694" t="e">
        <f>VLOOKUP(I694,'Order 301-305 (เรียง)'!A:C,3,0)</f>
        <v>#N/A</v>
      </c>
    </row>
    <row r="695" spans="1:40" x14ac:dyDescent="0.3">
      <c r="A695" s="1" t="s">
        <v>9</v>
      </c>
      <c r="B695" s="1" t="s">
        <v>10</v>
      </c>
      <c r="C695" s="1" t="s">
        <v>64</v>
      </c>
      <c r="D695" s="1" t="s">
        <v>125</v>
      </c>
      <c r="E695" s="1" t="s">
        <v>289</v>
      </c>
      <c r="F695" s="1" t="s">
        <v>1708</v>
      </c>
      <c r="G695" s="1" t="s">
        <v>278</v>
      </c>
      <c r="H695" s="1" t="s">
        <v>1711</v>
      </c>
      <c r="I695" s="1" t="s">
        <v>68</v>
      </c>
      <c r="J695" s="1" t="s">
        <v>1710</v>
      </c>
      <c r="K695" s="1" t="s">
        <v>294</v>
      </c>
      <c r="L695" s="1" t="s">
        <v>89</v>
      </c>
      <c r="M695" s="1" t="s">
        <v>68</v>
      </c>
      <c r="N695" s="1" t="s">
        <v>71</v>
      </c>
      <c r="O695" s="1" t="s">
        <v>68</v>
      </c>
      <c r="P695" s="1" t="s">
        <v>72</v>
      </c>
      <c r="Q695" s="1" t="s">
        <v>68</v>
      </c>
      <c r="R695" s="1" t="s">
        <v>68</v>
      </c>
      <c r="S695" s="1" t="s">
        <v>68</v>
      </c>
      <c r="T695" s="1" t="s">
        <v>68</v>
      </c>
      <c r="U695" s="1" t="s">
        <v>68</v>
      </c>
      <c r="V695" s="1" t="s">
        <v>68</v>
      </c>
      <c r="W695" s="1" t="s">
        <v>68</v>
      </c>
      <c r="X695" s="1" t="s">
        <v>68</v>
      </c>
      <c r="Y695" s="73"/>
      <c r="Z695" s="2" t="s">
        <v>80</v>
      </c>
      <c r="AA695" s="3">
        <v>40057.599999999999</v>
      </c>
      <c r="AB695" s="4">
        <v>0</v>
      </c>
      <c r="AC695" s="73">
        <v>46228</v>
      </c>
      <c r="AD695" s="73">
        <v>46228</v>
      </c>
      <c r="AE695" s="73"/>
      <c r="AF695" s="73">
        <v>46228</v>
      </c>
      <c r="AG695" s="3">
        <v>40057600</v>
      </c>
      <c r="AH695" s="353" t="str">
        <f t="shared" si="72"/>
        <v/>
      </c>
      <c r="AI695" s="3" t="str">
        <f t="shared" si="73"/>
        <v>54</v>
      </c>
      <c r="AJ695" s="64" t="e">
        <f>VLOOKUP(T695,'GL Name'!A:B,2,0)</f>
        <v>#N/A</v>
      </c>
      <c r="AL695" s="13">
        <f t="shared" si="74"/>
        <v>0</v>
      </c>
      <c r="AM695" s="13" t="e">
        <f>VLOOKUP(I695,'Order 301-305 (เรียง)'!A:B,2,0)</f>
        <v>#N/A</v>
      </c>
      <c r="AN695" t="e">
        <f>VLOOKUP(I695,'Order 301-305 (เรียง)'!A:C,3,0)</f>
        <v>#N/A</v>
      </c>
    </row>
    <row r="696" spans="1:40" x14ac:dyDescent="0.3">
      <c r="A696" s="1" t="s">
        <v>9</v>
      </c>
      <c r="B696" s="1" t="s">
        <v>10</v>
      </c>
      <c r="C696" s="1" t="s">
        <v>64</v>
      </c>
      <c r="D696" s="1" t="s">
        <v>125</v>
      </c>
      <c r="E696" s="1" t="s">
        <v>289</v>
      </c>
      <c r="F696" s="1" t="s">
        <v>1708</v>
      </c>
      <c r="G696" s="1" t="s">
        <v>232</v>
      </c>
      <c r="H696" s="1" t="s">
        <v>1711</v>
      </c>
      <c r="I696" s="1" t="s">
        <v>68</v>
      </c>
      <c r="J696" s="1" t="s">
        <v>1710</v>
      </c>
      <c r="K696" s="1" t="s">
        <v>294</v>
      </c>
      <c r="L696" s="1" t="s">
        <v>92</v>
      </c>
      <c r="M696" s="1" t="s">
        <v>68</v>
      </c>
      <c r="N696" s="1" t="s">
        <v>71</v>
      </c>
      <c r="O696" s="1" t="s">
        <v>68</v>
      </c>
      <c r="P696" s="1" t="s">
        <v>72</v>
      </c>
      <c r="Q696" s="1" t="s">
        <v>68</v>
      </c>
      <c r="R696" s="1" t="s">
        <v>68</v>
      </c>
      <c r="S696" s="1" t="s">
        <v>68</v>
      </c>
      <c r="T696" s="1" t="s">
        <v>68</v>
      </c>
      <c r="U696" s="1" t="s">
        <v>68</v>
      </c>
      <c r="V696" s="1" t="s">
        <v>68</v>
      </c>
      <c r="W696" s="1" t="s">
        <v>68</v>
      </c>
      <c r="X696" s="1" t="s">
        <v>68</v>
      </c>
      <c r="Y696" s="73"/>
      <c r="Z696" s="2" t="s">
        <v>80</v>
      </c>
      <c r="AA696" s="3">
        <v>-40057.599999999999</v>
      </c>
      <c r="AB696" s="4">
        <v>0</v>
      </c>
      <c r="AC696" s="73">
        <v>46228</v>
      </c>
      <c r="AD696" s="73">
        <v>46228</v>
      </c>
      <c r="AE696" s="73"/>
      <c r="AF696" s="73">
        <v>46228</v>
      </c>
      <c r="AG696" s="3">
        <v>-40057600</v>
      </c>
      <c r="AH696" s="353" t="str">
        <f t="shared" si="72"/>
        <v/>
      </c>
      <c r="AI696" s="3" t="str">
        <f t="shared" si="73"/>
        <v>54</v>
      </c>
      <c r="AJ696" s="64" t="e">
        <f>VLOOKUP(T696,'GL Name'!A:B,2,0)</f>
        <v>#N/A</v>
      </c>
      <c r="AL696" s="13">
        <f t="shared" si="74"/>
        <v>0</v>
      </c>
      <c r="AM696" s="13" t="e">
        <f>VLOOKUP(I696,'Order 301-305 (เรียง)'!A:B,2,0)</f>
        <v>#N/A</v>
      </c>
      <c r="AN696" t="e">
        <f>VLOOKUP(I696,'Order 301-305 (เรียง)'!A:C,3,0)</f>
        <v>#N/A</v>
      </c>
    </row>
    <row r="697" spans="1:40" x14ac:dyDescent="0.3">
      <c r="A697" s="1" t="s">
        <v>9</v>
      </c>
      <c r="B697" s="1" t="s">
        <v>10</v>
      </c>
      <c r="C697" s="1" t="s">
        <v>64</v>
      </c>
      <c r="D697" s="1" t="s">
        <v>125</v>
      </c>
      <c r="E697" s="1" t="s">
        <v>289</v>
      </c>
      <c r="F697" s="1" t="s">
        <v>1708</v>
      </c>
      <c r="G697" s="1" t="s">
        <v>278</v>
      </c>
      <c r="H697" s="1" t="s">
        <v>1709</v>
      </c>
      <c r="I697" s="1" t="s">
        <v>68</v>
      </c>
      <c r="J697" s="1" t="s">
        <v>1710</v>
      </c>
      <c r="K697" s="1" t="s">
        <v>294</v>
      </c>
      <c r="L697" s="1" t="s">
        <v>86</v>
      </c>
      <c r="M697" s="1" t="s">
        <v>68</v>
      </c>
      <c r="N697" s="1" t="s">
        <v>71</v>
      </c>
      <c r="O697" s="1" t="s">
        <v>68</v>
      </c>
      <c r="P697" s="1" t="s">
        <v>72</v>
      </c>
      <c r="Q697" s="1" t="s">
        <v>68</v>
      </c>
      <c r="R697" s="1" t="s">
        <v>68</v>
      </c>
      <c r="S697" s="1" t="s">
        <v>68</v>
      </c>
      <c r="T697" s="1" t="s">
        <v>68</v>
      </c>
      <c r="U697" s="1" t="s">
        <v>68</v>
      </c>
      <c r="V697" s="1" t="s">
        <v>68</v>
      </c>
      <c r="W697" s="1" t="s">
        <v>68</v>
      </c>
      <c r="X697" s="1" t="s">
        <v>68</v>
      </c>
      <c r="Y697" s="73"/>
      <c r="Z697" s="2" t="s">
        <v>80</v>
      </c>
      <c r="AA697" s="3">
        <v>29997</v>
      </c>
      <c r="AB697" s="4">
        <v>0</v>
      </c>
      <c r="AC697" s="73">
        <v>46228</v>
      </c>
      <c r="AD697" s="73">
        <v>46228</v>
      </c>
      <c r="AE697" s="73"/>
      <c r="AF697" s="73">
        <v>46228</v>
      </c>
      <c r="AG697" s="3">
        <v>29997000</v>
      </c>
      <c r="AH697" s="353" t="str">
        <f t="shared" si="72"/>
        <v/>
      </c>
      <c r="AI697" s="3" t="str">
        <f t="shared" si="73"/>
        <v>54</v>
      </c>
      <c r="AJ697" s="64" t="e">
        <f>VLOOKUP(T697,'GL Name'!A:B,2,0)</f>
        <v>#N/A</v>
      </c>
      <c r="AL697" s="13">
        <f t="shared" si="74"/>
        <v>0</v>
      </c>
      <c r="AM697" s="13" t="e">
        <f>VLOOKUP(I697,'Order 301-305 (เรียง)'!A:B,2,0)</f>
        <v>#N/A</v>
      </c>
      <c r="AN697" t="e">
        <f>VLOOKUP(I697,'Order 301-305 (เรียง)'!A:C,3,0)</f>
        <v>#N/A</v>
      </c>
    </row>
    <row r="698" spans="1:40" x14ac:dyDescent="0.3">
      <c r="A698" s="1" t="s">
        <v>17</v>
      </c>
      <c r="B698" s="1" t="s">
        <v>18</v>
      </c>
      <c r="C698" s="1" t="s">
        <v>64</v>
      </c>
      <c r="D698" s="1" t="s">
        <v>125</v>
      </c>
      <c r="E698" s="1" t="s">
        <v>289</v>
      </c>
      <c r="F698" s="1" t="s">
        <v>1708</v>
      </c>
      <c r="G698" s="1" t="s">
        <v>278</v>
      </c>
      <c r="H698" s="1" t="s">
        <v>304</v>
      </c>
      <c r="I698" s="1" t="s">
        <v>68</v>
      </c>
      <c r="J698" s="1" t="s">
        <v>1710</v>
      </c>
      <c r="K698" s="1" t="s">
        <v>294</v>
      </c>
      <c r="L698" s="1" t="s">
        <v>111</v>
      </c>
      <c r="M698" s="1" t="s">
        <v>68</v>
      </c>
      <c r="N698" s="1" t="s">
        <v>71</v>
      </c>
      <c r="O698" s="1" t="s">
        <v>68</v>
      </c>
      <c r="P698" s="1" t="s">
        <v>72</v>
      </c>
      <c r="Q698" s="1" t="s">
        <v>68</v>
      </c>
      <c r="R698" s="1" t="s">
        <v>68</v>
      </c>
      <c r="S698" s="1" t="s">
        <v>68</v>
      </c>
      <c r="T698" s="1" t="s">
        <v>68</v>
      </c>
      <c r="U698" s="1" t="s">
        <v>68</v>
      </c>
      <c r="V698" s="1" t="s">
        <v>68</v>
      </c>
      <c r="W698" s="1" t="s">
        <v>68</v>
      </c>
      <c r="X698" s="1" t="s">
        <v>68</v>
      </c>
      <c r="Y698" s="73"/>
      <c r="Z698" s="2" t="s">
        <v>80</v>
      </c>
      <c r="AA698" s="3">
        <v>9976.39</v>
      </c>
      <c r="AB698" s="4">
        <v>0</v>
      </c>
      <c r="AC698" s="73">
        <v>46228</v>
      </c>
      <c r="AD698" s="73">
        <v>46228</v>
      </c>
      <c r="AE698" s="73"/>
      <c r="AF698" s="73">
        <v>46228</v>
      </c>
      <c r="AG698" s="3">
        <v>9976390</v>
      </c>
      <c r="AH698" s="353" t="str">
        <f t="shared" si="72"/>
        <v/>
      </c>
      <c r="AI698" s="3" t="str">
        <f t="shared" si="73"/>
        <v>54</v>
      </c>
      <c r="AJ698" s="64" t="e">
        <f>VLOOKUP(T698,'GL Name'!A:B,2,0)</f>
        <v>#N/A</v>
      </c>
      <c r="AL698" s="13">
        <f t="shared" si="74"/>
        <v>0</v>
      </c>
      <c r="AM698" s="13" t="e">
        <f>VLOOKUP(I698,'Order 301-305 (เรียง)'!A:B,2,0)</f>
        <v>#N/A</v>
      </c>
      <c r="AN698" t="e">
        <f>VLOOKUP(I698,'Order 301-305 (เรียง)'!A:C,3,0)</f>
        <v>#N/A</v>
      </c>
    </row>
    <row r="699" spans="1:40" x14ac:dyDescent="0.3">
      <c r="A699" s="1" t="s">
        <v>17</v>
      </c>
      <c r="B699" s="1" t="s">
        <v>18</v>
      </c>
      <c r="C699" s="1" t="s">
        <v>64</v>
      </c>
      <c r="D699" s="1" t="s">
        <v>125</v>
      </c>
      <c r="E699" s="1" t="s">
        <v>289</v>
      </c>
      <c r="F699" s="1" t="s">
        <v>1708</v>
      </c>
      <c r="G699" s="1" t="s">
        <v>232</v>
      </c>
      <c r="H699" s="1" t="s">
        <v>304</v>
      </c>
      <c r="I699" s="1" t="s">
        <v>68</v>
      </c>
      <c r="J699" s="1" t="s">
        <v>1710</v>
      </c>
      <c r="K699" s="1" t="s">
        <v>294</v>
      </c>
      <c r="L699" s="1" t="s">
        <v>95</v>
      </c>
      <c r="M699" s="1" t="s">
        <v>68</v>
      </c>
      <c r="N699" s="1" t="s">
        <v>71</v>
      </c>
      <c r="O699" s="1" t="s">
        <v>68</v>
      </c>
      <c r="P699" s="1" t="s">
        <v>72</v>
      </c>
      <c r="Q699" s="1" t="s">
        <v>68</v>
      </c>
      <c r="R699" s="1" t="s">
        <v>68</v>
      </c>
      <c r="S699" s="1" t="s">
        <v>68</v>
      </c>
      <c r="T699" s="1" t="s">
        <v>68</v>
      </c>
      <c r="U699" s="1" t="s">
        <v>68</v>
      </c>
      <c r="V699" s="1" t="s">
        <v>68</v>
      </c>
      <c r="W699" s="1" t="s">
        <v>68</v>
      </c>
      <c r="X699" s="1" t="s">
        <v>68</v>
      </c>
      <c r="Y699" s="73"/>
      <c r="Z699" s="2" t="s">
        <v>80</v>
      </c>
      <c r="AA699" s="3">
        <v>-9976.39</v>
      </c>
      <c r="AB699" s="4">
        <v>0</v>
      </c>
      <c r="AC699" s="73">
        <v>46228</v>
      </c>
      <c r="AD699" s="73">
        <v>46228</v>
      </c>
      <c r="AE699" s="73"/>
      <c r="AF699" s="73">
        <v>46228</v>
      </c>
      <c r="AG699" s="3">
        <v>-9976390</v>
      </c>
      <c r="AH699" s="353" t="str">
        <f t="shared" si="72"/>
        <v/>
      </c>
      <c r="AI699" s="3" t="str">
        <f t="shared" si="73"/>
        <v>54</v>
      </c>
      <c r="AJ699" s="64" t="e">
        <f>VLOOKUP(T699,'GL Name'!A:B,2,0)</f>
        <v>#N/A</v>
      </c>
      <c r="AL699" s="13">
        <f t="shared" si="74"/>
        <v>0</v>
      </c>
      <c r="AM699" s="13" t="e">
        <f>VLOOKUP(I699,'Order 301-305 (เรียง)'!A:B,2,0)</f>
        <v>#N/A</v>
      </c>
      <c r="AN699" t="e">
        <f>VLOOKUP(I699,'Order 301-305 (เรียง)'!A:C,3,0)</f>
        <v>#N/A</v>
      </c>
    </row>
    <row r="700" spans="1:40" x14ac:dyDescent="0.3">
      <c r="A700" s="1" t="s">
        <v>9</v>
      </c>
      <c r="B700" s="1" t="s">
        <v>10</v>
      </c>
      <c r="C700" s="1" t="s">
        <v>64</v>
      </c>
      <c r="D700" s="1" t="s">
        <v>87</v>
      </c>
      <c r="E700" s="1" t="s">
        <v>88</v>
      </c>
      <c r="F700" s="1" t="s">
        <v>1712</v>
      </c>
      <c r="G700" s="1" t="s">
        <v>278</v>
      </c>
      <c r="H700" s="1" t="s">
        <v>1709</v>
      </c>
      <c r="I700" s="1" t="s">
        <v>68</v>
      </c>
      <c r="J700" s="1" t="s">
        <v>1713</v>
      </c>
      <c r="K700" s="1" t="s">
        <v>290</v>
      </c>
      <c r="L700" s="1" t="s">
        <v>70</v>
      </c>
      <c r="M700" s="1" t="s">
        <v>68</v>
      </c>
      <c r="N700" s="1" t="s">
        <v>71</v>
      </c>
      <c r="O700" s="1" t="s">
        <v>68</v>
      </c>
      <c r="P700" s="1" t="s">
        <v>1714</v>
      </c>
      <c r="Q700" s="1" t="s">
        <v>68</v>
      </c>
      <c r="R700" s="1" t="s">
        <v>1715</v>
      </c>
      <c r="S700" s="1" t="s">
        <v>90</v>
      </c>
      <c r="T700" s="1" t="s">
        <v>91</v>
      </c>
      <c r="U700" s="1" t="s">
        <v>68</v>
      </c>
      <c r="V700" s="1" t="s">
        <v>68</v>
      </c>
      <c r="W700" s="1" t="s">
        <v>68</v>
      </c>
      <c r="X700" s="1" t="s">
        <v>68</v>
      </c>
      <c r="Y700" s="73"/>
      <c r="Z700" s="2" t="s">
        <v>265</v>
      </c>
      <c r="AA700" s="3">
        <v>-500</v>
      </c>
      <c r="AB700" s="4">
        <v>-132.21</v>
      </c>
      <c r="AC700" s="73">
        <v>46224</v>
      </c>
      <c r="AD700" s="73">
        <v>46224</v>
      </c>
      <c r="AE700" s="73"/>
      <c r="AF700" s="73">
        <v>46228</v>
      </c>
      <c r="AG700" s="3">
        <v>-500</v>
      </c>
      <c r="AH700" s="353" t="str">
        <f t="shared" si="72"/>
        <v/>
      </c>
      <c r="AI700" s="3" t="str">
        <f t="shared" si="73"/>
        <v>54</v>
      </c>
      <c r="AJ700" s="64" t="str">
        <f>VLOOKUP(T700,'GL Name'!A:B,2,0)</f>
        <v>ค่าวิจัยคุณภาพสินค้า</v>
      </c>
      <c r="AL700" s="13">
        <f t="shared" si="74"/>
        <v>0.26441999999999999</v>
      </c>
      <c r="AM700" s="13" t="e">
        <f>VLOOKUP(I700,'Order 301-305 (เรียง)'!A:B,2,0)</f>
        <v>#N/A</v>
      </c>
      <c r="AN700" t="e">
        <f>VLOOKUP(I700,'Order 301-305 (เรียง)'!A:C,3,0)</f>
        <v>#N/A</v>
      </c>
    </row>
    <row r="701" spans="1:40" x14ac:dyDescent="0.3">
      <c r="A701" s="1" t="s">
        <v>9</v>
      </c>
      <c r="B701" s="1" t="s">
        <v>10</v>
      </c>
      <c r="C701" s="1" t="s">
        <v>64</v>
      </c>
      <c r="D701" s="1" t="s">
        <v>87</v>
      </c>
      <c r="E701" s="1" t="s">
        <v>88</v>
      </c>
      <c r="F701" s="1" t="s">
        <v>1716</v>
      </c>
      <c r="G701" s="1" t="s">
        <v>278</v>
      </c>
      <c r="H701" s="1" t="s">
        <v>944</v>
      </c>
      <c r="I701" s="1" t="s">
        <v>68</v>
      </c>
      <c r="J701" s="1" t="s">
        <v>1717</v>
      </c>
      <c r="K701" s="1" t="s">
        <v>290</v>
      </c>
      <c r="L701" s="1" t="s">
        <v>70</v>
      </c>
      <c r="M701" s="1" t="s">
        <v>68</v>
      </c>
      <c r="N701" s="1" t="s">
        <v>71</v>
      </c>
      <c r="O701" s="1" t="s">
        <v>68</v>
      </c>
      <c r="P701" s="1" t="s">
        <v>1718</v>
      </c>
      <c r="Q701" s="1" t="s">
        <v>68</v>
      </c>
      <c r="R701" s="1" t="s">
        <v>1719</v>
      </c>
      <c r="S701" s="1" t="s">
        <v>90</v>
      </c>
      <c r="T701" s="1" t="s">
        <v>91</v>
      </c>
      <c r="U701" s="1" t="s">
        <v>68</v>
      </c>
      <c r="V701" s="1" t="s">
        <v>68</v>
      </c>
      <c r="W701" s="1" t="s">
        <v>68</v>
      </c>
      <c r="X701" s="1" t="s">
        <v>68</v>
      </c>
      <c r="Y701" s="73"/>
      <c r="Z701" s="2" t="s">
        <v>265</v>
      </c>
      <c r="AA701" s="3">
        <v>-500</v>
      </c>
      <c r="AB701" s="4">
        <v>-132.21</v>
      </c>
      <c r="AC701" s="73">
        <v>46213</v>
      </c>
      <c r="AD701" s="73">
        <v>46213</v>
      </c>
      <c r="AE701" s="73"/>
      <c r="AF701" s="73">
        <v>46228</v>
      </c>
      <c r="AG701" s="3">
        <v>-500</v>
      </c>
      <c r="AH701" s="353" t="str">
        <f t="shared" si="72"/>
        <v/>
      </c>
      <c r="AI701" s="3" t="str">
        <f t="shared" si="73"/>
        <v>54</v>
      </c>
      <c r="AJ701" s="64" t="str">
        <f>VLOOKUP(T701,'GL Name'!A:B,2,0)</f>
        <v>ค่าวิจัยคุณภาพสินค้า</v>
      </c>
      <c r="AL701" s="13">
        <f t="shared" si="74"/>
        <v>0.26441999999999999</v>
      </c>
      <c r="AM701" s="13" t="e">
        <f>VLOOKUP(I701,'Order 301-305 (เรียง)'!A:B,2,0)</f>
        <v>#N/A</v>
      </c>
      <c r="AN701" t="e">
        <f>VLOOKUP(I701,'Order 301-305 (เรียง)'!A:C,3,0)</f>
        <v>#N/A</v>
      </c>
    </row>
    <row r="702" spans="1:40" x14ac:dyDescent="0.3">
      <c r="A702" s="1" t="s">
        <v>17</v>
      </c>
      <c r="B702" s="1" t="s">
        <v>18</v>
      </c>
      <c r="C702" s="1" t="s">
        <v>64</v>
      </c>
      <c r="D702" s="1" t="s">
        <v>87</v>
      </c>
      <c r="E702" s="1" t="s">
        <v>88</v>
      </c>
      <c r="F702" s="1" t="s">
        <v>1716</v>
      </c>
      <c r="G702" s="1" t="s">
        <v>278</v>
      </c>
      <c r="H702" s="1" t="s">
        <v>304</v>
      </c>
      <c r="I702" s="1" t="s">
        <v>68</v>
      </c>
      <c r="J702" s="1" t="s">
        <v>1717</v>
      </c>
      <c r="K702" s="1" t="s">
        <v>290</v>
      </c>
      <c r="L702" s="1" t="s">
        <v>86</v>
      </c>
      <c r="M702" s="1" t="s">
        <v>68</v>
      </c>
      <c r="N702" s="1" t="s">
        <v>71</v>
      </c>
      <c r="O702" s="1" t="s">
        <v>68</v>
      </c>
      <c r="P702" s="1" t="s">
        <v>1718</v>
      </c>
      <c r="Q702" s="1" t="s">
        <v>68</v>
      </c>
      <c r="R702" s="1" t="s">
        <v>1720</v>
      </c>
      <c r="S702" s="1" t="s">
        <v>90</v>
      </c>
      <c r="T702" s="1" t="s">
        <v>91</v>
      </c>
      <c r="U702" s="1" t="s">
        <v>68</v>
      </c>
      <c r="V702" s="1" t="s">
        <v>68</v>
      </c>
      <c r="W702" s="1" t="s">
        <v>68</v>
      </c>
      <c r="X702" s="1" t="s">
        <v>68</v>
      </c>
      <c r="Y702" s="73"/>
      <c r="Z702" s="2" t="s">
        <v>265</v>
      </c>
      <c r="AA702" s="3">
        <v>-500</v>
      </c>
      <c r="AB702" s="4">
        <v>-77.569999999999993</v>
      </c>
      <c r="AC702" s="73">
        <v>46213</v>
      </c>
      <c r="AD702" s="73">
        <v>46213</v>
      </c>
      <c r="AE702" s="73"/>
      <c r="AF702" s="73">
        <v>46228</v>
      </c>
      <c r="AG702" s="3">
        <v>-500</v>
      </c>
      <c r="AH702" s="353" t="str">
        <f t="shared" si="72"/>
        <v/>
      </c>
      <c r="AI702" s="3" t="str">
        <f t="shared" si="73"/>
        <v>54</v>
      </c>
      <c r="AJ702" s="64" t="str">
        <f>VLOOKUP(T702,'GL Name'!A:B,2,0)</f>
        <v>ค่าวิจัยคุณภาพสินค้า</v>
      </c>
      <c r="AL702" s="13">
        <f t="shared" si="74"/>
        <v>0.15514</v>
      </c>
      <c r="AM702" s="13" t="e">
        <f>VLOOKUP(I702,'Order 301-305 (เรียง)'!A:B,2,0)</f>
        <v>#N/A</v>
      </c>
      <c r="AN702" t="e">
        <f>VLOOKUP(I702,'Order 301-305 (เรียง)'!A:C,3,0)</f>
        <v>#N/A</v>
      </c>
    </row>
    <row r="703" spans="1:40" x14ac:dyDescent="0.3">
      <c r="A703" s="1" t="s">
        <v>9</v>
      </c>
      <c r="B703" s="1" t="s">
        <v>10</v>
      </c>
      <c r="C703" s="1" t="s">
        <v>64</v>
      </c>
      <c r="D703" s="1" t="s">
        <v>87</v>
      </c>
      <c r="E703" s="1" t="s">
        <v>88</v>
      </c>
      <c r="F703" s="1" t="s">
        <v>1721</v>
      </c>
      <c r="G703" s="1" t="s">
        <v>278</v>
      </c>
      <c r="H703" s="1" t="s">
        <v>1709</v>
      </c>
      <c r="I703" s="1" t="s">
        <v>68</v>
      </c>
      <c r="J703" s="1" t="s">
        <v>1722</v>
      </c>
      <c r="K703" s="1" t="s">
        <v>290</v>
      </c>
      <c r="L703" s="1" t="s">
        <v>86</v>
      </c>
      <c r="M703" s="1" t="s">
        <v>68</v>
      </c>
      <c r="N703" s="1" t="s">
        <v>71</v>
      </c>
      <c r="O703" s="1" t="s">
        <v>68</v>
      </c>
      <c r="P703" s="1" t="s">
        <v>1723</v>
      </c>
      <c r="Q703" s="1" t="s">
        <v>68</v>
      </c>
      <c r="R703" s="1" t="s">
        <v>1725</v>
      </c>
      <c r="S703" s="1" t="s">
        <v>90</v>
      </c>
      <c r="T703" s="1" t="s">
        <v>91</v>
      </c>
      <c r="U703" s="1" t="s">
        <v>68</v>
      </c>
      <c r="V703" s="1" t="s">
        <v>68</v>
      </c>
      <c r="W703" s="1" t="s">
        <v>68</v>
      </c>
      <c r="X703" s="1" t="s">
        <v>68</v>
      </c>
      <c r="Y703" s="73"/>
      <c r="Z703" s="2" t="s">
        <v>265</v>
      </c>
      <c r="AA703" s="3">
        <v>-500</v>
      </c>
      <c r="AB703" s="4">
        <v>-132.21</v>
      </c>
      <c r="AC703" s="73">
        <v>46216</v>
      </c>
      <c r="AD703" s="73">
        <v>46216</v>
      </c>
      <c r="AE703" s="73"/>
      <c r="AF703" s="73">
        <v>46228</v>
      </c>
      <c r="AG703" s="3">
        <v>-500</v>
      </c>
      <c r="AH703" s="353" t="str">
        <f t="shared" si="72"/>
        <v/>
      </c>
      <c r="AI703" s="3" t="str">
        <f t="shared" si="73"/>
        <v>54</v>
      </c>
      <c r="AJ703" s="64" t="str">
        <f>VLOOKUP(T703,'GL Name'!A:B,2,0)</f>
        <v>ค่าวิจัยคุณภาพสินค้า</v>
      </c>
      <c r="AL703" s="13">
        <f t="shared" si="74"/>
        <v>0.26441999999999999</v>
      </c>
      <c r="AM703" s="13" t="e">
        <f>VLOOKUP(I703,'Order 301-305 (เรียง)'!A:B,2,0)</f>
        <v>#N/A</v>
      </c>
      <c r="AN703" t="e">
        <f>VLOOKUP(I703,'Order 301-305 (เรียง)'!A:C,3,0)</f>
        <v>#N/A</v>
      </c>
    </row>
    <row r="704" spans="1:40" x14ac:dyDescent="0.3">
      <c r="A704" s="1" t="s">
        <v>9</v>
      </c>
      <c r="B704" s="1" t="s">
        <v>10</v>
      </c>
      <c r="C704" s="1" t="s">
        <v>64</v>
      </c>
      <c r="D704" s="1" t="s">
        <v>87</v>
      </c>
      <c r="E704" s="1" t="s">
        <v>88</v>
      </c>
      <c r="F704" s="1" t="s">
        <v>1721</v>
      </c>
      <c r="G704" s="1" t="s">
        <v>278</v>
      </c>
      <c r="H704" s="1" t="s">
        <v>944</v>
      </c>
      <c r="I704" s="1" t="s">
        <v>68</v>
      </c>
      <c r="J704" s="1" t="s">
        <v>1722</v>
      </c>
      <c r="K704" s="1" t="s">
        <v>290</v>
      </c>
      <c r="L704" s="1" t="s">
        <v>70</v>
      </c>
      <c r="M704" s="1" t="s">
        <v>68</v>
      </c>
      <c r="N704" s="1" t="s">
        <v>71</v>
      </c>
      <c r="O704" s="1" t="s">
        <v>68</v>
      </c>
      <c r="P704" s="1" t="s">
        <v>1723</v>
      </c>
      <c r="Q704" s="1" t="s">
        <v>68</v>
      </c>
      <c r="R704" s="1" t="s">
        <v>1724</v>
      </c>
      <c r="S704" s="1" t="s">
        <v>90</v>
      </c>
      <c r="T704" s="1" t="s">
        <v>91</v>
      </c>
      <c r="U704" s="1" t="s">
        <v>68</v>
      </c>
      <c r="V704" s="1" t="s">
        <v>68</v>
      </c>
      <c r="W704" s="1" t="s">
        <v>68</v>
      </c>
      <c r="X704" s="1" t="s">
        <v>68</v>
      </c>
      <c r="Y704" s="73"/>
      <c r="Z704" s="2" t="s">
        <v>265</v>
      </c>
      <c r="AA704" s="3">
        <v>-500</v>
      </c>
      <c r="AB704" s="4">
        <v>-132.21</v>
      </c>
      <c r="AC704" s="73">
        <v>46216</v>
      </c>
      <c r="AD704" s="73">
        <v>46216</v>
      </c>
      <c r="AE704" s="73"/>
      <c r="AF704" s="73">
        <v>46228</v>
      </c>
      <c r="AG704" s="3">
        <v>-500</v>
      </c>
      <c r="AH704" s="353" t="str">
        <f t="shared" si="72"/>
        <v/>
      </c>
      <c r="AI704" s="3" t="str">
        <f t="shared" si="73"/>
        <v>54</v>
      </c>
      <c r="AJ704" s="64" t="str">
        <f>VLOOKUP(T704,'GL Name'!A:B,2,0)</f>
        <v>ค่าวิจัยคุณภาพสินค้า</v>
      </c>
      <c r="AL704" s="13">
        <f t="shared" si="74"/>
        <v>0.26441999999999999</v>
      </c>
      <c r="AM704" s="13" t="e">
        <f>VLOOKUP(I704,'Order 301-305 (เรียง)'!A:B,2,0)</f>
        <v>#N/A</v>
      </c>
      <c r="AN704" t="e">
        <f>VLOOKUP(I704,'Order 301-305 (เรียง)'!A:C,3,0)</f>
        <v>#N/A</v>
      </c>
    </row>
    <row r="705" spans="1:40" x14ac:dyDescent="0.3">
      <c r="A705" s="1" t="s">
        <v>9</v>
      </c>
      <c r="B705" s="1" t="s">
        <v>10</v>
      </c>
      <c r="C705" s="1" t="s">
        <v>64</v>
      </c>
      <c r="D705" s="1" t="s">
        <v>87</v>
      </c>
      <c r="E705" s="1" t="s">
        <v>88</v>
      </c>
      <c r="F705" s="1" t="s">
        <v>1726</v>
      </c>
      <c r="G705" s="1" t="s">
        <v>278</v>
      </c>
      <c r="H705" s="1" t="s">
        <v>944</v>
      </c>
      <c r="I705" s="1" t="s">
        <v>68</v>
      </c>
      <c r="J705" s="1" t="s">
        <v>1727</v>
      </c>
      <c r="K705" s="1" t="s">
        <v>290</v>
      </c>
      <c r="L705" s="1" t="s">
        <v>70</v>
      </c>
      <c r="M705" s="1" t="s">
        <v>68</v>
      </c>
      <c r="N705" s="1" t="s">
        <v>71</v>
      </c>
      <c r="O705" s="1" t="s">
        <v>68</v>
      </c>
      <c r="P705" s="1" t="s">
        <v>1728</v>
      </c>
      <c r="Q705" s="1" t="s">
        <v>68</v>
      </c>
      <c r="R705" s="1" t="s">
        <v>1729</v>
      </c>
      <c r="S705" s="1" t="s">
        <v>90</v>
      </c>
      <c r="T705" s="1" t="s">
        <v>91</v>
      </c>
      <c r="U705" s="1" t="s">
        <v>68</v>
      </c>
      <c r="V705" s="1" t="s">
        <v>68</v>
      </c>
      <c r="W705" s="1" t="s">
        <v>68</v>
      </c>
      <c r="X705" s="1" t="s">
        <v>68</v>
      </c>
      <c r="Y705" s="73"/>
      <c r="Z705" s="2" t="s">
        <v>265</v>
      </c>
      <c r="AA705" s="3">
        <v>-500</v>
      </c>
      <c r="AB705" s="4">
        <v>-132.21</v>
      </c>
      <c r="AC705" s="73">
        <v>46218</v>
      </c>
      <c r="AD705" s="73">
        <v>46218</v>
      </c>
      <c r="AE705" s="73"/>
      <c r="AF705" s="73">
        <v>46228</v>
      </c>
      <c r="AG705" s="3">
        <v>-500</v>
      </c>
      <c r="AH705" s="353" t="str">
        <f t="shared" si="72"/>
        <v/>
      </c>
      <c r="AI705" s="3" t="str">
        <f t="shared" si="73"/>
        <v>54</v>
      </c>
      <c r="AJ705" s="64" t="str">
        <f>VLOOKUP(T705,'GL Name'!A:B,2,0)</f>
        <v>ค่าวิจัยคุณภาพสินค้า</v>
      </c>
      <c r="AL705" s="13">
        <f t="shared" si="74"/>
        <v>0.26441999999999999</v>
      </c>
      <c r="AM705" s="13" t="e">
        <f>VLOOKUP(I705,'Order 301-305 (เรียง)'!A:B,2,0)</f>
        <v>#N/A</v>
      </c>
      <c r="AN705" t="e">
        <f>VLOOKUP(I705,'Order 301-305 (เรียง)'!A:C,3,0)</f>
        <v>#N/A</v>
      </c>
    </row>
    <row r="706" spans="1:40" x14ac:dyDescent="0.3">
      <c r="A706" s="1" t="s">
        <v>17</v>
      </c>
      <c r="B706" s="1" t="s">
        <v>18</v>
      </c>
      <c r="C706" s="1" t="s">
        <v>64</v>
      </c>
      <c r="D706" s="1" t="s">
        <v>87</v>
      </c>
      <c r="E706" s="1" t="s">
        <v>88</v>
      </c>
      <c r="F706" s="1" t="s">
        <v>1726</v>
      </c>
      <c r="G706" s="1" t="s">
        <v>278</v>
      </c>
      <c r="H706" s="1" t="s">
        <v>304</v>
      </c>
      <c r="I706" s="1" t="s">
        <v>68</v>
      </c>
      <c r="J706" s="1" t="s">
        <v>1727</v>
      </c>
      <c r="K706" s="1" t="s">
        <v>290</v>
      </c>
      <c r="L706" s="1" t="s">
        <v>86</v>
      </c>
      <c r="M706" s="1" t="s">
        <v>68</v>
      </c>
      <c r="N706" s="1" t="s">
        <v>71</v>
      </c>
      <c r="O706" s="1" t="s">
        <v>68</v>
      </c>
      <c r="P706" s="1" t="s">
        <v>1728</v>
      </c>
      <c r="Q706" s="1" t="s">
        <v>68</v>
      </c>
      <c r="R706" s="1" t="s">
        <v>1730</v>
      </c>
      <c r="S706" s="1" t="s">
        <v>90</v>
      </c>
      <c r="T706" s="1" t="s">
        <v>91</v>
      </c>
      <c r="U706" s="1" t="s">
        <v>68</v>
      </c>
      <c r="V706" s="1" t="s">
        <v>68</v>
      </c>
      <c r="W706" s="1" t="s">
        <v>68</v>
      </c>
      <c r="X706" s="1" t="s">
        <v>68</v>
      </c>
      <c r="Y706" s="73"/>
      <c r="Z706" s="2" t="s">
        <v>265</v>
      </c>
      <c r="AA706" s="3">
        <v>-500</v>
      </c>
      <c r="AB706" s="4">
        <v>-77.569999999999993</v>
      </c>
      <c r="AC706" s="73">
        <v>46218</v>
      </c>
      <c r="AD706" s="73">
        <v>46218</v>
      </c>
      <c r="AE706" s="73"/>
      <c r="AF706" s="73">
        <v>46228</v>
      </c>
      <c r="AG706" s="3">
        <v>-500</v>
      </c>
      <c r="AH706" s="353" t="str">
        <f t="shared" si="72"/>
        <v/>
      </c>
      <c r="AI706" s="3" t="str">
        <f t="shared" si="73"/>
        <v>54</v>
      </c>
      <c r="AJ706" s="64" t="str">
        <f>VLOOKUP(T706,'GL Name'!A:B,2,0)</f>
        <v>ค่าวิจัยคุณภาพสินค้า</v>
      </c>
      <c r="AL706" s="13">
        <f t="shared" si="74"/>
        <v>0.15514</v>
      </c>
      <c r="AM706" s="13" t="e">
        <f>VLOOKUP(I706,'Order 301-305 (เรียง)'!A:B,2,0)</f>
        <v>#N/A</v>
      </c>
      <c r="AN706" t="e">
        <f>VLOOKUP(I706,'Order 301-305 (เรียง)'!A:C,3,0)</f>
        <v>#N/A</v>
      </c>
    </row>
    <row r="707" spans="1:40" x14ac:dyDescent="0.3">
      <c r="A707" s="1" t="s">
        <v>9</v>
      </c>
      <c r="B707" s="1" t="s">
        <v>10</v>
      </c>
      <c r="C707" s="1" t="s">
        <v>64</v>
      </c>
      <c r="D707" s="1" t="s">
        <v>77</v>
      </c>
      <c r="E707" s="1" t="s">
        <v>78</v>
      </c>
      <c r="F707" s="1" t="s">
        <v>1731</v>
      </c>
      <c r="G707" s="1" t="s">
        <v>278</v>
      </c>
      <c r="H707" s="1" t="s">
        <v>1709</v>
      </c>
      <c r="I707" s="1" t="s">
        <v>1732</v>
      </c>
      <c r="J707" s="1" t="s">
        <v>1733</v>
      </c>
      <c r="K707" s="1" t="s">
        <v>290</v>
      </c>
      <c r="L707" s="1" t="s">
        <v>70</v>
      </c>
      <c r="M707" s="1" t="s">
        <v>68</v>
      </c>
      <c r="N707" s="1" t="s">
        <v>71</v>
      </c>
      <c r="O707" s="1" t="s">
        <v>68</v>
      </c>
      <c r="P707" s="1" t="s">
        <v>1734</v>
      </c>
      <c r="Q707" s="1" t="s">
        <v>68</v>
      </c>
      <c r="R707" s="1" t="s">
        <v>68</v>
      </c>
      <c r="S707" s="1" t="s">
        <v>68</v>
      </c>
      <c r="T707" s="1" t="s">
        <v>79</v>
      </c>
      <c r="U707" s="1" t="s">
        <v>68</v>
      </c>
      <c r="V707" s="1" t="s">
        <v>68</v>
      </c>
      <c r="W707" s="1" t="s">
        <v>68</v>
      </c>
      <c r="X707" s="1" t="s">
        <v>68</v>
      </c>
      <c r="Y707" s="73"/>
      <c r="Z707" s="2" t="s">
        <v>80</v>
      </c>
      <c r="AA707" s="3">
        <v>-29996</v>
      </c>
      <c r="AB707" s="4">
        <v>-7931674.1100000003</v>
      </c>
      <c r="AC707" s="73">
        <v>46228</v>
      </c>
      <c r="AD707" s="73">
        <v>46224</v>
      </c>
      <c r="AE707" s="73"/>
      <c r="AF707" s="73">
        <v>46228</v>
      </c>
      <c r="AG707" s="3">
        <v>-29996000</v>
      </c>
      <c r="AH707" s="353" t="str">
        <f t="shared" si="72"/>
        <v>301</v>
      </c>
      <c r="AI707" s="3" t="str">
        <f t="shared" si="73"/>
        <v>54</v>
      </c>
      <c r="AJ707" s="64" t="str">
        <f>VLOOKUP(T707,'GL Name'!A:B,2,0)</f>
        <v>ต้นทุนผลิต-วัตถุดิบ</v>
      </c>
      <c r="AL707" s="13">
        <f t="shared" si="74"/>
        <v>264.42439358581146</v>
      </c>
      <c r="AM707" s="13" t="str">
        <f>VLOOKUP(I707,'Order 301-305 (เรียง)'!A:B,2,0)</f>
        <v>Semi</v>
      </c>
      <c r="AN707" t="str">
        <f>VLOOKUP(I707,'Order 301-305 (เรียง)'!A:C,3,0)</f>
        <v>Semi เมล็ดกาแฟ</v>
      </c>
    </row>
    <row r="708" spans="1:40" x14ac:dyDescent="0.3">
      <c r="A708" s="1" t="s">
        <v>17</v>
      </c>
      <c r="B708" s="1" t="s">
        <v>18</v>
      </c>
      <c r="C708" s="1" t="s">
        <v>64</v>
      </c>
      <c r="D708" s="1" t="s">
        <v>77</v>
      </c>
      <c r="E708" s="1" t="s">
        <v>78</v>
      </c>
      <c r="F708" s="1" t="s">
        <v>1735</v>
      </c>
      <c r="G708" s="1" t="s">
        <v>278</v>
      </c>
      <c r="H708" s="1" t="s">
        <v>304</v>
      </c>
      <c r="I708" s="1" t="s">
        <v>1736</v>
      </c>
      <c r="J708" s="1" t="s">
        <v>1737</v>
      </c>
      <c r="K708" s="1" t="s">
        <v>290</v>
      </c>
      <c r="L708" s="1" t="s">
        <v>70</v>
      </c>
      <c r="M708" s="1" t="s">
        <v>68</v>
      </c>
      <c r="N708" s="1" t="s">
        <v>71</v>
      </c>
      <c r="O708" s="1" t="s">
        <v>68</v>
      </c>
      <c r="P708" s="1" t="s">
        <v>1738</v>
      </c>
      <c r="Q708" s="1" t="s">
        <v>68</v>
      </c>
      <c r="R708" s="1" t="s">
        <v>68</v>
      </c>
      <c r="S708" s="1" t="s">
        <v>68</v>
      </c>
      <c r="T708" s="1" t="s">
        <v>79</v>
      </c>
      <c r="U708" s="1" t="s">
        <v>68</v>
      </c>
      <c r="V708" s="1" t="s">
        <v>68</v>
      </c>
      <c r="W708" s="1" t="s">
        <v>68</v>
      </c>
      <c r="X708" s="1" t="s">
        <v>68</v>
      </c>
      <c r="Y708" s="73"/>
      <c r="Z708" s="2" t="s">
        <v>80</v>
      </c>
      <c r="AA708" s="3">
        <v>-9981.2999999999993</v>
      </c>
      <c r="AB708" s="4">
        <v>-1548504.05</v>
      </c>
      <c r="AC708" s="73">
        <v>46228</v>
      </c>
      <c r="AD708" s="73">
        <v>46225</v>
      </c>
      <c r="AE708" s="73"/>
      <c r="AF708" s="73">
        <v>46228</v>
      </c>
      <c r="AG708" s="3">
        <v>-9981300</v>
      </c>
      <c r="AH708" s="353" t="str">
        <f t="shared" si="72"/>
        <v>301</v>
      </c>
      <c r="AI708" s="3" t="str">
        <f t="shared" si="73"/>
        <v>54</v>
      </c>
      <c r="AJ708" s="64" t="str">
        <f>VLOOKUP(T708,'GL Name'!A:B,2,0)</f>
        <v>ต้นทุนผลิต-วัตถุดิบ</v>
      </c>
      <c r="AL708" s="13">
        <f t="shared" si="74"/>
        <v>155.1405177682266</v>
      </c>
      <c r="AM708" s="13" t="str">
        <f>VLOOKUP(I708,'Order 301-305 (เรียง)'!A:B,2,0)</f>
        <v>Semi</v>
      </c>
      <c r="AN708" t="str">
        <f>VLOOKUP(I708,'Order 301-305 (เรียง)'!A:C,3,0)</f>
        <v>Semi เมล็ดกาแฟ</v>
      </c>
    </row>
    <row r="709" spans="1:40" x14ac:dyDescent="0.3">
      <c r="A709" s="1" t="s">
        <v>81</v>
      </c>
      <c r="B709" s="1" t="s">
        <v>82</v>
      </c>
      <c r="C709" s="1" t="s">
        <v>64</v>
      </c>
      <c r="D709" s="1" t="s">
        <v>87</v>
      </c>
      <c r="E709" s="1" t="s">
        <v>88</v>
      </c>
      <c r="F709" s="1" t="s">
        <v>1739</v>
      </c>
      <c r="G709" s="1" t="s">
        <v>83</v>
      </c>
      <c r="H709" s="1" t="s">
        <v>1406</v>
      </c>
      <c r="I709" s="1" t="s">
        <v>68</v>
      </c>
      <c r="J709" s="1" t="s">
        <v>1740</v>
      </c>
      <c r="K709" s="1" t="s">
        <v>223</v>
      </c>
      <c r="L709" s="1" t="s">
        <v>70</v>
      </c>
      <c r="M709" s="1" t="s">
        <v>68</v>
      </c>
      <c r="N709" s="1" t="s">
        <v>71</v>
      </c>
      <c r="O709" s="1" t="s">
        <v>68</v>
      </c>
      <c r="P709" s="1" t="s">
        <v>1741</v>
      </c>
      <c r="Q709" s="1" t="s">
        <v>68</v>
      </c>
      <c r="R709" s="1" t="s">
        <v>1744</v>
      </c>
      <c r="S709" s="1" t="s">
        <v>90</v>
      </c>
      <c r="T709" s="1" t="s">
        <v>91</v>
      </c>
      <c r="U709" s="1" t="s">
        <v>68</v>
      </c>
      <c r="V709" s="1" t="s">
        <v>68</v>
      </c>
      <c r="W709" s="1" t="s">
        <v>68</v>
      </c>
      <c r="X709" s="1" t="s">
        <v>68</v>
      </c>
      <c r="Y709" s="73"/>
      <c r="Z709" s="2" t="s">
        <v>74</v>
      </c>
      <c r="AA709" s="3">
        <v>-6</v>
      </c>
      <c r="AB709" s="4">
        <v>-1019.16</v>
      </c>
      <c r="AC709" s="73">
        <v>46228</v>
      </c>
      <c r="AD709" s="73">
        <v>46228</v>
      </c>
      <c r="AE709" s="73"/>
      <c r="AF709" s="73">
        <v>46228</v>
      </c>
      <c r="AG709" s="3">
        <v>-3000</v>
      </c>
      <c r="AH709" s="353" t="str">
        <f t="shared" si="72"/>
        <v/>
      </c>
      <c r="AI709" s="3" t="str">
        <f t="shared" si="73"/>
        <v>59</v>
      </c>
      <c r="AJ709" s="64" t="str">
        <f>VLOOKUP(T709,'GL Name'!A:B,2,0)</f>
        <v>ค่าวิจัยคุณภาพสินค้า</v>
      </c>
      <c r="AL709" s="13">
        <f t="shared" si="74"/>
        <v>169.85999999999999</v>
      </c>
      <c r="AM709" s="13" t="e">
        <f>VLOOKUP(I709,'Order 301-305 (เรียง)'!A:B,2,0)</f>
        <v>#N/A</v>
      </c>
      <c r="AN709" t="e">
        <f>VLOOKUP(I709,'Order 301-305 (เรียง)'!A:C,3,0)</f>
        <v>#N/A</v>
      </c>
    </row>
    <row r="710" spans="1:40" x14ac:dyDescent="0.3">
      <c r="A710" s="1" t="s">
        <v>81</v>
      </c>
      <c r="B710" s="1" t="s">
        <v>82</v>
      </c>
      <c r="C710" s="1" t="s">
        <v>64</v>
      </c>
      <c r="D710" s="1" t="s">
        <v>87</v>
      </c>
      <c r="E710" s="1" t="s">
        <v>88</v>
      </c>
      <c r="F710" s="1" t="s">
        <v>1739</v>
      </c>
      <c r="G710" s="1" t="s">
        <v>83</v>
      </c>
      <c r="H710" s="1" t="s">
        <v>1406</v>
      </c>
      <c r="I710" s="1" t="s">
        <v>68</v>
      </c>
      <c r="J710" s="1" t="s">
        <v>1740</v>
      </c>
      <c r="K710" s="1" t="s">
        <v>223</v>
      </c>
      <c r="L710" s="1" t="s">
        <v>86</v>
      </c>
      <c r="M710" s="1" t="s">
        <v>68</v>
      </c>
      <c r="N710" s="1" t="s">
        <v>71</v>
      </c>
      <c r="O710" s="1" t="s">
        <v>68</v>
      </c>
      <c r="P710" s="1" t="s">
        <v>1741</v>
      </c>
      <c r="Q710" s="1" t="s">
        <v>68</v>
      </c>
      <c r="R710" s="1" t="s">
        <v>1743</v>
      </c>
      <c r="S710" s="1" t="s">
        <v>90</v>
      </c>
      <c r="T710" s="1" t="s">
        <v>91</v>
      </c>
      <c r="U710" s="1" t="s">
        <v>68</v>
      </c>
      <c r="V710" s="1" t="s">
        <v>68</v>
      </c>
      <c r="W710" s="1" t="s">
        <v>68</v>
      </c>
      <c r="X710" s="1" t="s">
        <v>68</v>
      </c>
      <c r="Y710" s="73"/>
      <c r="Z710" s="2" t="s">
        <v>74</v>
      </c>
      <c r="AA710" s="3">
        <v>-8</v>
      </c>
      <c r="AB710" s="4">
        <v>-1358.88</v>
      </c>
      <c r="AC710" s="73">
        <v>46228</v>
      </c>
      <c r="AD710" s="73">
        <v>46228</v>
      </c>
      <c r="AE710" s="73"/>
      <c r="AF710" s="73">
        <v>46228</v>
      </c>
      <c r="AG710" s="3">
        <v>-4000</v>
      </c>
      <c r="AH710" s="353" t="str">
        <f t="shared" si="72"/>
        <v/>
      </c>
      <c r="AI710" s="3" t="str">
        <f t="shared" si="73"/>
        <v>59</v>
      </c>
      <c r="AJ710" s="64" t="str">
        <f>VLOOKUP(T710,'GL Name'!A:B,2,0)</f>
        <v>ค่าวิจัยคุณภาพสินค้า</v>
      </c>
      <c r="AL710" s="13">
        <f t="shared" si="74"/>
        <v>169.86</v>
      </c>
      <c r="AM710" s="13" t="e">
        <f>VLOOKUP(I710,'Order 301-305 (เรียง)'!A:B,2,0)</f>
        <v>#N/A</v>
      </c>
      <c r="AN710" t="e">
        <f>VLOOKUP(I710,'Order 301-305 (เรียง)'!A:C,3,0)</f>
        <v>#N/A</v>
      </c>
    </row>
    <row r="711" spans="1:40" x14ac:dyDescent="0.3">
      <c r="A711" s="1" t="s">
        <v>81</v>
      </c>
      <c r="B711" s="1" t="s">
        <v>82</v>
      </c>
      <c r="C711" s="1" t="s">
        <v>64</v>
      </c>
      <c r="D711" s="1" t="s">
        <v>87</v>
      </c>
      <c r="E711" s="1" t="s">
        <v>88</v>
      </c>
      <c r="F711" s="1" t="s">
        <v>1739</v>
      </c>
      <c r="G711" s="1" t="s">
        <v>83</v>
      </c>
      <c r="H711" s="1" t="s">
        <v>1406</v>
      </c>
      <c r="I711" s="1" t="s">
        <v>68</v>
      </c>
      <c r="J711" s="1" t="s">
        <v>1740</v>
      </c>
      <c r="K711" s="1" t="s">
        <v>223</v>
      </c>
      <c r="L711" s="1" t="s">
        <v>92</v>
      </c>
      <c r="M711" s="1" t="s">
        <v>68</v>
      </c>
      <c r="N711" s="1" t="s">
        <v>71</v>
      </c>
      <c r="O711" s="1" t="s">
        <v>68</v>
      </c>
      <c r="P711" s="1" t="s">
        <v>1741</v>
      </c>
      <c r="Q711" s="1" t="s">
        <v>68</v>
      </c>
      <c r="R711" s="1" t="s">
        <v>1742</v>
      </c>
      <c r="S711" s="1" t="s">
        <v>90</v>
      </c>
      <c r="T711" s="1" t="s">
        <v>91</v>
      </c>
      <c r="U711" s="1" t="s">
        <v>68</v>
      </c>
      <c r="V711" s="1" t="s">
        <v>68</v>
      </c>
      <c r="W711" s="1" t="s">
        <v>68</v>
      </c>
      <c r="X711" s="1" t="s">
        <v>68</v>
      </c>
      <c r="Y711" s="73"/>
      <c r="Z711" s="2" t="s">
        <v>74</v>
      </c>
      <c r="AA711" s="3">
        <v>-1</v>
      </c>
      <c r="AB711" s="4">
        <v>-169.86</v>
      </c>
      <c r="AC711" s="73">
        <v>46228</v>
      </c>
      <c r="AD711" s="73">
        <v>46228</v>
      </c>
      <c r="AE711" s="73"/>
      <c r="AF711" s="73">
        <v>46228</v>
      </c>
      <c r="AG711" s="3">
        <v>-500</v>
      </c>
      <c r="AH711" s="353" t="str">
        <f t="shared" si="72"/>
        <v/>
      </c>
      <c r="AI711" s="3" t="str">
        <f t="shared" si="73"/>
        <v>59</v>
      </c>
      <c r="AJ711" s="64" t="str">
        <f>VLOOKUP(T711,'GL Name'!A:B,2,0)</f>
        <v>ค่าวิจัยคุณภาพสินค้า</v>
      </c>
      <c r="AL711" s="13">
        <f t="shared" si="74"/>
        <v>169.86</v>
      </c>
      <c r="AM711" s="13" t="e">
        <f>VLOOKUP(I711,'Order 301-305 (เรียง)'!A:B,2,0)</f>
        <v>#N/A</v>
      </c>
      <c r="AN711" t="e">
        <f>VLOOKUP(I711,'Order 301-305 (เรียง)'!A:C,3,0)</f>
        <v>#N/A</v>
      </c>
    </row>
    <row r="712" spans="1:40" x14ac:dyDescent="0.3">
      <c r="A712" s="1" t="s">
        <v>81</v>
      </c>
      <c r="B712" s="1" t="s">
        <v>82</v>
      </c>
      <c r="C712" s="1" t="s">
        <v>64</v>
      </c>
      <c r="D712" s="1" t="s">
        <v>87</v>
      </c>
      <c r="E712" s="1" t="s">
        <v>88</v>
      </c>
      <c r="F712" s="1" t="s">
        <v>1745</v>
      </c>
      <c r="G712" s="1" t="s">
        <v>83</v>
      </c>
      <c r="H712" s="1" t="s">
        <v>1406</v>
      </c>
      <c r="I712" s="1" t="s">
        <v>68</v>
      </c>
      <c r="J712" s="1" t="s">
        <v>1746</v>
      </c>
      <c r="K712" s="1" t="s">
        <v>223</v>
      </c>
      <c r="L712" s="1" t="s">
        <v>70</v>
      </c>
      <c r="M712" s="1" t="s">
        <v>68</v>
      </c>
      <c r="N712" s="1" t="s">
        <v>71</v>
      </c>
      <c r="O712" s="1" t="s">
        <v>68</v>
      </c>
      <c r="P712" s="1" t="s">
        <v>1747</v>
      </c>
      <c r="Q712" s="1" t="s">
        <v>68</v>
      </c>
      <c r="R712" s="1" t="s">
        <v>1749</v>
      </c>
      <c r="S712" s="1" t="s">
        <v>90</v>
      </c>
      <c r="T712" s="1" t="s">
        <v>91</v>
      </c>
      <c r="U712" s="1" t="s">
        <v>68</v>
      </c>
      <c r="V712" s="1" t="s">
        <v>68</v>
      </c>
      <c r="W712" s="1" t="s">
        <v>68</v>
      </c>
      <c r="X712" s="1" t="s">
        <v>68</v>
      </c>
      <c r="Y712" s="73"/>
      <c r="Z712" s="2" t="s">
        <v>74</v>
      </c>
      <c r="AA712" s="3">
        <v>-6</v>
      </c>
      <c r="AB712" s="4">
        <v>-1019.16</v>
      </c>
      <c r="AC712" s="73">
        <v>46228</v>
      </c>
      <c r="AD712" s="73">
        <v>46228</v>
      </c>
      <c r="AE712" s="73"/>
      <c r="AF712" s="73">
        <v>46228</v>
      </c>
      <c r="AG712" s="3">
        <v>-3000</v>
      </c>
      <c r="AH712" s="353" t="str">
        <f t="shared" si="72"/>
        <v/>
      </c>
      <c r="AI712" s="3" t="str">
        <f t="shared" si="73"/>
        <v>59</v>
      </c>
      <c r="AJ712" s="64" t="str">
        <f>VLOOKUP(T712,'GL Name'!A:B,2,0)</f>
        <v>ค่าวิจัยคุณภาพสินค้า</v>
      </c>
      <c r="AL712" s="13">
        <f t="shared" si="74"/>
        <v>169.85999999999999</v>
      </c>
      <c r="AM712" s="13" t="e">
        <f>VLOOKUP(I712,'Order 301-305 (เรียง)'!A:B,2,0)</f>
        <v>#N/A</v>
      </c>
      <c r="AN712" t="e">
        <f>VLOOKUP(I712,'Order 301-305 (เรียง)'!A:C,3,0)</f>
        <v>#N/A</v>
      </c>
    </row>
    <row r="713" spans="1:40" x14ac:dyDescent="0.3">
      <c r="A713" s="1" t="s">
        <v>81</v>
      </c>
      <c r="B713" s="1" t="s">
        <v>82</v>
      </c>
      <c r="C713" s="1" t="s">
        <v>64</v>
      </c>
      <c r="D713" s="1" t="s">
        <v>87</v>
      </c>
      <c r="E713" s="1" t="s">
        <v>88</v>
      </c>
      <c r="F713" s="1" t="s">
        <v>1745</v>
      </c>
      <c r="G713" s="1" t="s">
        <v>83</v>
      </c>
      <c r="H713" s="1" t="s">
        <v>1406</v>
      </c>
      <c r="I713" s="1" t="s">
        <v>68</v>
      </c>
      <c r="J713" s="1" t="s">
        <v>1746</v>
      </c>
      <c r="K713" s="1" t="s">
        <v>223</v>
      </c>
      <c r="L713" s="1" t="s">
        <v>86</v>
      </c>
      <c r="M713" s="1" t="s">
        <v>68</v>
      </c>
      <c r="N713" s="1" t="s">
        <v>71</v>
      </c>
      <c r="O713" s="1" t="s">
        <v>68</v>
      </c>
      <c r="P713" s="1" t="s">
        <v>1747</v>
      </c>
      <c r="Q713" s="1" t="s">
        <v>68</v>
      </c>
      <c r="R713" s="1" t="s">
        <v>1748</v>
      </c>
      <c r="S713" s="1" t="s">
        <v>90</v>
      </c>
      <c r="T713" s="1" t="s">
        <v>91</v>
      </c>
      <c r="U713" s="1" t="s">
        <v>68</v>
      </c>
      <c r="V713" s="1" t="s">
        <v>68</v>
      </c>
      <c r="W713" s="1" t="s">
        <v>68</v>
      </c>
      <c r="X713" s="1" t="s">
        <v>68</v>
      </c>
      <c r="Y713" s="73"/>
      <c r="Z713" s="2" t="s">
        <v>74</v>
      </c>
      <c r="AA713" s="3">
        <v>-6</v>
      </c>
      <c r="AB713" s="4">
        <v>-1019.16</v>
      </c>
      <c r="AC713" s="73">
        <v>46228</v>
      </c>
      <c r="AD713" s="73">
        <v>46228</v>
      </c>
      <c r="AE713" s="73"/>
      <c r="AF713" s="73">
        <v>46228</v>
      </c>
      <c r="AG713" s="3">
        <v>-3000</v>
      </c>
      <c r="AH713" s="353" t="str">
        <f t="shared" si="72"/>
        <v/>
      </c>
      <c r="AI713" s="3" t="str">
        <f t="shared" si="73"/>
        <v>59</v>
      </c>
      <c r="AJ713" s="64" t="str">
        <f>VLOOKUP(T713,'GL Name'!A:B,2,0)</f>
        <v>ค่าวิจัยคุณภาพสินค้า</v>
      </c>
      <c r="AL713" s="13">
        <f t="shared" si="74"/>
        <v>169.85999999999999</v>
      </c>
      <c r="AM713" s="13" t="e">
        <f>VLOOKUP(I713,'Order 301-305 (เรียง)'!A:B,2,0)</f>
        <v>#N/A</v>
      </c>
      <c r="AN713" t="e">
        <f>VLOOKUP(I713,'Order 301-305 (เรียง)'!A:C,3,0)</f>
        <v>#N/A</v>
      </c>
    </row>
    <row r="714" spans="1:40" x14ac:dyDescent="0.3">
      <c r="A714" s="1" t="s">
        <v>81</v>
      </c>
      <c r="B714" s="1" t="s">
        <v>82</v>
      </c>
      <c r="C714" s="1" t="s">
        <v>64</v>
      </c>
      <c r="D714" s="1" t="s">
        <v>65</v>
      </c>
      <c r="E714" s="1" t="s">
        <v>66</v>
      </c>
      <c r="F714" s="1" t="s">
        <v>1750</v>
      </c>
      <c r="G714" s="1" t="s">
        <v>83</v>
      </c>
      <c r="H714" s="1" t="s">
        <v>1406</v>
      </c>
      <c r="I714" s="1" t="s">
        <v>68</v>
      </c>
      <c r="J714" s="1" t="s">
        <v>1751</v>
      </c>
      <c r="K714" s="1" t="s">
        <v>118</v>
      </c>
      <c r="L714" s="1" t="s">
        <v>70</v>
      </c>
      <c r="M714" s="1" t="s">
        <v>68</v>
      </c>
      <c r="N714" s="1" t="s">
        <v>71</v>
      </c>
      <c r="O714" s="1" t="s">
        <v>68</v>
      </c>
      <c r="P714" s="1" t="s">
        <v>72</v>
      </c>
      <c r="Q714" s="1" t="s">
        <v>68</v>
      </c>
      <c r="R714" s="1" t="s">
        <v>68</v>
      </c>
      <c r="S714" s="1" t="s">
        <v>68</v>
      </c>
      <c r="T714" s="1" t="s">
        <v>73</v>
      </c>
      <c r="U714" s="1" t="s">
        <v>68</v>
      </c>
      <c r="V714" s="1" t="s">
        <v>68</v>
      </c>
      <c r="W714" s="1" t="s">
        <v>68</v>
      </c>
      <c r="X714" s="1" t="s">
        <v>1752</v>
      </c>
      <c r="Y714" s="73"/>
      <c r="Z714" s="2" t="s">
        <v>85</v>
      </c>
      <c r="AA714" s="3">
        <v>-486</v>
      </c>
      <c r="AB714" s="4">
        <v>-495311.76</v>
      </c>
      <c r="AC714" s="73">
        <v>46230</v>
      </c>
      <c r="AD714" s="73">
        <v>46230</v>
      </c>
      <c r="AE714" s="73"/>
      <c r="AF714" s="73">
        <v>46230</v>
      </c>
      <c r="AG714" s="3">
        <v>-1458000</v>
      </c>
      <c r="AH714" s="353" t="str">
        <f t="shared" si="72"/>
        <v/>
      </c>
      <c r="AI714" s="3" t="str">
        <f t="shared" si="73"/>
        <v>59</v>
      </c>
      <c r="AJ714" s="64" t="str">
        <f>VLOOKUP(T714,'GL Name'!A:B,2,0)</f>
        <v>ต้นทุนขาย</v>
      </c>
      <c r="AL714" s="13">
        <f t="shared" si="74"/>
        <v>1019.16</v>
      </c>
      <c r="AM714" s="13" t="e">
        <f>VLOOKUP(I714,'Order 301-305 (เรียง)'!A:B,2,0)</f>
        <v>#N/A</v>
      </c>
      <c r="AN714" t="e">
        <f>VLOOKUP(I714,'Order 301-305 (เรียง)'!A:C,3,0)</f>
        <v>#N/A</v>
      </c>
    </row>
    <row r="715" spans="1:40" x14ac:dyDescent="0.3">
      <c r="A715" s="1" t="s">
        <v>81</v>
      </c>
      <c r="B715" s="1" t="s">
        <v>82</v>
      </c>
      <c r="C715" s="1" t="s">
        <v>64</v>
      </c>
      <c r="D715" s="1" t="s">
        <v>65</v>
      </c>
      <c r="E715" s="1" t="s">
        <v>66</v>
      </c>
      <c r="F715" s="1" t="s">
        <v>1750</v>
      </c>
      <c r="G715" s="1" t="s">
        <v>83</v>
      </c>
      <c r="H715" s="1" t="s">
        <v>1479</v>
      </c>
      <c r="I715" s="1" t="s">
        <v>68</v>
      </c>
      <c r="J715" s="1" t="s">
        <v>1751</v>
      </c>
      <c r="K715" s="1" t="s">
        <v>118</v>
      </c>
      <c r="L715" s="1" t="s">
        <v>86</v>
      </c>
      <c r="M715" s="1" t="s">
        <v>68</v>
      </c>
      <c r="N715" s="1" t="s">
        <v>71</v>
      </c>
      <c r="O715" s="1" t="s">
        <v>68</v>
      </c>
      <c r="P715" s="1" t="s">
        <v>72</v>
      </c>
      <c r="Q715" s="1" t="s">
        <v>68</v>
      </c>
      <c r="R715" s="1" t="s">
        <v>68</v>
      </c>
      <c r="S715" s="1" t="s">
        <v>68</v>
      </c>
      <c r="T715" s="1" t="s">
        <v>73</v>
      </c>
      <c r="U715" s="1" t="s">
        <v>68</v>
      </c>
      <c r="V715" s="1" t="s">
        <v>68</v>
      </c>
      <c r="W715" s="1" t="s">
        <v>68</v>
      </c>
      <c r="X715" s="1" t="s">
        <v>1752</v>
      </c>
      <c r="Y715" s="73"/>
      <c r="Z715" s="2" t="s">
        <v>85</v>
      </c>
      <c r="AA715" s="3">
        <v>-1434</v>
      </c>
      <c r="AB715" s="4">
        <v>-1461475.44</v>
      </c>
      <c r="AC715" s="73">
        <v>46230</v>
      </c>
      <c r="AD715" s="73">
        <v>46230</v>
      </c>
      <c r="AE715" s="73"/>
      <c r="AF715" s="73">
        <v>46230</v>
      </c>
      <c r="AG715" s="3">
        <v>-4302000</v>
      </c>
      <c r="AH715" s="353" t="str">
        <f t="shared" si="72"/>
        <v/>
      </c>
      <c r="AI715" s="3" t="str">
        <f t="shared" si="73"/>
        <v>59</v>
      </c>
      <c r="AJ715" s="64" t="str">
        <f>VLOOKUP(T715,'GL Name'!A:B,2,0)</f>
        <v>ต้นทุนขาย</v>
      </c>
      <c r="AL715" s="13">
        <f t="shared" si="74"/>
        <v>1019.16</v>
      </c>
      <c r="AM715" s="13" t="e">
        <f>VLOOKUP(I715,'Order 301-305 (เรียง)'!A:B,2,0)</f>
        <v>#N/A</v>
      </c>
      <c r="AN715" t="e">
        <f>VLOOKUP(I715,'Order 301-305 (เรียง)'!A:C,3,0)</f>
        <v>#N/A</v>
      </c>
    </row>
    <row r="716" spans="1:40" x14ac:dyDescent="0.3">
      <c r="A716" s="1" t="s">
        <v>81</v>
      </c>
      <c r="B716" s="1" t="s">
        <v>82</v>
      </c>
      <c r="C716" s="1" t="s">
        <v>64</v>
      </c>
      <c r="D716" s="1" t="s">
        <v>65</v>
      </c>
      <c r="E716" s="1" t="s">
        <v>66</v>
      </c>
      <c r="F716" s="1" t="s">
        <v>1753</v>
      </c>
      <c r="G716" s="1" t="s">
        <v>83</v>
      </c>
      <c r="H716" s="1" t="s">
        <v>1498</v>
      </c>
      <c r="I716" s="1" t="s">
        <v>68</v>
      </c>
      <c r="J716" s="1" t="s">
        <v>1754</v>
      </c>
      <c r="K716" s="1" t="s">
        <v>118</v>
      </c>
      <c r="L716" s="1" t="s">
        <v>86</v>
      </c>
      <c r="M716" s="1" t="s">
        <v>68</v>
      </c>
      <c r="N716" s="1" t="s">
        <v>71</v>
      </c>
      <c r="O716" s="1" t="s">
        <v>68</v>
      </c>
      <c r="P716" s="1" t="s">
        <v>72</v>
      </c>
      <c r="Q716" s="1" t="s">
        <v>68</v>
      </c>
      <c r="R716" s="1" t="s">
        <v>68</v>
      </c>
      <c r="S716" s="1" t="s">
        <v>68</v>
      </c>
      <c r="T716" s="1" t="s">
        <v>73</v>
      </c>
      <c r="U716" s="1" t="s">
        <v>68</v>
      </c>
      <c r="V716" s="1" t="s">
        <v>68</v>
      </c>
      <c r="W716" s="1" t="s">
        <v>68</v>
      </c>
      <c r="X716" s="1" t="s">
        <v>1755</v>
      </c>
      <c r="Y716" s="73"/>
      <c r="Z716" s="2" t="s">
        <v>85</v>
      </c>
      <c r="AA716" s="3">
        <v>-718</v>
      </c>
      <c r="AB716" s="4">
        <v>-731756.88</v>
      </c>
      <c r="AC716" s="73">
        <v>46230</v>
      </c>
      <c r="AD716" s="73">
        <v>46230</v>
      </c>
      <c r="AE716" s="73"/>
      <c r="AF716" s="73">
        <v>46230</v>
      </c>
      <c r="AG716" s="3">
        <v>-2154000</v>
      </c>
      <c r="AH716" s="353" t="str">
        <f t="shared" si="72"/>
        <v/>
      </c>
      <c r="AI716" s="3" t="str">
        <f t="shared" si="73"/>
        <v>59</v>
      </c>
      <c r="AJ716" s="64" t="str">
        <f>VLOOKUP(T716,'GL Name'!A:B,2,0)</f>
        <v>ต้นทุนขาย</v>
      </c>
      <c r="AL716" s="13">
        <f t="shared" si="74"/>
        <v>1019.16</v>
      </c>
      <c r="AM716" s="13" t="e">
        <f>VLOOKUP(I716,'Order 301-305 (เรียง)'!A:B,2,0)</f>
        <v>#N/A</v>
      </c>
      <c r="AN716" t="e">
        <f>VLOOKUP(I716,'Order 301-305 (เรียง)'!A:C,3,0)</f>
        <v>#N/A</v>
      </c>
    </row>
    <row r="717" spans="1:40" x14ac:dyDescent="0.3">
      <c r="A717" s="1" t="s">
        <v>81</v>
      </c>
      <c r="B717" s="1" t="s">
        <v>82</v>
      </c>
      <c r="C717" s="1" t="s">
        <v>64</v>
      </c>
      <c r="D717" s="1" t="s">
        <v>65</v>
      </c>
      <c r="E717" s="1" t="s">
        <v>66</v>
      </c>
      <c r="F717" s="1" t="s">
        <v>1753</v>
      </c>
      <c r="G717" s="1" t="s">
        <v>83</v>
      </c>
      <c r="H717" s="1" t="s">
        <v>1479</v>
      </c>
      <c r="I717" s="1" t="s">
        <v>68</v>
      </c>
      <c r="J717" s="1" t="s">
        <v>1754</v>
      </c>
      <c r="K717" s="1" t="s">
        <v>118</v>
      </c>
      <c r="L717" s="1" t="s">
        <v>70</v>
      </c>
      <c r="M717" s="1" t="s">
        <v>68</v>
      </c>
      <c r="N717" s="1" t="s">
        <v>71</v>
      </c>
      <c r="O717" s="1" t="s">
        <v>68</v>
      </c>
      <c r="P717" s="1" t="s">
        <v>72</v>
      </c>
      <c r="Q717" s="1" t="s">
        <v>68</v>
      </c>
      <c r="R717" s="1" t="s">
        <v>68</v>
      </c>
      <c r="S717" s="1" t="s">
        <v>68</v>
      </c>
      <c r="T717" s="1" t="s">
        <v>73</v>
      </c>
      <c r="U717" s="1" t="s">
        <v>68</v>
      </c>
      <c r="V717" s="1" t="s">
        <v>68</v>
      </c>
      <c r="W717" s="1" t="s">
        <v>68</v>
      </c>
      <c r="X717" s="1" t="s">
        <v>1755</v>
      </c>
      <c r="Y717" s="73"/>
      <c r="Z717" s="2" t="s">
        <v>85</v>
      </c>
      <c r="AA717" s="3">
        <v>-1202</v>
      </c>
      <c r="AB717" s="4">
        <v>-1225030.32</v>
      </c>
      <c r="AC717" s="73">
        <v>46230</v>
      </c>
      <c r="AD717" s="73">
        <v>46230</v>
      </c>
      <c r="AE717" s="73"/>
      <c r="AF717" s="73">
        <v>46230</v>
      </c>
      <c r="AG717" s="3">
        <v>-3606000</v>
      </c>
      <c r="AH717" s="353" t="str">
        <f t="shared" ref="AH717:AH780" si="75">LEFT(I717,3)</f>
        <v/>
      </c>
      <c r="AI717" s="3" t="str">
        <f t="shared" ref="AI717:AI780" si="76">LEFT(A717,2)</f>
        <v>59</v>
      </c>
      <c r="AJ717" s="64" t="str">
        <f>VLOOKUP(T717,'GL Name'!A:B,2,0)</f>
        <v>ต้นทุนขาย</v>
      </c>
      <c r="AL717" s="13">
        <f t="shared" ref="AL717:AL780" si="77">AB717/AA717</f>
        <v>1019.1600000000001</v>
      </c>
      <c r="AM717" s="13" t="e">
        <f>VLOOKUP(I717,'Order 301-305 (เรียง)'!A:B,2,0)</f>
        <v>#N/A</v>
      </c>
      <c r="AN717" t="e">
        <f>VLOOKUP(I717,'Order 301-305 (เรียง)'!A:C,3,0)</f>
        <v>#N/A</v>
      </c>
    </row>
    <row r="718" spans="1:40" x14ac:dyDescent="0.3">
      <c r="A718" s="1" t="s">
        <v>81</v>
      </c>
      <c r="B718" s="1" t="s">
        <v>82</v>
      </c>
      <c r="C718" s="1" t="s">
        <v>64</v>
      </c>
      <c r="D718" s="1" t="s">
        <v>65</v>
      </c>
      <c r="E718" s="1" t="s">
        <v>66</v>
      </c>
      <c r="F718" s="1" t="s">
        <v>1756</v>
      </c>
      <c r="G718" s="1" t="s">
        <v>83</v>
      </c>
      <c r="H718" s="1" t="s">
        <v>1498</v>
      </c>
      <c r="I718" s="1" t="s">
        <v>68</v>
      </c>
      <c r="J718" s="1" t="s">
        <v>1757</v>
      </c>
      <c r="K718" s="1" t="s">
        <v>118</v>
      </c>
      <c r="L718" s="1" t="s">
        <v>70</v>
      </c>
      <c r="M718" s="1" t="s">
        <v>68</v>
      </c>
      <c r="N718" s="1" t="s">
        <v>71</v>
      </c>
      <c r="O718" s="1" t="s">
        <v>68</v>
      </c>
      <c r="P718" s="1" t="s">
        <v>72</v>
      </c>
      <c r="Q718" s="1" t="s">
        <v>68</v>
      </c>
      <c r="R718" s="1" t="s">
        <v>68</v>
      </c>
      <c r="S718" s="1" t="s">
        <v>68</v>
      </c>
      <c r="T718" s="1" t="s">
        <v>73</v>
      </c>
      <c r="U718" s="1" t="s">
        <v>68</v>
      </c>
      <c r="V718" s="1" t="s">
        <v>68</v>
      </c>
      <c r="W718" s="1" t="s">
        <v>68</v>
      </c>
      <c r="X718" s="1" t="s">
        <v>1758</v>
      </c>
      <c r="Y718" s="73"/>
      <c r="Z718" s="2" t="s">
        <v>85</v>
      </c>
      <c r="AA718" s="3">
        <v>-1920</v>
      </c>
      <c r="AB718" s="4">
        <v>-1956787.2</v>
      </c>
      <c r="AC718" s="73">
        <v>46230</v>
      </c>
      <c r="AD718" s="73">
        <v>46230</v>
      </c>
      <c r="AE718" s="73"/>
      <c r="AF718" s="73">
        <v>46230</v>
      </c>
      <c r="AG718" s="3">
        <v>-5760000</v>
      </c>
      <c r="AH718" s="353" t="str">
        <f t="shared" si="75"/>
        <v/>
      </c>
      <c r="AI718" s="3" t="str">
        <f t="shared" si="76"/>
        <v>59</v>
      </c>
      <c r="AJ718" s="64" t="str">
        <f>VLOOKUP(T718,'GL Name'!A:B,2,0)</f>
        <v>ต้นทุนขาย</v>
      </c>
      <c r="AL718" s="13">
        <f t="shared" si="77"/>
        <v>1019.16</v>
      </c>
      <c r="AM718" s="13" t="e">
        <f>VLOOKUP(I718,'Order 301-305 (เรียง)'!A:B,2,0)</f>
        <v>#N/A</v>
      </c>
      <c r="AN718" t="e">
        <f>VLOOKUP(I718,'Order 301-305 (เรียง)'!A:C,3,0)</f>
        <v>#N/A</v>
      </c>
    </row>
    <row r="719" spans="1:40" x14ac:dyDescent="0.3">
      <c r="A719" s="1" t="s">
        <v>9</v>
      </c>
      <c r="B719" s="1" t="s">
        <v>10</v>
      </c>
      <c r="C719" s="1" t="s">
        <v>64</v>
      </c>
      <c r="D719" s="1" t="s">
        <v>77</v>
      </c>
      <c r="E719" s="1" t="s">
        <v>78</v>
      </c>
      <c r="F719" s="1" t="s">
        <v>1759</v>
      </c>
      <c r="G719" s="1" t="s">
        <v>278</v>
      </c>
      <c r="H719" s="1" t="s">
        <v>1711</v>
      </c>
      <c r="I719" s="1" t="s">
        <v>1760</v>
      </c>
      <c r="J719" s="1" t="s">
        <v>1761</v>
      </c>
      <c r="K719" s="1" t="s">
        <v>290</v>
      </c>
      <c r="L719" s="1" t="s">
        <v>70</v>
      </c>
      <c r="M719" s="1" t="s">
        <v>68</v>
      </c>
      <c r="N719" s="1" t="s">
        <v>71</v>
      </c>
      <c r="O719" s="1" t="s">
        <v>68</v>
      </c>
      <c r="P719" s="1" t="s">
        <v>1762</v>
      </c>
      <c r="Q719" s="1" t="s">
        <v>68</v>
      </c>
      <c r="R719" s="1" t="s">
        <v>68</v>
      </c>
      <c r="S719" s="1" t="s">
        <v>68</v>
      </c>
      <c r="T719" s="1" t="s">
        <v>79</v>
      </c>
      <c r="U719" s="1" t="s">
        <v>68</v>
      </c>
      <c r="V719" s="1" t="s">
        <v>68</v>
      </c>
      <c r="W719" s="1" t="s">
        <v>68</v>
      </c>
      <c r="X719" s="1" t="s">
        <v>68</v>
      </c>
      <c r="Y719" s="73"/>
      <c r="Z719" s="2" t="s">
        <v>80</v>
      </c>
      <c r="AA719" s="3">
        <v>-40057.599999999999</v>
      </c>
      <c r="AB719" s="4">
        <v>-10592206.59</v>
      </c>
      <c r="AC719" s="73">
        <v>46230</v>
      </c>
      <c r="AD719" s="73">
        <v>46227</v>
      </c>
      <c r="AE719" s="73"/>
      <c r="AF719" s="73">
        <v>46230</v>
      </c>
      <c r="AG719" s="3">
        <v>-40057600</v>
      </c>
      <c r="AH719" s="353" t="str">
        <f t="shared" si="75"/>
        <v>301</v>
      </c>
      <c r="AI719" s="3" t="str">
        <f t="shared" si="76"/>
        <v>54</v>
      </c>
      <c r="AJ719" s="64" t="str">
        <f>VLOOKUP(T719,'GL Name'!A:B,2,0)</f>
        <v>ต้นทุนผลิต-วัตถุดิบ</v>
      </c>
      <c r="AL719" s="13">
        <f t="shared" si="77"/>
        <v>264.4243936231826</v>
      </c>
      <c r="AM719" s="13" t="str">
        <f>VLOOKUP(I719,'Order 301-305 (เรียง)'!A:B,2,0)</f>
        <v>Semi</v>
      </c>
      <c r="AN719" t="str">
        <f>VLOOKUP(I719,'Order 301-305 (เรียง)'!A:C,3,0)</f>
        <v>Semi เมล็ดกาแฟ</v>
      </c>
    </row>
    <row r="720" spans="1:40" x14ac:dyDescent="0.3">
      <c r="A720" s="1" t="s">
        <v>62</v>
      </c>
      <c r="B720" s="1" t="s">
        <v>63</v>
      </c>
      <c r="C720" s="1" t="s">
        <v>64</v>
      </c>
      <c r="D720" s="1" t="s">
        <v>77</v>
      </c>
      <c r="E720" s="1" t="s">
        <v>78</v>
      </c>
      <c r="F720" s="1" t="s">
        <v>1763</v>
      </c>
      <c r="G720" s="1" t="s">
        <v>83</v>
      </c>
      <c r="H720" s="1" t="s">
        <v>287</v>
      </c>
      <c r="I720" s="1" t="s">
        <v>1764</v>
      </c>
      <c r="J720" s="1" t="s">
        <v>1765</v>
      </c>
      <c r="K720" s="1" t="s">
        <v>84</v>
      </c>
      <c r="L720" s="1" t="s">
        <v>86</v>
      </c>
      <c r="M720" s="1" t="s">
        <v>68</v>
      </c>
      <c r="N720" s="1" t="s">
        <v>71</v>
      </c>
      <c r="O720" s="1" t="s">
        <v>68</v>
      </c>
      <c r="P720" s="1" t="s">
        <v>72</v>
      </c>
      <c r="Q720" s="1" t="s">
        <v>68</v>
      </c>
      <c r="R720" s="1" t="s">
        <v>63</v>
      </c>
      <c r="S720" s="1" t="s">
        <v>68</v>
      </c>
      <c r="T720" s="1" t="s">
        <v>110</v>
      </c>
      <c r="U720" s="1" t="s">
        <v>68</v>
      </c>
      <c r="V720" s="1" t="s">
        <v>68</v>
      </c>
      <c r="W720" s="1" t="s">
        <v>68</v>
      </c>
      <c r="X720" s="1" t="s">
        <v>68</v>
      </c>
      <c r="Y720" s="73"/>
      <c r="Z720" s="2" t="s">
        <v>74</v>
      </c>
      <c r="AA720" s="3">
        <v>-1295</v>
      </c>
      <c r="AB720" s="4">
        <v>-219916.9</v>
      </c>
      <c r="AC720" s="73">
        <v>46230</v>
      </c>
      <c r="AD720" s="73">
        <v>46227</v>
      </c>
      <c r="AE720" s="73"/>
      <c r="AF720" s="73">
        <v>46230</v>
      </c>
      <c r="AG720" s="3">
        <v>-647500</v>
      </c>
      <c r="AH720" s="353" t="str">
        <f t="shared" si="75"/>
        <v>305</v>
      </c>
      <c r="AI720" s="3" t="str">
        <f t="shared" si="76"/>
        <v>59</v>
      </c>
      <c r="AJ720" s="64" t="str">
        <f>VLOOKUP(T720,'GL Name'!A:B,2,0)</f>
        <v>ต้นทุนผลิต-สินค้าสำเร็จรูป</v>
      </c>
      <c r="AL720" s="13">
        <f t="shared" si="77"/>
        <v>169.82</v>
      </c>
      <c r="AM720" s="13" t="str">
        <f>VLOOKUP(I720,'Order 301-305 (เรียง)'!A:B,2,0)</f>
        <v>59100000</v>
      </c>
      <c r="AN720" t="str">
        <f>VLOOKUP(I720,'Order 301-305 (เรียง)'!A:C,3,0)</f>
        <v>เมล็ดกาแฟ CPR Calibrate MF. 500 G.</v>
      </c>
    </row>
    <row r="721" spans="1:40" x14ac:dyDescent="0.3">
      <c r="A721" s="1" t="s">
        <v>113</v>
      </c>
      <c r="B721" s="1" t="s">
        <v>114</v>
      </c>
      <c r="C721" s="1" t="s">
        <v>64</v>
      </c>
      <c r="D721" s="1" t="s">
        <v>115</v>
      </c>
      <c r="E721" s="1" t="s">
        <v>116</v>
      </c>
      <c r="F721" s="1" t="s">
        <v>1763</v>
      </c>
      <c r="G721" s="1" t="s">
        <v>83</v>
      </c>
      <c r="H721" s="1" t="s">
        <v>287</v>
      </c>
      <c r="I721" s="1" t="s">
        <v>1764</v>
      </c>
      <c r="J721" s="1" t="s">
        <v>1765</v>
      </c>
      <c r="K721" s="1" t="s">
        <v>84</v>
      </c>
      <c r="L721" s="1" t="s">
        <v>70</v>
      </c>
      <c r="M721" s="1" t="s">
        <v>68</v>
      </c>
      <c r="N721" s="1" t="s">
        <v>71</v>
      </c>
      <c r="O721" s="1" t="s">
        <v>68</v>
      </c>
      <c r="P721" s="1" t="s">
        <v>72</v>
      </c>
      <c r="Q721" s="1" t="s">
        <v>68</v>
      </c>
      <c r="R721" s="1" t="s">
        <v>68</v>
      </c>
      <c r="S721" s="1" t="s">
        <v>68</v>
      </c>
      <c r="T721" s="1" t="s">
        <v>117</v>
      </c>
      <c r="U721" s="1" t="s">
        <v>68</v>
      </c>
      <c r="V721" s="1" t="s">
        <v>68</v>
      </c>
      <c r="W721" s="1" t="s">
        <v>68</v>
      </c>
      <c r="X721" s="1" t="s">
        <v>68</v>
      </c>
      <c r="Y721" s="73"/>
      <c r="Z721" s="2" t="s">
        <v>74</v>
      </c>
      <c r="AA721" s="3">
        <v>1295</v>
      </c>
      <c r="AB721" s="4">
        <v>219916.9</v>
      </c>
      <c r="AC721" s="73">
        <v>46230</v>
      </c>
      <c r="AD721" s="73">
        <v>46227</v>
      </c>
      <c r="AE721" s="73"/>
      <c r="AF721" s="73">
        <v>46230</v>
      </c>
      <c r="AG721" s="3">
        <v>647500</v>
      </c>
      <c r="AH721" s="353" t="str">
        <f t="shared" si="75"/>
        <v>305</v>
      </c>
      <c r="AI721" s="3" t="str">
        <f t="shared" si="76"/>
        <v>59</v>
      </c>
      <c r="AJ721" s="64" t="str">
        <f>VLOOKUP(T721,'GL Name'!A:B,2,0)</f>
        <v>ต้นทุนผลิตโอน F/G</v>
      </c>
      <c r="AL721" s="13">
        <f t="shared" si="77"/>
        <v>169.82</v>
      </c>
      <c r="AM721" s="13" t="str">
        <f>VLOOKUP(I721,'Order 301-305 (เรียง)'!A:B,2,0)</f>
        <v>59100000</v>
      </c>
      <c r="AN721" t="str">
        <f>VLOOKUP(I721,'Order 301-305 (เรียง)'!A:C,3,0)</f>
        <v>เมล็ดกาแฟ CPR Calibrate MF. 500 G.</v>
      </c>
    </row>
    <row r="722" spans="1:40" x14ac:dyDescent="0.3">
      <c r="A722" s="1" t="s">
        <v>62</v>
      </c>
      <c r="B722" s="1" t="s">
        <v>63</v>
      </c>
      <c r="C722" s="1" t="s">
        <v>64</v>
      </c>
      <c r="D722" s="1" t="s">
        <v>77</v>
      </c>
      <c r="E722" s="1" t="s">
        <v>78</v>
      </c>
      <c r="F722" s="1" t="s">
        <v>1766</v>
      </c>
      <c r="G722" s="1" t="s">
        <v>83</v>
      </c>
      <c r="H722" s="1" t="s">
        <v>602</v>
      </c>
      <c r="I722" s="1" t="s">
        <v>1767</v>
      </c>
      <c r="J722" s="1" t="s">
        <v>1768</v>
      </c>
      <c r="K722" s="1" t="s">
        <v>84</v>
      </c>
      <c r="L722" s="1" t="s">
        <v>86</v>
      </c>
      <c r="M722" s="1" t="s">
        <v>68</v>
      </c>
      <c r="N722" s="1" t="s">
        <v>71</v>
      </c>
      <c r="O722" s="1" t="s">
        <v>68</v>
      </c>
      <c r="P722" s="1" t="s">
        <v>72</v>
      </c>
      <c r="Q722" s="1" t="s">
        <v>68</v>
      </c>
      <c r="R722" s="1" t="s">
        <v>63</v>
      </c>
      <c r="S722" s="1" t="s">
        <v>68</v>
      </c>
      <c r="T722" s="1" t="s">
        <v>110</v>
      </c>
      <c r="U722" s="1" t="s">
        <v>68</v>
      </c>
      <c r="V722" s="1" t="s">
        <v>68</v>
      </c>
      <c r="W722" s="1" t="s">
        <v>68</v>
      </c>
      <c r="X722" s="1" t="s">
        <v>68</v>
      </c>
      <c r="Y722" s="73"/>
      <c r="Z722" s="2" t="s">
        <v>74</v>
      </c>
      <c r="AA722" s="3">
        <v>-497</v>
      </c>
      <c r="AB722" s="4">
        <v>-84400.54</v>
      </c>
      <c r="AC722" s="73">
        <v>46230</v>
      </c>
      <c r="AD722" s="73">
        <v>46227</v>
      </c>
      <c r="AE722" s="73"/>
      <c r="AF722" s="73">
        <v>46230</v>
      </c>
      <c r="AG722" s="3">
        <v>-248500</v>
      </c>
      <c r="AH722" s="353" t="str">
        <f t="shared" si="75"/>
        <v>305</v>
      </c>
      <c r="AI722" s="3" t="str">
        <f t="shared" si="76"/>
        <v>59</v>
      </c>
      <c r="AJ722" s="64" t="str">
        <f>VLOOKUP(T722,'GL Name'!A:B,2,0)</f>
        <v>ต้นทุนผลิต-สินค้าสำเร็จรูป</v>
      </c>
      <c r="AL722" s="13">
        <f t="shared" si="77"/>
        <v>169.82</v>
      </c>
      <c r="AM722" s="13" t="str">
        <f>VLOOKUP(I722,'Order 301-305 (เรียง)'!A:B,2,0)</f>
        <v>59100000</v>
      </c>
      <c r="AN722" t="str">
        <f>VLOOKUP(I722,'Order 301-305 (เรียง)'!A:C,3,0)</f>
        <v>เมล็ดกาแฟ CPR Calibrate MF. 500 G.</v>
      </c>
    </row>
    <row r="723" spans="1:40" x14ac:dyDescent="0.3">
      <c r="A723" s="1" t="s">
        <v>113</v>
      </c>
      <c r="B723" s="1" t="s">
        <v>114</v>
      </c>
      <c r="C723" s="1" t="s">
        <v>64</v>
      </c>
      <c r="D723" s="1" t="s">
        <v>115</v>
      </c>
      <c r="E723" s="1" t="s">
        <v>116</v>
      </c>
      <c r="F723" s="1" t="s">
        <v>1766</v>
      </c>
      <c r="G723" s="1" t="s">
        <v>83</v>
      </c>
      <c r="H723" s="1" t="s">
        <v>602</v>
      </c>
      <c r="I723" s="1" t="s">
        <v>1767</v>
      </c>
      <c r="J723" s="1" t="s">
        <v>1768</v>
      </c>
      <c r="K723" s="1" t="s">
        <v>84</v>
      </c>
      <c r="L723" s="1" t="s">
        <v>70</v>
      </c>
      <c r="M723" s="1" t="s">
        <v>68</v>
      </c>
      <c r="N723" s="1" t="s">
        <v>71</v>
      </c>
      <c r="O723" s="1" t="s">
        <v>68</v>
      </c>
      <c r="P723" s="1" t="s">
        <v>72</v>
      </c>
      <c r="Q723" s="1" t="s">
        <v>68</v>
      </c>
      <c r="R723" s="1" t="s">
        <v>68</v>
      </c>
      <c r="S723" s="1" t="s">
        <v>68</v>
      </c>
      <c r="T723" s="1" t="s">
        <v>117</v>
      </c>
      <c r="U723" s="1" t="s">
        <v>68</v>
      </c>
      <c r="V723" s="1" t="s">
        <v>68</v>
      </c>
      <c r="W723" s="1" t="s">
        <v>68</v>
      </c>
      <c r="X723" s="1" t="s">
        <v>68</v>
      </c>
      <c r="Y723" s="73"/>
      <c r="Z723" s="2" t="s">
        <v>74</v>
      </c>
      <c r="AA723" s="3">
        <v>497</v>
      </c>
      <c r="AB723" s="4">
        <v>84400.54</v>
      </c>
      <c r="AC723" s="73">
        <v>46230</v>
      </c>
      <c r="AD723" s="73">
        <v>46227</v>
      </c>
      <c r="AE723" s="73"/>
      <c r="AF723" s="73">
        <v>46230</v>
      </c>
      <c r="AG723" s="3">
        <v>248500</v>
      </c>
      <c r="AH723" s="353" t="str">
        <f t="shared" si="75"/>
        <v>305</v>
      </c>
      <c r="AI723" s="3" t="str">
        <f t="shared" si="76"/>
        <v>59</v>
      </c>
      <c r="AJ723" s="64" t="str">
        <f>VLOOKUP(T723,'GL Name'!A:B,2,0)</f>
        <v>ต้นทุนผลิตโอน F/G</v>
      </c>
      <c r="AL723" s="13">
        <f t="shared" si="77"/>
        <v>169.82</v>
      </c>
      <c r="AM723" s="13" t="str">
        <f>VLOOKUP(I723,'Order 301-305 (เรียง)'!A:B,2,0)</f>
        <v>59100000</v>
      </c>
      <c r="AN723" t="str">
        <f>VLOOKUP(I723,'Order 301-305 (เรียง)'!A:C,3,0)</f>
        <v>เมล็ดกาแฟ CPR Calibrate MF. 500 G.</v>
      </c>
    </row>
    <row r="724" spans="1:40" x14ac:dyDescent="0.3">
      <c r="A724" s="1" t="s">
        <v>81</v>
      </c>
      <c r="B724" s="1" t="s">
        <v>82</v>
      </c>
      <c r="C724" s="1" t="s">
        <v>64</v>
      </c>
      <c r="D724" s="1" t="s">
        <v>87</v>
      </c>
      <c r="E724" s="1" t="s">
        <v>88</v>
      </c>
      <c r="F724" s="1" t="s">
        <v>1769</v>
      </c>
      <c r="G724" s="1" t="s">
        <v>83</v>
      </c>
      <c r="H724" s="1" t="s">
        <v>1479</v>
      </c>
      <c r="I724" s="1" t="s">
        <v>68</v>
      </c>
      <c r="J724" s="1" t="s">
        <v>1770</v>
      </c>
      <c r="K724" s="1" t="s">
        <v>118</v>
      </c>
      <c r="L724" s="1" t="s">
        <v>86</v>
      </c>
      <c r="M724" s="1" t="s">
        <v>68</v>
      </c>
      <c r="N724" s="1" t="s">
        <v>71</v>
      </c>
      <c r="O724" s="1" t="s">
        <v>68</v>
      </c>
      <c r="P724" s="1" t="s">
        <v>1771</v>
      </c>
      <c r="Q724" s="1" t="s">
        <v>68</v>
      </c>
      <c r="R724" s="1" t="s">
        <v>308</v>
      </c>
      <c r="S724" s="1" t="s">
        <v>90</v>
      </c>
      <c r="T724" s="1" t="s">
        <v>91</v>
      </c>
      <c r="U724" s="1" t="s">
        <v>68</v>
      </c>
      <c r="V724" s="1" t="s">
        <v>68</v>
      </c>
      <c r="W724" s="1" t="s">
        <v>68</v>
      </c>
      <c r="X724" s="1" t="s">
        <v>68</v>
      </c>
      <c r="Y724" s="73"/>
      <c r="Z724" s="2" t="s">
        <v>74</v>
      </c>
      <c r="AA724" s="3">
        <v>-1</v>
      </c>
      <c r="AB724" s="4">
        <v>-169.86</v>
      </c>
      <c r="AC724" s="73">
        <v>46234</v>
      </c>
      <c r="AD724" s="73">
        <v>46234</v>
      </c>
      <c r="AE724" s="73"/>
      <c r="AF724" s="73">
        <v>46230</v>
      </c>
      <c r="AG724" s="3">
        <v>-500</v>
      </c>
      <c r="AH724" s="353" t="str">
        <f t="shared" si="75"/>
        <v/>
      </c>
      <c r="AI724" s="3" t="str">
        <f t="shared" si="76"/>
        <v>59</v>
      </c>
      <c r="AJ724" s="64" t="str">
        <f>VLOOKUP(T724,'GL Name'!A:B,2,0)</f>
        <v>ค่าวิจัยคุณภาพสินค้า</v>
      </c>
      <c r="AL724" s="13">
        <f t="shared" si="77"/>
        <v>169.86</v>
      </c>
      <c r="AM724" s="13" t="e">
        <f>VLOOKUP(I724,'Order 301-305 (เรียง)'!A:B,2,0)</f>
        <v>#N/A</v>
      </c>
      <c r="AN724" t="e">
        <f>VLOOKUP(I724,'Order 301-305 (เรียง)'!A:C,3,0)</f>
        <v>#N/A</v>
      </c>
    </row>
    <row r="725" spans="1:40" x14ac:dyDescent="0.3">
      <c r="A725" s="1" t="s">
        <v>81</v>
      </c>
      <c r="B725" s="1" t="s">
        <v>82</v>
      </c>
      <c r="C725" s="1" t="s">
        <v>64</v>
      </c>
      <c r="D725" s="1" t="s">
        <v>87</v>
      </c>
      <c r="E725" s="1" t="s">
        <v>88</v>
      </c>
      <c r="F725" s="1" t="s">
        <v>1769</v>
      </c>
      <c r="G725" s="1" t="s">
        <v>83</v>
      </c>
      <c r="H725" s="1" t="s">
        <v>1406</v>
      </c>
      <c r="I725" s="1" t="s">
        <v>68</v>
      </c>
      <c r="J725" s="1" t="s">
        <v>1770</v>
      </c>
      <c r="K725" s="1" t="s">
        <v>118</v>
      </c>
      <c r="L725" s="1" t="s">
        <v>70</v>
      </c>
      <c r="M725" s="1" t="s">
        <v>68</v>
      </c>
      <c r="N725" s="1" t="s">
        <v>71</v>
      </c>
      <c r="O725" s="1" t="s">
        <v>68</v>
      </c>
      <c r="P725" s="1" t="s">
        <v>1771</v>
      </c>
      <c r="Q725" s="1" t="s">
        <v>68</v>
      </c>
      <c r="R725" s="1" t="s">
        <v>308</v>
      </c>
      <c r="S725" s="1" t="s">
        <v>90</v>
      </c>
      <c r="T725" s="1" t="s">
        <v>91</v>
      </c>
      <c r="U725" s="1" t="s">
        <v>68</v>
      </c>
      <c r="V725" s="1" t="s">
        <v>68</v>
      </c>
      <c r="W725" s="1" t="s">
        <v>68</v>
      </c>
      <c r="X725" s="1" t="s">
        <v>68</v>
      </c>
      <c r="Y725" s="73"/>
      <c r="Z725" s="2" t="s">
        <v>74</v>
      </c>
      <c r="AA725" s="3">
        <v>-3</v>
      </c>
      <c r="AB725" s="4">
        <v>-509.58</v>
      </c>
      <c r="AC725" s="73">
        <v>46234</v>
      </c>
      <c r="AD725" s="73">
        <v>46234</v>
      </c>
      <c r="AE725" s="73"/>
      <c r="AF725" s="73">
        <v>46230</v>
      </c>
      <c r="AG725" s="3">
        <v>-1500</v>
      </c>
      <c r="AH725" s="353" t="str">
        <f t="shared" si="75"/>
        <v/>
      </c>
      <c r="AI725" s="3" t="str">
        <f t="shared" si="76"/>
        <v>59</v>
      </c>
      <c r="AJ725" s="64" t="str">
        <f>VLOOKUP(T725,'GL Name'!A:B,2,0)</f>
        <v>ค่าวิจัยคุณภาพสินค้า</v>
      </c>
      <c r="AL725" s="13">
        <f t="shared" si="77"/>
        <v>169.85999999999999</v>
      </c>
      <c r="AM725" s="13" t="e">
        <f>VLOOKUP(I725,'Order 301-305 (เรียง)'!A:B,2,0)</f>
        <v>#N/A</v>
      </c>
      <c r="AN725" t="e">
        <f>VLOOKUP(I725,'Order 301-305 (เรียง)'!A:C,3,0)</f>
        <v>#N/A</v>
      </c>
    </row>
    <row r="726" spans="1:40" x14ac:dyDescent="0.3">
      <c r="A726" s="1" t="s">
        <v>81</v>
      </c>
      <c r="B726" s="1" t="s">
        <v>82</v>
      </c>
      <c r="C726" s="1" t="s">
        <v>64</v>
      </c>
      <c r="D726" s="1" t="s">
        <v>87</v>
      </c>
      <c r="E726" s="1" t="s">
        <v>88</v>
      </c>
      <c r="F726" s="1" t="s">
        <v>1772</v>
      </c>
      <c r="G726" s="1" t="s">
        <v>83</v>
      </c>
      <c r="H726" s="1" t="s">
        <v>1498</v>
      </c>
      <c r="I726" s="1" t="s">
        <v>68</v>
      </c>
      <c r="J726" s="1" t="s">
        <v>1773</v>
      </c>
      <c r="K726" s="1" t="s">
        <v>294</v>
      </c>
      <c r="L726" s="1" t="s">
        <v>70</v>
      </c>
      <c r="M726" s="1" t="s">
        <v>68</v>
      </c>
      <c r="N726" s="1" t="s">
        <v>71</v>
      </c>
      <c r="O726" s="1" t="s">
        <v>68</v>
      </c>
      <c r="P726" s="1" t="s">
        <v>1774</v>
      </c>
      <c r="Q726" s="1" t="s">
        <v>68</v>
      </c>
      <c r="R726" s="1" t="s">
        <v>308</v>
      </c>
      <c r="S726" s="1" t="s">
        <v>90</v>
      </c>
      <c r="T726" s="1" t="s">
        <v>91</v>
      </c>
      <c r="U726" s="1" t="s">
        <v>68</v>
      </c>
      <c r="V726" s="1" t="s">
        <v>68</v>
      </c>
      <c r="W726" s="1" t="s">
        <v>68</v>
      </c>
      <c r="X726" s="1" t="s">
        <v>68</v>
      </c>
      <c r="Y726" s="73"/>
      <c r="Z726" s="2" t="s">
        <v>74</v>
      </c>
      <c r="AA726" s="3">
        <v>-2</v>
      </c>
      <c r="AB726" s="4">
        <v>-339.72</v>
      </c>
      <c r="AC726" s="73">
        <v>46230</v>
      </c>
      <c r="AD726" s="73">
        <v>46230</v>
      </c>
      <c r="AE726" s="73"/>
      <c r="AF726" s="73">
        <v>46230</v>
      </c>
      <c r="AG726" s="3">
        <v>-1000</v>
      </c>
      <c r="AH726" s="353" t="str">
        <f t="shared" si="75"/>
        <v/>
      </c>
      <c r="AI726" s="3" t="str">
        <f t="shared" si="76"/>
        <v>59</v>
      </c>
      <c r="AJ726" s="64" t="str">
        <f>VLOOKUP(T726,'GL Name'!A:B,2,0)</f>
        <v>ค่าวิจัยคุณภาพสินค้า</v>
      </c>
      <c r="AL726" s="13">
        <f t="shared" si="77"/>
        <v>169.86</v>
      </c>
      <c r="AM726" s="13" t="e">
        <f>VLOOKUP(I726,'Order 301-305 (เรียง)'!A:B,2,0)</f>
        <v>#N/A</v>
      </c>
      <c r="AN726" t="e">
        <f>VLOOKUP(I726,'Order 301-305 (เรียง)'!A:C,3,0)</f>
        <v>#N/A</v>
      </c>
    </row>
    <row r="727" spans="1:40" x14ac:dyDescent="0.3">
      <c r="A727" s="1" t="s">
        <v>62</v>
      </c>
      <c r="B727" s="1" t="s">
        <v>63</v>
      </c>
      <c r="C727" s="1" t="s">
        <v>64</v>
      </c>
      <c r="D727" s="1" t="s">
        <v>65</v>
      </c>
      <c r="E727" s="1" t="s">
        <v>66</v>
      </c>
      <c r="F727" s="1" t="s">
        <v>1775</v>
      </c>
      <c r="G727" s="1" t="s">
        <v>67</v>
      </c>
      <c r="H727" s="1" t="s">
        <v>287</v>
      </c>
      <c r="I727" s="1" t="s">
        <v>68</v>
      </c>
      <c r="J727" s="1" t="s">
        <v>1776</v>
      </c>
      <c r="K727" s="1" t="s">
        <v>96</v>
      </c>
      <c r="L727" s="1" t="s">
        <v>70</v>
      </c>
      <c r="M727" s="1" t="s">
        <v>68</v>
      </c>
      <c r="N727" s="1" t="s">
        <v>71</v>
      </c>
      <c r="O727" s="1" t="s">
        <v>68</v>
      </c>
      <c r="P727" s="1" t="s">
        <v>72</v>
      </c>
      <c r="Q727" s="1" t="s">
        <v>68</v>
      </c>
      <c r="R727" s="1" t="s">
        <v>68</v>
      </c>
      <c r="S727" s="1" t="s">
        <v>68</v>
      </c>
      <c r="T727" s="1" t="s">
        <v>73</v>
      </c>
      <c r="U727" s="1" t="s">
        <v>68</v>
      </c>
      <c r="V727" s="1" t="s">
        <v>68</v>
      </c>
      <c r="W727" s="1" t="s">
        <v>68</v>
      </c>
      <c r="X727" s="1" t="s">
        <v>1777</v>
      </c>
      <c r="Y727" s="73"/>
      <c r="Z727" s="2" t="s">
        <v>74</v>
      </c>
      <c r="AA727" s="3">
        <v>-2</v>
      </c>
      <c r="AB727" s="4">
        <v>-339.64</v>
      </c>
      <c r="AC727" s="73">
        <v>46230</v>
      </c>
      <c r="AD727" s="73">
        <v>46230</v>
      </c>
      <c r="AE727" s="73"/>
      <c r="AF727" s="73">
        <v>46230</v>
      </c>
      <c r="AG727" s="3">
        <v>-1000</v>
      </c>
      <c r="AH727" s="353" t="str">
        <f t="shared" si="75"/>
        <v/>
      </c>
      <c r="AI727" s="3" t="str">
        <f t="shared" si="76"/>
        <v>59</v>
      </c>
      <c r="AJ727" s="64" t="str">
        <f>VLOOKUP(T727,'GL Name'!A:B,2,0)</f>
        <v>ต้นทุนขาย</v>
      </c>
      <c r="AL727" s="13">
        <f t="shared" si="77"/>
        <v>169.82</v>
      </c>
      <c r="AM727" s="13" t="e">
        <f>VLOOKUP(I727,'Order 301-305 (เรียง)'!A:B,2,0)</f>
        <v>#N/A</v>
      </c>
      <c r="AN727" t="e">
        <f>VLOOKUP(I727,'Order 301-305 (เรียง)'!A:C,3,0)</f>
        <v>#N/A</v>
      </c>
    </row>
    <row r="728" spans="1:40" x14ac:dyDescent="0.3">
      <c r="A728" s="1" t="s">
        <v>113</v>
      </c>
      <c r="B728" s="1" t="s">
        <v>114</v>
      </c>
      <c r="C728" s="1" t="s">
        <v>64</v>
      </c>
      <c r="D728" s="1" t="s">
        <v>125</v>
      </c>
      <c r="E728" s="1" t="s">
        <v>289</v>
      </c>
      <c r="F728" s="1" t="s">
        <v>1778</v>
      </c>
      <c r="G728" s="1" t="s">
        <v>83</v>
      </c>
      <c r="H728" s="1" t="s">
        <v>602</v>
      </c>
      <c r="I728" s="1" t="s">
        <v>68</v>
      </c>
      <c r="J728" s="1" t="s">
        <v>1779</v>
      </c>
      <c r="K728" s="1" t="s">
        <v>84</v>
      </c>
      <c r="L728" s="1" t="s">
        <v>92</v>
      </c>
      <c r="M728" s="1" t="s">
        <v>68</v>
      </c>
      <c r="N728" s="1" t="s">
        <v>71</v>
      </c>
      <c r="O728" s="1" t="s">
        <v>68</v>
      </c>
      <c r="P728" s="1" t="s">
        <v>1780</v>
      </c>
      <c r="Q728" s="1" t="s">
        <v>68</v>
      </c>
      <c r="R728" s="1" t="s">
        <v>68</v>
      </c>
      <c r="S728" s="1" t="s">
        <v>68</v>
      </c>
      <c r="T728" s="1" t="s">
        <v>68</v>
      </c>
      <c r="U728" s="1" t="s">
        <v>68</v>
      </c>
      <c r="V728" s="1" t="s">
        <v>68</v>
      </c>
      <c r="W728" s="1" t="s">
        <v>68</v>
      </c>
      <c r="X728" s="1" t="s">
        <v>68</v>
      </c>
      <c r="Y728" s="73"/>
      <c r="Z728" s="2" t="s">
        <v>74</v>
      </c>
      <c r="AA728" s="3">
        <v>-496</v>
      </c>
      <c r="AB728" s="4">
        <v>-84230.720000000001</v>
      </c>
      <c r="AC728" s="73">
        <v>46230</v>
      </c>
      <c r="AD728" s="73">
        <v>46230</v>
      </c>
      <c r="AE728" s="73"/>
      <c r="AF728" s="73">
        <v>46230</v>
      </c>
      <c r="AG728" s="3">
        <v>-248000</v>
      </c>
      <c r="AH728" s="353" t="str">
        <f t="shared" si="75"/>
        <v/>
      </c>
      <c r="AI728" s="3" t="str">
        <f t="shared" si="76"/>
        <v>59</v>
      </c>
      <c r="AJ728" s="64" t="e">
        <f>VLOOKUP(T728,'GL Name'!A:B,2,0)</f>
        <v>#N/A</v>
      </c>
      <c r="AL728" s="13">
        <f t="shared" si="77"/>
        <v>169.82</v>
      </c>
      <c r="AM728" s="13" t="e">
        <f>VLOOKUP(I728,'Order 301-305 (เรียง)'!A:B,2,0)</f>
        <v>#N/A</v>
      </c>
      <c r="AN728" t="e">
        <f>VLOOKUP(I728,'Order 301-305 (เรียง)'!A:C,3,0)</f>
        <v>#N/A</v>
      </c>
    </row>
    <row r="729" spans="1:40" x14ac:dyDescent="0.3">
      <c r="A729" s="1" t="s">
        <v>113</v>
      </c>
      <c r="B729" s="1" t="s">
        <v>114</v>
      </c>
      <c r="C729" s="1" t="s">
        <v>64</v>
      </c>
      <c r="D729" s="1" t="s">
        <v>125</v>
      </c>
      <c r="E729" s="1" t="s">
        <v>289</v>
      </c>
      <c r="F729" s="1" t="s">
        <v>1778</v>
      </c>
      <c r="G729" s="1" t="s">
        <v>83</v>
      </c>
      <c r="H729" s="1" t="s">
        <v>287</v>
      </c>
      <c r="I729" s="1" t="s">
        <v>68</v>
      </c>
      <c r="J729" s="1" t="s">
        <v>1779</v>
      </c>
      <c r="K729" s="1" t="s">
        <v>84</v>
      </c>
      <c r="L729" s="1" t="s">
        <v>70</v>
      </c>
      <c r="M729" s="1" t="s">
        <v>68</v>
      </c>
      <c r="N729" s="1" t="s">
        <v>71</v>
      </c>
      <c r="O729" s="1" t="s">
        <v>68</v>
      </c>
      <c r="P729" s="1" t="s">
        <v>1780</v>
      </c>
      <c r="Q729" s="1" t="s">
        <v>68</v>
      </c>
      <c r="R729" s="1" t="s">
        <v>68</v>
      </c>
      <c r="S729" s="1" t="s">
        <v>68</v>
      </c>
      <c r="T729" s="1" t="s">
        <v>68</v>
      </c>
      <c r="U729" s="1" t="s">
        <v>68</v>
      </c>
      <c r="V729" s="1" t="s">
        <v>68</v>
      </c>
      <c r="W729" s="1" t="s">
        <v>68</v>
      </c>
      <c r="X729" s="1" t="s">
        <v>68</v>
      </c>
      <c r="Y729" s="73"/>
      <c r="Z729" s="2" t="s">
        <v>74</v>
      </c>
      <c r="AA729" s="3">
        <v>-1298</v>
      </c>
      <c r="AB729" s="4">
        <v>-220426.36</v>
      </c>
      <c r="AC729" s="73">
        <v>46230</v>
      </c>
      <c r="AD729" s="73">
        <v>46230</v>
      </c>
      <c r="AE729" s="73"/>
      <c r="AF729" s="73">
        <v>46230</v>
      </c>
      <c r="AG729" s="3">
        <v>-649000</v>
      </c>
      <c r="AH729" s="353" t="str">
        <f t="shared" si="75"/>
        <v/>
      </c>
      <c r="AI729" s="3" t="str">
        <f t="shared" si="76"/>
        <v>59</v>
      </c>
      <c r="AJ729" s="64" t="e">
        <f>VLOOKUP(T729,'GL Name'!A:B,2,0)</f>
        <v>#N/A</v>
      </c>
      <c r="AL729" s="13">
        <f t="shared" si="77"/>
        <v>169.82</v>
      </c>
      <c r="AM729" s="13" t="e">
        <f>VLOOKUP(I729,'Order 301-305 (เรียง)'!A:B,2,0)</f>
        <v>#N/A</v>
      </c>
      <c r="AN729" t="e">
        <f>VLOOKUP(I729,'Order 301-305 (เรียง)'!A:C,3,0)</f>
        <v>#N/A</v>
      </c>
    </row>
    <row r="730" spans="1:40" x14ac:dyDescent="0.3">
      <c r="A730" s="1" t="s">
        <v>62</v>
      </c>
      <c r="B730" s="1" t="s">
        <v>63</v>
      </c>
      <c r="C730" s="1" t="s">
        <v>64</v>
      </c>
      <c r="D730" s="1" t="s">
        <v>65</v>
      </c>
      <c r="E730" s="1" t="s">
        <v>66</v>
      </c>
      <c r="F730" s="1" t="s">
        <v>1781</v>
      </c>
      <c r="G730" s="1" t="s">
        <v>67</v>
      </c>
      <c r="H730" s="1" t="s">
        <v>287</v>
      </c>
      <c r="I730" s="1" t="s">
        <v>68</v>
      </c>
      <c r="J730" s="1" t="s">
        <v>1782</v>
      </c>
      <c r="K730" s="1" t="s">
        <v>96</v>
      </c>
      <c r="L730" s="1" t="s">
        <v>70</v>
      </c>
      <c r="M730" s="1" t="s">
        <v>68</v>
      </c>
      <c r="N730" s="1" t="s">
        <v>71</v>
      </c>
      <c r="O730" s="1" t="s">
        <v>68</v>
      </c>
      <c r="P730" s="1" t="s">
        <v>72</v>
      </c>
      <c r="Q730" s="1" t="s">
        <v>68</v>
      </c>
      <c r="R730" s="1" t="s">
        <v>68</v>
      </c>
      <c r="S730" s="1" t="s">
        <v>68</v>
      </c>
      <c r="T730" s="1" t="s">
        <v>73</v>
      </c>
      <c r="U730" s="1" t="s">
        <v>68</v>
      </c>
      <c r="V730" s="1" t="s">
        <v>68</v>
      </c>
      <c r="W730" s="1" t="s">
        <v>68</v>
      </c>
      <c r="X730" s="1" t="s">
        <v>1783</v>
      </c>
      <c r="Y730" s="73"/>
      <c r="Z730" s="2" t="s">
        <v>74</v>
      </c>
      <c r="AA730" s="3">
        <v>-2</v>
      </c>
      <c r="AB730" s="4">
        <v>-339.64</v>
      </c>
      <c r="AC730" s="73">
        <v>46230</v>
      </c>
      <c r="AD730" s="73">
        <v>46230</v>
      </c>
      <c r="AE730" s="73"/>
      <c r="AF730" s="73">
        <v>46230</v>
      </c>
      <c r="AG730" s="3">
        <v>-1000</v>
      </c>
      <c r="AH730" s="353" t="str">
        <f t="shared" si="75"/>
        <v/>
      </c>
      <c r="AI730" s="3" t="str">
        <f t="shared" si="76"/>
        <v>59</v>
      </c>
      <c r="AJ730" s="64" t="str">
        <f>VLOOKUP(T730,'GL Name'!A:B,2,0)</f>
        <v>ต้นทุนขาย</v>
      </c>
      <c r="AL730" s="13">
        <f t="shared" si="77"/>
        <v>169.82</v>
      </c>
      <c r="AM730" s="13" t="e">
        <f>VLOOKUP(I730,'Order 301-305 (เรียง)'!A:B,2,0)</f>
        <v>#N/A</v>
      </c>
      <c r="AN730" t="e">
        <f>VLOOKUP(I730,'Order 301-305 (เรียง)'!A:C,3,0)</f>
        <v>#N/A</v>
      </c>
    </row>
    <row r="731" spans="1:40" x14ac:dyDescent="0.3">
      <c r="A731" s="1" t="s">
        <v>62</v>
      </c>
      <c r="B731" s="1" t="s">
        <v>63</v>
      </c>
      <c r="C731" s="1" t="s">
        <v>64</v>
      </c>
      <c r="D731" s="1" t="s">
        <v>65</v>
      </c>
      <c r="E731" s="1" t="s">
        <v>66</v>
      </c>
      <c r="F731" s="1" t="s">
        <v>1784</v>
      </c>
      <c r="G731" s="1" t="s">
        <v>67</v>
      </c>
      <c r="H731" s="1" t="s">
        <v>287</v>
      </c>
      <c r="I731" s="1" t="s">
        <v>68</v>
      </c>
      <c r="J731" s="1" t="s">
        <v>1785</v>
      </c>
      <c r="K731" s="1" t="s">
        <v>231</v>
      </c>
      <c r="L731" s="1" t="s">
        <v>70</v>
      </c>
      <c r="M731" s="1" t="s">
        <v>68</v>
      </c>
      <c r="N731" s="1" t="s">
        <v>71</v>
      </c>
      <c r="O731" s="1" t="s">
        <v>68</v>
      </c>
      <c r="P731" s="1" t="s">
        <v>72</v>
      </c>
      <c r="Q731" s="1" t="s">
        <v>68</v>
      </c>
      <c r="R731" s="1" t="s">
        <v>68</v>
      </c>
      <c r="S731" s="1" t="s">
        <v>68</v>
      </c>
      <c r="T731" s="1" t="s">
        <v>73</v>
      </c>
      <c r="U731" s="1" t="s">
        <v>68</v>
      </c>
      <c r="V731" s="1" t="s">
        <v>68</v>
      </c>
      <c r="W731" s="1" t="s">
        <v>68</v>
      </c>
      <c r="X731" s="1" t="s">
        <v>1786</v>
      </c>
      <c r="Y731" s="73"/>
      <c r="Z731" s="2" t="s">
        <v>74</v>
      </c>
      <c r="AA731" s="3">
        <v>-60</v>
      </c>
      <c r="AB731" s="4">
        <v>-10189.200000000001</v>
      </c>
      <c r="AC731" s="73">
        <v>46230</v>
      </c>
      <c r="AD731" s="73">
        <v>46230</v>
      </c>
      <c r="AE731" s="73"/>
      <c r="AF731" s="73">
        <v>46230</v>
      </c>
      <c r="AG731" s="3">
        <v>-30000</v>
      </c>
      <c r="AH731" s="353" t="str">
        <f t="shared" si="75"/>
        <v/>
      </c>
      <c r="AI731" s="3" t="str">
        <f t="shared" si="76"/>
        <v>59</v>
      </c>
      <c r="AJ731" s="64" t="str">
        <f>VLOOKUP(T731,'GL Name'!A:B,2,0)</f>
        <v>ต้นทุนขาย</v>
      </c>
      <c r="AL731" s="13">
        <f t="shared" si="77"/>
        <v>169.82000000000002</v>
      </c>
      <c r="AM731" s="13" t="e">
        <f>VLOOKUP(I731,'Order 301-305 (เรียง)'!A:B,2,0)</f>
        <v>#N/A</v>
      </c>
      <c r="AN731" t="e">
        <f>VLOOKUP(I731,'Order 301-305 (เรียง)'!A:C,3,0)</f>
        <v>#N/A</v>
      </c>
    </row>
    <row r="732" spans="1:40" x14ac:dyDescent="0.3">
      <c r="A732" s="1" t="s">
        <v>62</v>
      </c>
      <c r="B732" s="1" t="s">
        <v>63</v>
      </c>
      <c r="C732" s="1" t="s">
        <v>64</v>
      </c>
      <c r="D732" s="1" t="s">
        <v>65</v>
      </c>
      <c r="E732" s="1" t="s">
        <v>66</v>
      </c>
      <c r="F732" s="1" t="s">
        <v>1787</v>
      </c>
      <c r="G732" s="1" t="s">
        <v>67</v>
      </c>
      <c r="H732" s="1" t="s">
        <v>287</v>
      </c>
      <c r="I732" s="1" t="s">
        <v>68</v>
      </c>
      <c r="J732" s="1" t="s">
        <v>1788</v>
      </c>
      <c r="K732" s="1" t="s">
        <v>96</v>
      </c>
      <c r="L732" s="1" t="s">
        <v>70</v>
      </c>
      <c r="M732" s="1" t="s">
        <v>68</v>
      </c>
      <c r="N732" s="1" t="s">
        <v>71</v>
      </c>
      <c r="O732" s="1" t="s">
        <v>68</v>
      </c>
      <c r="P732" s="1" t="s">
        <v>72</v>
      </c>
      <c r="Q732" s="1" t="s">
        <v>68</v>
      </c>
      <c r="R732" s="1" t="s">
        <v>68</v>
      </c>
      <c r="S732" s="1" t="s">
        <v>68</v>
      </c>
      <c r="T732" s="1" t="s">
        <v>73</v>
      </c>
      <c r="U732" s="1" t="s">
        <v>68</v>
      </c>
      <c r="V732" s="1" t="s">
        <v>68</v>
      </c>
      <c r="W732" s="1" t="s">
        <v>68</v>
      </c>
      <c r="X732" s="1" t="s">
        <v>1789</v>
      </c>
      <c r="Y732" s="73"/>
      <c r="Z732" s="2" t="s">
        <v>74</v>
      </c>
      <c r="AA732" s="3">
        <v>-2</v>
      </c>
      <c r="AB732" s="4">
        <v>-339.64</v>
      </c>
      <c r="AC732" s="73">
        <v>46230</v>
      </c>
      <c r="AD732" s="73">
        <v>46230</v>
      </c>
      <c r="AE732" s="73"/>
      <c r="AF732" s="73">
        <v>46230</v>
      </c>
      <c r="AG732" s="3">
        <v>-1000</v>
      </c>
      <c r="AH732" s="353" t="str">
        <f t="shared" si="75"/>
        <v/>
      </c>
      <c r="AI732" s="3" t="str">
        <f t="shared" si="76"/>
        <v>59</v>
      </c>
      <c r="AJ732" s="64" t="str">
        <f>VLOOKUP(T732,'GL Name'!A:B,2,0)</f>
        <v>ต้นทุนขาย</v>
      </c>
      <c r="AL732" s="13">
        <f t="shared" si="77"/>
        <v>169.82</v>
      </c>
      <c r="AM732" s="13" t="e">
        <f>VLOOKUP(I732,'Order 301-305 (เรียง)'!A:B,2,0)</f>
        <v>#N/A</v>
      </c>
      <c r="AN732" t="e">
        <f>VLOOKUP(I732,'Order 301-305 (เรียง)'!A:C,3,0)</f>
        <v>#N/A</v>
      </c>
    </row>
    <row r="733" spans="1:40" x14ac:dyDescent="0.3">
      <c r="A733" s="1" t="s">
        <v>62</v>
      </c>
      <c r="B733" s="1" t="s">
        <v>63</v>
      </c>
      <c r="C733" s="1" t="s">
        <v>64</v>
      </c>
      <c r="D733" s="1" t="s">
        <v>65</v>
      </c>
      <c r="E733" s="1" t="s">
        <v>66</v>
      </c>
      <c r="F733" s="1" t="s">
        <v>1790</v>
      </c>
      <c r="G733" s="1" t="s">
        <v>67</v>
      </c>
      <c r="H733" s="1" t="s">
        <v>287</v>
      </c>
      <c r="I733" s="1" t="s">
        <v>68</v>
      </c>
      <c r="J733" s="1" t="s">
        <v>1791</v>
      </c>
      <c r="K733" s="1" t="s">
        <v>96</v>
      </c>
      <c r="L733" s="1" t="s">
        <v>70</v>
      </c>
      <c r="M733" s="1" t="s">
        <v>68</v>
      </c>
      <c r="N733" s="1" t="s">
        <v>71</v>
      </c>
      <c r="O733" s="1" t="s">
        <v>68</v>
      </c>
      <c r="P733" s="1" t="s">
        <v>72</v>
      </c>
      <c r="Q733" s="1" t="s">
        <v>68</v>
      </c>
      <c r="R733" s="1" t="s">
        <v>68</v>
      </c>
      <c r="S733" s="1" t="s">
        <v>68</v>
      </c>
      <c r="T733" s="1" t="s">
        <v>73</v>
      </c>
      <c r="U733" s="1" t="s">
        <v>68</v>
      </c>
      <c r="V733" s="1" t="s">
        <v>68</v>
      </c>
      <c r="W733" s="1" t="s">
        <v>68</v>
      </c>
      <c r="X733" s="1" t="s">
        <v>1792</v>
      </c>
      <c r="Y733" s="73"/>
      <c r="Z733" s="2" t="s">
        <v>74</v>
      </c>
      <c r="AA733" s="3">
        <v>-8</v>
      </c>
      <c r="AB733" s="4">
        <v>-1358.56</v>
      </c>
      <c r="AC733" s="73">
        <v>46230</v>
      </c>
      <c r="AD733" s="73">
        <v>46230</v>
      </c>
      <c r="AE733" s="73"/>
      <c r="AF733" s="73">
        <v>46230</v>
      </c>
      <c r="AG733" s="3">
        <v>-4000</v>
      </c>
      <c r="AH733" s="353" t="str">
        <f t="shared" si="75"/>
        <v/>
      </c>
      <c r="AI733" s="3" t="str">
        <f t="shared" si="76"/>
        <v>59</v>
      </c>
      <c r="AJ733" s="64" t="str">
        <f>VLOOKUP(T733,'GL Name'!A:B,2,0)</f>
        <v>ต้นทุนขาย</v>
      </c>
      <c r="AL733" s="13">
        <f t="shared" si="77"/>
        <v>169.82</v>
      </c>
      <c r="AM733" s="13" t="e">
        <f>VLOOKUP(I733,'Order 301-305 (เรียง)'!A:B,2,0)</f>
        <v>#N/A</v>
      </c>
      <c r="AN733" t="e">
        <f>VLOOKUP(I733,'Order 301-305 (เรียง)'!A:C,3,0)</f>
        <v>#N/A</v>
      </c>
    </row>
    <row r="734" spans="1:40" x14ac:dyDescent="0.3">
      <c r="A734" s="1" t="s">
        <v>13</v>
      </c>
      <c r="B734" s="1" t="s">
        <v>14</v>
      </c>
      <c r="C734" s="1" t="s">
        <v>64</v>
      </c>
      <c r="D734" s="1" t="s">
        <v>77</v>
      </c>
      <c r="E734" s="1" t="s">
        <v>78</v>
      </c>
      <c r="F734" s="1" t="s">
        <v>1793</v>
      </c>
      <c r="G734" s="1" t="s">
        <v>279</v>
      </c>
      <c r="H734" s="1" t="s">
        <v>1709</v>
      </c>
      <c r="I734" s="1" t="s">
        <v>1794</v>
      </c>
      <c r="J734" s="1" t="s">
        <v>1795</v>
      </c>
      <c r="K734" s="1" t="s">
        <v>84</v>
      </c>
      <c r="L734" s="1" t="s">
        <v>86</v>
      </c>
      <c r="M734" s="1" t="s">
        <v>68</v>
      </c>
      <c r="N734" s="1" t="s">
        <v>71</v>
      </c>
      <c r="O734" s="1" t="s">
        <v>68</v>
      </c>
      <c r="P734" s="1" t="s">
        <v>1796</v>
      </c>
      <c r="Q734" s="1" t="s">
        <v>68</v>
      </c>
      <c r="R734" s="1" t="s">
        <v>68</v>
      </c>
      <c r="S734" s="1" t="s">
        <v>68</v>
      </c>
      <c r="T734" s="1" t="s">
        <v>123</v>
      </c>
      <c r="U734" s="1" t="s">
        <v>68</v>
      </c>
      <c r="V734" s="1" t="s">
        <v>68</v>
      </c>
      <c r="W734" s="1" t="s">
        <v>68</v>
      </c>
      <c r="X734" s="1" t="s">
        <v>68</v>
      </c>
      <c r="Y734" s="73"/>
      <c r="Z734" s="2" t="s">
        <v>80</v>
      </c>
      <c r="AA734" s="3">
        <v>-8064.3</v>
      </c>
      <c r="AB734" s="4">
        <v>-2184135.0099999998</v>
      </c>
      <c r="AC734" s="73">
        <v>46230</v>
      </c>
      <c r="AD734" s="73">
        <v>46221</v>
      </c>
      <c r="AE734" s="73"/>
      <c r="AF734" s="73">
        <v>46230</v>
      </c>
      <c r="AG734" s="3">
        <v>-8064300</v>
      </c>
      <c r="AH734" s="353" t="str">
        <f t="shared" si="75"/>
        <v>302</v>
      </c>
      <c r="AI734" s="3" t="str">
        <f t="shared" si="76"/>
        <v>57</v>
      </c>
      <c r="AJ734" s="64" t="str">
        <f>VLOOKUP(T734,'GL Name'!A:B,2,0)</f>
        <v>ต้นทุนผลิตกึ่งสำเร็จ</v>
      </c>
      <c r="AL734" s="13">
        <f t="shared" si="77"/>
        <v>270.83999975199333</v>
      </c>
      <c r="AM734" s="13" t="str">
        <f>VLOOKUP(I734,'Order 301-305 (เรียง)'!A:B,2,0)</f>
        <v>59000002</v>
      </c>
      <c r="AN734" t="str">
        <f>VLOOKUP(I734,'Order 301-305 (เรียง)'!A:C,3,0)</f>
        <v>GOLD BLEND ALL CAFE'  ขนาด 500 G.</v>
      </c>
    </row>
    <row r="735" spans="1:40" x14ac:dyDescent="0.3">
      <c r="A735" s="1" t="s">
        <v>19</v>
      </c>
      <c r="B735" s="1" t="s">
        <v>20</v>
      </c>
      <c r="C735" s="1" t="s">
        <v>64</v>
      </c>
      <c r="D735" s="1" t="s">
        <v>77</v>
      </c>
      <c r="E735" s="1" t="s">
        <v>78</v>
      </c>
      <c r="F735" s="1" t="s">
        <v>1793</v>
      </c>
      <c r="G735" s="1" t="s">
        <v>279</v>
      </c>
      <c r="H735" s="1" t="s">
        <v>304</v>
      </c>
      <c r="I735" s="1" t="s">
        <v>1794</v>
      </c>
      <c r="J735" s="1" t="s">
        <v>1795</v>
      </c>
      <c r="K735" s="1" t="s">
        <v>84</v>
      </c>
      <c r="L735" s="1" t="s">
        <v>92</v>
      </c>
      <c r="M735" s="1" t="s">
        <v>68</v>
      </c>
      <c r="N735" s="1" t="s">
        <v>71</v>
      </c>
      <c r="O735" s="1" t="s">
        <v>68</v>
      </c>
      <c r="P735" s="1" t="s">
        <v>1796</v>
      </c>
      <c r="Q735" s="1" t="s">
        <v>68</v>
      </c>
      <c r="R735" s="1" t="s">
        <v>68</v>
      </c>
      <c r="S735" s="1" t="s">
        <v>68</v>
      </c>
      <c r="T735" s="1" t="s">
        <v>123</v>
      </c>
      <c r="U735" s="1" t="s">
        <v>68</v>
      </c>
      <c r="V735" s="1" t="s">
        <v>68</v>
      </c>
      <c r="W735" s="1" t="s">
        <v>68</v>
      </c>
      <c r="X735" s="1" t="s">
        <v>68</v>
      </c>
      <c r="Y735" s="73"/>
      <c r="Z735" s="2" t="s">
        <v>80</v>
      </c>
      <c r="AA735" s="3">
        <v>-2016.56</v>
      </c>
      <c r="AB735" s="4">
        <v>-322508.44</v>
      </c>
      <c r="AC735" s="73">
        <v>46230</v>
      </c>
      <c r="AD735" s="73">
        <v>46221</v>
      </c>
      <c r="AE735" s="73"/>
      <c r="AF735" s="73">
        <v>46230</v>
      </c>
      <c r="AG735" s="3">
        <v>-2016560</v>
      </c>
      <c r="AH735" s="353" t="str">
        <f t="shared" si="75"/>
        <v>302</v>
      </c>
      <c r="AI735" s="3" t="str">
        <f t="shared" si="76"/>
        <v>57</v>
      </c>
      <c r="AJ735" s="64" t="str">
        <f>VLOOKUP(T735,'GL Name'!A:B,2,0)</f>
        <v>ต้นทุนผลิตกึ่งสำเร็จ</v>
      </c>
      <c r="AL735" s="13">
        <f t="shared" si="77"/>
        <v>159.92999960328481</v>
      </c>
      <c r="AM735" s="13" t="str">
        <f>VLOOKUP(I735,'Order 301-305 (เรียง)'!A:B,2,0)</f>
        <v>59000002</v>
      </c>
      <c r="AN735" t="str">
        <f>VLOOKUP(I735,'Order 301-305 (เรียง)'!A:C,3,0)</f>
        <v>GOLD BLEND ALL CAFE'  ขนาด 500 G.</v>
      </c>
    </row>
    <row r="736" spans="1:40" x14ac:dyDescent="0.3">
      <c r="A736" s="1" t="s">
        <v>23</v>
      </c>
      <c r="B736" s="1" t="s">
        <v>24</v>
      </c>
      <c r="C736" s="1" t="s">
        <v>64</v>
      </c>
      <c r="D736" s="1" t="s">
        <v>115</v>
      </c>
      <c r="E736" s="1" t="s">
        <v>116</v>
      </c>
      <c r="F736" s="1" t="s">
        <v>1793</v>
      </c>
      <c r="G736" s="1" t="s">
        <v>103</v>
      </c>
      <c r="H736" s="1" t="s">
        <v>1797</v>
      </c>
      <c r="I736" s="1" t="s">
        <v>1794</v>
      </c>
      <c r="J736" s="1" t="s">
        <v>1795</v>
      </c>
      <c r="K736" s="1" t="s">
        <v>84</v>
      </c>
      <c r="L736" s="1" t="s">
        <v>70</v>
      </c>
      <c r="M736" s="1" t="s">
        <v>68</v>
      </c>
      <c r="N736" s="1" t="s">
        <v>71</v>
      </c>
      <c r="O736" s="1" t="s">
        <v>68</v>
      </c>
      <c r="P736" s="1" t="s">
        <v>72</v>
      </c>
      <c r="Q736" s="1" t="s">
        <v>68</v>
      </c>
      <c r="R736" s="1" t="s">
        <v>68</v>
      </c>
      <c r="S736" s="1" t="s">
        <v>68</v>
      </c>
      <c r="T736" s="1" t="s">
        <v>124</v>
      </c>
      <c r="U736" s="1" t="s">
        <v>68</v>
      </c>
      <c r="V736" s="1" t="s">
        <v>68</v>
      </c>
      <c r="W736" s="1" t="s">
        <v>68</v>
      </c>
      <c r="X736" s="1" t="s">
        <v>68</v>
      </c>
      <c r="Y736" s="73"/>
      <c r="Z736" s="2" t="s">
        <v>80</v>
      </c>
      <c r="AA736" s="3">
        <v>8104.02</v>
      </c>
      <c r="AB736" s="4">
        <v>2634941.06</v>
      </c>
      <c r="AC736" s="73">
        <v>46230</v>
      </c>
      <c r="AD736" s="73">
        <v>46221</v>
      </c>
      <c r="AE736" s="73"/>
      <c r="AF736" s="73">
        <v>46230</v>
      </c>
      <c r="AG736" s="3">
        <v>8104020</v>
      </c>
      <c r="AH736" s="353" t="str">
        <f t="shared" si="75"/>
        <v>302</v>
      </c>
      <c r="AI736" s="3" t="str">
        <f t="shared" si="76"/>
        <v>57</v>
      </c>
      <c r="AJ736" s="64" t="str">
        <f>VLOOKUP(T736,'GL Name'!A:B,2,0)</f>
        <v>ต้นทุนผลิตโอน Semi</v>
      </c>
      <c r="AL736" s="13">
        <f t="shared" si="77"/>
        <v>325.13999965449244</v>
      </c>
      <c r="AM736" s="13" t="str">
        <f>VLOOKUP(I736,'Order 301-305 (เรียง)'!A:B,2,0)</f>
        <v>59000002</v>
      </c>
      <c r="AN736" t="str">
        <f>VLOOKUP(I736,'Order 301-305 (เรียง)'!A:C,3,0)</f>
        <v>GOLD BLEND ALL CAFE'  ขนาด 500 G.</v>
      </c>
    </row>
    <row r="737" spans="1:40" x14ac:dyDescent="0.3">
      <c r="A737" s="1" t="s">
        <v>13</v>
      </c>
      <c r="B737" s="1" t="s">
        <v>14</v>
      </c>
      <c r="C737" s="1" t="s">
        <v>64</v>
      </c>
      <c r="D737" s="1" t="s">
        <v>77</v>
      </c>
      <c r="E737" s="1" t="s">
        <v>78</v>
      </c>
      <c r="F737" s="1" t="s">
        <v>1798</v>
      </c>
      <c r="G737" s="1" t="s">
        <v>279</v>
      </c>
      <c r="H737" s="1" t="s">
        <v>1709</v>
      </c>
      <c r="I737" s="1" t="s">
        <v>1799</v>
      </c>
      <c r="J737" s="1" t="s">
        <v>1800</v>
      </c>
      <c r="K737" s="1" t="s">
        <v>84</v>
      </c>
      <c r="L737" s="1" t="s">
        <v>86</v>
      </c>
      <c r="M737" s="1" t="s">
        <v>68</v>
      </c>
      <c r="N737" s="1" t="s">
        <v>71</v>
      </c>
      <c r="O737" s="1" t="s">
        <v>68</v>
      </c>
      <c r="P737" s="1" t="s">
        <v>1801</v>
      </c>
      <c r="Q737" s="1" t="s">
        <v>68</v>
      </c>
      <c r="R737" s="1" t="s">
        <v>68</v>
      </c>
      <c r="S737" s="1" t="s">
        <v>68</v>
      </c>
      <c r="T737" s="1" t="s">
        <v>123</v>
      </c>
      <c r="U737" s="1" t="s">
        <v>68</v>
      </c>
      <c r="V737" s="1" t="s">
        <v>68</v>
      </c>
      <c r="W737" s="1" t="s">
        <v>68</v>
      </c>
      <c r="X737" s="1" t="s">
        <v>68</v>
      </c>
      <c r="Y737" s="73"/>
      <c r="Z737" s="2" t="s">
        <v>80</v>
      </c>
      <c r="AA737" s="3">
        <v>-8834</v>
      </c>
      <c r="AB737" s="4">
        <v>-2392600.56</v>
      </c>
      <c r="AC737" s="73">
        <v>46230</v>
      </c>
      <c r="AD737" s="73">
        <v>46223</v>
      </c>
      <c r="AE737" s="73"/>
      <c r="AF737" s="73">
        <v>46230</v>
      </c>
      <c r="AG737" s="3">
        <v>-8834000</v>
      </c>
      <c r="AH737" s="353" t="str">
        <f t="shared" si="75"/>
        <v>302</v>
      </c>
      <c r="AI737" s="3" t="str">
        <f t="shared" si="76"/>
        <v>57</v>
      </c>
      <c r="AJ737" s="64" t="str">
        <f>VLOOKUP(T737,'GL Name'!A:B,2,0)</f>
        <v>ต้นทุนผลิตกึ่งสำเร็จ</v>
      </c>
      <c r="AL737" s="13">
        <f t="shared" si="77"/>
        <v>270.84000000000003</v>
      </c>
      <c r="AM737" s="13" t="str">
        <f>VLOOKUP(I737,'Order 301-305 (เรียง)'!A:B,2,0)</f>
        <v>59000002</v>
      </c>
      <c r="AN737" t="str">
        <f>VLOOKUP(I737,'Order 301-305 (เรียง)'!A:C,3,0)</f>
        <v>GOLD BLEND ALL CAFE'  ขนาด 500 G.</v>
      </c>
    </row>
    <row r="738" spans="1:40" x14ac:dyDescent="0.3">
      <c r="A738" s="1" t="s">
        <v>19</v>
      </c>
      <c r="B738" s="1" t="s">
        <v>20</v>
      </c>
      <c r="C738" s="1" t="s">
        <v>64</v>
      </c>
      <c r="D738" s="1" t="s">
        <v>77</v>
      </c>
      <c r="E738" s="1" t="s">
        <v>78</v>
      </c>
      <c r="F738" s="1" t="s">
        <v>1798</v>
      </c>
      <c r="G738" s="1" t="s">
        <v>279</v>
      </c>
      <c r="H738" s="1" t="s">
        <v>304</v>
      </c>
      <c r="I738" s="1" t="s">
        <v>1799</v>
      </c>
      <c r="J738" s="1" t="s">
        <v>1800</v>
      </c>
      <c r="K738" s="1" t="s">
        <v>84</v>
      </c>
      <c r="L738" s="1" t="s">
        <v>92</v>
      </c>
      <c r="M738" s="1" t="s">
        <v>68</v>
      </c>
      <c r="N738" s="1" t="s">
        <v>71</v>
      </c>
      <c r="O738" s="1" t="s">
        <v>68</v>
      </c>
      <c r="P738" s="1" t="s">
        <v>1801</v>
      </c>
      <c r="Q738" s="1" t="s">
        <v>68</v>
      </c>
      <c r="R738" s="1" t="s">
        <v>68</v>
      </c>
      <c r="S738" s="1" t="s">
        <v>68</v>
      </c>
      <c r="T738" s="1" t="s">
        <v>123</v>
      </c>
      <c r="U738" s="1" t="s">
        <v>68</v>
      </c>
      <c r="V738" s="1" t="s">
        <v>68</v>
      </c>
      <c r="W738" s="1" t="s">
        <v>68</v>
      </c>
      <c r="X738" s="1" t="s">
        <v>68</v>
      </c>
      <c r="Y738" s="73"/>
      <c r="Z738" s="2" t="s">
        <v>80</v>
      </c>
      <c r="AA738" s="3">
        <v>-2211.7199999999998</v>
      </c>
      <c r="AB738" s="4">
        <v>-353720.38</v>
      </c>
      <c r="AC738" s="73">
        <v>46230</v>
      </c>
      <c r="AD738" s="73">
        <v>46223</v>
      </c>
      <c r="AE738" s="73"/>
      <c r="AF738" s="73">
        <v>46230</v>
      </c>
      <c r="AG738" s="3">
        <v>-2211720</v>
      </c>
      <c r="AH738" s="353" t="str">
        <f t="shared" si="75"/>
        <v>302</v>
      </c>
      <c r="AI738" s="3" t="str">
        <f t="shared" si="76"/>
        <v>57</v>
      </c>
      <c r="AJ738" s="64" t="str">
        <f>VLOOKUP(T738,'GL Name'!A:B,2,0)</f>
        <v>ต้นทุนผลิตกึ่งสำเร็จ</v>
      </c>
      <c r="AL738" s="13">
        <f t="shared" si="77"/>
        <v>159.93000018085473</v>
      </c>
      <c r="AM738" s="13" t="str">
        <f>VLOOKUP(I738,'Order 301-305 (เรียง)'!A:B,2,0)</f>
        <v>59000002</v>
      </c>
      <c r="AN738" t="str">
        <f>VLOOKUP(I738,'Order 301-305 (เรียง)'!A:C,3,0)</f>
        <v>GOLD BLEND ALL CAFE'  ขนาด 500 G.</v>
      </c>
    </row>
    <row r="739" spans="1:40" x14ac:dyDescent="0.3">
      <c r="A739" s="1" t="s">
        <v>23</v>
      </c>
      <c r="B739" s="1" t="s">
        <v>24</v>
      </c>
      <c r="C739" s="1" t="s">
        <v>64</v>
      </c>
      <c r="D739" s="1" t="s">
        <v>115</v>
      </c>
      <c r="E739" s="1" t="s">
        <v>116</v>
      </c>
      <c r="F739" s="1" t="s">
        <v>1798</v>
      </c>
      <c r="G739" s="1" t="s">
        <v>103</v>
      </c>
      <c r="H739" s="1" t="s">
        <v>1802</v>
      </c>
      <c r="I739" s="1" t="s">
        <v>1799</v>
      </c>
      <c r="J739" s="1" t="s">
        <v>1800</v>
      </c>
      <c r="K739" s="1" t="s">
        <v>84</v>
      </c>
      <c r="L739" s="1" t="s">
        <v>70</v>
      </c>
      <c r="M739" s="1" t="s">
        <v>68</v>
      </c>
      <c r="N739" s="1" t="s">
        <v>71</v>
      </c>
      <c r="O739" s="1" t="s">
        <v>68</v>
      </c>
      <c r="P739" s="1" t="s">
        <v>72</v>
      </c>
      <c r="Q739" s="1" t="s">
        <v>68</v>
      </c>
      <c r="R739" s="1" t="s">
        <v>68</v>
      </c>
      <c r="S739" s="1" t="s">
        <v>68</v>
      </c>
      <c r="T739" s="1" t="s">
        <v>124</v>
      </c>
      <c r="U739" s="1" t="s">
        <v>68</v>
      </c>
      <c r="V739" s="1" t="s">
        <v>68</v>
      </c>
      <c r="W739" s="1" t="s">
        <v>68</v>
      </c>
      <c r="X739" s="1" t="s">
        <v>68</v>
      </c>
      <c r="Y739" s="73"/>
      <c r="Z739" s="2" t="s">
        <v>80</v>
      </c>
      <c r="AA739" s="3">
        <v>8882</v>
      </c>
      <c r="AB739" s="4">
        <v>2887893.48</v>
      </c>
      <c r="AC739" s="73">
        <v>46230</v>
      </c>
      <c r="AD739" s="73">
        <v>46223</v>
      </c>
      <c r="AE739" s="73"/>
      <c r="AF739" s="73">
        <v>46230</v>
      </c>
      <c r="AG739" s="3">
        <v>8882000</v>
      </c>
      <c r="AH739" s="353" t="str">
        <f t="shared" si="75"/>
        <v>302</v>
      </c>
      <c r="AI739" s="3" t="str">
        <f t="shared" si="76"/>
        <v>57</v>
      </c>
      <c r="AJ739" s="64" t="str">
        <f>VLOOKUP(T739,'GL Name'!A:B,2,0)</f>
        <v>ต้นทุนผลิตโอน Semi</v>
      </c>
      <c r="AL739" s="13">
        <f t="shared" si="77"/>
        <v>325.14</v>
      </c>
      <c r="AM739" s="13" t="str">
        <f>VLOOKUP(I739,'Order 301-305 (เรียง)'!A:B,2,0)</f>
        <v>59000002</v>
      </c>
      <c r="AN739" t="str">
        <f>VLOOKUP(I739,'Order 301-305 (เรียง)'!A:C,3,0)</f>
        <v>GOLD BLEND ALL CAFE'  ขนาด 500 G.</v>
      </c>
    </row>
    <row r="740" spans="1:40" x14ac:dyDescent="0.3">
      <c r="A740" s="1" t="s">
        <v>13</v>
      </c>
      <c r="B740" s="1" t="s">
        <v>14</v>
      </c>
      <c r="C740" s="1" t="s">
        <v>64</v>
      </c>
      <c r="D740" s="1" t="s">
        <v>77</v>
      </c>
      <c r="E740" s="1" t="s">
        <v>78</v>
      </c>
      <c r="F740" s="1" t="s">
        <v>1803</v>
      </c>
      <c r="G740" s="1" t="s">
        <v>279</v>
      </c>
      <c r="H740" s="1" t="s">
        <v>1709</v>
      </c>
      <c r="I740" s="1" t="s">
        <v>1804</v>
      </c>
      <c r="J740" s="1" t="s">
        <v>1805</v>
      </c>
      <c r="K740" s="1" t="s">
        <v>84</v>
      </c>
      <c r="L740" s="1" t="s">
        <v>86</v>
      </c>
      <c r="M740" s="1" t="s">
        <v>68</v>
      </c>
      <c r="N740" s="1" t="s">
        <v>71</v>
      </c>
      <c r="O740" s="1" t="s">
        <v>68</v>
      </c>
      <c r="P740" s="1" t="s">
        <v>1806</v>
      </c>
      <c r="Q740" s="1" t="s">
        <v>68</v>
      </c>
      <c r="R740" s="1" t="s">
        <v>68</v>
      </c>
      <c r="S740" s="1" t="s">
        <v>68</v>
      </c>
      <c r="T740" s="1" t="s">
        <v>123</v>
      </c>
      <c r="U740" s="1" t="s">
        <v>68</v>
      </c>
      <c r="V740" s="1" t="s">
        <v>68</v>
      </c>
      <c r="W740" s="1" t="s">
        <v>68</v>
      </c>
      <c r="X740" s="1" t="s">
        <v>68</v>
      </c>
      <c r="Y740" s="73"/>
      <c r="Z740" s="2" t="s">
        <v>80</v>
      </c>
      <c r="AA740" s="3">
        <v>-10368.1</v>
      </c>
      <c r="AB740" s="4">
        <v>-2808096.21</v>
      </c>
      <c r="AC740" s="73">
        <v>46230</v>
      </c>
      <c r="AD740" s="73">
        <v>46224</v>
      </c>
      <c r="AE740" s="73"/>
      <c r="AF740" s="73">
        <v>46230</v>
      </c>
      <c r="AG740" s="3">
        <v>-10368100</v>
      </c>
      <c r="AH740" s="353" t="str">
        <f t="shared" si="75"/>
        <v>302</v>
      </c>
      <c r="AI740" s="3" t="str">
        <f t="shared" si="76"/>
        <v>57</v>
      </c>
      <c r="AJ740" s="64" t="str">
        <f>VLOOKUP(T740,'GL Name'!A:B,2,0)</f>
        <v>ต้นทุนผลิตกึ่งสำเร็จ</v>
      </c>
      <c r="AL740" s="13">
        <f t="shared" si="77"/>
        <v>270.8400005786981</v>
      </c>
      <c r="AM740" s="13" t="str">
        <f>VLOOKUP(I740,'Order 301-305 (เรียง)'!A:B,2,0)</f>
        <v>59000002</v>
      </c>
      <c r="AN740" t="str">
        <f>VLOOKUP(I740,'Order 301-305 (เรียง)'!A:C,3,0)</f>
        <v>GOLD BLEND ALL CAFE'  ขนาด 500 G.</v>
      </c>
    </row>
    <row r="741" spans="1:40" x14ac:dyDescent="0.3">
      <c r="A741" s="1" t="s">
        <v>19</v>
      </c>
      <c r="B741" s="1" t="s">
        <v>20</v>
      </c>
      <c r="C741" s="1" t="s">
        <v>64</v>
      </c>
      <c r="D741" s="1" t="s">
        <v>77</v>
      </c>
      <c r="E741" s="1" t="s">
        <v>78</v>
      </c>
      <c r="F741" s="1" t="s">
        <v>1803</v>
      </c>
      <c r="G741" s="1" t="s">
        <v>279</v>
      </c>
      <c r="H741" s="1" t="s">
        <v>304</v>
      </c>
      <c r="I741" s="1" t="s">
        <v>1804</v>
      </c>
      <c r="J741" s="1" t="s">
        <v>1805</v>
      </c>
      <c r="K741" s="1" t="s">
        <v>84</v>
      </c>
      <c r="L741" s="1" t="s">
        <v>92</v>
      </c>
      <c r="M741" s="1" t="s">
        <v>68</v>
      </c>
      <c r="N741" s="1" t="s">
        <v>71</v>
      </c>
      <c r="O741" s="1" t="s">
        <v>68</v>
      </c>
      <c r="P741" s="1" t="s">
        <v>1806</v>
      </c>
      <c r="Q741" s="1" t="s">
        <v>68</v>
      </c>
      <c r="R741" s="1" t="s">
        <v>68</v>
      </c>
      <c r="S741" s="1" t="s">
        <v>68</v>
      </c>
      <c r="T741" s="1" t="s">
        <v>123</v>
      </c>
      <c r="U741" s="1" t="s">
        <v>68</v>
      </c>
      <c r="V741" s="1" t="s">
        <v>68</v>
      </c>
      <c r="W741" s="1" t="s">
        <v>68</v>
      </c>
      <c r="X741" s="1" t="s">
        <v>68</v>
      </c>
      <c r="Y741" s="73"/>
      <c r="Z741" s="2" t="s">
        <v>80</v>
      </c>
      <c r="AA741" s="3">
        <v>-2594.54</v>
      </c>
      <c r="AB741" s="4">
        <v>-414944.78</v>
      </c>
      <c r="AC741" s="73">
        <v>46230</v>
      </c>
      <c r="AD741" s="73">
        <v>46224</v>
      </c>
      <c r="AE741" s="73"/>
      <c r="AF741" s="73">
        <v>46230</v>
      </c>
      <c r="AG741" s="3">
        <v>-2594540</v>
      </c>
      <c r="AH741" s="353" t="str">
        <f t="shared" si="75"/>
        <v>302</v>
      </c>
      <c r="AI741" s="3" t="str">
        <f t="shared" si="76"/>
        <v>57</v>
      </c>
      <c r="AJ741" s="64" t="str">
        <f>VLOOKUP(T741,'GL Name'!A:B,2,0)</f>
        <v>ต้นทุนผลิตกึ่งสำเร็จ</v>
      </c>
      <c r="AL741" s="13">
        <f t="shared" si="77"/>
        <v>159.92999915206551</v>
      </c>
      <c r="AM741" s="13" t="str">
        <f>VLOOKUP(I741,'Order 301-305 (เรียง)'!A:B,2,0)</f>
        <v>59000002</v>
      </c>
      <c r="AN741" t="str">
        <f>VLOOKUP(I741,'Order 301-305 (เรียง)'!A:C,3,0)</f>
        <v>GOLD BLEND ALL CAFE'  ขนาด 500 G.</v>
      </c>
    </row>
    <row r="742" spans="1:40" x14ac:dyDescent="0.3">
      <c r="A742" s="1" t="s">
        <v>23</v>
      </c>
      <c r="B742" s="1" t="s">
        <v>24</v>
      </c>
      <c r="C742" s="1" t="s">
        <v>64</v>
      </c>
      <c r="D742" s="1" t="s">
        <v>115</v>
      </c>
      <c r="E742" s="1" t="s">
        <v>116</v>
      </c>
      <c r="F742" s="1" t="s">
        <v>1803</v>
      </c>
      <c r="G742" s="1" t="s">
        <v>103</v>
      </c>
      <c r="H742" s="1" t="s">
        <v>1807</v>
      </c>
      <c r="I742" s="1" t="s">
        <v>1804</v>
      </c>
      <c r="J742" s="1" t="s">
        <v>1805</v>
      </c>
      <c r="K742" s="1" t="s">
        <v>84</v>
      </c>
      <c r="L742" s="1" t="s">
        <v>70</v>
      </c>
      <c r="M742" s="1" t="s">
        <v>68</v>
      </c>
      <c r="N742" s="1" t="s">
        <v>71</v>
      </c>
      <c r="O742" s="1" t="s">
        <v>68</v>
      </c>
      <c r="P742" s="1" t="s">
        <v>72</v>
      </c>
      <c r="Q742" s="1" t="s">
        <v>68</v>
      </c>
      <c r="R742" s="1" t="s">
        <v>68</v>
      </c>
      <c r="S742" s="1" t="s">
        <v>68</v>
      </c>
      <c r="T742" s="1" t="s">
        <v>124</v>
      </c>
      <c r="U742" s="1" t="s">
        <v>68</v>
      </c>
      <c r="V742" s="1" t="s">
        <v>68</v>
      </c>
      <c r="W742" s="1" t="s">
        <v>68</v>
      </c>
      <c r="X742" s="1" t="s">
        <v>68</v>
      </c>
      <c r="Y742" s="73"/>
      <c r="Z742" s="2" t="s">
        <v>80</v>
      </c>
      <c r="AA742" s="3">
        <v>10426.379999999999</v>
      </c>
      <c r="AB742" s="4">
        <v>3390033.19</v>
      </c>
      <c r="AC742" s="73">
        <v>46230</v>
      </c>
      <c r="AD742" s="73">
        <v>46224</v>
      </c>
      <c r="AE742" s="73"/>
      <c r="AF742" s="73">
        <v>46230</v>
      </c>
      <c r="AG742" s="3">
        <v>10426380</v>
      </c>
      <c r="AH742" s="353" t="str">
        <f t="shared" si="75"/>
        <v>302</v>
      </c>
      <c r="AI742" s="3" t="str">
        <f t="shared" si="76"/>
        <v>57</v>
      </c>
      <c r="AJ742" s="64" t="str">
        <f>VLOOKUP(T742,'GL Name'!A:B,2,0)</f>
        <v>ต้นทุนผลิตโอน Semi</v>
      </c>
      <c r="AL742" s="13">
        <f t="shared" si="77"/>
        <v>325.13999969308622</v>
      </c>
      <c r="AM742" s="13" t="str">
        <f>VLOOKUP(I742,'Order 301-305 (เรียง)'!A:B,2,0)</f>
        <v>59000002</v>
      </c>
      <c r="AN742" t="str">
        <f>VLOOKUP(I742,'Order 301-305 (เรียง)'!A:C,3,0)</f>
        <v>GOLD BLEND ALL CAFE'  ขนาด 500 G.</v>
      </c>
    </row>
    <row r="743" spans="1:40" x14ac:dyDescent="0.3">
      <c r="A743" s="1" t="s">
        <v>13</v>
      </c>
      <c r="B743" s="1" t="s">
        <v>14</v>
      </c>
      <c r="C743" s="1" t="s">
        <v>64</v>
      </c>
      <c r="D743" s="1" t="s">
        <v>77</v>
      </c>
      <c r="E743" s="1" t="s">
        <v>78</v>
      </c>
      <c r="F743" s="1" t="s">
        <v>1808</v>
      </c>
      <c r="G743" s="1" t="s">
        <v>279</v>
      </c>
      <c r="H743" s="1" t="s">
        <v>1711</v>
      </c>
      <c r="I743" s="1" t="s">
        <v>1809</v>
      </c>
      <c r="J743" s="1" t="s">
        <v>1810</v>
      </c>
      <c r="K743" s="1" t="s">
        <v>84</v>
      </c>
      <c r="L743" s="1" t="s">
        <v>89</v>
      </c>
      <c r="M743" s="1" t="s">
        <v>68</v>
      </c>
      <c r="N743" s="1" t="s">
        <v>71</v>
      </c>
      <c r="O743" s="1" t="s">
        <v>68</v>
      </c>
      <c r="P743" s="1" t="s">
        <v>72</v>
      </c>
      <c r="Q743" s="1" t="s">
        <v>68</v>
      </c>
      <c r="R743" s="1" t="s">
        <v>14</v>
      </c>
      <c r="S743" s="1" t="s">
        <v>68</v>
      </c>
      <c r="T743" s="1" t="s">
        <v>123</v>
      </c>
      <c r="U743" s="1" t="s">
        <v>68</v>
      </c>
      <c r="V743" s="1" t="s">
        <v>68</v>
      </c>
      <c r="W743" s="1" t="s">
        <v>68</v>
      </c>
      <c r="X743" s="1" t="s">
        <v>68</v>
      </c>
      <c r="Y743" s="73"/>
      <c r="Z743" s="2" t="s">
        <v>80</v>
      </c>
      <c r="AA743" s="3">
        <v>-7839.9</v>
      </c>
      <c r="AB743" s="4">
        <v>-2123358.52</v>
      </c>
      <c r="AC743" s="73">
        <v>46230</v>
      </c>
      <c r="AD743" s="73">
        <v>46225</v>
      </c>
      <c r="AE743" s="73"/>
      <c r="AF743" s="73">
        <v>46230</v>
      </c>
      <c r="AG743" s="3">
        <v>-7839900</v>
      </c>
      <c r="AH743" s="353" t="str">
        <f t="shared" si="75"/>
        <v>302</v>
      </c>
      <c r="AI743" s="3" t="str">
        <f t="shared" si="76"/>
        <v>57</v>
      </c>
      <c r="AJ743" s="64" t="str">
        <f>VLOOKUP(T743,'GL Name'!A:B,2,0)</f>
        <v>ต้นทุนผลิตกึ่งสำเร็จ</v>
      </c>
      <c r="AL743" s="13">
        <f t="shared" si="77"/>
        <v>270.84000051021059</v>
      </c>
      <c r="AM743" s="13" t="str">
        <f>VLOOKUP(I743,'Order 301-305 (เรียง)'!A:B,2,0)</f>
        <v>59000002</v>
      </c>
      <c r="AN743" t="str">
        <f>VLOOKUP(I743,'Order 301-305 (เรียง)'!A:C,3,0)</f>
        <v>GOLD BLEND ALL CAFE'  ขนาด 500 G.</v>
      </c>
    </row>
    <row r="744" spans="1:40" x14ac:dyDescent="0.3">
      <c r="A744" s="1" t="s">
        <v>13</v>
      </c>
      <c r="B744" s="1" t="s">
        <v>14</v>
      </c>
      <c r="C744" s="1" t="s">
        <v>64</v>
      </c>
      <c r="D744" s="1" t="s">
        <v>77</v>
      </c>
      <c r="E744" s="1" t="s">
        <v>78</v>
      </c>
      <c r="F744" s="1" t="s">
        <v>1808</v>
      </c>
      <c r="G744" s="1" t="s">
        <v>279</v>
      </c>
      <c r="H744" s="1" t="s">
        <v>1709</v>
      </c>
      <c r="I744" s="1" t="s">
        <v>1809</v>
      </c>
      <c r="J744" s="1" t="s">
        <v>1810</v>
      </c>
      <c r="K744" s="1" t="s">
        <v>84</v>
      </c>
      <c r="L744" s="1" t="s">
        <v>86</v>
      </c>
      <c r="M744" s="1" t="s">
        <v>68</v>
      </c>
      <c r="N744" s="1" t="s">
        <v>71</v>
      </c>
      <c r="O744" s="1" t="s">
        <v>68</v>
      </c>
      <c r="P744" s="1" t="s">
        <v>1811</v>
      </c>
      <c r="Q744" s="1" t="s">
        <v>68</v>
      </c>
      <c r="R744" s="1" t="s">
        <v>68</v>
      </c>
      <c r="S744" s="1" t="s">
        <v>68</v>
      </c>
      <c r="T744" s="1" t="s">
        <v>123</v>
      </c>
      <c r="U744" s="1" t="s">
        <v>68</v>
      </c>
      <c r="V744" s="1" t="s">
        <v>68</v>
      </c>
      <c r="W744" s="1" t="s">
        <v>68</v>
      </c>
      <c r="X744" s="1" t="s">
        <v>68</v>
      </c>
      <c r="Y744" s="73"/>
      <c r="Z744" s="2" t="s">
        <v>80</v>
      </c>
      <c r="AA744" s="3">
        <v>-2720.6</v>
      </c>
      <c r="AB744" s="4">
        <v>-736847.3</v>
      </c>
      <c r="AC744" s="73">
        <v>46230</v>
      </c>
      <c r="AD744" s="73">
        <v>46225</v>
      </c>
      <c r="AE744" s="73"/>
      <c r="AF744" s="73">
        <v>46230</v>
      </c>
      <c r="AG744" s="3">
        <v>-2720600</v>
      </c>
      <c r="AH744" s="353" t="str">
        <f t="shared" si="75"/>
        <v>302</v>
      </c>
      <c r="AI744" s="3" t="str">
        <f t="shared" si="76"/>
        <v>57</v>
      </c>
      <c r="AJ744" s="64" t="str">
        <f>VLOOKUP(T744,'GL Name'!A:B,2,0)</f>
        <v>ต้นทุนผลิตกึ่งสำเร็จ</v>
      </c>
      <c r="AL744" s="13">
        <f t="shared" si="77"/>
        <v>270.83999852973614</v>
      </c>
      <c r="AM744" s="13" t="str">
        <f>VLOOKUP(I744,'Order 301-305 (เรียง)'!A:B,2,0)</f>
        <v>59000002</v>
      </c>
      <c r="AN744" t="str">
        <f>VLOOKUP(I744,'Order 301-305 (เรียง)'!A:C,3,0)</f>
        <v>GOLD BLEND ALL CAFE'  ขนาด 500 G.</v>
      </c>
    </row>
    <row r="745" spans="1:40" x14ac:dyDescent="0.3">
      <c r="A745" s="1" t="s">
        <v>19</v>
      </c>
      <c r="B745" s="1" t="s">
        <v>20</v>
      </c>
      <c r="C745" s="1" t="s">
        <v>64</v>
      </c>
      <c r="D745" s="1" t="s">
        <v>77</v>
      </c>
      <c r="E745" s="1" t="s">
        <v>78</v>
      </c>
      <c r="F745" s="1" t="s">
        <v>1808</v>
      </c>
      <c r="G745" s="1" t="s">
        <v>279</v>
      </c>
      <c r="H745" s="1" t="s">
        <v>304</v>
      </c>
      <c r="I745" s="1" t="s">
        <v>1809</v>
      </c>
      <c r="J745" s="1" t="s">
        <v>1810</v>
      </c>
      <c r="K745" s="1" t="s">
        <v>84</v>
      </c>
      <c r="L745" s="1" t="s">
        <v>92</v>
      </c>
      <c r="M745" s="1" t="s">
        <v>68</v>
      </c>
      <c r="N745" s="1" t="s">
        <v>71</v>
      </c>
      <c r="O745" s="1" t="s">
        <v>68</v>
      </c>
      <c r="P745" s="1" t="s">
        <v>1811</v>
      </c>
      <c r="Q745" s="1" t="s">
        <v>68</v>
      </c>
      <c r="R745" s="1" t="s">
        <v>68</v>
      </c>
      <c r="S745" s="1" t="s">
        <v>68</v>
      </c>
      <c r="T745" s="1" t="s">
        <v>123</v>
      </c>
      <c r="U745" s="1" t="s">
        <v>68</v>
      </c>
      <c r="V745" s="1" t="s">
        <v>68</v>
      </c>
      <c r="W745" s="1" t="s">
        <v>68</v>
      </c>
      <c r="X745" s="1" t="s">
        <v>68</v>
      </c>
      <c r="Y745" s="73"/>
      <c r="Z745" s="2" t="s">
        <v>80</v>
      </c>
      <c r="AA745" s="3">
        <v>-2642.4</v>
      </c>
      <c r="AB745" s="4">
        <v>-422599.03</v>
      </c>
      <c r="AC745" s="73">
        <v>46230</v>
      </c>
      <c r="AD745" s="73">
        <v>46225</v>
      </c>
      <c r="AE745" s="73"/>
      <c r="AF745" s="73">
        <v>46230</v>
      </c>
      <c r="AG745" s="3">
        <v>-2642400</v>
      </c>
      <c r="AH745" s="353" t="str">
        <f t="shared" si="75"/>
        <v>302</v>
      </c>
      <c r="AI745" s="3" t="str">
        <f t="shared" si="76"/>
        <v>57</v>
      </c>
      <c r="AJ745" s="64" t="str">
        <f>VLOOKUP(T745,'GL Name'!A:B,2,0)</f>
        <v>ต้นทุนผลิตกึ่งสำเร็จ</v>
      </c>
      <c r="AL745" s="13">
        <f t="shared" si="77"/>
        <v>159.92999924311232</v>
      </c>
      <c r="AM745" s="13" t="str">
        <f>VLOOKUP(I745,'Order 301-305 (เรียง)'!A:B,2,0)</f>
        <v>59000002</v>
      </c>
      <c r="AN745" t="str">
        <f>VLOOKUP(I745,'Order 301-305 (เรียง)'!A:C,3,0)</f>
        <v>GOLD BLEND ALL CAFE'  ขนาด 500 G.</v>
      </c>
    </row>
    <row r="746" spans="1:40" x14ac:dyDescent="0.3">
      <c r="A746" s="1" t="s">
        <v>23</v>
      </c>
      <c r="B746" s="1" t="s">
        <v>24</v>
      </c>
      <c r="C746" s="1" t="s">
        <v>64</v>
      </c>
      <c r="D746" s="1" t="s">
        <v>115</v>
      </c>
      <c r="E746" s="1" t="s">
        <v>116</v>
      </c>
      <c r="F746" s="1" t="s">
        <v>1808</v>
      </c>
      <c r="G746" s="1" t="s">
        <v>103</v>
      </c>
      <c r="H746" s="1" t="s">
        <v>1812</v>
      </c>
      <c r="I746" s="1" t="s">
        <v>1809</v>
      </c>
      <c r="J746" s="1" t="s">
        <v>1810</v>
      </c>
      <c r="K746" s="1" t="s">
        <v>84</v>
      </c>
      <c r="L746" s="1" t="s">
        <v>70</v>
      </c>
      <c r="M746" s="1" t="s">
        <v>68</v>
      </c>
      <c r="N746" s="1" t="s">
        <v>71</v>
      </c>
      <c r="O746" s="1" t="s">
        <v>68</v>
      </c>
      <c r="P746" s="1" t="s">
        <v>72</v>
      </c>
      <c r="Q746" s="1" t="s">
        <v>68</v>
      </c>
      <c r="R746" s="1" t="s">
        <v>68</v>
      </c>
      <c r="S746" s="1" t="s">
        <v>68</v>
      </c>
      <c r="T746" s="1" t="s">
        <v>124</v>
      </c>
      <c r="U746" s="1" t="s">
        <v>68</v>
      </c>
      <c r="V746" s="1" t="s">
        <v>68</v>
      </c>
      <c r="W746" s="1" t="s">
        <v>68</v>
      </c>
      <c r="X746" s="1" t="s">
        <v>68</v>
      </c>
      <c r="Y746" s="73"/>
      <c r="Z746" s="2" t="s">
        <v>80</v>
      </c>
      <c r="AA746" s="3">
        <v>10625.78</v>
      </c>
      <c r="AB746" s="4">
        <v>3454866.11</v>
      </c>
      <c r="AC746" s="73">
        <v>46230</v>
      </c>
      <c r="AD746" s="73">
        <v>46225</v>
      </c>
      <c r="AE746" s="73"/>
      <c r="AF746" s="73">
        <v>46230</v>
      </c>
      <c r="AG746" s="3">
        <v>10625780</v>
      </c>
      <c r="AH746" s="353" t="str">
        <f t="shared" si="75"/>
        <v>302</v>
      </c>
      <c r="AI746" s="3" t="str">
        <f t="shared" si="76"/>
        <v>57</v>
      </c>
      <c r="AJ746" s="64" t="str">
        <f>VLOOKUP(T746,'GL Name'!A:B,2,0)</f>
        <v>ต้นทุนผลิตโอน Semi</v>
      </c>
      <c r="AL746" s="13">
        <f t="shared" si="77"/>
        <v>325.14000007528858</v>
      </c>
      <c r="AM746" s="13" t="str">
        <f>VLOOKUP(I746,'Order 301-305 (เรียง)'!A:B,2,0)</f>
        <v>59000002</v>
      </c>
      <c r="AN746" t="str">
        <f>VLOOKUP(I746,'Order 301-305 (เรียง)'!A:C,3,0)</f>
        <v>GOLD BLEND ALL CAFE'  ขนาด 500 G.</v>
      </c>
    </row>
    <row r="747" spans="1:40" x14ac:dyDescent="0.3">
      <c r="A747" s="1" t="s">
        <v>13</v>
      </c>
      <c r="B747" s="1" t="s">
        <v>14</v>
      </c>
      <c r="C747" s="1" t="s">
        <v>64</v>
      </c>
      <c r="D747" s="1" t="s">
        <v>77</v>
      </c>
      <c r="E747" s="1" t="s">
        <v>78</v>
      </c>
      <c r="F747" s="1" t="s">
        <v>1813</v>
      </c>
      <c r="G747" s="1" t="s">
        <v>279</v>
      </c>
      <c r="H747" s="1" t="s">
        <v>1711</v>
      </c>
      <c r="I747" s="1" t="s">
        <v>1814</v>
      </c>
      <c r="J747" s="1" t="s">
        <v>1815</v>
      </c>
      <c r="K747" s="1" t="s">
        <v>84</v>
      </c>
      <c r="L747" s="1" t="s">
        <v>86</v>
      </c>
      <c r="M747" s="1" t="s">
        <v>68</v>
      </c>
      <c r="N747" s="1" t="s">
        <v>71</v>
      </c>
      <c r="O747" s="1" t="s">
        <v>68</v>
      </c>
      <c r="P747" s="1" t="s">
        <v>1816</v>
      </c>
      <c r="Q747" s="1" t="s">
        <v>68</v>
      </c>
      <c r="R747" s="1" t="s">
        <v>68</v>
      </c>
      <c r="S747" s="1" t="s">
        <v>68</v>
      </c>
      <c r="T747" s="1" t="s">
        <v>123</v>
      </c>
      <c r="U747" s="1" t="s">
        <v>68</v>
      </c>
      <c r="V747" s="1" t="s">
        <v>68</v>
      </c>
      <c r="W747" s="1" t="s">
        <v>68</v>
      </c>
      <c r="X747" s="1" t="s">
        <v>68</v>
      </c>
      <c r="Y747" s="73"/>
      <c r="Z747" s="2" t="s">
        <v>80</v>
      </c>
      <c r="AA747" s="3">
        <v>-9792.7999999999993</v>
      </c>
      <c r="AB747" s="4">
        <v>-2652281.9500000002</v>
      </c>
      <c r="AC747" s="73">
        <v>46230</v>
      </c>
      <c r="AD747" s="73">
        <v>46226</v>
      </c>
      <c r="AE747" s="73"/>
      <c r="AF747" s="73">
        <v>46230</v>
      </c>
      <c r="AG747" s="3">
        <v>-9792800</v>
      </c>
      <c r="AH747" s="353" t="str">
        <f t="shared" si="75"/>
        <v>302</v>
      </c>
      <c r="AI747" s="3" t="str">
        <f t="shared" si="76"/>
        <v>57</v>
      </c>
      <c r="AJ747" s="64" t="str">
        <f>VLOOKUP(T747,'GL Name'!A:B,2,0)</f>
        <v>ต้นทุนผลิตกึ่งสำเร็จ</v>
      </c>
      <c r="AL747" s="13">
        <f t="shared" si="77"/>
        <v>270.83999979576834</v>
      </c>
      <c r="AM747" s="13" t="str">
        <f>VLOOKUP(I747,'Order 301-305 (เรียง)'!A:B,2,0)</f>
        <v>59000002</v>
      </c>
      <c r="AN747" t="str">
        <f>VLOOKUP(I747,'Order 301-305 (เรียง)'!A:C,3,0)</f>
        <v>GOLD BLEND ALL CAFE'  ขนาด 500 G.</v>
      </c>
    </row>
    <row r="748" spans="1:40" x14ac:dyDescent="0.3">
      <c r="A748" s="1" t="s">
        <v>19</v>
      </c>
      <c r="B748" s="1" t="s">
        <v>20</v>
      </c>
      <c r="C748" s="1" t="s">
        <v>64</v>
      </c>
      <c r="D748" s="1" t="s">
        <v>77</v>
      </c>
      <c r="E748" s="1" t="s">
        <v>78</v>
      </c>
      <c r="F748" s="1" t="s">
        <v>1813</v>
      </c>
      <c r="G748" s="1" t="s">
        <v>279</v>
      </c>
      <c r="H748" s="1" t="s">
        <v>304</v>
      </c>
      <c r="I748" s="1" t="s">
        <v>1814</v>
      </c>
      <c r="J748" s="1" t="s">
        <v>1815</v>
      </c>
      <c r="K748" s="1" t="s">
        <v>84</v>
      </c>
      <c r="L748" s="1" t="s">
        <v>92</v>
      </c>
      <c r="M748" s="1" t="s">
        <v>68</v>
      </c>
      <c r="N748" s="1" t="s">
        <v>71</v>
      </c>
      <c r="O748" s="1" t="s">
        <v>68</v>
      </c>
      <c r="P748" s="1" t="s">
        <v>1816</v>
      </c>
      <c r="Q748" s="1" t="s">
        <v>68</v>
      </c>
      <c r="R748" s="1" t="s">
        <v>68</v>
      </c>
      <c r="S748" s="1" t="s">
        <v>68</v>
      </c>
      <c r="T748" s="1" t="s">
        <v>123</v>
      </c>
      <c r="U748" s="1" t="s">
        <v>68</v>
      </c>
      <c r="V748" s="1" t="s">
        <v>68</v>
      </c>
      <c r="W748" s="1" t="s">
        <v>68</v>
      </c>
      <c r="X748" s="1" t="s">
        <v>68</v>
      </c>
      <c r="Y748" s="73"/>
      <c r="Z748" s="2" t="s">
        <v>80</v>
      </c>
      <c r="AA748" s="3">
        <v>-2460.6</v>
      </c>
      <c r="AB748" s="4">
        <v>-393523.76</v>
      </c>
      <c r="AC748" s="73">
        <v>46230</v>
      </c>
      <c r="AD748" s="73">
        <v>46226</v>
      </c>
      <c r="AE748" s="73"/>
      <c r="AF748" s="73">
        <v>46230</v>
      </c>
      <c r="AG748" s="3">
        <v>-2460600</v>
      </c>
      <c r="AH748" s="353" t="str">
        <f t="shared" si="75"/>
        <v>302</v>
      </c>
      <c r="AI748" s="3" t="str">
        <f t="shared" si="76"/>
        <v>57</v>
      </c>
      <c r="AJ748" s="64" t="str">
        <f>VLOOKUP(T748,'GL Name'!A:B,2,0)</f>
        <v>ต้นทุนผลิตกึ่งสำเร็จ</v>
      </c>
      <c r="AL748" s="13">
        <f t="shared" si="77"/>
        <v>159.93000081280988</v>
      </c>
      <c r="AM748" s="13" t="str">
        <f>VLOOKUP(I748,'Order 301-305 (เรียง)'!A:B,2,0)</f>
        <v>59000002</v>
      </c>
      <c r="AN748" t="str">
        <f>VLOOKUP(I748,'Order 301-305 (เรียง)'!A:C,3,0)</f>
        <v>GOLD BLEND ALL CAFE'  ขนาด 500 G.</v>
      </c>
    </row>
    <row r="749" spans="1:40" x14ac:dyDescent="0.3">
      <c r="A749" s="1" t="s">
        <v>23</v>
      </c>
      <c r="B749" s="1" t="s">
        <v>24</v>
      </c>
      <c r="C749" s="1" t="s">
        <v>64</v>
      </c>
      <c r="D749" s="1" t="s">
        <v>115</v>
      </c>
      <c r="E749" s="1" t="s">
        <v>116</v>
      </c>
      <c r="F749" s="1" t="s">
        <v>1813</v>
      </c>
      <c r="G749" s="1" t="s">
        <v>103</v>
      </c>
      <c r="H749" s="1" t="s">
        <v>1817</v>
      </c>
      <c r="I749" s="1" t="s">
        <v>1814</v>
      </c>
      <c r="J749" s="1" t="s">
        <v>1815</v>
      </c>
      <c r="K749" s="1" t="s">
        <v>84</v>
      </c>
      <c r="L749" s="1" t="s">
        <v>70</v>
      </c>
      <c r="M749" s="1" t="s">
        <v>68</v>
      </c>
      <c r="N749" s="1" t="s">
        <v>71</v>
      </c>
      <c r="O749" s="1" t="s">
        <v>68</v>
      </c>
      <c r="P749" s="1" t="s">
        <v>72</v>
      </c>
      <c r="Q749" s="1" t="s">
        <v>68</v>
      </c>
      <c r="R749" s="1" t="s">
        <v>68</v>
      </c>
      <c r="S749" s="1" t="s">
        <v>68</v>
      </c>
      <c r="T749" s="1" t="s">
        <v>124</v>
      </c>
      <c r="U749" s="1" t="s">
        <v>68</v>
      </c>
      <c r="V749" s="1" t="s">
        <v>68</v>
      </c>
      <c r="W749" s="1" t="s">
        <v>68</v>
      </c>
      <c r="X749" s="1" t="s">
        <v>68</v>
      </c>
      <c r="Y749" s="73"/>
      <c r="Z749" s="2" t="s">
        <v>80</v>
      </c>
      <c r="AA749" s="3">
        <v>9836.16</v>
      </c>
      <c r="AB749" s="4">
        <v>3198129.06</v>
      </c>
      <c r="AC749" s="73">
        <v>46230</v>
      </c>
      <c r="AD749" s="73">
        <v>46226</v>
      </c>
      <c r="AE749" s="73"/>
      <c r="AF749" s="73">
        <v>46230</v>
      </c>
      <c r="AG749" s="3">
        <v>9836160</v>
      </c>
      <c r="AH749" s="353" t="str">
        <f t="shared" si="75"/>
        <v>302</v>
      </c>
      <c r="AI749" s="3" t="str">
        <f t="shared" si="76"/>
        <v>57</v>
      </c>
      <c r="AJ749" s="64" t="str">
        <f>VLOOKUP(T749,'GL Name'!A:B,2,0)</f>
        <v>ต้นทุนผลิตโอน Semi</v>
      </c>
      <c r="AL749" s="13">
        <f t="shared" si="77"/>
        <v>325.13999975600234</v>
      </c>
      <c r="AM749" s="13" t="str">
        <f>VLOOKUP(I749,'Order 301-305 (เรียง)'!A:B,2,0)</f>
        <v>59000002</v>
      </c>
      <c r="AN749" t="str">
        <f>VLOOKUP(I749,'Order 301-305 (เรียง)'!A:C,3,0)</f>
        <v>GOLD BLEND ALL CAFE'  ขนาด 500 G.</v>
      </c>
    </row>
    <row r="750" spans="1:40" x14ac:dyDescent="0.3">
      <c r="A750" s="1" t="s">
        <v>62</v>
      </c>
      <c r="B750" s="1" t="s">
        <v>63</v>
      </c>
      <c r="C750" s="1" t="s">
        <v>64</v>
      </c>
      <c r="D750" s="1" t="s">
        <v>65</v>
      </c>
      <c r="E750" s="1" t="s">
        <v>66</v>
      </c>
      <c r="F750" s="1" t="s">
        <v>1818</v>
      </c>
      <c r="G750" s="1" t="s">
        <v>67</v>
      </c>
      <c r="H750" s="1" t="s">
        <v>287</v>
      </c>
      <c r="I750" s="1" t="s">
        <v>68</v>
      </c>
      <c r="J750" s="1" t="s">
        <v>1819</v>
      </c>
      <c r="K750" s="1" t="s">
        <v>96</v>
      </c>
      <c r="L750" s="1" t="s">
        <v>70</v>
      </c>
      <c r="M750" s="1" t="s">
        <v>68</v>
      </c>
      <c r="N750" s="1" t="s">
        <v>71</v>
      </c>
      <c r="O750" s="1" t="s">
        <v>68</v>
      </c>
      <c r="P750" s="1" t="s">
        <v>72</v>
      </c>
      <c r="Q750" s="1" t="s">
        <v>68</v>
      </c>
      <c r="R750" s="1" t="s">
        <v>68</v>
      </c>
      <c r="S750" s="1" t="s">
        <v>68</v>
      </c>
      <c r="T750" s="1" t="s">
        <v>73</v>
      </c>
      <c r="U750" s="1" t="s">
        <v>68</v>
      </c>
      <c r="V750" s="1" t="s">
        <v>68</v>
      </c>
      <c r="W750" s="1" t="s">
        <v>68</v>
      </c>
      <c r="X750" s="1" t="s">
        <v>1820</v>
      </c>
      <c r="Y750" s="73"/>
      <c r="Z750" s="2" t="s">
        <v>74</v>
      </c>
      <c r="AA750" s="3">
        <v>-2</v>
      </c>
      <c r="AB750" s="4">
        <v>-339.64</v>
      </c>
      <c r="AC750" s="73">
        <v>46230</v>
      </c>
      <c r="AD750" s="73">
        <v>46230</v>
      </c>
      <c r="AE750" s="73"/>
      <c r="AF750" s="73">
        <v>46230</v>
      </c>
      <c r="AG750" s="3">
        <v>-1000</v>
      </c>
      <c r="AH750" s="353" t="str">
        <f t="shared" si="75"/>
        <v/>
      </c>
      <c r="AI750" s="3" t="str">
        <f t="shared" si="76"/>
        <v>59</v>
      </c>
      <c r="AJ750" s="64" t="str">
        <f>VLOOKUP(T750,'GL Name'!A:B,2,0)</f>
        <v>ต้นทุนขาย</v>
      </c>
      <c r="AL750" s="13">
        <f t="shared" si="77"/>
        <v>169.82</v>
      </c>
      <c r="AM750" s="13" t="e">
        <f>VLOOKUP(I750,'Order 301-305 (เรียง)'!A:B,2,0)</f>
        <v>#N/A</v>
      </c>
      <c r="AN750" t="e">
        <f>VLOOKUP(I750,'Order 301-305 (เรียง)'!A:C,3,0)</f>
        <v>#N/A</v>
      </c>
    </row>
    <row r="751" spans="1:40" x14ac:dyDescent="0.3">
      <c r="A751" s="1" t="s">
        <v>62</v>
      </c>
      <c r="B751" s="1" t="s">
        <v>63</v>
      </c>
      <c r="C751" s="1" t="s">
        <v>64</v>
      </c>
      <c r="D751" s="1" t="s">
        <v>1181</v>
      </c>
      <c r="E751" s="1" t="s">
        <v>1182</v>
      </c>
      <c r="F751" s="1" t="s">
        <v>1821</v>
      </c>
      <c r="G751" s="1" t="s">
        <v>67</v>
      </c>
      <c r="H751" s="1" t="s">
        <v>287</v>
      </c>
      <c r="I751" s="1" t="s">
        <v>68</v>
      </c>
      <c r="J751" s="1" t="s">
        <v>1822</v>
      </c>
      <c r="K751" s="1" t="s">
        <v>96</v>
      </c>
      <c r="L751" s="1" t="s">
        <v>70</v>
      </c>
      <c r="M751" s="1" t="s">
        <v>68</v>
      </c>
      <c r="N751" s="1" t="s">
        <v>71</v>
      </c>
      <c r="O751" s="1" t="s">
        <v>68</v>
      </c>
      <c r="P751" s="1" t="s">
        <v>72</v>
      </c>
      <c r="Q751" s="1" t="s">
        <v>68</v>
      </c>
      <c r="R751" s="1" t="s">
        <v>68</v>
      </c>
      <c r="S751" s="1" t="s">
        <v>68</v>
      </c>
      <c r="T751" s="1" t="s">
        <v>73</v>
      </c>
      <c r="U751" s="1" t="s">
        <v>68</v>
      </c>
      <c r="V751" s="1" t="s">
        <v>68</v>
      </c>
      <c r="W751" s="1" t="s">
        <v>68</v>
      </c>
      <c r="X751" s="1" t="s">
        <v>1820</v>
      </c>
      <c r="Y751" s="73"/>
      <c r="Z751" s="2" t="s">
        <v>74</v>
      </c>
      <c r="AA751" s="3">
        <v>2</v>
      </c>
      <c r="AB751" s="4">
        <v>339.64</v>
      </c>
      <c r="AC751" s="73">
        <v>46230</v>
      </c>
      <c r="AD751" s="73">
        <v>46230</v>
      </c>
      <c r="AE751" s="73"/>
      <c r="AF751" s="73">
        <v>46230</v>
      </c>
      <c r="AG751" s="3">
        <v>1000</v>
      </c>
      <c r="AH751" s="353" t="str">
        <f t="shared" si="75"/>
        <v/>
      </c>
      <c r="AI751" s="3" t="str">
        <f t="shared" si="76"/>
        <v>59</v>
      </c>
      <c r="AJ751" s="64" t="str">
        <f>VLOOKUP(T751,'GL Name'!A:B,2,0)</f>
        <v>ต้นทุนขาย</v>
      </c>
      <c r="AL751" s="13">
        <f t="shared" si="77"/>
        <v>169.82</v>
      </c>
      <c r="AM751" s="13" t="e">
        <f>VLOOKUP(I751,'Order 301-305 (เรียง)'!A:B,2,0)</f>
        <v>#N/A</v>
      </c>
      <c r="AN751" t="e">
        <f>VLOOKUP(I751,'Order 301-305 (เรียง)'!A:C,3,0)</f>
        <v>#N/A</v>
      </c>
    </row>
    <row r="752" spans="1:40" x14ac:dyDescent="0.3">
      <c r="A752" s="1" t="s">
        <v>13</v>
      </c>
      <c r="B752" s="1" t="s">
        <v>14</v>
      </c>
      <c r="C752" s="1" t="s">
        <v>64</v>
      </c>
      <c r="D752" s="1" t="s">
        <v>77</v>
      </c>
      <c r="E752" s="1" t="s">
        <v>78</v>
      </c>
      <c r="F752" s="1" t="s">
        <v>1823</v>
      </c>
      <c r="G752" s="1" t="s">
        <v>279</v>
      </c>
      <c r="H752" s="1" t="s">
        <v>1711</v>
      </c>
      <c r="I752" s="1" t="s">
        <v>1824</v>
      </c>
      <c r="J752" s="1" t="s">
        <v>1825</v>
      </c>
      <c r="K752" s="1" t="s">
        <v>84</v>
      </c>
      <c r="L752" s="1" t="s">
        <v>86</v>
      </c>
      <c r="M752" s="1" t="s">
        <v>68</v>
      </c>
      <c r="N752" s="1" t="s">
        <v>71</v>
      </c>
      <c r="O752" s="1" t="s">
        <v>68</v>
      </c>
      <c r="P752" s="1" t="s">
        <v>1826</v>
      </c>
      <c r="Q752" s="1" t="s">
        <v>68</v>
      </c>
      <c r="R752" s="1" t="s">
        <v>68</v>
      </c>
      <c r="S752" s="1" t="s">
        <v>68</v>
      </c>
      <c r="T752" s="1" t="s">
        <v>123</v>
      </c>
      <c r="U752" s="1" t="s">
        <v>68</v>
      </c>
      <c r="V752" s="1" t="s">
        <v>68</v>
      </c>
      <c r="W752" s="1" t="s">
        <v>68</v>
      </c>
      <c r="X752" s="1" t="s">
        <v>68</v>
      </c>
      <c r="Y752" s="73"/>
      <c r="Z752" s="2" t="s">
        <v>80</v>
      </c>
      <c r="AA752" s="3">
        <v>-10176.799999999999</v>
      </c>
      <c r="AB752" s="4">
        <v>-2756284.51</v>
      </c>
      <c r="AC752" s="73">
        <v>46230</v>
      </c>
      <c r="AD752" s="73">
        <v>46227</v>
      </c>
      <c r="AE752" s="73"/>
      <c r="AF752" s="73">
        <v>46230</v>
      </c>
      <c r="AG752" s="3">
        <v>-10176800</v>
      </c>
      <c r="AH752" s="353" t="str">
        <f t="shared" si="75"/>
        <v>302</v>
      </c>
      <c r="AI752" s="3" t="str">
        <f t="shared" si="76"/>
        <v>57</v>
      </c>
      <c r="AJ752" s="64" t="str">
        <f>VLOOKUP(T752,'GL Name'!A:B,2,0)</f>
        <v>ต้นทุนผลิตกึ่งสำเร็จ</v>
      </c>
      <c r="AL752" s="13">
        <f t="shared" si="77"/>
        <v>270.83999980347454</v>
      </c>
      <c r="AM752" s="13" t="str">
        <f>VLOOKUP(I752,'Order 301-305 (เรียง)'!A:B,2,0)</f>
        <v>59000002</v>
      </c>
      <c r="AN752" t="str">
        <f>VLOOKUP(I752,'Order 301-305 (เรียง)'!A:C,3,0)</f>
        <v>GOLD BLEND ALL CAFE'  ขนาด 500 G.</v>
      </c>
    </row>
    <row r="753" spans="1:40" x14ac:dyDescent="0.3">
      <c r="A753" s="1" t="s">
        <v>19</v>
      </c>
      <c r="B753" s="1" t="s">
        <v>20</v>
      </c>
      <c r="C753" s="1" t="s">
        <v>64</v>
      </c>
      <c r="D753" s="1" t="s">
        <v>77</v>
      </c>
      <c r="E753" s="1" t="s">
        <v>78</v>
      </c>
      <c r="F753" s="1" t="s">
        <v>1823</v>
      </c>
      <c r="G753" s="1" t="s">
        <v>279</v>
      </c>
      <c r="H753" s="1" t="s">
        <v>304</v>
      </c>
      <c r="I753" s="1" t="s">
        <v>1824</v>
      </c>
      <c r="J753" s="1" t="s">
        <v>1825</v>
      </c>
      <c r="K753" s="1" t="s">
        <v>84</v>
      </c>
      <c r="L753" s="1" t="s">
        <v>92</v>
      </c>
      <c r="M753" s="1" t="s">
        <v>68</v>
      </c>
      <c r="N753" s="1" t="s">
        <v>71</v>
      </c>
      <c r="O753" s="1" t="s">
        <v>68</v>
      </c>
      <c r="P753" s="1" t="s">
        <v>1826</v>
      </c>
      <c r="Q753" s="1" t="s">
        <v>68</v>
      </c>
      <c r="R753" s="1" t="s">
        <v>68</v>
      </c>
      <c r="S753" s="1" t="s">
        <v>68</v>
      </c>
      <c r="T753" s="1" t="s">
        <v>123</v>
      </c>
      <c r="U753" s="1" t="s">
        <v>68</v>
      </c>
      <c r="V753" s="1" t="s">
        <v>68</v>
      </c>
      <c r="W753" s="1" t="s">
        <v>68</v>
      </c>
      <c r="X753" s="1" t="s">
        <v>68</v>
      </c>
      <c r="Y753" s="73"/>
      <c r="Z753" s="2" t="s">
        <v>80</v>
      </c>
      <c r="AA753" s="3">
        <v>-2566.64</v>
      </c>
      <c r="AB753" s="4">
        <v>-410482.74</v>
      </c>
      <c r="AC753" s="73">
        <v>46230</v>
      </c>
      <c r="AD753" s="73">
        <v>46227</v>
      </c>
      <c r="AE753" s="73"/>
      <c r="AF753" s="73">
        <v>46230</v>
      </c>
      <c r="AG753" s="3">
        <v>-2566640</v>
      </c>
      <c r="AH753" s="353" t="str">
        <f t="shared" si="75"/>
        <v>302</v>
      </c>
      <c r="AI753" s="3" t="str">
        <f t="shared" si="76"/>
        <v>57</v>
      </c>
      <c r="AJ753" s="64" t="str">
        <f>VLOOKUP(T753,'GL Name'!A:B,2,0)</f>
        <v>ต้นทุนผลิตกึ่งสำเร็จ</v>
      </c>
      <c r="AL753" s="13">
        <f t="shared" si="77"/>
        <v>159.93000187014931</v>
      </c>
      <c r="AM753" s="13" t="str">
        <f>VLOOKUP(I753,'Order 301-305 (เรียง)'!A:B,2,0)</f>
        <v>59000002</v>
      </c>
      <c r="AN753" t="str">
        <f>VLOOKUP(I753,'Order 301-305 (เรียง)'!A:C,3,0)</f>
        <v>GOLD BLEND ALL CAFE'  ขนาด 500 G.</v>
      </c>
    </row>
    <row r="754" spans="1:40" x14ac:dyDescent="0.3">
      <c r="A754" s="1" t="s">
        <v>23</v>
      </c>
      <c r="B754" s="1" t="s">
        <v>24</v>
      </c>
      <c r="C754" s="1" t="s">
        <v>64</v>
      </c>
      <c r="D754" s="1" t="s">
        <v>115</v>
      </c>
      <c r="E754" s="1" t="s">
        <v>116</v>
      </c>
      <c r="F754" s="1" t="s">
        <v>1823</v>
      </c>
      <c r="G754" s="1" t="s">
        <v>103</v>
      </c>
      <c r="H754" s="1" t="s">
        <v>1827</v>
      </c>
      <c r="I754" s="1" t="s">
        <v>1824</v>
      </c>
      <c r="J754" s="1" t="s">
        <v>1825</v>
      </c>
      <c r="K754" s="1" t="s">
        <v>84</v>
      </c>
      <c r="L754" s="1" t="s">
        <v>70</v>
      </c>
      <c r="M754" s="1" t="s">
        <v>68</v>
      </c>
      <c r="N754" s="1" t="s">
        <v>71</v>
      </c>
      <c r="O754" s="1" t="s">
        <v>68</v>
      </c>
      <c r="P754" s="1" t="s">
        <v>72</v>
      </c>
      <c r="Q754" s="1" t="s">
        <v>68</v>
      </c>
      <c r="R754" s="1" t="s">
        <v>68</v>
      </c>
      <c r="S754" s="1" t="s">
        <v>68</v>
      </c>
      <c r="T754" s="1" t="s">
        <v>124</v>
      </c>
      <c r="U754" s="1" t="s">
        <v>68</v>
      </c>
      <c r="V754" s="1" t="s">
        <v>68</v>
      </c>
      <c r="W754" s="1" t="s">
        <v>68</v>
      </c>
      <c r="X754" s="1" t="s">
        <v>68</v>
      </c>
      <c r="Y754" s="73"/>
      <c r="Z754" s="2" t="s">
        <v>80</v>
      </c>
      <c r="AA754" s="3">
        <v>10220.91</v>
      </c>
      <c r="AB754" s="4">
        <v>3323226.68</v>
      </c>
      <c r="AC754" s="73">
        <v>46230</v>
      </c>
      <c r="AD754" s="73">
        <v>46227</v>
      </c>
      <c r="AE754" s="73"/>
      <c r="AF754" s="73">
        <v>46230</v>
      </c>
      <c r="AG754" s="3">
        <v>10220910</v>
      </c>
      <c r="AH754" s="353" t="str">
        <f t="shared" si="75"/>
        <v>302</v>
      </c>
      <c r="AI754" s="3" t="str">
        <f t="shared" si="76"/>
        <v>57</v>
      </c>
      <c r="AJ754" s="64" t="str">
        <f>VLOOKUP(T754,'GL Name'!A:B,2,0)</f>
        <v>ต้นทุนผลิตโอน Semi</v>
      </c>
      <c r="AL754" s="13">
        <f t="shared" si="77"/>
        <v>325.14000025438048</v>
      </c>
      <c r="AM754" s="13" t="str">
        <f>VLOOKUP(I754,'Order 301-305 (เรียง)'!A:B,2,0)</f>
        <v>59000002</v>
      </c>
      <c r="AN754" t="str">
        <f>VLOOKUP(I754,'Order 301-305 (เรียง)'!A:C,3,0)</f>
        <v>GOLD BLEND ALL CAFE'  ขนาด 500 G.</v>
      </c>
    </row>
    <row r="755" spans="1:40" x14ac:dyDescent="0.3">
      <c r="A755" s="1" t="s">
        <v>23</v>
      </c>
      <c r="B755" s="1" t="s">
        <v>24</v>
      </c>
      <c r="C755" s="1" t="s">
        <v>64</v>
      </c>
      <c r="D755" s="1" t="s">
        <v>77</v>
      </c>
      <c r="E755" s="1" t="s">
        <v>78</v>
      </c>
      <c r="F755" s="1" t="s">
        <v>1828</v>
      </c>
      <c r="G755" s="1" t="s">
        <v>103</v>
      </c>
      <c r="H755" s="1" t="s">
        <v>1797</v>
      </c>
      <c r="I755" s="1" t="s">
        <v>1829</v>
      </c>
      <c r="J755" s="1" t="s">
        <v>1830</v>
      </c>
      <c r="K755" s="1" t="s">
        <v>84</v>
      </c>
      <c r="L755" s="1" t="s">
        <v>86</v>
      </c>
      <c r="M755" s="1" t="s">
        <v>68</v>
      </c>
      <c r="N755" s="1" t="s">
        <v>71</v>
      </c>
      <c r="O755" s="1" t="s">
        <v>68</v>
      </c>
      <c r="P755" s="1" t="s">
        <v>1831</v>
      </c>
      <c r="Q755" s="1" t="s">
        <v>68</v>
      </c>
      <c r="R755" s="1" t="s">
        <v>68</v>
      </c>
      <c r="S755" s="1" t="s">
        <v>68</v>
      </c>
      <c r="T755" s="1" t="s">
        <v>123</v>
      </c>
      <c r="U755" s="1" t="s">
        <v>68</v>
      </c>
      <c r="V755" s="1" t="s">
        <v>68</v>
      </c>
      <c r="W755" s="1" t="s">
        <v>68</v>
      </c>
      <c r="X755" s="1" t="s">
        <v>68</v>
      </c>
      <c r="Y755" s="73"/>
      <c r="Z755" s="2" t="s">
        <v>80</v>
      </c>
      <c r="AA755" s="3">
        <v>-8104.02</v>
      </c>
      <c r="AB755" s="4">
        <v>-2634941.06</v>
      </c>
      <c r="AC755" s="73">
        <v>46230</v>
      </c>
      <c r="AD755" s="73">
        <v>46221</v>
      </c>
      <c r="AE755" s="73"/>
      <c r="AF755" s="73">
        <v>46230</v>
      </c>
      <c r="AG755" s="3">
        <v>-8104020</v>
      </c>
      <c r="AH755" s="353" t="str">
        <f t="shared" si="75"/>
        <v>303</v>
      </c>
      <c r="AI755" s="3" t="str">
        <f t="shared" si="76"/>
        <v>57</v>
      </c>
      <c r="AJ755" s="64" t="str">
        <f>VLOOKUP(T755,'GL Name'!A:B,2,0)</f>
        <v>ต้นทุนผลิตกึ่งสำเร็จ</v>
      </c>
      <c r="AL755" s="13">
        <f t="shared" si="77"/>
        <v>325.13999965449244</v>
      </c>
      <c r="AM755" s="13" t="str">
        <f>VLOOKUP(I755,'Order 301-305 (เรียง)'!A:B,2,0)</f>
        <v>59000002</v>
      </c>
      <c r="AN755" t="str">
        <f>VLOOKUP(I755,'Order 301-305 (เรียง)'!A:C,3,0)</f>
        <v>GOLD BLEND ALL CAFE'  ขนาด 500 G.</v>
      </c>
    </row>
    <row r="756" spans="1:40" x14ac:dyDescent="0.3">
      <c r="A756" s="1" t="s">
        <v>106</v>
      </c>
      <c r="B756" s="1" t="s">
        <v>107</v>
      </c>
      <c r="C756" s="1" t="s">
        <v>64</v>
      </c>
      <c r="D756" s="1" t="s">
        <v>77</v>
      </c>
      <c r="E756" s="1" t="s">
        <v>78</v>
      </c>
      <c r="F756" s="1" t="s">
        <v>1828</v>
      </c>
      <c r="G756" s="1" t="s">
        <v>103</v>
      </c>
      <c r="H756" s="1" t="s">
        <v>286</v>
      </c>
      <c r="I756" s="1" t="s">
        <v>1829</v>
      </c>
      <c r="J756" s="1" t="s">
        <v>1830</v>
      </c>
      <c r="K756" s="1" t="s">
        <v>84</v>
      </c>
      <c r="L756" s="1" t="s">
        <v>92</v>
      </c>
      <c r="M756" s="1" t="s">
        <v>68</v>
      </c>
      <c r="N756" s="1" t="s">
        <v>71</v>
      </c>
      <c r="O756" s="1" t="s">
        <v>68</v>
      </c>
      <c r="P756" s="1" t="s">
        <v>1831</v>
      </c>
      <c r="Q756" s="1" t="s">
        <v>68</v>
      </c>
      <c r="R756" s="1" t="s">
        <v>68</v>
      </c>
      <c r="S756" s="1" t="s">
        <v>68</v>
      </c>
      <c r="T756" s="1" t="s">
        <v>108</v>
      </c>
      <c r="U756" s="1" t="s">
        <v>68</v>
      </c>
      <c r="V756" s="1" t="s">
        <v>68</v>
      </c>
      <c r="W756" s="1" t="s">
        <v>68</v>
      </c>
      <c r="X756" s="1" t="s">
        <v>68</v>
      </c>
      <c r="Y756" s="73"/>
      <c r="Z756" s="2" t="s">
        <v>102</v>
      </c>
      <c r="AA756" s="3">
        <v>-16654</v>
      </c>
      <c r="AB756" s="4">
        <v>-14085.42</v>
      </c>
      <c r="AC756" s="73">
        <v>46230</v>
      </c>
      <c r="AD756" s="73">
        <v>46221</v>
      </c>
      <c r="AE756" s="73"/>
      <c r="AF756" s="73">
        <v>46230</v>
      </c>
      <c r="AG756" s="3">
        <v>-16654</v>
      </c>
      <c r="AH756" s="353" t="str">
        <f t="shared" si="75"/>
        <v>303</v>
      </c>
      <c r="AI756" s="3" t="str">
        <f t="shared" si="76"/>
        <v>58</v>
      </c>
      <c r="AJ756" s="64" t="str">
        <f>VLOOKUP(T756,'GL Name'!A:B,2,0)</f>
        <v>ต้นทุนผลิตหีบห่อ</v>
      </c>
      <c r="AL756" s="13">
        <f t="shared" si="77"/>
        <v>0.84576798366758732</v>
      </c>
      <c r="AM756" s="13" t="str">
        <f>VLOOKUP(I756,'Order 301-305 (เรียง)'!A:B,2,0)</f>
        <v>59000002</v>
      </c>
      <c r="AN756" t="str">
        <f>VLOOKUP(I756,'Order 301-305 (เรียง)'!A:C,3,0)</f>
        <v>GOLD BLEND ALL CAFE'  ขนาด 500 G.</v>
      </c>
    </row>
    <row r="757" spans="1:40" x14ac:dyDescent="0.3">
      <c r="A757" s="1" t="s">
        <v>119</v>
      </c>
      <c r="B757" s="1" t="s">
        <v>120</v>
      </c>
      <c r="C757" s="1" t="s">
        <v>64</v>
      </c>
      <c r="D757" s="1" t="s">
        <v>77</v>
      </c>
      <c r="E757" s="1" t="s">
        <v>78</v>
      </c>
      <c r="F757" s="1" t="s">
        <v>1828</v>
      </c>
      <c r="G757" s="1" t="s">
        <v>103</v>
      </c>
      <c r="H757" s="1" t="s">
        <v>316</v>
      </c>
      <c r="I757" s="1" t="s">
        <v>1829</v>
      </c>
      <c r="J757" s="1" t="s">
        <v>1830</v>
      </c>
      <c r="K757" s="1" t="s">
        <v>84</v>
      </c>
      <c r="L757" s="1" t="s">
        <v>89</v>
      </c>
      <c r="M757" s="1" t="s">
        <v>68</v>
      </c>
      <c r="N757" s="1" t="s">
        <v>71</v>
      </c>
      <c r="O757" s="1" t="s">
        <v>68</v>
      </c>
      <c r="P757" s="1" t="s">
        <v>1831</v>
      </c>
      <c r="Q757" s="1" t="s">
        <v>68</v>
      </c>
      <c r="R757" s="1" t="s">
        <v>68</v>
      </c>
      <c r="S757" s="1" t="s">
        <v>68</v>
      </c>
      <c r="T757" s="1" t="s">
        <v>108</v>
      </c>
      <c r="U757" s="1" t="s">
        <v>68</v>
      </c>
      <c r="V757" s="1" t="s">
        <v>68</v>
      </c>
      <c r="W757" s="1" t="s">
        <v>68</v>
      </c>
      <c r="X757" s="1" t="s">
        <v>68</v>
      </c>
      <c r="Y757" s="73"/>
      <c r="Z757" s="2" t="s">
        <v>102</v>
      </c>
      <c r="AA757" s="3">
        <v>-16654</v>
      </c>
      <c r="AB757" s="4">
        <v>-34698.39</v>
      </c>
      <c r="AC757" s="73">
        <v>46230</v>
      </c>
      <c r="AD757" s="73">
        <v>46221</v>
      </c>
      <c r="AE757" s="73"/>
      <c r="AF757" s="73">
        <v>46230</v>
      </c>
      <c r="AG757" s="3">
        <v>-16654</v>
      </c>
      <c r="AH757" s="353" t="str">
        <f t="shared" si="75"/>
        <v>303</v>
      </c>
      <c r="AI757" s="3" t="str">
        <f t="shared" si="76"/>
        <v>58</v>
      </c>
      <c r="AJ757" s="64" t="str">
        <f>VLOOKUP(T757,'GL Name'!A:B,2,0)</f>
        <v>ต้นทุนผลิตหีบห่อ</v>
      </c>
      <c r="AL757" s="13">
        <f t="shared" si="77"/>
        <v>2.0834868500060044</v>
      </c>
      <c r="AM757" s="13" t="str">
        <f>VLOOKUP(I757,'Order 301-305 (เรียง)'!A:B,2,0)</f>
        <v>59000002</v>
      </c>
      <c r="AN757" t="str">
        <f>VLOOKUP(I757,'Order 301-305 (เรียง)'!A:C,3,0)</f>
        <v>GOLD BLEND ALL CAFE'  ขนาด 500 G.</v>
      </c>
    </row>
    <row r="758" spans="1:40" x14ac:dyDescent="0.3">
      <c r="A758" s="1" t="s">
        <v>121</v>
      </c>
      <c r="B758" s="1" t="s">
        <v>122</v>
      </c>
      <c r="C758" s="1" t="s">
        <v>64</v>
      </c>
      <c r="D758" s="1" t="s">
        <v>77</v>
      </c>
      <c r="E758" s="1" t="s">
        <v>78</v>
      </c>
      <c r="F758" s="1" t="s">
        <v>1828</v>
      </c>
      <c r="G758" s="1" t="s">
        <v>103</v>
      </c>
      <c r="H758" s="1" t="s">
        <v>704</v>
      </c>
      <c r="I758" s="1" t="s">
        <v>1829</v>
      </c>
      <c r="J758" s="1" t="s">
        <v>1830</v>
      </c>
      <c r="K758" s="1" t="s">
        <v>84</v>
      </c>
      <c r="L758" s="1" t="s">
        <v>95</v>
      </c>
      <c r="M758" s="1" t="s">
        <v>68</v>
      </c>
      <c r="N758" s="1" t="s">
        <v>71</v>
      </c>
      <c r="O758" s="1" t="s">
        <v>68</v>
      </c>
      <c r="P758" s="1" t="s">
        <v>1831</v>
      </c>
      <c r="Q758" s="1" t="s">
        <v>68</v>
      </c>
      <c r="R758" s="1" t="s">
        <v>68</v>
      </c>
      <c r="S758" s="1" t="s">
        <v>68</v>
      </c>
      <c r="T758" s="1" t="s">
        <v>108</v>
      </c>
      <c r="U758" s="1" t="s">
        <v>68</v>
      </c>
      <c r="V758" s="1" t="s">
        <v>68</v>
      </c>
      <c r="W758" s="1" t="s">
        <v>68</v>
      </c>
      <c r="X758" s="1" t="s">
        <v>68</v>
      </c>
      <c r="Y758" s="73"/>
      <c r="Z758" s="2" t="s">
        <v>102</v>
      </c>
      <c r="AA758" s="3">
        <v>-2714</v>
      </c>
      <c r="AB758" s="4">
        <v>-13570</v>
      </c>
      <c r="AC758" s="73">
        <v>46230</v>
      </c>
      <c r="AD758" s="73">
        <v>46221</v>
      </c>
      <c r="AE758" s="73"/>
      <c r="AF758" s="73">
        <v>46230</v>
      </c>
      <c r="AG758" s="3">
        <v>-2714</v>
      </c>
      <c r="AH758" s="353" t="str">
        <f t="shared" si="75"/>
        <v>303</v>
      </c>
      <c r="AI758" s="3" t="str">
        <f t="shared" si="76"/>
        <v>58</v>
      </c>
      <c r="AJ758" s="64" t="str">
        <f>VLOOKUP(T758,'GL Name'!A:B,2,0)</f>
        <v>ต้นทุนผลิตหีบห่อ</v>
      </c>
      <c r="AL758" s="13">
        <f t="shared" si="77"/>
        <v>5</v>
      </c>
      <c r="AM758" s="13" t="str">
        <f>VLOOKUP(I758,'Order 301-305 (เรียง)'!A:B,2,0)</f>
        <v>59000002</v>
      </c>
      <c r="AN758" t="str">
        <f>VLOOKUP(I758,'Order 301-305 (เรียง)'!A:C,3,0)</f>
        <v>GOLD BLEND ALL CAFE'  ขนาด 500 G.</v>
      </c>
    </row>
    <row r="759" spans="1:40" x14ac:dyDescent="0.3">
      <c r="A759" s="1" t="s">
        <v>81</v>
      </c>
      <c r="B759" s="1" t="s">
        <v>82</v>
      </c>
      <c r="C759" s="1" t="s">
        <v>64</v>
      </c>
      <c r="D759" s="1" t="s">
        <v>115</v>
      </c>
      <c r="E759" s="1" t="s">
        <v>116</v>
      </c>
      <c r="F759" s="1" t="s">
        <v>1828</v>
      </c>
      <c r="G759" s="1" t="s">
        <v>83</v>
      </c>
      <c r="H759" s="1" t="s">
        <v>1832</v>
      </c>
      <c r="I759" s="1" t="s">
        <v>1829</v>
      </c>
      <c r="J759" s="1" t="s">
        <v>1830</v>
      </c>
      <c r="K759" s="1" t="s">
        <v>84</v>
      </c>
      <c r="L759" s="1" t="s">
        <v>70</v>
      </c>
      <c r="M759" s="1" t="s">
        <v>68</v>
      </c>
      <c r="N759" s="1" t="s">
        <v>71</v>
      </c>
      <c r="O759" s="1" t="s">
        <v>68</v>
      </c>
      <c r="P759" s="1" t="s">
        <v>72</v>
      </c>
      <c r="Q759" s="1" t="s">
        <v>68</v>
      </c>
      <c r="R759" s="1" t="s">
        <v>68</v>
      </c>
      <c r="S759" s="1" t="s">
        <v>68</v>
      </c>
      <c r="T759" s="1" t="s">
        <v>117</v>
      </c>
      <c r="U759" s="1" t="s">
        <v>68</v>
      </c>
      <c r="V759" s="1" t="s">
        <v>68</v>
      </c>
      <c r="W759" s="1" t="s">
        <v>68</v>
      </c>
      <c r="X759" s="1" t="s">
        <v>68</v>
      </c>
      <c r="Y759" s="73"/>
      <c r="Z759" s="2" t="s">
        <v>74</v>
      </c>
      <c r="AA759" s="3">
        <v>16192</v>
      </c>
      <c r="AB759" s="4">
        <v>2750373.12</v>
      </c>
      <c r="AC759" s="73">
        <v>46230</v>
      </c>
      <c r="AD759" s="73">
        <v>46221</v>
      </c>
      <c r="AE759" s="73"/>
      <c r="AF759" s="73">
        <v>46230</v>
      </c>
      <c r="AG759" s="3">
        <v>8096000</v>
      </c>
      <c r="AH759" s="353" t="str">
        <f t="shared" si="75"/>
        <v>303</v>
      </c>
      <c r="AI759" s="3" t="str">
        <f t="shared" si="76"/>
        <v>59</v>
      </c>
      <c r="AJ759" s="64" t="str">
        <f>VLOOKUP(T759,'GL Name'!A:B,2,0)</f>
        <v>ต้นทุนผลิตโอน F/G</v>
      </c>
      <c r="AL759" s="13">
        <f t="shared" si="77"/>
        <v>169.86</v>
      </c>
      <c r="AM759" s="13" t="str">
        <f>VLOOKUP(I759,'Order 301-305 (เรียง)'!A:B,2,0)</f>
        <v>59000002</v>
      </c>
      <c r="AN759" t="str">
        <f>VLOOKUP(I759,'Order 301-305 (เรียง)'!A:C,3,0)</f>
        <v>GOLD BLEND ALL CAFE'  ขนาด 500 G.</v>
      </c>
    </row>
    <row r="760" spans="1:40" x14ac:dyDescent="0.3">
      <c r="A760" s="1" t="s">
        <v>23</v>
      </c>
      <c r="B760" s="1" t="s">
        <v>24</v>
      </c>
      <c r="C760" s="1" t="s">
        <v>64</v>
      </c>
      <c r="D760" s="1" t="s">
        <v>77</v>
      </c>
      <c r="E760" s="1" t="s">
        <v>78</v>
      </c>
      <c r="F760" s="1" t="s">
        <v>1833</v>
      </c>
      <c r="G760" s="1" t="s">
        <v>103</v>
      </c>
      <c r="H760" s="1" t="s">
        <v>1802</v>
      </c>
      <c r="I760" s="1" t="s">
        <v>1834</v>
      </c>
      <c r="J760" s="1" t="s">
        <v>1835</v>
      </c>
      <c r="K760" s="1" t="s">
        <v>84</v>
      </c>
      <c r="L760" s="1" t="s">
        <v>86</v>
      </c>
      <c r="M760" s="1" t="s">
        <v>68</v>
      </c>
      <c r="N760" s="1" t="s">
        <v>71</v>
      </c>
      <c r="O760" s="1" t="s">
        <v>68</v>
      </c>
      <c r="P760" s="1" t="s">
        <v>1836</v>
      </c>
      <c r="Q760" s="1" t="s">
        <v>68</v>
      </c>
      <c r="R760" s="1" t="s">
        <v>68</v>
      </c>
      <c r="S760" s="1" t="s">
        <v>68</v>
      </c>
      <c r="T760" s="1" t="s">
        <v>123</v>
      </c>
      <c r="U760" s="1" t="s">
        <v>68</v>
      </c>
      <c r="V760" s="1" t="s">
        <v>68</v>
      </c>
      <c r="W760" s="1" t="s">
        <v>68</v>
      </c>
      <c r="X760" s="1" t="s">
        <v>68</v>
      </c>
      <c r="Y760" s="73"/>
      <c r="Z760" s="2" t="s">
        <v>80</v>
      </c>
      <c r="AA760" s="3">
        <v>-8882</v>
      </c>
      <c r="AB760" s="4">
        <v>-2887893.48</v>
      </c>
      <c r="AC760" s="73">
        <v>46230</v>
      </c>
      <c r="AD760" s="73">
        <v>46223</v>
      </c>
      <c r="AE760" s="73"/>
      <c r="AF760" s="73">
        <v>46230</v>
      </c>
      <c r="AG760" s="3">
        <v>-8882000</v>
      </c>
      <c r="AH760" s="353" t="str">
        <f t="shared" si="75"/>
        <v>303</v>
      </c>
      <c r="AI760" s="3" t="str">
        <f t="shared" si="76"/>
        <v>57</v>
      </c>
      <c r="AJ760" s="64" t="str">
        <f>VLOOKUP(T760,'GL Name'!A:B,2,0)</f>
        <v>ต้นทุนผลิตกึ่งสำเร็จ</v>
      </c>
      <c r="AL760" s="13">
        <f t="shared" si="77"/>
        <v>325.14</v>
      </c>
      <c r="AM760" s="13" t="str">
        <f>VLOOKUP(I760,'Order 301-305 (เรียง)'!A:B,2,0)</f>
        <v>59000002</v>
      </c>
      <c r="AN760" t="str">
        <f>VLOOKUP(I760,'Order 301-305 (เรียง)'!A:C,3,0)</f>
        <v>GOLD BLEND ALL CAFE'  ขนาด 500 G.</v>
      </c>
    </row>
    <row r="761" spans="1:40" x14ac:dyDescent="0.3">
      <c r="A761" s="1" t="s">
        <v>106</v>
      </c>
      <c r="B761" s="1" t="s">
        <v>107</v>
      </c>
      <c r="C761" s="1" t="s">
        <v>64</v>
      </c>
      <c r="D761" s="1" t="s">
        <v>77</v>
      </c>
      <c r="E761" s="1" t="s">
        <v>78</v>
      </c>
      <c r="F761" s="1" t="s">
        <v>1833</v>
      </c>
      <c r="G761" s="1" t="s">
        <v>103</v>
      </c>
      <c r="H761" s="1" t="s">
        <v>220</v>
      </c>
      <c r="I761" s="1" t="s">
        <v>1834</v>
      </c>
      <c r="J761" s="1" t="s">
        <v>1835</v>
      </c>
      <c r="K761" s="1" t="s">
        <v>84</v>
      </c>
      <c r="L761" s="1" t="s">
        <v>111</v>
      </c>
      <c r="M761" s="1" t="s">
        <v>68</v>
      </c>
      <c r="N761" s="1" t="s">
        <v>71</v>
      </c>
      <c r="O761" s="1" t="s">
        <v>68</v>
      </c>
      <c r="P761" s="1" t="s">
        <v>72</v>
      </c>
      <c r="Q761" s="1" t="s">
        <v>68</v>
      </c>
      <c r="R761" s="1" t="s">
        <v>107</v>
      </c>
      <c r="S761" s="1" t="s">
        <v>68</v>
      </c>
      <c r="T761" s="1" t="s">
        <v>108</v>
      </c>
      <c r="U761" s="1" t="s">
        <v>68</v>
      </c>
      <c r="V761" s="1" t="s">
        <v>68</v>
      </c>
      <c r="W761" s="1" t="s">
        <v>68</v>
      </c>
      <c r="X761" s="1" t="s">
        <v>68</v>
      </c>
      <c r="Y761" s="73"/>
      <c r="Z761" s="2" t="s">
        <v>102</v>
      </c>
      <c r="AA761" s="3">
        <v>-14640</v>
      </c>
      <c r="AB761" s="4">
        <v>-12382.04</v>
      </c>
      <c r="AC761" s="73">
        <v>46230</v>
      </c>
      <c r="AD761" s="73">
        <v>46223</v>
      </c>
      <c r="AE761" s="73"/>
      <c r="AF761" s="73">
        <v>46230</v>
      </c>
      <c r="AG761" s="3">
        <v>-14640</v>
      </c>
      <c r="AH761" s="353" t="str">
        <f t="shared" si="75"/>
        <v>303</v>
      </c>
      <c r="AI761" s="3" t="str">
        <f t="shared" si="76"/>
        <v>58</v>
      </c>
      <c r="AJ761" s="64" t="str">
        <f>VLOOKUP(T761,'GL Name'!A:B,2,0)</f>
        <v>ต้นทุนผลิตหีบห่อ</v>
      </c>
      <c r="AL761" s="13">
        <f t="shared" si="77"/>
        <v>0.84576775956284156</v>
      </c>
      <c r="AM761" s="13" t="str">
        <f>VLOOKUP(I761,'Order 301-305 (เรียง)'!A:B,2,0)</f>
        <v>59000002</v>
      </c>
      <c r="AN761" t="str">
        <f>VLOOKUP(I761,'Order 301-305 (เรียง)'!A:C,3,0)</f>
        <v>GOLD BLEND ALL CAFE'  ขนาด 500 G.</v>
      </c>
    </row>
    <row r="762" spans="1:40" x14ac:dyDescent="0.3">
      <c r="A762" s="1" t="s">
        <v>106</v>
      </c>
      <c r="B762" s="1" t="s">
        <v>107</v>
      </c>
      <c r="C762" s="1" t="s">
        <v>64</v>
      </c>
      <c r="D762" s="1" t="s">
        <v>77</v>
      </c>
      <c r="E762" s="1" t="s">
        <v>78</v>
      </c>
      <c r="F762" s="1" t="s">
        <v>1833</v>
      </c>
      <c r="G762" s="1" t="s">
        <v>103</v>
      </c>
      <c r="H762" s="1" t="s">
        <v>286</v>
      </c>
      <c r="I762" s="1" t="s">
        <v>1834</v>
      </c>
      <c r="J762" s="1" t="s">
        <v>1835</v>
      </c>
      <c r="K762" s="1" t="s">
        <v>84</v>
      </c>
      <c r="L762" s="1" t="s">
        <v>92</v>
      </c>
      <c r="M762" s="1" t="s">
        <v>68</v>
      </c>
      <c r="N762" s="1" t="s">
        <v>71</v>
      </c>
      <c r="O762" s="1" t="s">
        <v>68</v>
      </c>
      <c r="P762" s="1" t="s">
        <v>1836</v>
      </c>
      <c r="Q762" s="1" t="s">
        <v>68</v>
      </c>
      <c r="R762" s="1" t="s">
        <v>68</v>
      </c>
      <c r="S762" s="1" t="s">
        <v>68</v>
      </c>
      <c r="T762" s="1" t="s">
        <v>108</v>
      </c>
      <c r="U762" s="1" t="s">
        <v>68</v>
      </c>
      <c r="V762" s="1" t="s">
        <v>68</v>
      </c>
      <c r="W762" s="1" t="s">
        <v>68</v>
      </c>
      <c r="X762" s="1" t="s">
        <v>68</v>
      </c>
      <c r="Y762" s="73"/>
      <c r="Z762" s="2" t="s">
        <v>102</v>
      </c>
      <c r="AA762" s="3">
        <v>-3346</v>
      </c>
      <c r="AB762" s="4">
        <v>-2829.94</v>
      </c>
      <c r="AC762" s="73">
        <v>46230</v>
      </c>
      <c r="AD762" s="73">
        <v>46223</v>
      </c>
      <c r="AE762" s="73"/>
      <c r="AF762" s="73">
        <v>46230</v>
      </c>
      <c r="AG762" s="3">
        <v>-3346</v>
      </c>
      <c r="AH762" s="353" t="str">
        <f t="shared" si="75"/>
        <v>303</v>
      </c>
      <c r="AI762" s="3" t="str">
        <f t="shared" si="76"/>
        <v>58</v>
      </c>
      <c r="AJ762" s="64" t="str">
        <f>VLOOKUP(T762,'GL Name'!A:B,2,0)</f>
        <v>ต้นทุนผลิตหีบห่อ</v>
      </c>
      <c r="AL762" s="13">
        <f t="shared" si="77"/>
        <v>0.84576808129109382</v>
      </c>
      <c r="AM762" s="13" t="str">
        <f>VLOOKUP(I762,'Order 301-305 (เรียง)'!A:B,2,0)</f>
        <v>59000002</v>
      </c>
      <c r="AN762" t="str">
        <f>VLOOKUP(I762,'Order 301-305 (เรียง)'!A:C,3,0)</f>
        <v>GOLD BLEND ALL CAFE'  ขนาด 500 G.</v>
      </c>
    </row>
    <row r="763" spans="1:40" x14ac:dyDescent="0.3">
      <c r="A763" s="1" t="s">
        <v>119</v>
      </c>
      <c r="B763" s="1" t="s">
        <v>120</v>
      </c>
      <c r="C763" s="1" t="s">
        <v>64</v>
      </c>
      <c r="D763" s="1" t="s">
        <v>77</v>
      </c>
      <c r="E763" s="1" t="s">
        <v>78</v>
      </c>
      <c r="F763" s="1" t="s">
        <v>1833</v>
      </c>
      <c r="G763" s="1" t="s">
        <v>103</v>
      </c>
      <c r="H763" s="1" t="s">
        <v>316</v>
      </c>
      <c r="I763" s="1" t="s">
        <v>1834</v>
      </c>
      <c r="J763" s="1" t="s">
        <v>1835</v>
      </c>
      <c r="K763" s="1" t="s">
        <v>84</v>
      </c>
      <c r="L763" s="1" t="s">
        <v>89</v>
      </c>
      <c r="M763" s="1" t="s">
        <v>68</v>
      </c>
      <c r="N763" s="1" t="s">
        <v>71</v>
      </c>
      <c r="O763" s="1" t="s">
        <v>68</v>
      </c>
      <c r="P763" s="1" t="s">
        <v>1836</v>
      </c>
      <c r="Q763" s="1" t="s">
        <v>68</v>
      </c>
      <c r="R763" s="1" t="s">
        <v>68</v>
      </c>
      <c r="S763" s="1" t="s">
        <v>68</v>
      </c>
      <c r="T763" s="1" t="s">
        <v>108</v>
      </c>
      <c r="U763" s="1" t="s">
        <v>68</v>
      </c>
      <c r="V763" s="1" t="s">
        <v>68</v>
      </c>
      <c r="W763" s="1" t="s">
        <v>68</v>
      </c>
      <c r="X763" s="1" t="s">
        <v>68</v>
      </c>
      <c r="Y763" s="73"/>
      <c r="Z763" s="2" t="s">
        <v>102</v>
      </c>
      <c r="AA763" s="3">
        <v>-17986</v>
      </c>
      <c r="AB763" s="4">
        <v>-37473.599999999999</v>
      </c>
      <c r="AC763" s="73">
        <v>46230</v>
      </c>
      <c r="AD763" s="73">
        <v>46223</v>
      </c>
      <c r="AE763" s="73"/>
      <c r="AF763" s="73">
        <v>46230</v>
      </c>
      <c r="AG763" s="3">
        <v>-17986</v>
      </c>
      <c r="AH763" s="353" t="str">
        <f t="shared" si="75"/>
        <v>303</v>
      </c>
      <c r="AI763" s="3" t="str">
        <f t="shared" si="76"/>
        <v>58</v>
      </c>
      <c r="AJ763" s="64" t="str">
        <f>VLOOKUP(T763,'GL Name'!A:B,2,0)</f>
        <v>ต้นทุนผลิตหีบห่อ</v>
      </c>
      <c r="AL763" s="13">
        <f t="shared" si="77"/>
        <v>2.0834871566774158</v>
      </c>
      <c r="AM763" s="13" t="str">
        <f>VLOOKUP(I763,'Order 301-305 (เรียง)'!A:B,2,0)</f>
        <v>59000002</v>
      </c>
      <c r="AN763" t="str">
        <f>VLOOKUP(I763,'Order 301-305 (เรียง)'!A:C,3,0)</f>
        <v>GOLD BLEND ALL CAFE'  ขนาด 500 G.</v>
      </c>
    </row>
    <row r="764" spans="1:40" x14ac:dyDescent="0.3">
      <c r="A764" s="1" t="s">
        <v>121</v>
      </c>
      <c r="B764" s="1" t="s">
        <v>122</v>
      </c>
      <c r="C764" s="1" t="s">
        <v>64</v>
      </c>
      <c r="D764" s="1" t="s">
        <v>77</v>
      </c>
      <c r="E764" s="1" t="s">
        <v>78</v>
      </c>
      <c r="F764" s="1" t="s">
        <v>1833</v>
      </c>
      <c r="G764" s="1" t="s">
        <v>103</v>
      </c>
      <c r="H764" s="1" t="s">
        <v>704</v>
      </c>
      <c r="I764" s="1" t="s">
        <v>1834</v>
      </c>
      <c r="J764" s="1" t="s">
        <v>1835</v>
      </c>
      <c r="K764" s="1" t="s">
        <v>84</v>
      </c>
      <c r="L764" s="1" t="s">
        <v>95</v>
      </c>
      <c r="M764" s="1" t="s">
        <v>68</v>
      </c>
      <c r="N764" s="1" t="s">
        <v>71</v>
      </c>
      <c r="O764" s="1" t="s">
        <v>68</v>
      </c>
      <c r="P764" s="1" t="s">
        <v>1836</v>
      </c>
      <c r="Q764" s="1" t="s">
        <v>68</v>
      </c>
      <c r="R764" s="1" t="s">
        <v>68</v>
      </c>
      <c r="S764" s="1" t="s">
        <v>68</v>
      </c>
      <c r="T764" s="1" t="s">
        <v>108</v>
      </c>
      <c r="U764" s="1" t="s">
        <v>68</v>
      </c>
      <c r="V764" s="1" t="s">
        <v>68</v>
      </c>
      <c r="W764" s="1" t="s">
        <v>68</v>
      </c>
      <c r="X764" s="1" t="s">
        <v>68</v>
      </c>
      <c r="Y764" s="73"/>
      <c r="Z764" s="2" t="s">
        <v>102</v>
      </c>
      <c r="AA764" s="3">
        <v>-2978</v>
      </c>
      <c r="AB764" s="4">
        <v>-14890</v>
      </c>
      <c r="AC764" s="73">
        <v>46230</v>
      </c>
      <c r="AD764" s="73">
        <v>46223</v>
      </c>
      <c r="AE764" s="73"/>
      <c r="AF764" s="73">
        <v>46230</v>
      </c>
      <c r="AG764" s="3">
        <v>-2978</v>
      </c>
      <c r="AH764" s="353" t="str">
        <f t="shared" si="75"/>
        <v>303</v>
      </c>
      <c r="AI764" s="3" t="str">
        <f t="shared" si="76"/>
        <v>58</v>
      </c>
      <c r="AJ764" s="64" t="str">
        <f>VLOOKUP(T764,'GL Name'!A:B,2,0)</f>
        <v>ต้นทุนผลิตหีบห่อ</v>
      </c>
      <c r="AL764" s="13">
        <f t="shared" si="77"/>
        <v>5</v>
      </c>
      <c r="AM764" s="13" t="str">
        <f>VLOOKUP(I764,'Order 301-305 (เรียง)'!A:B,2,0)</f>
        <v>59000002</v>
      </c>
      <c r="AN764" t="str">
        <f>VLOOKUP(I764,'Order 301-305 (เรียง)'!A:C,3,0)</f>
        <v>GOLD BLEND ALL CAFE'  ขนาด 500 G.</v>
      </c>
    </row>
    <row r="765" spans="1:40" x14ac:dyDescent="0.3">
      <c r="A765" s="1" t="s">
        <v>81</v>
      </c>
      <c r="B765" s="1" t="s">
        <v>82</v>
      </c>
      <c r="C765" s="1" t="s">
        <v>64</v>
      </c>
      <c r="D765" s="1" t="s">
        <v>115</v>
      </c>
      <c r="E765" s="1" t="s">
        <v>116</v>
      </c>
      <c r="F765" s="1" t="s">
        <v>1833</v>
      </c>
      <c r="G765" s="1" t="s">
        <v>83</v>
      </c>
      <c r="H765" s="1" t="s">
        <v>1837</v>
      </c>
      <c r="I765" s="1" t="s">
        <v>1834</v>
      </c>
      <c r="J765" s="1" t="s">
        <v>1835</v>
      </c>
      <c r="K765" s="1" t="s">
        <v>84</v>
      </c>
      <c r="L765" s="1" t="s">
        <v>70</v>
      </c>
      <c r="M765" s="1" t="s">
        <v>68</v>
      </c>
      <c r="N765" s="1" t="s">
        <v>71</v>
      </c>
      <c r="O765" s="1" t="s">
        <v>68</v>
      </c>
      <c r="P765" s="1" t="s">
        <v>72</v>
      </c>
      <c r="Q765" s="1" t="s">
        <v>68</v>
      </c>
      <c r="R765" s="1" t="s">
        <v>68</v>
      </c>
      <c r="S765" s="1" t="s">
        <v>68</v>
      </c>
      <c r="T765" s="1" t="s">
        <v>117</v>
      </c>
      <c r="U765" s="1" t="s">
        <v>68</v>
      </c>
      <c r="V765" s="1" t="s">
        <v>68</v>
      </c>
      <c r="W765" s="1" t="s">
        <v>68</v>
      </c>
      <c r="X765" s="1" t="s">
        <v>68</v>
      </c>
      <c r="Y765" s="73"/>
      <c r="Z765" s="2" t="s">
        <v>74</v>
      </c>
      <c r="AA765" s="3">
        <v>17748</v>
      </c>
      <c r="AB765" s="4">
        <v>3014675.28</v>
      </c>
      <c r="AC765" s="73">
        <v>46230</v>
      </c>
      <c r="AD765" s="73">
        <v>46223</v>
      </c>
      <c r="AE765" s="73"/>
      <c r="AF765" s="73">
        <v>46230</v>
      </c>
      <c r="AG765" s="3">
        <v>8874000</v>
      </c>
      <c r="AH765" s="353" t="str">
        <f t="shared" si="75"/>
        <v>303</v>
      </c>
      <c r="AI765" s="3" t="str">
        <f t="shared" si="76"/>
        <v>59</v>
      </c>
      <c r="AJ765" s="64" t="str">
        <f>VLOOKUP(T765,'GL Name'!A:B,2,0)</f>
        <v>ต้นทุนผลิตโอน F/G</v>
      </c>
      <c r="AL765" s="13">
        <f t="shared" si="77"/>
        <v>169.85999999999999</v>
      </c>
      <c r="AM765" s="13" t="str">
        <f>VLOOKUP(I765,'Order 301-305 (เรียง)'!A:B,2,0)</f>
        <v>59000002</v>
      </c>
      <c r="AN765" t="str">
        <f>VLOOKUP(I765,'Order 301-305 (เรียง)'!A:C,3,0)</f>
        <v>GOLD BLEND ALL CAFE'  ขนาด 500 G.</v>
      </c>
    </row>
    <row r="766" spans="1:40" x14ac:dyDescent="0.3">
      <c r="A766" s="1" t="s">
        <v>62</v>
      </c>
      <c r="B766" s="1" t="s">
        <v>63</v>
      </c>
      <c r="C766" s="1" t="s">
        <v>64</v>
      </c>
      <c r="D766" s="1" t="s">
        <v>65</v>
      </c>
      <c r="E766" s="1" t="s">
        <v>66</v>
      </c>
      <c r="F766" s="1" t="s">
        <v>1838</v>
      </c>
      <c r="G766" s="1" t="s">
        <v>67</v>
      </c>
      <c r="H766" s="1" t="s">
        <v>287</v>
      </c>
      <c r="I766" s="1" t="s">
        <v>68</v>
      </c>
      <c r="J766" s="1" t="s">
        <v>1839</v>
      </c>
      <c r="K766" s="1" t="s">
        <v>96</v>
      </c>
      <c r="L766" s="1" t="s">
        <v>70</v>
      </c>
      <c r="M766" s="1" t="s">
        <v>68</v>
      </c>
      <c r="N766" s="1" t="s">
        <v>71</v>
      </c>
      <c r="O766" s="1" t="s">
        <v>68</v>
      </c>
      <c r="P766" s="1" t="s">
        <v>72</v>
      </c>
      <c r="Q766" s="1" t="s">
        <v>68</v>
      </c>
      <c r="R766" s="1" t="s">
        <v>68</v>
      </c>
      <c r="S766" s="1" t="s">
        <v>68</v>
      </c>
      <c r="T766" s="1" t="s">
        <v>73</v>
      </c>
      <c r="U766" s="1" t="s">
        <v>68</v>
      </c>
      <c r="V766" s="1" t="s">
        <v>68</v>
      </c>
      <c r="W766" s="1" t="s">
        <v>68</v>
      </c>
      <c r="X766" s="1" t="s">
        <v>1840</v>
      </c>
      <c r="Y766" s="73"/>
      <c r="Z766" s="2" t="s">
        <v>74</v>
      </c>
      <c r="AA766" s="3">
        <v>-2</v>
      </c>
      <c r="AB766" s="4">
        <v>-339.64</v>
      </c>
      <c r="AC766" s="73">
        <v>46230</v>
      </c>
      <c r="AD766" s="73">
        <v>46230</v>
      </c>
      <c r="AE766" s="73"/>
      <c r="AF766" s="73">
        <v>46230</v>
      </c>
      <c r="AG766" s="3">
        <v>-1000</v>
      </c>
      <c r="AH766" s="353" t="str">
        <f t="shared" si="75"/>
        <v/>
      </c>
      <c r="AI766" s="3" t="str">
        <f t="shared" si="76"/>
        <v>59</v>
      </c>
      <c r="AJ766" s="64" t="str">
        <f>VLOOKUP(T766,'GL Name'!A:B,2,0)</f>
        <v>ต้นทุนขาย</v>
      </c>
      <c r="AL766" s="13">
        <f t="shared" si="77"/>
        <v>169.82</v>
      </c>
      <c r="AM766" s="13" t="e">
        <f>VLOOKUP(I766,'Order 301-305 (เรียง)'!A:B,2,0)</f>
        <v>#N/A</v>
      </c>
      <c r="AN766" t="e">
        <f>VLOOKUP(I766,'Order 301-305 (เรียง)'!A:C,3,0)</f>
        <v>#N/A</v>
      </c>
    </row>
    <row r="767" spans="1:40" x14ac:dyDescent="0.3">
      <c r="A767" s="1" t="s">
        <v>23</v>
      </c>
      <c r="B767" s="1" t="s">
        <v>24</v>
      </c>
      <c r="C767" s="1" t="s">
        <v>64</v>
      </c>
      <c r="D767" s="1" t="s">
        <v>77</v>
      </c>
      <c r="E767" s="1" t="s">
        <v>78</v>
      </c>
      <c r="F767" s="1" t="s">
        <v>1841</v>
      </c>
      <c r="G767" s="1" t="s">
        <v>103</v>
      </c>
      <c r="H767" s="1" t="s">
        <v>1807</v>
      </c>
      <c r="I767" s="1" t="s">
        <v>1842</v>
      </c>
      <c r="J767" s="1" t="s">
        <v>1843</v>
      </c>
      <c r="K767" s="1" t="s">
        <v>84</v>
      </c>
      <c r="L767" s="1" t="s">
        <v>86</v>
      </c>
      <c r="M767" s="1" t="s">
        <v>68</v>
      </c>
      <c r="N767" s="1" t="s">
        <v>71</v>
      </c>
      <c r="O767" s="1" t="s">
        <v>68</v>
      </c>
      <c r="P767" s="1" t="s">
        <v>1844</v>
      </c>
      <c r="Q767" s="1" t="s">
        <v>68</v>
      </c>
      <c r="R767" s="1" t="s">
        <v>68</v>
      </c>
      <c r="S767" s="1" t="s">
        <v>68</v>
      </c>
      <c r="T767" s="1" t="s">
        <v>123</v>
      </c>
      <c r="U767" s="1" t="s">
        <v>68</v>
      </c>
      <c r="V767" s="1" t="s">
        <v>68</v>
      </c>
      <c r="W767" s="1" t="s">
        <v>68</v>
      </c>
      <c r="X767" s="1" t="s">
        <v>68</v>
      </c>
      <c r="Y767" s="73"/>
      <c r="Z767" s="2" t="s">
        <v>80</v>
      </c>
      <c r="AA767" s="3">
        <v>-10426.379999999999</v>
      </c>
      <c r="AB767" s="4">
        <v>-3390033.19</v>
      </c>
      <c r="AC767" s="73">
        <v>46230</v>
      </c>
      <c r="AD767" s="73">
        <v>46224</v>
      </c>
      <c r="AE767" s="73"/>
      <c r="AF767" s="73">
        <v>46230</v>
      </c>
      <c r="AG767" s="3">
        <v>-10426380</v>
      </c>
      <c r="AH767" s="353" t="str">
        <f t="shared" si="75"/>
        <v>303</v>
      </c>
      <c r="AI767" s="3" t="str">
        <f t="shared" si="76"/>
        <v>57</v>
      </c>
      <c r="AJ767" s="64" t="str">
        <f>VLOOKUP(T767,'GL Name'!A:B,2,0)</f>
        <v>ต้นทุนผลิตกึ่งสำเร็จ</v>
      </c>
      <c r="AL767" s="13">
        <f t="shared" si="77"/>
        <v>325.13999969308622</v>
      </c>
      <c r="AM767" s="13" t="str">
        <f>VLOOKUP(I767,'Order 301-305 (เรียง)'!A:B,2,0)</f>
        <v>59000002</v>
      </c>
      <c r="AN767" t="str">
        <f>VLOOKUP(I767,'Order 301-305 (เรียง)'!A:C,3,0)</f>
        <v>GOLD BLEND ALL CAFE'  ขนาด 500 G.</v>
      </c>
    </row>
    <row r="768" spans="1:40" x14ac:dyDescent="0.3">
      <c r="A768" s="1" t="s">
        <v>106</v>
      </c>
      <c r="B768" s="1" t="s">
        <v>107</v>
      </c>
      <c r="C768" s="1" t="s">
        <v>64</v>
      </c>
      <c r="D768" s="1" t="s">
        <v>77</v>
      </c>
      <c r="E768" s="1" t="s">
        <v>78</v>
      </c>
      <c r="F768" s="1" t="s">
        <v>1841</v>
      </c>
      <c r="G768" s="1" t="s">
        <v>103</v>
      </c>
      <c r="H768" s="1" t="s">
        <v>220</v>
      </c>
      <c r="I768" s="1" t="s">
        <v>1842</v>
      </c>
      <c r="J768" s="1" t="s">
        <v>1843</v>
      </c>
      <c r="K768" s="1" t="s">
        <v>84</v>
      </c>
      <c r="L768" s="1" t="s">
        <v>92</v>
      </c>
      <c r="M768" s="1" t="s">
        <v>68</v>
      </c>
      <c r="N768" s="1" t="s">
        <v>71</v>
      </c>
      <c r="O768" s="1" t="s">
        <v>68</v>
      </c>
      <c r="P768" s="1" t="s">
        <v>1844</v>
      </c>
      <c r="Q768" s="1" t="s">
        <v>68</v>
      </c>
      <c r="R768" s="1" t="s">
        <v>68</v>
      </c>
      <c r="S768" s="1" t="s">
        <v>68</v>
      </c>
      <c r="T768" s="1" t="s">
        <v>108</v>
      </c>
      <c r="U768" s="1" t="s">
        <v>68</v>
      </c>
      <c r="V768" s="1" t="s">
        <v>68</v>
      </c>
      <c r="W768" s="1" t="s">
        <v>68</v>
      </c>
      <c r="X768" s="1" t="s">
        <v>68</v>
      </c>
      <c r="Y768" s="73"/>
      <c r="Z768" s="2" t="s">
        <v>102</v>
      </c>
      <c r="AA768" s="3">
        <v>-21093</v>
      </c>
      <c r="AB768" s="4">
        <v>-17839.78</v>
      </c>
      <c r="AC768" s="73">
        <v>46230</v>
      </c>
      <c r="AD768" s="73">
        <v>46224</v>
      </c>
      <c r="AE768" s="73"/>
      <c r="AF768" s="73">
        <v>46230</v>
      </c>
      <c r="AG768" s="3">
        <v>-21093</v>
      </c>
      <c r="AH768" s="353" t="str">
        <f t="shared" si="75"/>
        <v>303</v>
      </c>
      <c r="AI768" s="3" t="str">
        <f t="shared" si="76"/>
        <v>58</v>
      </c>
      <c r="AJ768" s="64" t="str">
        <f>VLOOKUP(T768,'GL Name'!A:B,2,0)</f>
        <v>ต้นทุนผลิตหีบห่อ</v>
      </c>
      <c r="AL768" s="13">
        <f t="shared" si="77"/>
        <v>0.84576779026217219</v>
      </c>
      <c r="AM768" s="13" t="str">
        <f>VLOOKUP(I768,'Order 301-305 (เรียง)'!A:B,2,0)</f>
        <v>59000002</v>
      </c>
      <c r="AN768" t="str">
        <f>VLOOKUP(I768,'Order 301-305 (เรียง)'!A:C,3,0)</f>
        <v>GOLD BLEND ALL CAFE'  ขนาด 500 G.</v>
      </c>
    </row>
    <row r="769" spans="1:40" x14ac:dyDescent="0.3">
      <c r="A769" s="1" t="s">
        <v>119</v>
      </c>
      <c r="B769" s="1" t="s">
        <v>120</v>
      </c>
      <c r="C769" s="1" t="s">
        <v>64</v>
      </c>
      <c r="D769" s="1" t="s">
        <v>77</v>
      </c>
      <c r="E769" s="1" t="s">
        <v>78</v>
      </c>
      <c r="F769" s="1" t="s">
        <v>1841</v>
      </c>
      <c r="G769" s="1" t="s">
        <v>103</v>
      </c>
      <c r="H769" s="1" t="s">
        <v>316</v>
      </c>
      <c r="I769" s="1" t="s">
        <v>1842</v>
      </c>
      <c r="J769" s="1" t="s">
        <v>1843</v>
      </c>
      <c r="K769" s="1" t="s">
        <v>84</v>
      </c>
      <c r="L769" s="1" t="s">
        <v>89</v>
      </c>
      <c r="M769" s="1" t="s">
        <v>68</v>
      </c>
      <c r="N769" s="1" t="s">
        <v>71</v>
      </c>
      <c r="O769" s="1" t="s">
        <v>68</v>
      </c>
      <c r="P769" s="1" t="s">
        <v>1844</v>
      </c>
      <c r="Q769" s="1" t="s">
        <v>68</v>
      </c>
      <c r="R769" s="1" t="s">
        <v>68</v>
      </c>
      <c r="S769" s="1" t="s">
        <v>68</v>
      </c>
      <c r="T769" s="1" t="s">
        <v>108</v>
      </c>
      <c r="U769" s="1" t="s">
        <v>68</v>
      </c>
      <c r="V769" s="1" t="s">
        <v>68</v>
      </c>
      <c r="W769" s="1" t="s">
        <v>68</v>
      </c>
      <c r="X769" s="1" t="s">
        <v>68</v>
      </c>
      <c r="Y769" s="73"/>
      <c r="Z769" s="2" t="s">
        <v>102</v>
      </c>
      <c r="AA769" s="3">
        <v>-21093</v>
      </c>
      <c r="AB769" s="4">
        <v>-43946.99</v>
      </c>
      <c r="AC769" s="73">
        <v>46230</v>
      </c>
      <c r="AD769" s="73">
        <v>46224</v>
      </c>
      <c r="AE769" s="73"/>
      <c r="AF769" s="73">
        <v>46230</v>
      </c>
      <c r="AG769" s="3">
        <v>-21093</v>
      </c>
      <c r="AH769" s="353" t="str">
        <f t="shared" si="75"/>
        <v>303</v>
      </c>
      <c r="AI769" s="3" t="str">
        <f t="shared" si="76"/>
        <v>58</v>
      </c>
      <c r="AJ769" s="64" t="str">
        <f>VLOOKUP(T769,'GL Name'!A:B,2,0)</f>
        <v>ต้นทุนผลิตหีบห่อ</v>
      </c>
      <c r="AL769" s="13">
        <f t="shared" si="77"/>
        <v>2.0834869387948607</v>
      </c>
      <c r="AM769" s="13" t="str">
        <f>VLOOKUP(I769,'Order 301-305 (เรียง)'!A:B,2,0)</f>
        <v>59000002</v>
      </c>
      <c r="AN769" t="str">
        <f>VLOOKUP(I769,'Order 301-305 (เรียง)'!A:C,3,0)</f>
        <v>GOLD BLEND ALL CAFE'  ขนาด 500 G.</v>
      </c>
    </row>
    <row r="770" spans="1:40" x14ac:dyDescent="0.3">
      <c r="A770" s="1" t="s">
        <v>121</v>
      </c>
      <c r="B770" s="1" t="s">
        <v>122</v>
      </c>
      <c r="C770" s="1" t="s">
        <v>64</v>
      </c>
      <c r="D770" s="1" t="s">
        <v>77</v>
      </c>
      <c r="E770" s="1" t="s">
        <v>78</v>
      </c>
      <c r="F770" s="1" t="s">
        <v>1841</v>
      </c>
      <c r="G770" s="1" t="s">
        <v>103</v>
      </c>
      <c r="H770" s="1" t="s">
        <v>1076</v>
      </c>
      <c r="I770" s="1" t="s">
        <v>1842</v>
      </c>
      <c r="J770" s="1" t="s">
        <v>1843</v>
      </c>
      <c r="K770" s="1" t="s">
        <v>84</v>
      </c>
      <c r="L770" s="1" t="s">
        <v>111</v>
      </c>
      <c r="M770" s="1" t="s">
        <v>68</v>
      </c>
      <c r="N770" s="1" t="s">
        <v>71</v>
      </c>
      <c r="O770" s="1" t="s">
        <v>68</v>
      </c>
      <c r="P770" s="1" t="s">
        <v>72</v>
      </c>
      <c r="Q770" s="1" t="s">
        <v>68</v>
      </c>
      <c r="R770" s="1" t="s">
        <v>122</v>
      </c>
      <c r="S770" s="1" t="s">
        <v>68</v>
      </c>
      <c r="T770" s="1" t="s">
        <v>108</v>
      </c>
      <c r="U770" s="1" t="s">
        <v>68</v>
      </c>
      <c r="V770" s="1" t="s">
        <v>68</v>
      </c>
      <c r="W770" s="1" t="s">
        <v>68</v>
      </c>
      <c r="X770" s="1" t="s">
        <v>68</v>
      </c>
      <c r="Y770" s="73"/>
      <c r="Z770" s="2" t="s">
        <v>102</v>
      </c>
      <c r="AA770" s="3">
        <v>-798</v>
      </c>
      <c r="AB770" s="4">
        <v>-3990</v>
      </c>
      <c r="AC770" s="73">
        <v>46230</v>
      </c>
      <c r="AD770" s="73">
        <v>46224</v>
      </c>
      <c r="AE770" s="73"/>
      <c r="AF770" s="73">
        <v>46230</v>
      </c>
      <c r="AG770" s="3">
        <v>-798</v>
      </c>
      <c r="AH770" s="353" t="str">
        <f t="shared" si="75"/>
        <v>303</v>
      </c>
      <c r="AI770" s="3" t="str">
        <f t="shared" si="76"/>
        <v>58</v>
      </c>
      <c r="AJ770" s="64" t="str">
        <f>VLOOKUP(T770,'GL Name'!A:B,2,0)</f>
        <v>ต้นทุนผลิตหีบห่อ</v>
      </c>
      <c r="AL770" s="13">
        <f t="shared" si="77"/>
        <v>5</v>
      </c>
      <c r="AM770" s="13" t="str">
        <f>VLOOKUP(I770,'Order 301-305 (เรียง)'!A:B,2,0)</f>
        <v>59000002</v>
      </c>
      <c r="AN770" t="str">
        <f>VLOOKUP(I770,'Order 301-305 (เรียง)'!A:C,3,0)</f>
        <v>GOLD BLEND ALL CAFE'  ขนาด 500 G.</v>
      </c>
    </row>
    <row r="771" spans="1:40" x14ac:dyDescent="0.3">
      <c r="A771" s="1" t="s">
        <v>121</v>
      </c>
      <c r="B771" s="1" t="s">
        <v>122</v>
      </c>
      <c r="C771" s="1" t="s">
        <v>64</v>
      </c>
      <c r="D771" s="1" t="s">
        <v>77</v>
      </c>
      <c r="E771" s="1" t="s">
        <v>78</v>
      </c>
      <c r="F771" s="1" t="s">
        <v>1841</v>
      </c>
      <c r="G771" s="1" t="s">
        <v>103</v>
      </c>
      <c r="H771" s="1" t="s">
        <v>704</v>
      </c>
      <c r="I771" s="1" t="s">
        <v>1842</v>
      </c>
      <c r="J771" s="1" t="s">
        <v>1843</v>
      </c>
      <c r="K771" s="1" t="s">
        <v>84</v>
      </c>
      <c r="L771" s="1" t="s">
        <v>95</v>
      </c>
      <c r="M771" s="1" t="s">
        <v>68</v>
      </c>
      <c r="N771" s="1" t="s">
        <v>71</v>
      </c>
      <c r="O771" s="1" t="s">
        <v>68</v>
      </c>
      <c r="P771" s="1" t="s">
        <v>1844</v>
      </c>
      <c r="Q771" s="1" t="s">
        <v>68</v>
      </c>
      <c r="R771" s="1" t="s">
        <v>68</v>
      </c>
      <c r="S771" s="1" t="s">
        <v>68</v>
      </c>
      <c r="T771" s="1" t="s">
        <v>108</v>
      </c>
      <c r="U771" s="1" t="s">
        <v>68</v>
      </c>
      <c r="V771" s="1" t="s">
        <v>68</v>
      </c>
      <c r="W771" s="1" t="s">
        <v>68</v>
      </c>
      <c r="X771" s="1" t="s">
        <v>68</v>
      </c>
      <c r="Y771" s="73"/>
      <c r="Z771" s="2" t="s">
        <v>102</v>
      </c>
      <c r="AA771" s="3">
        <v>-2686</v>
      </c>
      <c r="AB771" s="4">
        <v>-13430</v>
      </c>
      <c r="AC771" s="73">
        <v>46230</v>
      </c>
      <c r="AD771" s="73">
        <v>46224</v>
      </c>
      <c r="AE771" s="73"/>
      <c r="AF771" s="73">
        <v>46230</v>
      </c>
      <c r="AG771" s="3">
        <v>-2686</v>
      </c>
      <c r="AH771" s="353" t="str">
        <f t="shared" si="75"/>
        <v>303</v>
      </c>
      <c r="AI771" s="3" t="str">
        <f t="shared" si="76"/>
        <v>58</v>
      </c>
      <c r="AJ771" s="64" t="str">
        <f>VLOOKUP(T771,'GL Name'!A:B,2,0)</f>
        <v>ต้นทุนผลิตหีบห่อ</v>
      </c>
      <c r="AL771" s="13">
        <f t="shared" si="77"/>
        <v>5</v>
      </c>
      <c r="AM771" s="13" t="str">
        <f>VLOOKUP(I771,'Order 301-305 (เรียง)'!A:B,2,0)</f>
        <v>59000002</v>
      </c>
      <c r="AN771" t="str">
        <f>VLOOKUP(I771,'Order 301-305 (เรียง)'!A:C,3,0)</f>
        <v>GOLD BLEND ALL CAFE'  ขนาด 500 G.</v>
      </c>
    </row>
    <row r="772" spans="1:40" x14ac:dyDescent="0.3">
      <c r="A772" s="1" t="s">
        <v>81</v>
      </c>
      <c r="B772" s="1" t="s">
        <v>82</v>
      </c>
      <c r="C772" s="1" t="s">
        <v>64</v>
      </c>
      <c r="D772" s="1" t="s">
        <v>115</v>
      </c>
      <c r="E772" s="1" t="s">
        <v>116</v>
      </c>
      <c r="F772" s="1" t="s">
        <v>1841</v>
      </c>
      <c r="G772" s="1" t="s">
        <v>83</v>
      </c>
      <c r="H772" s="1" t="s">
        <v>1845</v>
      </c>
      <c r="I772" s="1" t="s">
        <v>1842</v>
      </c>
      <c r="J772" s="1" t="s">
        <v>1843</v>
      </c>
      <c r="K772" s="1" t="s">
        <v>84</v>
      </c>
      <c r="L772" s="1" t="s">
        <v>70</v>
      </c>
      <c r="M772" s="1" t="s">
        <v>68</v>
      </c>
      <c r="N772" s="1" t="s">
        <v>71</v>
      </c>
      <c r="O772" s="1" t="s">
        <v>68</v>
      </c>
      <c r="P772" s="1" t="s">
        <v>72</v>
      </c>
      <c r="Q772" s="1" t="s">
        <v>68</v>
      </c>
      <c r="R772" s="1" t="s">
        <v>68</v>
      </c>
      <c r="S772" s="1" t="s">
        <v>68</v>
      </c>
      <c r="T772" s="1" t="s">
        <v>117</v>
      </c>
      <c r="U772" s="1" t="s">
        <v>68</v>
      </c>
      <c r="V772" s="1" t="s">
        <v>68</v>
      </c>
      <c r="W772" s="1" t="s">
        <v>68</v>
      </c>
      <c r="X772" s="1" t="s">
        <v>68</v>
      </c>
      <c r="Y772" s="73"/>
      <c r="Z772" s="2" t="s">
        <v>74</v>
      </c>
      <c r="AA772" s="3">
        <v>20844</v>
      </c>
      <c r="AB772" s="4">
        <v>3540561.84</v>
      </c>
      <c r="AC772" s="73">
        <v>46230</v>
      </c>
      <c r="AD772" s="73">
        <v>46224</v>
      </c>
      <c r="AE772" s="73"/>
      <c r="AF772" s="73">
        <v>46230</v>
      </c>
      <c r="AG772" s="3">
        <v>10422000</v>
      </c>
      <c r="AH772" s="353" t="str">
        <f t="shared" si="75"/>
        <v>303</v>
      </c>
      <c r="AI772" s="3" t="str">
        <f t="shared" si="76"/>
        <v>59</v>
      </c>
      <c r="AJ772" s="64" t="str">
        <f>VLOOKUP(T772,'GL Name'!A:B,2,0)</f>
        <v>ต้นทุนผลิตโอน F/G</v>
      </c>
      <c r="AL772" s="13">
        <f t="shared" si="77"/>
        <v>169.85999999999999</v>
      </c>
      <c r="AM772" s="13" t="str">
        <f>VLOOKUP(I772,'Order 301-305 (เรียง)'!A:B,2,0)</f>
        <v>59000002</v>
      </c>
      <c r="AN772" t="str">
        <f>VLOOKUP(I772,'Order 301-305 (เรียง)'!A:C,3,0)</f>
        <v>GOLD BLEND ALL CAFE'  ขนาด 500 G.</v>
      </c>
    </row>
    <row r="773" spans="1:40" x14ac:dyDescent="0.3">
      <c r="A773" s="1" t="s">
        <v>23</v>
      </c>
      <c r="B773" s="1" t="s">
        <v>24</v>
      </c>
      <c r="C773" s="1" t="s">
        <v>64</v>
      </c>
      <c r="D773" s="1" t="s">
        <v>77</v>
      </c>
      <c r="E773" s="1" t="s">
        <v>78</v>
      </c>
      <c r="F773" s="1" t="s">
        <v>1846</v>
      </c>
      <c r="G773" s="1" t="s">
        <v>103</v>
      </c>
      <c r="H773" s="1" t="s">
        <v>1812</v>
      </c>
      <c r="I773" s="1" t="s">
        <v>1847</v>
      </c>
      <c r="J773" s="1" t="s">
        <v>1848</v>
      </c>
      <c r="K773" s="1" t="s">
        <v>84</v>
      </c>
      <c r="L773" s="1" t="s">
        <v>86</v>
      </c>
      <c r="M773" s="1" t="s">
        <v>68</v>
      </c>
      <c r="N773" s="1" t="s">
        <v>71</v>
      </c>
      <c r="O773" s="1" t="s">
        <v>68</v>
      </c>
      <c r="P773" s="1" t="s">
        <v>1849</v>
      </c>
      <c r="Q773" s="1" t="s">
        <v>68</v>
      </c>
      <c r="R773" s="1" t="s">
        <v>68</v>
      </c>
      <c r="S773" s="1" t="s">
        <v>68</v>
      </c>
      <c r="T773" s="1" t="s">
        <v>123</v>
      </c>
      <c r="U773" s="1" t="s">
        <v>68</v>
      </c>
      <c r="V773" s="1" t="s">
        <v>68</v>
      </c>
      <c r="W773" s="1" t="s">
        <v>68</v>
      </c>
      <c r="X773" s="1" t="s">
        <v>68</v>
      </c>
      <c r="Y773" s="73"/>
      <c r="Z773" s="2" t="s">
        <v>80</v>
      </c>
      <c r="AA773" s="3">
        <v>-10625.78</v>
      </c>
      <c r="AB773" s="4">
        <v>-3454866.11</v>
      </c>
      <c r="AC773" s="73">
        <v>46230</v>
      </c>
      <c r="AD773" s="73">
        <v>46225</v>
      </c>
      <c r="AE773" s="73"/>
      <c r="AF773" s="73">
        <v>46230</v>
      </c>
      <c r="AG773" s="3">
        <v>-10625780</v>
      </c>
      <c r="AH773" s="353" t="str">
        <f t="shared" si="75"/>
        <v>303</v>
      </c>
      <c r="AI773" s="3" t="str">
        <f t="shared" si="76"/>
        <v>57</v>
      </c>
      <c r="AJ773" s="64" t="str">
        <f>VLOOKUP(T773,'GL Name'!A:B,2,0)</f>
        <v>ต้นทุนผลิตกึ่งสำเร็จ</v>
      </c>
      <c r="AL773" s="13">
        <f t="shared" si="77"/>
        <v>325.14000007528858</v>
      </c>
      <c r="AM773" s="13" t="str">
        <f>VLOOKUP(I773,'Order 301-305 (เรียง)'!A:B,2,0)</f>
        <v>59000002</v>
      </c>
      <c r="AN773" t="str">
        <f>VLOOKUP(I773,'Order 301-305 (เรียง)'!A:C,3,0)</f>
        <v>GOLD BLEND ALL CAFE'  ขนาด 500 G.</v>
      </c>
    </row>
    <row r="774" spans="1:40" x14ac:dyDescent="0.3">
      <c r="A774" s="1" t="s">
        <v>106</v>
      </c>
      <c r="B774" s="1" t="s">
        <v>107</v>
      </c>
      <c r="C774" s="1" t="s">
        <v>64</v>
      </c>
      <c r="D774" s="1" t="s">
        <v>77</v>
      </c>
      <c r="E774" s="1" t="s">
        <v>78</v>
      </c>
      <c r="F774" s="1" t="s">
        <v>1846</v>
      </c>
      <c r="G774" s="1" t="s">
        <v>103</v>
      </c>
      <c r="H774" s="1" t="s">
        <v>220</v>
      </c>
      <c r="I774" s="1" t="s">
        <v>1847</v>
      </c>
      <c r="J774" s="1" t="s">
        <v>1848</v>
      </c>
      <c r="K774" s="1" t="s">
        <v>84</v>
      </c>
      <c r="L774" s="1" t="s">
        <v>92</v>
      </c>
      <c r="M774" s="1" t="s">
        <v>68</v>
      </c>
      <c r="N774" s="1" t="s">
        <v>71</v>
      </c>
      <c r="O774" s="1" t="s">
        <v>68</v>
      </c>
      <c r="P774" s="1" t="s">
        <v>1849</v>
      </c>
      <c r="Q774" s="1" t="s">
        <v>68</v>
      </c>
      <c r="R774" s="1" t="s">
        <v>68</v>
      </c>
      <c r="S774" s="1" t="s">
        <v>68</v>
      </c>
      <c r="T774" s="1" t="s">
        <v>108</v>
      </c>
      <c r="U774" s="1" t="s">
        <v>68</v>
      </c>
      <c r="V774" s="1" t="s">
        <v>68</v>
      </c>
      <c r="W774" s="1" t="s">
        <v>68</v>
      </c>
      <c r="X774" s="1" t="s">
        <v>68</v>
      </c>
      <c r="Y774" s="73"/>
      <c r="Z774" s="2" t="s">
        <v>102</v>
      </c>
      <c r="AA774" s="3">
        <v>-21433</v>
      </c>
      <c r="AB774" s="4">
        <v>-18127.34</v>
      </c>
      <c r="AC774" s="73">
        <v>46230</v>
      </c>
      <c r="AD774" s="73">
        <v>46225</v>
      </c>
      <c r="AE774" s="73"/>
      <c r="AF774" s="73">
        <v>46230</v>
      </c>
      <c r="AG774" s="3">
        <v>-21433</v>
      </c>
      <c r="AH774" s="353" t="str">
        <f t="shared" si="75"/>
        <v>303</v>
      </c>
      <c r="AI774" s="3" t="str">
        <f t="shared" si="76"/>
        <v>58</v>
      </c>
      <c r="AJ774" s="64" t="str">
        <f>VLOOKUP(T774,'GL Name'!A:B,2,0)</f>
        <v>ต้นทุนผลิตหีบห่อ</v>
      </c>
      <c r="AL774" s="13">
        <f t="shared" si="77"/>
        <v>0.84576774133345778</v>
      </c>
      <c r="AM774" s="13" t="str">
        <f>VLOOKUP(I774,'Order 301-305 (เรียง)'!A:B,2,0)</f>
        <v>59000002</v>
      </c>
      <c r="AN774" t="str">
        <f>VLOOKUP(I774,'Order 301-305 (เรียง)'!A:C,3,0)</f>
        <v>GOLD BLEND ALL CAFE'  ขนาด 500 G.</v>
      </c>
    </row>
    <row r="775" spans="1:40" x14ac:dyDescent="0.3">
      <c r="A775" s="1" t="s">
        <v>119</v>
      </c>
      <c r="B775" s="1" t="s">
        <v>120</v>
      </c>
      <c r="C775" s="1" t="s">
        <v>64</v>
      </c>
      <c r="D775" s="1" t="s">
        <v>77</v>
      </c>
      <c r="E775" s="1" t="s">
        <v>78</v>
      </c>
      <c r="F775" s="1" t="s">
        <v>1846</v>
      </c>
      <c r="G775" s="1" t="s">
        <v>103</v>
      </c>
      <c r="H775" s="1" t="s">
        <v>316</v>
      </c>
      <c r="I775" s="1" t="s">
        <v>1847</v>
      </c>
      <c r="J775" s="1" t="s">
        <v>1848</v>
      </c>
      <c r="K775" s="1" t="s">
        <v>84</v>
      </c>
      <c r="L775" s="1" t="s">
        <v>89</v>
      </c>
      <c r="M775" s="1" t="s">
        <v>68</v>
      </c>
      <c r="N775" s="1" t="s">
        <v>71</v>
      </c>
      <c r="O775" s="1" t="s">
        <v>68</v>
      </c>
      <c r="P775" s="1" t="s">
        <v>1849</v>
      </c>
      <c r="Q775" s="1" t="s">
        <v>68</v>
      </c>
      <c r="R775" s="1" t="s">
        <v>68</v>
      </c>
      <c r="S775" s="1" t="s">
        <v>68</v>
      </c>
      <c r="T775" s="1" t="s">
        <v>108</v>
      </c>
      <c r="U775" s="1" t="s">
        <v>68</v>
      </c>
      <c r="V775" s="1" t="s">
        <v>68</v>
      </c>
      <c r="W775" s="1" t="s">
        <v>68</v>
      </c>
      <c r="X775" s="1" t="s">
        <v>68</v>
      </c>
      <c r="Y775" s="73"/>
      <c r="Z775" s="2" t="s">
        <v>102</v>
      </c>
      <c r="AA775" s="3">
        <v>-21433</v>
      </c>
      <c r="AB775" s="4">
        <v>-44655.38</v>
      </c>
      <c r="AC775" s="73">
        <v>46230</v>
      </c>
      <c r="AD775" s="73">
        <v>46225</v>
      </c>
      <c r="AE775" s="73"/>
      <c r="AF775" s="73">
        <v>46230</v>
      </c>
      <c r="AG775" s="3">
        <v>-21433</v>
      </c>
      <c r="AH775" s="353" t="str">
        <f t="shared" si="75"/>
        <v>303</v>
      </c>
      <c r="AI775" s="3" t="str">
        <f t="shared" si="76"/>
        <v>58</v>
      </c>
      <c r="AJ775" s="64" t="str">
        <f>VLOOKUP(T775,'GL Name'!A:B,2,0)</f>
        <v>ต้นทุนผลิตหีบห่อ</v>
      </c>
      <c r="AL775" s="13">
        <f t="shared" si="77"/>
        <v>2.0834871459898285</v>
      </c>
      <c r="AM775" s="13" t="str">
        <f>VLOOKUP(I775,'Order 301-305 (เรียง)'!A:B,2,0)</f>
        <v>59000002</v>
      </c>
      <c r="AN775" t="str">
        <f>VLOOKUP(I775,'Order 301-305 (เรียง)'!A:C,3,0)</f>
        <v>GOLD BLEND ALL CAFE'  ขนาด 500 G.</v>
      </c>
    </row>
    <row r="776" spans="1:40" x14ac:dyDescent="0.3">
      <c r="A776" s="1" t="s">
        <v>121</v>
      </c>
      <c r="B776" s="1" t="s">
        <v>122</v>
      </c>
      <c r="C776" s="1" t="s">
        <v>64</v>
      </c>
      <c r="D776" s="1" t="s">
        <v>77</v>
      </c>
      <c r="E776" s="1" t="s">
        <v>78</v>
      </c>
      <c r="F776" s="1" t="s">
        <v>1846</v>
      </c>
      <c r="G776" s="1" t="s">
        <v>103</v>
      </c>
      <c r="H776" s="1" t="s">
        <v>1076</v>
      </c>
      <c r="I776" s="1" t="s">
        <v>1847</v>
      </c>
      <c r="J776" s="1" t="s">
        <v>1848</v>
      </c>
      <c r="K776" s="1" t="s">
        <v>84</v>
      </c>
      <c r="L776" s="1" t="s">
        <v>95</v>
      </c>
      <c r="M776" s="1" t="s">
        <v>68</v>
      </c>
      <c r="N776" s="1" t="s">
        <v>71</v>
      </c>
      <c r="O776" s="1" t="s">
        <v>68</v>
      </c>
      <c r="P776" s="1" t="s">
        <v>1849</v>
      </c>
      <c r="Q776" s="1" t="s">
        <v>68</v>
      </c>
      <c r="R776" s="1" t="s">
        <v>68</v>
      </c>
      <c r="S776" s="1" t="s">
        <v>68</v>
      </c>
      <c r="T776" s="1" t="s">
        <v>108</v>
      </c>
      <c r="U776" s="1" t="s">
        <v>68</v>
      </c>
      <c r="V776" s="1" t="s">
        <v>68</v>
      </c>
      <c r="W776" s="1" t="s">
        <v>68</v>
      </c>
      <c r="X776" s="1" t="s">
        <v>68</v>
      </c>
      <c r="Y776" s="73"/>
      <c r="Z776" s="2" t="s">
        <v>102</v>
      </c>
      <c r="AA776" s="3">
        <v>-3536</v>
      </c>
      <c r="AB776" s="4">
        <v>-17680</v>
      </c>
      <c r="AC776" s="73">
        <v>46230</v>
      </c>
      <c r="AD776" s="73">
        <v>46225</v>
      </c>
      <c r="AE776" s="73"/>
      <c r="AF776" s="73">
        <v>46230</v>
      </c>
      <c r="AG776" s="3">
        <v>-3536</v>
      </c>
      <c r="AH776" s="353" t="str">
        <f t="shared" si="75"/>
        <v>303</v>
      </c>
      <c r="AI776" s="3" t="str">
        <f t="shared" si="76"/>
        <v>58</v>
      </c>
      <c r="AJ776" s="64" t="str">
        <f>VLOOKUP(T776,'GL Name'!A:B,2,0)</f>
        <v>ต้นทุนผลิตหีบห่อ</v>
      </c>
      <c r="AL776" s="13">
        <f t="shared" si="77"/>
        <v>5</v>
      </c>
      <c r="AM776" s="13" t="str">
        <f>VLOOKUP(I776,'Order 301-305 (เรียง)'!A:B,2,0)</f>
        <v>59000002</v>
      </c>
      <c r="AN776" t="str">
        <f>VLOOKUP(I776,'Order 301-305 (เรียง)'!A:C,3,0)</f>
        <v>GOLD BLEND ALL CAFE'  ขนาด 500 G.</v>
      </c>
    </row>
    <row r="777" spans="1:40" x14ac:dyDescent="0.3">
      <c r="A777" s="1" t="s">
        <v>81</v>
      </c>
      <c r="B777" s="1" t="s">
        <v>82</v>
      </c>
      <c r="C777" s="1" t="s">
        <v>64</v>
      </c>
      <c r="D777" s="1" t="s">
        <v>115</v>
      </c>
      <c r="E777" s="1" t="s">
        <v>116</v>
      </c>
      <c r="F777" s="1" t="s">
        <v>1846</v>
      </c>
      <c r="G777" s="1" t="s">
        <v>83</v>
      </c>
      <c r="H777" s="1" t="s">
        <v>1850</v>
      </c>
      <c r="I777" s="1" t="s">
        <v>1847</v>
      </c>
      <c r="J777" s="1" t="s">
        <v>1848</v>
      </c>
      <c r="K777" s="1" t="s">
        <v>84</v>
      </c>
      <c r="L777" s="1" t="s">
        <v>70</v>
      </c>
      <c r="M777" s="1" t="s">
        <v>68</v>
      </c>
      <c r="N777" s="1" t="s">
        <v>71</v>
      </c>
      <c r="O777" s="1" t="s">
        <v>68</v>
      </c>
      <c r="P777" s="1" t="s">
        <v>72</v>
      </c>
      <c r="Q777" s="1" t="s">
        <v>68</v>
      </c>
      <c r="R777" s="1" t="s">
        <v>68</v>
      </c>
      <c r="S777" s="1" t="s">
        <v>68</v>
      </c>
      <c r="T777" s="1" t="s">
        <v>117</v>
      </c>
      <c r="U777" s="1" t="s">
        <v>68</v>
      </c>
      <c r="V777" s="1" t="s">
        <v>68</v>
      </c>
      <c r="W777" s="1" t="s">
        <v>68</v>
      </c>
      <c r="X777" s="1" t="s">
        <v>68</v>
      </c>
      <c r="Y777" s="73"/>
      <c r="Z777" s="2" t="s">
        <v>74</v>
      </c>
      <c r="AA777" s="3">
        <v>21174</v>
      </c>
      <c r="AB777" s="4">
        <v>3596615.64</v>
      </c>
      <c r="AC777" s="73">
        <v>46230</v>
      </c>
      <c r="AD777" s="73">
        <v>46225</v>
      </c>
      <c r="AE777" s="73"/>
      <c r="AF777" s="73">
        <v>46230</v>
      </c>
      <c r="AG777" s="3">
        <v>10587000</v>
      </c>
      <c r="AH777" s="353" t="str">
        <f t="shared" si="75"/>
        <v>303</v>
      </c>
      <c r="AI777" s="3" t="str">
        <f t="shared" si="76"/>
        <v>59</v>
      </c>
      <c r="AJ777" s="64" t="str">
        <f>VLOOKUP(T777,'GL Name'!A:B,2,0)</f>
        <v>ต้นทุนผลิตโอน F/G</v>
      </c>
      <c r="AL777" s="13">
        <f t="shared" si="77"/>
        <v>169.86</v>
      </c>
      <c r="AM777" s="13" t="str">
        <f>VLOOKUP(I777,'Order 301-305 (เรียง)'!A:B,2,0)</f>
        <v>59000002</v>
      </c>
      <c r="AN777" t="str">
        <f>VLOOKUP(I777,'Order 301-305 (เรียง)'!A:C,3,0)</f>
        <v>GOLD BLEND ALL CAFE'  ขนาด 500 G.</v>
      </c>
    </row>
    <row r="778" spans="1:40" x14ac:dyDescent="0.3">
      <c r="A778" s="1" t="s">
        <v>23</v>
      </c>
      <c r="B778" s="1" t="s">
        <v>24</v>
      </c>
      <c r="C778" s="1" t="s">
        <v>64</v>
      </c>
      <c r="D778" s="1" t="s">
        <v>77</v>
      </c>
      <c r="E778" s="1" t="s">
        <v>78</v>
      </c>
      <c r="F778" s="1" t="s">
        <v>1851</v>
      </c>
      <c r="G778" s="1" t="s">
        <v>103</v>
      </c>
      <c r="H778" s="1" t="s">
        <v>1817</v>
      </c>
      <c r="I778" s="1" t="s">
        <v>1852</v>
      </c>
      <c r="J778" s="1" t="s">
        <v>1853</v>
      </c>
      <c r="K778" s="1" t="s">
        <v>84</v>
      </c>
      <c r="L778" s="1" t="s">
        <v>86</v>
      </c>
      <c r="M778" s="1" t="s">
        <v>68</v>
      </c>
      <c r="N778" s="1" t="s">
        <v>71</v>
      </c>
      <c r="O778" s="1" t="s">
        <v>68</v>
      </c>
      <c r="P778" s="1" t="s">
        <v>1854</v>
      </c>
      <c r="Q778" s="1" t="s">
        <v>68</v>
      </c>
      <c r="R778" s="1" t="s">
        <v>68</v>
      </c>
      <c r="S778" s="1" t="s">
        <v>68</v>
      </c>
      <c r="T778" s="1" t="s">
        <v>123</v>
      </c>
      <c r="U778" s="1" t="s">
        <v>68</v>
      </c>
      <c r="V778" s="1" t="s">
        <v>68</v>
      </c>
      <c r="W778" s="1" t="s">
        <v>68</v>
      </c>
      <c r="X778" s="1" t="s">
        <v>68</v>
      </c>
      <c r="Y778" s="73"/>
      <c r="Z778" s="2" t="s">
        <v>80</v>
      </c>
      <c r="AA778" s="3">
        <v>-9836.16</v>
      </c>
      <c r="AB778" s="4">
        <v>-3198129.06</v>
      </c>
      <c r="AC778" s="73">
        <v>46230</v>
      </c>
      <c r="AD778" s="73">
        <v>46226</v>
      </c>
      <c r="AE778" s="73"/>
      <c r="AF778" s="73">
        <v>46230</v>
      </c>
      <c r="AG778" s="3">
        <v>-9836160</v>
      </c>
      <c r="AH778" s="353" t="str">
        <f t="shared" si="75"/>
        <v>303</v>
      </c>
      <c r="AI778" s="3" t="str">
        <f t="shared" si="76"/>
        <v>57</v>
      </c>
      <c r="AJ778" s="64" t="str">
        <f>VLOOKUP(T778,'GL Name'!A:B,2,0)</f>
        <v>ต้นทุนผลิตกึ่งสำเร็จ</v>
      </c>
      <c r="AL778" s="13">
        <f t="shared" si="77"/>
        <v>325.13999975600234</v>
      </c>
      <c r="AM778" s="13" t="str">
        <f>VLOOKUP(I778,'Order 301-305 (เรียง)'!A:B,2,0)</f>
        <v>59000002</v>
      </c>
      <c r="AN778" t="str">
        <f>VLOOKUP(I778,'Order 301-305 (เรียง)'!A:C,3,0)</f>
        <v>GOLD BLEND ALL CAFE'  ขนาด 500 G.</v>
      </c>
    </row>
    <row r="779" spans="1:40" x14ac:dyDescent="0.3">
      <c r="A779" s="1" t="s">
        <v>106</v>
      </c>
      <c r="B779" s="1" t="s">
        <v>107</v>
      </c>
      <c r="C779" s="1" t="s">
        <v>64</v>
      </c>
      <c r="D779" s="1" t="s">
        <v>77</v>
      </c>
      <c r="E779" s="1" t="s">
        <v>78</v>
      </c>
      <c r="F779" s="1" t="s">
        <v>1851</v>
      </c>
      <c r="G779" s="1" t="s">
        <v>103</v>
      </c>
      <c r="H779" s="1" t="s">
        <v>220</v>
      </c>
      <c r="I779" s="1" t="s">
        <v>1852</v>
      </c>
      <c r="J779" s="1" t="s">
        <v>1853</v>
      </c>
      <c r="K779" s="1" t="s">
        <v>84</v>
      </c>
      <c r="L779" s="1" t="s">
        <v>92</v>
      </c>
      <c r="M779" s="1" t="s">
        <v>68</v>
      </c>
      <c r="N779" s="1" t="s">
        <v>71</v>
      </c>
      <c r="O779" s="1" t="s">
        <v>68</v>
      </c>
      <c r="P779" s="1" t="s">
        <v>1854</v>
      </c>
      <c r="Q779" s="1" t="s">
        <v>68</v>
      </c>
      <c r="R779" s="1" t="s">
        <v>68</v>
      </c>
      <c r="S779" s="1" t="s">
        <v>68</v>
      </c>
      <c r="T779" s="1" t="s">
        <v>108</v>
      </c>
      <c r="U779" s="1" t="s">
        <v>68</v>
      </c>
      <c r="V779" s="1" t="s">
        <v>68</v>
      </c>
      <c r="W779" s="1" t="s">
        <v>68</v>
      </c>
      <c r="X779" s="1" t="s">
        <v>68</v>
      </c>
      <c r="Y779" s="73"/>
      <c r="Z779" s="2" t="s">
        <v>102</v>
      </c>
      <c r="AA779" s="3">
        <v>-20075</v>
      </c>
      <c r="AB779" s="4">
        <v>-16978.79</v>
      </c>
      <c r="AC779" s="73">
        <v>46230</v>
      </c>
      <c r="AD779" s="73">
        <v>46226</v>
      </c>
      <c r="AE779" s="73"/>
      <c r="AF779" s="73">
        <v>46230</v>
      </c>
      <c r="AG779" s="3">
        <v>-20075</v>
      </c>
      <c r="AH779" s="353" t="str">
        <f t="shared" si="75"/>
        <v>303</v>
      </c>
      <c r="AI779" s="3" t="str">
        <f t="shared" si="76"/>
        <v>58</v>
      </c>
      <c r="AJ779" s="64" t="str">
        <f>VLOOKUP(T779,'GL Name'!A:B,2,0)</f>
        <v>ต้นทุนผลิตหีบห่อ</v>
      </c>
      <c r="AL779" s="13">
        <f t="shared" si="77"/>
        <v>0.8457678704856787</v>
      </c>
      <c r="AM779" s="13" t="str">
        <f>VLOOKUP(I779,'Order 301-305 (เรียง)'!A:B,2,0)</f>
        <v>59000002</v>
      </c>
      <c r="AN779" t="str">
        <f>VLOOKUP(I779,'Order 301-305 (เรียง)'!A:C,3,0)</f>
        <v>GOLD BLEND ALL CAFE'  ขนาด 500 G.</v>
      </c>
    </row>
    <row r="780" spans="1:40" x14ac:dyDescent="0.3">
      <c r="A780" s="1" t="s">
        <v>119</v>
      </c>
      <c r="B780" s="1" t="s">
        <v>120</v>
      </c>
      <c r="C780" s="1" t="s">
        <v>64</v>
      </c>
      <c r="D780" s="1" t="s">
        <v>77</v>
      </c>
      <c r="E780" s="1" t="s">
        <v>78</v>
      </c>
      <c r="F780" s="1" t="s">
        <v>1851</v>
      </c>
      <c r="G780" s="1" t="s">
        <v>103</v>
      </c>
      <c r="H780" s="1" t="s">
        <v>316</v>
      </c>
      <c r="I780" s="1" t="s">
        <v>1852</v>
      </c>
      <c r="J780" s="1" t="s">
        <v>1853</v>
      </c>
      <c r="K780" s="1" t="s">
        <v>84</v>
      </c>
      <c r="L780" s="1" t="s">
        <v>89</v>
      </c>
      <c r="M780" s="1" t="s">
        <v>68</v>
      </c>
      <c r="N780" s="1" t="s">
        <v>71</v>
      </c>
      <c r="O780" s="1" t="s">
        <v>68</v>
      </c>
      <c r="P780" s="1" t="s">
        <v>1854</v>
      </c>
      <c r="Q780" s="1" t="s">
        <v>68</v>
      </c>
      <c r="R780" s="1" t="s">
        <v>68</v>
      </c>
      <c r="S780" s="1" t="s">
        <v>68</v>
      </c>
      <c r="T780" s="1" t="s">
        <v>108</v>
      </c>
      <c r="U780" s="1" t="s">
        <v>68</v>
      </c>
      <c r="V780" s="1" t="s">
        <v>68</v>
      </c>
      <c r="W780" s="1" t="s">
        <v>68</v>
      </c>
      <c r="X780" s="1" t="s">
        <v>68</v>
      </c>
      <c r="Y780" s="73"/>
      <c r="Z780" s="2" t="s">
        <v>102</v>
      </c>
      <c r="AA780" s="3">
        <v>-7366</v>
      </c>
      <c r="AB780" s="4">
        <v>-15346.97</v>
      </c>
      <c r="AC780" s="73">
        <v>46230</v>
      </c>
      <c r="AD780" s="73">
        <v>46226</v>
      </c>
      <c r="AE780" s="73"/>
      <c r="AF780" s="73">
        <v>46230</v>
      </c>
      <c r="AG780" s="3">
        <v>-7366</v>
      </c>
      <c r="AH780" s="353" t="str">
        <f t="shared" si="75"/>
        <v>303</v>
      </c>
      <c r="AI780" s="3" t="str">
        <f t="shared" si="76"/>
        <v>58</v>
      </c>
      <c r="AJ780" s="64" t="str">
        <f>VLOOKUP(T780,'GL Name'!A:B,2,0)</f>
        <v>ต้นทุนผลิตหีบห่อ</v>
      </c>
      <c r="AL780" s="13">
        <f t="shared" si="77"/>
        <v>2.0834876459408092</v>
      </c>
      <c r="AM780" s="13" t="str">
        <f>VLOOKUP(I780,'Order 301-305 (เรียง)'!A:B,2,0)</f>
        <v>59000002</v>
      </c>
      <c r="AN780" t="str">
        <f>VLOOKUP(I780,'Order 301-305 (เรียง)'!A:C,3,0)</f>
        <v>GOLD BLEND ALL CAFE'  ขนาด 500 G.</v>
      </c>
    </row>
    <row r="781" spans="1:40" x14ac:dyDescent="0.3">
      <c r="A781" s="1" t="s">
        <v>119</v>
      </c>
      <c r="B781" s="1" t="s">
        <v>120</v>
      </c>
      <c r="C781" s="1" t="s">
        <v>64</v>
      </c>
      <c r="D781" s="1" t="s">
        <v>77</v>
      </c>
      <c r="E781" s="1" t="s">
        <v>78</v>
      </c>
      <c r="F781" s="1" t="s">
        <v>1851</v>
      </c>
      <c r="G781" s="1" t="s">
        <v>103</v>
      </c>
      <c r="H781" s="1" t="s">
        <v>772</v>
      </c>
      <c r="I781" s="1" t="s">
        <v>1852</v>
      </c>
      <c r="J781" s="1" t="s">
        <v>1853</v>
      </c>
      <c r="K781" s="1" t="s">
        <v>84</v>
      </c>
      <c r="L781" s="1" t="s">
        <v>111</v>
      </c>
      <c r="M781" s="1" t="s">
        <v>68</v>
      </c>
      <c r="N781" s="1" t="s">
        <v>71</v>
      </c>
      <c r="O781" s="1" t="s">
        <v>68</v>
      </c>
      <c r="P781" s="1" t="s">
        <v>72</v>
      </c>
      <c r="Q781" s="1" t="s">
        <v>68</v>
      </c>
      <c r="R781" s="1" t="s">
        <v>120</v>
      </c>
      <c r="S781" s="1" t="s">
        <v>68</v>
      </c>
      <c r="T781" s="1" t="s">
        <v>108</v>
      </c>
      <c r="U781" s="1" t="s">
        <v>68</v>
      </c>
      <c r="V781" s="1" t="s">
        <v>68</v>
      </c>
      <c r="W781" s="1" t="s">
        <v>68</v>
      </c>
      <c r="X781" s="1" t="s">
        <v>68</v>
      </c>
      <c r="Y781" s="73"/>
      <c r="Z781" s="2" t="s">
        <v>102</v>
      </c>
      <c r="AA781" s="3">
        <v>-12709</v>
      </c>
      <c r="AB781" s="4">
        <v>-26479.040000000001</v>
      </c>
      <c r="AC781" s="73">
        <v>46230</v>
      </c>
      <c r="AD781" s="73">
        <v>46226</v>
      </c>
      <c r="AE781" s="73"/>
      <c r="AF781" s="73">
        <v>46230</v>
      </c>
      <c r="AG781" s="3">
        <v>-12709</v>
      </c>
      <c r="AH781" s="353" t="str">
        <f t="shared" ref="AH781:AH844" si="78">LEFT(I781,3)</f>
        <v>303</v>
      </c>
      <c r="AI781" s="3" t="str">
        <f t="shared" ref="AI781:AI844" si="79">LEFT(A781,2)</f>
        <v>58</v>
      </c>
      <c r="AJ781" s="64" t="str">
        <f>VLOOKUP(T781,'GL Name'!A:B,2,0)</f>
        <v>ต้นทุนผลิตหีบห่อ</v>
      </c>
      <c r="AL781" s="13">
        <f t="shared" ref="AL781:AL844" si="80">AB781/AA781</f>
        <v>2.0834872924699033</v>
      </c>
      <c r="AM781" s="13" t="str">
        <f>VLOOKUP(I781,'Order 301-305 (เรียง)'!A:B,2,0)</f>
        <v>59000002</v>
      </c>
      <c r="AN781" t="str">
        <f>VLOOKUP(I781,'Order 301-305 (เรียง)'!A:C,3,0)</f>
        <v>GOLD BLEND ALL CAFE'  ขนาด 500 G.</v>
      </c>
    </row>
    <row r="782" spans="1:40" x14ac:dyDescent="0.3">
      <c r="A782" s="1" t="s">
        <v>121</v>
      </c>
      <c r="B782" s="1" t="s">
        <v>122</v>
      </c>
      <c r="C782" s="1" t="s">
        <v>64</v>
      </c>
      <c r="D782" s="1" t="s">
        <v>77</v>
      </c>
      <c r="E782" s="1" t="s">
        <v>78</v>
      </c>
      <c r="F782" s="1" t="s">
        <v>1851</v>
      </c>
      <c r="G782" s="1" t="s">
        <v>103</v>
      </c>
      <c r="H782" s="1" t="s">
        <v>1076</v>
      </c>
      <c r="I782" s="1" t="s">
        <v>1852</v>
      </c>
      <c r="J782" s="1" t="s">
        <v>1853</v>
      </c>
      <c r="K782" s="1" t="s">
        <v>84</v>
      </c>
      <c r="L782" s="1" t="s">
        <v>95</v>
      </c>
      <c r="M782" s="1" t="s">
        <v>68</v>
      </c>
      <c r="N782" s="1" t="s">
        <v>71</v>
      </c>
      <c r="O782" s="1" t="s">
        <v>68</v>
      </c>
      <c r="P782" s="1" t="s">
        <v>1854</v>
      </c>
      <c r="Q782" s="1" t="s">
        <v>68</v>
      </c>
      <c r="R782" s="1" t="s">
        <v>68</v>
      </c>
      <c r="S782" s="1" t="s">
        <v>68</v>
      </c>
      <c r="T782" s="1" t="s">
        <v>108</v>
      </c>
      <c r="U782" s="1" t="s">
        <v>68</v>
      </c>
      <c r="V782" s="1" t="s">
        <v>68</v>
      </c>
      <c r="W782" s="1" t="s">
        <v>68</v>
      </c>
      <c r="X782" s="1" t="s">
        <v>68</v>
      </c>
      <c r="Y782" s="73"/>
      <c r="Z782" s="2" t="s">
        <v>102</v>
      </c>
      <c r="AA782" s="3">
        <v>-3277</v>
      </c>
      <c r="AB782" s="4">
        <v>-16385</v>
      </c>
      <c r="AC782" s="73">
        <v>46230</v>
      </c>
      <c r="AD782" s="73">
        <v>46226</v>
      </c>
      <c r="AE782" s="73"/>
      <c r="AF782" s="73">
        <v>46230</v>
      </c>
      <c r="AG782" s="3">
        <v>-3277</v>
      </c>
      <c r="AH782" s="353" t="str">
        <f t="shared" si="78"/>
        <v>303</v>
      </c>
      <c r="AI782" s="3" t="str">
        <f t="shared" si="79"/>
        <v>58</v>
      </c>
      <c r="AJ782" s="64" t="str">
        <f>VLOOKUP(T782,'GL Name'!A:B,2,0)</f>
        <v>ต้นทุนผลิตหีบห่อ</v>
      </c>
      <c r="AL782" s="13">
        <f t="shared" si="80"/>
        <v>5</v>
      </c>
      <c r="AM782" s="13" t="str">
        <f>VLOOKUP(I782,'Order 301-305 (เรียง)'!A:B,2,0)</f>
        <v>59000002</v>
      </c>
      <c r="AN782" t="str">
        <f>VLOOKUP(I782,'Order 301-305 (เรียง)'!A:C,3,0)</f>
        <v>GOLD BLEND ALL CAFE'  ขนาด 500 G.</v>
      </c>
    </row>
    <row r="783" spans="1:40" x14ac:dyDescent="0.3">
      <c r="A783" s="1" t="s">
        <v>81</v>
      </c>
      <c r="B783" s="1" t="s">
        <v>82</v>
      </c>
      <c r="C783" s="1" t="s">
        <v>64</v>
      </c>
      <c r="D783" s="1" t="s">
        <v>115</v>
      </c>
      <c r="E783" s="1" t="s">
        <v>116</v>
      </c>
      <c r="F783" s="1" t="s">
        <v>1851</v>
      </c>
      <c r="G783" s="1" t="s">
        <v>83</v>
      </c>
      <c r="H783" s="1" t="s">
        <v>1855</v>
      </c>
      <c r="I783" s="1" t="s">
        <v>1852</v>
      </c>
      <c r="J783" s="1" t="s">
        <v>1853</v>
      </c>
      <c r="K783" s="1" t="s">
        <v>84</v>
      </c>
      <c r="L783" s="1" t="s">
        <v>70</v>
      </c>
      <c r="M783" s="1" t="s">
        <v>68</v>
      </c>
      <c r="N783" s="1" t="s">
        <v>71</v>
      </c>
      <c r="O783" s="1" t="s">
        <v>68</v>
      </c>
      <c r="P783" s="1" t="s">
        <v>72</v>
      </c>
      <c r="Q783" s="1" t="s">
        <v>68</v>
      </c>
      <c r="R783" s="1" t="s">
        <v>68</v>
      </c>
      <c r="S783" s="1" t="s">
        <v>68</v>
      </c>
      <c r="T783" s="1" t="s">
        <v>117</v>
      </c>
      <c r="U783" s="1" t="s">
        <v>68</v>
      </c>
      <c r="V783" s="1" t="s">
        <v>68</v>
      </c>
      <c r="W783" s="1" t="s">
        <v>68</v>
      </c>
      <c r="X783" s="1" t="s">
        <v>68</v>
      </c>
      <c r="Y783" s="73"/>
      <c r="Z783" s="2" t="s">
        <v>74</v>
      </c>
      <c r="AA783" s="3">
        <v>19651</v>
      </c>
      <c r="AB783" s="4">
        <v>3337918.86</v>
      </c>
      <c r="AC783" s="73">
        <v>46230</v>
      </c>
      <c r="AD783" s="73">
        <v>46226</v>
      </c>
      <c r="AE783" s="73"/>
      <c r="AF783" s="73">
        <v>46230</v>
      </c>
      <c r="AG783" s="3">
        <v>9825500</v>
      </c>
      <c r="AH783" s="353" t="str">
        <f t="shared" si="78"/>
        <v>303</v>
      </c>
      <c r="AI783" s="3" t="str">
        <f t="shared" si="79"/>
        <v>59</v>
      </c>
      <c r="AJ783" s="64" t="str">
        <f>VLOOKUP(T783,'GL Name'!A:B,2,0)</f>
        <v>ต้นทุนผลิตโอน F/G</v>
      </c>
      <c r="AL783" s="13">
        <f t="shared" si="80"/>
        <v>169.85999999999999</v>
      </c>
      <c r="AM783" s="13" t="str">
        <f>VLOOKUP(I783,'Order 301-305 (เรียง)'!A:B,2,0)</f>
        <v>59000002</v>
      </c>
      <c r="AN783" t="str">
        <f>VLOOKUP(I783,'Order 301-305 (เรียง)'!A:C,3,0)</f>
        <v>GOLD BLEND ALL CAFE'  ขนาด 500 G.</v>
      </c>
    </row>
    <row r="784" spans="1:40" x14ac:dyDescent="0.3">
      <c r="A784" s="1" t="s">
        <v>23</v>
      </c>
      <c r="B784" s="1" t="s">
        <v>24</v>
      </c>
      <c r="C784" s="1" t="s">
        <v>64</v>
      </c>
      <c r="D784" s="1" t="s">
        <v>77</v>
      </c>
      <c r="E784" s="1" t="s">
        <v>78</v>
      </c>
      <c r="F784" s="1" t="s">
        <v>1856</v>
      </c>
      <c r="G784" s="1" t="s">
        <v>103</v>
      </c>
      <c r="H784" s="1" t="s">
        <v>1827</v>
      </c>
      <c r="I784" s="1" t="s">
        <v>1857</v>
      </c>
      <c r="J784" s="1" t="s">
        <v>1858</v>
      </c>
      <c r="K784" s="1" t="s">
        <v>84</v>
      </c>
      <c r="L784" s="1" t="s">
        <v>86</v>
      </c>
      <c r="M784" s="1" t="s">
        <v>68</v>
      </c>
      <c r="N784" s="1" t="s">
        <v>71</v>
      </c>
      <c r="O784" s="1" t="s">
        <v>68</v>
      </c>
      <c r="P784" s="1" t="s">
        <v>1859</v>
      </c>
      <c r="Q784" s="1" t="s">
        <v>68</v>
      </c>
      <c r="R784" s="1" t="s">
        <v>68</v>
      </c>
      <c r="S784" s="1" t="s">
        <v>68</v>
      </c>
      <c r="T784" s="1" t="s">
        <v>123</v>
      </c>
      <c r="U784" s="1" t="s">
        <v>68</v>
      </c>
      <c r="V784" s="1" t="s">
        <v>68</v>
      </c>
      <c r="W784" s="1" t="s">
        <v>68</v>
      </c>
      <c r="X784" s="1" t="s">
        <v>68</v>
      </c>
      <c r="Y784" s="73"/>
      <c r="Z784" s="2" t="s">
        <v>80</v>
      </c>
      <c r="AA784" s="3">
        <v>-10220.91</v>
      </c>
      <c r="AB784" s="4">
        <v>-3323226.68</v>
      </c>
      <c r="AC784" s="73">
        <v>46230</v>
      </c>
      <c r="AD784" s="73">
        <v>46227</v>
      </c>
      <c r="AE784" s="73"/>
      <c r="AF784" s="73">
        <v>46230</v>
      </c>
      <c r="AG784" s="3">
        <v>-10220910</v>
      </c>
      <c r="AH784" s="353" t="str">
        <f t="shared" si="78"/>
        <v>303</v>
      </c>
      <c r="AI784" s="3" t="str">
        <f t="shared" si="79"/>
        <v>57</v>
      </c>
      <c r="AJ784" s="64" t="str">
        <f>VLOOKUP(T784,'GL Name'!A:B,2,0)</f>
        <v>ต้นทุนผลิตกึ่งสำเร็จ</v>
      </c>
      <c r="AL784" s="13">
        <f t="shared" si="80"/>
        <v>325.14000025438048</v>
      </c>
      <c r="AM784" s="13" t="str">
        <f>VLOOKUP(I784,'Order 301-305 (เรียง)'!A:B,2,0)</f>
        <v>59000002</v>
      </c>
      <c r="AN784" t="str">
        <f>VLOOKUP(I784,'Order 301-305 (เรียง)'!A:C,3,0)</f>
        <v>GOLD BLEND ALL CAFE'  ขนาด 500 G.</v>
      </c>
    </row>
    <row r="785" spans="1:40" x14ac:dyDescent="0.3">
      <c r="A785" s="1" t="s">
        <v>106</v>
      </c>
      <c r="B785" s="1" t="s">
        <v>107</v>
      </c>
      <c r="C785" s="1" t="s">
        <v>64</v>
      </c>
      <c r="D785" s="1" t="s">
        <v>77</v>
      </c>
      <c r="E785" s="1" t="s">
        <v>78</v>
      </c>
      <c r="F785" s="1" t="s">
        <v>1856</v>
      </c>
      <c r="G785" s="1" t="s">
        <v>103</v>
      </c>
      <c r="H785" s="1" t="s">
        <v>220</v>
      </c>
      <c r="I785" s="1" t="s">
        <v>1857</v>
      </c>
      <c r="J785" s="1" t="s">
        <v>1858</v>
      </c>
      <c r="K785" s="1" t="s">
        <v>84</v>
      </c>
      <c r="L785" s="1" t="s">
        <v>92</v>
      </c>
      <c r="M785" s="1" t="s">
        <v>68</v>
      </c>
      <c r="N785" s="1" t="s">
        <v>71</v>
      </c>
      <c r="O785" s="1" t="s">
        <v>68</v>
      </c>
      <c r="P785" s="1" t="s">
        <v>1859</v>
      </c>
      <c r="Q785" s="1" t="s">
        <v>68</v>
      </c>
      <c r="R785" s="1" t="s">
        <v>68</v>
      </c>
      <c r="S785" s="1" t="s">
        <v>68</v>
      </c>
      <c r="T785" s="1" t="s">
        <v>108</v>
      </c>
      <c r="U785" s="1" t="s">
        <v>68</v>
      </c>
      <c r="V785" s="1" t="s">
        <v>68</v>
      </c>
      <c r="W785" s="1" t="s">
        <v>68</v>
      </c>
      <c r="X785" s="1" t="s">
        <v>68</v>
      </c>
      <c r="Y785" s="73"/>
      <c r="Z785" s="2" t="s">
        <v>102</v>
      </c>
      <c r="AA785" s="3">
        <v>-20830</v>
      </c>
      <c r="AB785" s="4">
        <v>-17617.34</v>
      </c>
      <c r="AC785" s="73">
        <v>46230</v>
      </c>
      <c r="AD785" s="73">
        <v>46227</v>
      </c>
      <c r="AE785" s="73"/>
      <c r="AF785" s="73">
        <v>46230</v>
      </c>
      <c r="AG785" s="3">
        <v>-20830</v>
      </c>
      <c r="AH785" s="353" t="str">
        <f t="shared" si="78"/>
        <v>303</v>
      </c>
      <c r="AI785" s="3" t="str">
        <f t="shared" si="79"/>
        <v>58</v>
      </c>
      <c r="AJ785" s="64" t="str">
        <f>VLOOKUP(T785,'GL Name'!A:B,2,0)</f>
        <v>ต้นทุนผลิตหีบห่อ</v>
      </c>
      <c r="AL785" s="13">
        <f t="shared" si="80"/>
        <v>0.84576764282285166</v>
      </c>
      <c r="AM785" s="13" t="str">
        <f>VLOOKUP(I785,'Order 301-305 (เรียง)'!A:B,2,0)</f>
        <v>59000002</v>
      </c>
      <c r="AN785" t="str">
        <f>VLOOKUP(I785,'Order 301-305 (เรียง)'!A:C,3,0)</f>
        <v>GOLD BLEND ALL CAFE'  ขนาด 500 G.</v>
      </c>
    </row>
    <row r="786" spans="1:40" x14ac:dyDescent="0.3">
      <c r="A786" s="1" t="s">
        <v>119</v>
      </c>
      <c r="B786" s="1" t="s">
        <v>120</v>
      </c>
      <c r="C786" s="1" t="s">
        <v>64</v>
      </c>
      <c r="D786" s="1" t="s">
        <v>77</v>
      </c>
      <c r="E786" s="1" t="s">
        <v>78</v>
      </c>
      <c r="F786" s="1" t="s">
        <v>1856</v>
      </c>
      <c r="G786" s="1" t="s">
        <v>103</v>
      </c>
      <c r="H786" s="1" t="s">
        <v>772</v>
      </c>
      <c r="I786" s="1" t="s">
        <v>1857</v>
      </c>
      <c r="J786" s="1" t="s">
        <v>1858</v>
      </c>
      <c r="K786" s="1" t="s">
        <v>84</v>
      </c>
      <c r="L786" s="1" t="s">
        <v>89</v>
      </c>
      <c r="M786" s="1" t="s">
        <v>68</v>
      </c>
      <c r="N786" s="1" t="s">
        <v>71</v>
      </c>
      <c r="O786" s="1" t="s">
        <v>68</v>
      </c>
      <c r="P786" s="1" t="s">
        <v>1859</v>
      </c>
      <c r="Q786" s="1" t="s">
        <v>68</v>
      </c>
      <c r="R786" s="1" t="s">
        <v>68</v>
      </c>
      <c r="S786" s="1" t="s">
        <v>68</v>
      </c>
      <c r="T786" s="1" t="s">
        <v>108</v>
      </c>
      <c r="U786" s="1" t="s">
        <v>68</v>
      </c>
      <c r="V786" s="1" t="s">
        <v>68</v>
      </c>
      <c r="W786" s="1" t="s">
        <v>68</v>
      </c>
      <c r="X786" s="1" t="s">
        <v>68</v>
      </c>
      <c r="Y786" s="73"/>
      <c r="Z786" s="2" t="s">
        <v>102</v>
      </c>
      <c r="AA786" s="3">
        <v>-20830</v>
      </c>
      <c r="AB786" s="4">
        <v>-43399.03</v>
      </c>
      <c r="AC786" s="73">
        <v>46230</v>
      </c>
      <c r="AD786" s="73">
        <v>46227</v>
      </c>
      <c r="AE786" s="73"/>
      <c r="AF786" s="73">
        <v>46230</v>
      </c>
      <c r="AG786" s="3">
        <v>-20830</v>
      </c>
      <c r="AH786" s="353" t="str">
        <f t="shared" si="78"/>
        <v>303</v>
      </c>
      <c r="AI786" s="3" t="str">
        <f t="shared" si="79"/>
        <v>58</v>
      </c>
      <c r="AJ786" s="64" t="str">
        <f>VLOOKUP(T786,'GL Name'!A:B,2,0)</f>
        <v>ต้นทุนผลิตหีบห่อ</v>
      </c>
      <c r="AL786" s="13">
        <f t="shared" si="80"/>
        <v>2.0834867978876619</v>
      </c>
      <c r="AM786" s="13" t="str">
        <f>VLOOKUP(I786,'Order 301-305 (เรียง)'!A:B,2,0)</f>
        <v>59000002</v>
      </c>
      <c r="AN786" t="str">
        <f>VLOOKUP(I786,'Order 301-305 (เรียง)'!A:C,3,0)</f>
        <v>GOLD BLEND ALL CAFE'  ขนาด 500 G.</v>
      </c>
    </row>
    <row r="787" spans="1:40" x14ac:dyDescent="0.3">
      <c r="A787" s="1" t="s">
        <v>121</v>
      </c>
      <c r="B787" s="1" t="s">
        <v>122</v>
      </c>
      <c r="C787" s="1" t="s">
        <v>64</v>
      </c>
      <c r="D787" s="1" t="s">
        <v>77</v>
      </c>
      <c r="E787" s="1" t="s">
        <v>78</v>
      </c>
      <c r="F787" s="1" t="s">
        <v>1856</v>
      </c>
      <c r="G787" s="1" t="s">
        <v>103</v>
      </c>
      <c r="H787" s="1" t="s">
        <v>1076</v>
      </c>
      <c r="I787" s="1" t="s">
        <v>1857</v>
      </c>
      <c r="J787" s="1" t="s">
        <v>1858</v>
      </c>
      <c r="K787" s="1" t="s">
        <v>84</v>
      </c>
      <c r="L787" s="1" t="s">
        <v>95</v>
      </c>
      <c r="M787" s="1" t="s">
        <v>68</v>
      </c>
      <c r="N787" s="1" t="s">
        <v>71</v>
      </c>
      <c r="O787" s="1" t="s">
        <v>68</v>
      </c>
      <c r="P787" s="1" t="s">
        <v>1859</v>
      </c>
      <c r="Q787" s="1" t="s">
        <v>68</v>
      </c>
      <c r="R787" s="1" t="s">
        <v>68</v>
      </c>
      <c r="S787" s="1" t="s">
        <v>68</v>
      </c>
      <c r="T787" s="1" t="s">
        <v>108</v>
      </c>
      <c r="U787" s="1" t="s">
        <v>68</v>
      </c>
      <c r="V787" s="1" t="s">
        <v>68</v>
      </c>
      <c r="W787" s="1" t="s">
        <v>68</v>
      </c>
      <c r="X787" s="1" t="s">
        <v>68</v>
      </c>
      <c r="Y787" s="73"/>
      <c r="Z787" s="2" t="s">
        <v>102</v>
      </c>
      <c r="AA787" s="3">
        <v>-3411</v>
      </c>
      <c r="AB787" s="4">
        <v>-17055</v>
      </c>
      <c r="AC787" s="73">
        <v>46230</v>
      </c>
      <c r="AD787" s="73">
        <v>46227</v>
      </c>
      <c r="AE787" s="73"/>
      <c r="AF787" s="73">
        <v>46230</v>
      </c>
      <c r="AG787" s="3">
        <v>-3411</v>
      </c>
      <c r="AH787" s="353" t="str">
        <f t="shared" si="78"/>
        <v>303</v>
      </c>
      <c r="AI787" s="3" t="str">
        <f t="shared" si="79"/>
        <v>58</v>
      </c>
      <c r="AJ787" s="64" t="str">
        <f>VLOOKUP(T787,'GL Name'!A:B,2,0)</f>
        <v>ต้นทุนผลิตหีบห่อ</v>
      </c>
      <c r="AL787" s="13">
        <f t="shared" si="80"/>
        <v>5</v>
      </c>
      <c r="AM787" s="13" t="str">
        <f>VLOOKUP(I787,'Order 301-305 (เรียง)'!A:B,2,0)</f>
        <v>59000002</v>
      </c>
      <c r="AN787" t="str">
        <f>VLOOKUP(I787,'Order 301-305 (เรียง)'!A:C,3,0)</f>
        <v>GOLD BLEND ALL CAFE'  ขนาด 500 G.</v>
      </c>
    </row>
    <row r="788" spans="1:40" x14ac:dyDescent="0.3">
      <c r="A788" s="1" t="s">
        <v>81</v>
      </c>
      <c r="B788" s="1" t="s">
        <v>82</v>
      </c>
      <c r="C788" s="1" t="s">
        <v>64</v>
      </c>
      <c r="D788" s="1" t="s">
        <v>115</v>
      </c>
      <c r="E788" s="1" t="s">
        <v>116</v>
      </c>
      <c r="F788" s="1" t="s">
        <v>1856</v>
      </c>
      <c r="G788" s="1" t="s">
        <v>83</v>
      </c>
      <c r="H788" s="1" t="s">
        <v>1860</v>
      </c>
      <c r="I788" s="1" t="s">
        <v>1857</v>
      </c>
      <c r="J788" s="1" t="s">
        <v>1858</v>
      </c>
      <c r="K788" s="1" t="s">
        <v>84</v>
      </c>
      <c r="L788" s="1" t="s">
        <v>70</v>
      </c>
      <c r="M788" s="1" t="s">
        <v>68</v>
      </c>
      <c r="N788" s="1" t="s">
        <v>71</v>
      </c>
      <c r="O788" s="1" t="s">
        <v>68</v>
      </c>
      <c r="P788" s="1" t="s">
        <v>72</v>
      </c>
      <c r="Q788" s="1" t="s">
        <v>68</v>
      </c>
      <c r="R788" s="1" t="s">
        <v>68</v>
      </c>
      <c r="S788" s="1" t="s">
        <v>68</v>
      </c>
      <c r="T788" s="1" t="s">
        <v>117</v>
      </c>
      <c r="U788" s="1" t="s">
        <v>68</v>
      </c>
      <c r="V788" s="1" t="s">
        <v>68</v>
      </c>
      <c r="W788" s="1" t="s">
        <v>68</v>
      </c>
      <c r="X788" s="1" t="s">
        <v>68</v>
      </c>
      <c r="Y788" s="73"/>
      <c r="Z788" s="2" t="s">
        <v>74</v>
      </c>
      <c r="AA788" s="3">
        <v>20425</v>
      </c>
      <c r="AB788" s="4">
        <v>3469390.5</v>
      </c>
      <c r="AC788" s="73">
        <v>46230</v>
      </c>
      <c r="AD788" s="73">
        <v>46227</v>
      </c>
      <c r="AE788" s="73"/>
      <c r="AF788" s="73">
        <v>46230</v>
      </c>
      <c r="AG788" s="3">
        <v>10212500</v>
      </c>
      <c r="AH788" s="353" t="str">
        <f t="shared" si="78"/>
        <v>303</v>
      </c>
      <c r="AI788" s="3" t="str">
        <f t="shared" si="79"/>
        <v>59</v>
      </c>
      <c r="AJ788" s="64" t="str">
        <f>VLOOKUP(T788,'GL Name'!A:B,2,0)</f>
        <v>ต้นทุนผลิตโอน F/G</v>
      </c>
      <c r="AL788" s="13">
        <f t="shared" si="80"/>
        <v>169.86</v>
      </c>
      <c r="AM788" s="13" t="str">
        <f>VLOOKUP(I788,'Order 301-305 (เรียง)'!A:B,2,0)</f>
        <v>59000002</v>
      </c>
      <c r="AN788" t="str">
        <f>VLOOKUP(I788,'Order 301-305 (เรียง)'!A:C,3,0)</f>
        <v>GOLD BLEND ALL CAFE'  ขนาด 500 G.</v>
      </c>
    </row>
    <row r="789" spans="1:40" x14ac:dyDescent="0.3">
      <c r="A789" s="1" t="s">
        <v>17</v>
      </c>
      <c r="B789" s="1" t="s">
        <v>18</v>
      </c>
      <c r="C789" s="1" t="s">
        <v>64</v>
      </c>
      <c r="D789" s="1" t="s">
        <v>87</v>
      </c>
      <c r="E789" s="1" t="s">
        <v>88</v>
      </c>
      <c r="F789" s="1" t="s">
        <v>1861</v>
      </c>
      <c r="G789" s="1" t="s">
        <v>278</v>
      </c>
      <c r="H789" s="1" t="s">
        <v>304</v>
      </c>
      <c r="I789" s="1" t="s">
        <v>68</v>
      </c>
      <c r="J789" s="1" t="s">
        <v>1862</v>
      </c>
      <c r="K789" s="1" t="s">
        <v>290</v>
      </c>
      <c r="L789" s="1" t="s">
        <v>70</v>
      </c>
      <c r="M789" s="1" t="s">
        <v>68</v>
      </c>
      <c r="N789" s="1" t="s">
        <v>71</v>
      </c>
      <c r="O789" s="1" t="s">
        <v>68</v>
      </c>
      <c r="P789" s="1" t="s">
        <v>1863</v>
      </c>
      <c r="Q789" s="1" t="s">
        <v>68</v>
      </c>
      <c r="R789" s="1" t="s">
        <v>1864</v>
      </c>
      <c r="S789" s="1" t="s">
        <v>90</v>
      </c>
      <c r="T789" s="1" t="s">
        <v>91</v>
      </c>
      <c r="U789" s="1" t="s">
        <v>68</v>
      </c>
      <c r="V789" s="1" t="s">
        <v>68</v>
      </c>
      <c r="W789" s="1" t="s">
        <v>68</v>
      </c>
      <c r="X789" s="1" t="s">
        <v>68</v>
      </c>
      <c r="Y789" s="73"/>
      <c r="Z789" s="2" t="s">
        <v>265</v>
      </c>
      <c r="AA789" s="3">
        <v>-500</v>
      </c>
      <c r="AB789" s="4">
        <v>-77.569999999999993</v>
      </c>
      <c r="AC789" s="73">
        <v>46228</v>
      </c>
      <c r="AD789" s="73">
        <v>46228</v>
      </c>
      <c r="AE789" s="73"/>
      <c r="AF789" s="73">
        <v>46230</v>
      </c>
      <c r="AG789" s="3">
        <v>-500</v>
      </c>
      <c r="AH789" s="353" t="str">
        <f t="shared" si="78"/>
        <v/>
      </c>
      <c r="AI789" s="3" t="str">
        <f t="shared" si="79"/>
        <v>54</v>
      </c>
      <c r="AJ789" s="64" t="str">
        <f>VLOOKUP(T789,'GL Name'!A:B,2,0)</f>
        <v>ค่าวิจัยคุณภาพสินค้า</v>
      </c>
      <c r="AL789" s="13">
        <f t="shared" si="80"/>
        <v>0.15514</v>
      </c>
      <c r="AM789" s="13" t="e">
        <f>VLOOKUP(I789,'Order 301-305 (เรียง)'!A:B,2,0)</f>
        <v>#N/A</v>
      </c>
      <c r="AN789" t="e">
        <f>VLOOKUP(I789,'Order 301-305 (เรียง)'!A:C,3,0)</f>
        <v>#N/A</v>
      </c>
    </row>
    <row r="790" spans="1:40" x14ac:dyDescent="0.3">
      <c r="A790" s="1" t="s">
        <v>9</v>
      </c>
      <c r="B790" s="1" t="s">
        <v>10</v>
      </c>
      <c r="C790" s="1" t="s">
        <v>64</v>
      </c>
      <c r="D790" s="1" t="s">
        <v>87</v>
      </c>
      <c r="E790" s="1" t="s">
        <v>88</v>
      </c>
      <c r="F790" s="1" t="s">
        <v>1865</v>
      </c>
      <c r="G790" s="1" t="s">
        <v>278</v>
      </c>
      <c r="H790" s="1" t="s">
        <v>944</v>
      </c>
      <c r="I790" s="1" t="s">
        <v>68</v>
      </c>
      <c r="J790" s="1" t="s">
        <v>1866</v>
      </c>
      <c r="K790" s="1" t="s">
        <v>290</v>
      </c>
      <c r="L790" s="1" t="s">
        <v>70</v>
      </c>
      <c r="M790" s="1" t="s">
        <v>68</v>
      </c>
      <c r="N790" s="1" t="s">
        <v>71</v>
      </c>
      <c r="O790" s="1" t="s">
        <v>68</v>
      </c>
      <c r="P790" s="1" t="s">
        <v>1867</v>
      </c>
      <c r="Q790" s="1" t="s">
        <v>68</v>
      </c>
      <c r="R790" s="1" t="s">
        <v>1868</v>
      </c>
      <c r="S790" s="1" t="s">
        <v>90</v>
      </c>
      <c r="T790" s="1" t="s">
        <v>91</v>
      </c>
      <c r="U790" s="1" t="s">
        <v>68</v>
      </c>
      <c r="V790" s="1" t="s">
        <v>68</v>
      </c>
      <c r="W790" s="1" t="s">
        <v>68</v>
      </c>
      <c r="X790" s="1" t="s">
        <v>68</v>
      </c>
      <c r="Y790" s="73"/>
      <c r="Z790" s="2" t="s">
        <v>265</v>
      </c>
      <c r="AA790" s="3">
        <v>-500</v>
      </c>
      <c r="AB790" s="4">
        <v>-132.21</v>
      </c>
      <c r="AC790" s="73">
        <v>46227</v>
      </c>
      <c r="AD790" s="73">
        <v>46227</v>
      </c>
      <c r="AE790" s="73"/>
      <c r="AF790" s="73">
        <v>46230</v>
      </c>
      <c r="AG790" s="3">
        <v>-500</v>
      </c>
      <c r="AH790" s="353" t="str">
        <f t="shared" si="78"/>
        <v/>
      </c>
      <c r="AI790" s="3" t="str">
        <f t="shared" si="79"/>
        <v>54</v>
      </c>
      <c r="AJ790" s="64" t="str">
        <f>VLOOKUP(T790,'GL Name'!A:B,2,0)</f>
        <v>ค่าวิจัยคุณภาพสินค้า</v>
      </c>
      <c r="AL790" s="13">
        <f t="shared" si="80"/>
        <v>0.26441999999999999</v>
      </c>
      <c r="AM790" s="13" t="e">
        <f>VLOOKUP(I790,'Order 301-305 (เรียง)'!A:B,2,0)</f>
        <v>#N/A</v>
      </c>
      <c r="AN790" t="e">
        <f>VLOOKUP(I790,'Order 301-305 (เรียง)'!A:C,3,0)</f>
        <v>#N/A</v>
      </c>
    </row>
    <row r="791" spans="1:40" x14ac:dyDescent="0.3">
      <c r="A791" s="1" t="s">
        <v>9</v>
      </c>
      <c r="B791" s="1" t="s">
        <v>10</v>
      </c>
      <c r="C791" s="1" t="s">
        <v>64</v>
      </c>
      <c r="D791" s="1" t="s">
        <v>87</v>
      </c>
      <c r="E791" s="1" t="s">
        <v>88</v>
      </c>
      <c r="F791" s="1" t="s">
        <v>1869</v>
      </c>
      <c r="G791" s="1" t="s">
        <v>278</v>
      </c>
      <c r="H791" s="1" t="s">
        <v>944</v>
      </c>
      <c r="I791" s="1" t="s">
        <v>68</v>
      </c>
      <c r="J791" s="1" t="s">
        <v>1870</v>
      </c>
      <c r="K791" s="1" t="s">
        <v>290</v>
      </c>
      <c r="L791" s="1" t="s">
        <v>70</v>
      </c>
      <c r="M791" s="1" t="s">
        <v>68</v>
      </c>
      <c r="N791" s="1" t="s">
        <v>71</v>
      </c>
      <c r="O791" s="1" t="s">
        <v>68</v>
      </c>
      <c r="P791" s="1" t="s">
        <v>1871</v>
      </c>
      <c r="Q791" s="1" t="s">
        <v>68</v>
      </c>
      <c r="R791" s="1" t="s">
        <v>1872</v>
      </c>
      <c r="S791" s="1" t="s">
        <v>90</v>
      </c>
      <c r="T791" s="1" t="s">
        <v>91</v>
      </c>
      <c r="U791" s="1" t="s">
        <v>68</v>
      </c>
      <c r="V791" s="1" t="s">
        <v>68</v>
      </c>
      <c r="W791" s="1" t="s">
        <v>68</v>
      </c>
      <c r="X791" s="1" t="s">
        <v>68</v>
      </c>
      <c r="Y791" s="73"/>
      <c r="Z791" s="2" t="s">
        <v>265</v>
      </c>
      <c r="AA791" s="3">
        <v>-500</v>
      </c>
      <c r="AB791" s="4">
        <v>-132.21</v>
      </c>
      <c r="AC791" s="73">
        <v>46226</v>
      </c>
      <c r="AD791" s="73">
        <v>46226</v>
      </c>
      <c r="AE791" s="73"/>
      <c r="AF791" s="73">
        <v>46230</v>
      </c>
      <c r="AG791" s="3">
        <v>-500</v>
      </c>
      <c r="AH791" s="353" t="str">
        <f t="shared" si="78"/>
        <v/>
      </c>
      <c r="AI791" s="3" t="str">
        <f t="shared" si="79"/>
        <v>54</v>
      </c>
      <c r="AJ791" s="64" t="str">
        <f>VLOOKUP(T791,'GL Name'!A:B,2,0)</f>
        <v>ค่าวิจัยคุณภาพสินค้า</v>
      </c>
      <c r="AL791" s="13">
        <f t="shared" si="80"/>
        <v>0.26441999999999999</v>
      </c>
      <c r="AM791" s="13" t="e">
        <f>VLOOKUP(I791,'Order 301-305 (เรียง)'!A:B,2,0)</f>
        <v>#N/A</v>
      </c>
      <c r="AN791" t="e">
        <f>VLOOKUP(I791,'Order 301-305 (เรียง)'!A:C,3,0)</f>
        <v>#N/A</v>
      </c>
    </row>
    <row r="792" spans="1:40" x14ac:dyDescent="0.3">
      <c r="A792" s="1" t="s">
        <v>81</v>
      </c>
      <c r="B792" s="1" t="s">
        <v>82</v>
      </c>
      <c r="C792" s="1" t="s">
        <v>64</v>
      </c>
      <c r="D792" s="1" t="s">
        <v>87</v>
      </c>
      <c r="E792" s="1" t="s">
        <v>88</v>
      </c>
      <c r="F792" s="1" t="s">
        <v>1873</v>
      </c>
      <c r="G792" s="1" t="s">
        <v>83</v>
      </c>
      <c r="H792" s="1" t="s">
        <v>1498</v>
      </c>
      <c r="I792" s="1" t="s">
        <v>68</v>
      </c>
      <c r="J792" s="1" t="s">
        <v>1874</v>
      </c>
      <c r="K792" s="1" t="s">
        <v>223</v>
      </c>
      <c r="L792" s="1" t="s">
        <v>70</v>
      </c>
      <c r="M792" s="1" t="s">
        <v>68</v>
      </c>
      <c r="N792" s="1" t="s">
        <v>71</v>
      </c>
      <c r="O792" s="1" t="s">
        <v>68</v>
      </c>
      <c r="P792" s="1" t="s">
        <v>1875</v>
      </c>
      <c r="Q792" s="1" t="s">
        <v>68</v>
      </c>
      <c r="R792" s="1" t="s">
        <v>1876</v>
      </c>
      <c r="S792" s="1" t="s">
        <v>90</v>
      </c>
      <c r="T792" s="1" t="s">
        <v>91</v>
      </c>
      <c r="U792" s="1" t="s">
        <v>68</v>
      </c>
      <c r="V792" s="1" t="s">
        <v>68</v>
      </c>
      <c r="W792" s="1" t="s">
        <v>68</v>
      </c>
      <c r="X792" s="1" t="s">
        <v>68</v>
      </c>
      <c r="Y792" s="73"/>
      <c r="Z792" s="2" t="s">
        <v>74</v>
      </c>
      <c r="AA792" s="3">
        <v>-5</v>
      </c>
      <c r="AB792" s="4">
        <v>-849.3</v>
      </c>
      <c r="AC792" s="73">
        <v>46230</v>
      </c>
      <c r="AD792" s="73">
        <v>46230</v>
      </c>
      <c r="AE792" s="73"/>
      <c r="AF792" s="73">
        <v>46230</v>
      </c>
      <c r="AG792" s="3">
        <v>-2500</v>
      </c>
      <c r="AH792" s="353" t="str">
        <f t="shared" si="78"/>
        <v/>
      </c>
      <c r="AI792" s="3" t="str">
        <f t="shared" si="79"/>
        <v>59</v>
      </c>
      <c r="AJ792" s="64" t="str">
        <f>VLOOKUP(T792,'GL Name'!A:B,2,0)</f>
        <v>ค่าวิจัยคุณภาพสินค้า</v>
      </c>
      <c r="AL792" s="13">
        <f t="shared" si="80"/>
        <v>169.85999999999999</v>
      </c>
      <c r="AM792" s="13" t="e">
        <f>VLOOKUP(I792,'Order 301-305 (เรียง)'!A:B,2,0)</f>
        <v>#N/A</v>
      </c>
      <c r="AN792" t="e">
        <f>VLOOKUP(I792,'Order 301-305 (เรียง)'!A:C,3,0)</f>
        <v>#N/A</v>
      </c>
    </row>
    <row r="793" spans="1:40" x14ac:dyDescent="0.3">
      <c r="A793" s="1" t="s">
        <v>81</v>
      </c>
      <c r="B793" s="1" t="s">
        <v>82</v>
      </c>
      <c r="C793" s="1" t="s">
        <v>64</v>
      </c>
      <c r="D793" s="1" t="s">
        <v>87</v>
      </c>
      <c r="E793" s="1" t="s">
        <v>88</v>
      </c>
      <c r="F793" s="1" t="s">
        <v>1873</v>
      </c>
      <c r="G793" s="1" t="s">
        <v>83</v>
      </c>
      <c r="H793" s="1" t="s">
        <v>1498</v>
      </c>
      <c r="I793" s="1" t="s">
        <v>68</v>
      </c>
      <c r="J793" s="1" t="s">
        <v>1874</v>
      </c>
      <c r="K793" s="1" t="s">
        <v>223</v>
      </c>
      <c r="L793" s="1" t="s">
        <v>86</v>
      </c>
      <c r="M793" s="1" t="s">
        <v>68</v>
      </c>
      <c r="N793" s="1" t="s">
        <v>71</v>
      </c>
      <c r="O793" s="1" t="s">
        <v>68</v>
      </c>
      <c r="P793" s="1" t="s">
        <v>1875</v>
      </c>
      <c r="Q793" s="1" t="s">
        <v>68</v>
      </c>
      <c r="R793" s="1" t="s">
        <v>1877</v>
      </c>
      <c r="S793" s="1" t="s">
        <v>90</v>
      </c>
      <c r="T793" s="1" t="s">
        <v>91</v>
      </c>
      <c r="U793" s="1" t="s">
        <v>68</v>
      </c>
      <c r="V793" s="1" t="s">
        <v>68</v>
      </c>
      <c r="W793" s="1" t="s">
        <v>68</v>
      </c>
      <c r="X793" s="1" t="s">
        <v>68</v>
      </c>
      <c r="Y793" s="73"/>
      <c r="Z793" s="2" t="s">
        <v>74</v>
      </c>
      <c r="AA793" s="3">
        <v>-5</v>
      </c>
      <c r="AB793" s="4">
        <v>-849.3</v>
      </c>
      <c r="AC793" s="73">
        <v>46230</v>
      </c>
      <c r="AD793" s="73">
        <v>46230</v>
      </c>
      <c r="AE793" s="73"/>
      <c r="AF793" s="73">
        <v>46230</v>
      </c>
      <c r="AG793" s="3">
        <v>-2500</v>
      </c>
      <c r="AH793" s="353" t="str">
        <f t="shared" si="78"/>
        <v/>
      </c>
      <c r="AI793" s="3" t="str">
        <f t="shared" si="79"/>
        <v>59</v>
      </c>
      <c r="AJ793" s="64" t="str">
        <f>VLOOKUP(T793,'GL Name'!A:B,2,0)</f>
        <v>ค่าวิจัยคุณภาพสินค้า</v>
      </c>
      <c r="AL793" s="13">
        <f t="shared" si="80"/>
        <v>169.85999999999999</v>
      </c>
      <c r="AM793" s="13" t="e">
        <f>VLOOKUP(I793,'Order 301-305 (เรียง)'!A:B,2,0)</f>
        <v>#N/A</v>
      </c>
      <c r="AN793" t="e">
        <f>VLOOKUP(I793,'Order 301-305 (เรียง)'!A:C,3,0)</f>
        <v>#N/A</v>
      </c>
    </row>
    <row r="794" spans="1:40" x14ac:dyDescent="0.3">
      <c r="A794" s="1" t="s">
        <v>81</v>
      </c>
      <c r="B794" s="1" t="s">
        <v>82</v>
      </c>
      <c r="C794" s="1" t="s">
        <v>64</v>
      </c>
      <c r="D794" s="1" t="s">
        <v>87</v>
      </c>
      <c r="E794" s="1" t="s">
        <v>88</v>
      </c>
      <c r="F794" s="1" t="s">
        <v>1878</v>
      </c>
      <c r="G794" s="1" t="s">
        <v>83</v>
      </c>
      <c r="H794" s="1" t="s">
        <v>1498</v>
      </c>
      <c r="I794" s="1" t="s">
        <v>68</v>
      </c>
      <c r="J794" s="1" t="s">
        <v>1879</v>
      </c>
      <c r="K794" s="1" t="s">
        <v>223</v>
      </c>
      <c r="L794" s="1" t="s">
        <v>70</v>
      </c>
      <c r="M794" s="1" t="s">
        <v>68</v>
      </c>
      <c r="N794" s="1" t="s">
        <v>71</v>
      </c>
      <c r="O794" s="1" t="s">
        <v>68</v>
      </c>
      <c r="P794" s="1" t="s">
        <v>1880</v>
      </c>
      <c r="Q794" s="1" t="s">
        <v>68</v>
      </c>
      <c r="R794" s="1" t="s">
        <v>1881</v>
      </c>
      <c r="S794" s="1" t="s">
        <v>90</v>
      </c>
      <c r="T794" s="1" t="s">
        <v>91</v>
      </c>
      <c r="U794" s="1" t="s">
        <v>68</v>
      </c>
      <c r="V794" s="1" t="s">
        <v>68</v>
      </c>
      <c r="W794" s="1" t="s">
        <v>68</v>
      </c>
      <c r="X794" s="1" t="s">
        <v>68</v>
      </c>
      <c r="Y794" s="73"/>
      <c r="Z794" s="2" t="s">
        <v>74</v>
      </c>
      <c r="AA794" s="3">
        <v>-2</v>
      </c>
      <c r="AB794" s="4">
        <v>-339.72</v>
      </c>
      <c r="AC794" s="73">
        <v>46230</v>
      </c>
      <c r="AD794" s="73">
        <v>46230</v>
      </c>
      <c r="AE794" s="73"/>
      <c r="AF794" s="73">
        <v>46230</v>
      </c>
      <c r="AG794" s="3">
        <v>-1000</v>
      </c>
      <c r="AH794" s="353" t="str">
        <f t="shared" si="78"/>
        <v/>
      </c>
      <c r="AI794" s="3" t="str">
        <f t="shared" si="79"/>
        <v>59</v>
      </c>
      <c r="AJ794" s="64" t="str">
        <f>VLOOKUP(T794,'GL Name'!A:B,2,0)</f>
        <v>ค่าวิจัยคุณภาพสินค้า</v>
      </c>
      <c r="AL794" s="13">
        <f t="shared" si="80"/>
        <v>169.86</v>
      </c>
      <c r="AM794" s="13" t="e">
        <f>VLOOKUP(I794,'Order 301-305 (เรียง)'!A:B,2,0)</f>
        <v>#N/A</v>
      </c>
      <c r="AN794" t="e">
        <f>VLOOKUP(I794,'Order 301-305 (เรียง)'!A:C,3,0)</f>
        <v>#N/A</v>
      </c>
    </row>
    <row r="795" spans="1:40" x14ac:dyDescent="0.3">
      <c r="A795" s="1" t="s">
        <v>81</v>
      </c>
      <c r="B795" s="1" t="s">
        <v>82</v>
      </c>
      <c r="C795" s="1" t="s">
        <v>64</v>
      </c>
      <c r="D795" s="1" t="s">
        <v>87</v>
      </c>
      <c r="E795" s="1" t="s">
        <v>88</v>
      </c>
      <c r="F795" s="1" t="s">
        <v>1878</v>
      </c>
      <c r="G795" s="1" t="s">
        <v>83</v>
      </c>
      <c r="H795" s="1" t="s">
        <v>1498</v>
      </c>
      <c r="I795" s="1" t="s">
        <v>68</v>
      </c>
      <c r="J795" s="1" t="s">
        <v>1879</v>
      </c>
      <c r="K795" s="1" t="s">
        <v>223</v>
      </c>
      <c r="L795" s="1" t="s">
        <v>86</v>
      </c>
      <c r="M795" s="1" t="s">
        <v>68</v>
      </c>
      <c r="N795" s="1" t="s">
        <v>71</v>
      </c>
      <c r="O795" s="1" t="s">
        <v>68</v>
      </c>
      <c r="P795" s="1" t="s">
        <v>1880</v>
      </c>
      <c r="Q795" s="1" t="s">
        <v>68</v>
      </c>
      <c r="R795" s="1" t="s">
        <v>1882</v>
      </c>
      <c r="S795" s="1" t="s">
        <v>90</v>
      </c>
      <c r="T795" s="1" t="s">
        <v>91</v>
      </c>
      <c r="U795" s="1" t="s">
        <v>68</v>
      </c>
      <c r="V795" s="1" t="s">
        <v>68</v>
      </c>
      <c r="W795" s="1" t="s">
        <v>68</v>
      </c>
      <c r="X795" s="1" t="s">
        <v>68</v>
      </c>
      <c r="Y795" s="73"/>
      <c r="Z795" s="2" t="s">
        <v>74</v>
      </c>
      <c r="AA795" s="3">
        <v>-5</v>
      </c>
      <c r="AB795" s="4">
        <v>-849.3</v>
      </c>
      <c r="AC795" s="73">
        <v>46230</v>
      </c>
      <c r="AD795" s="73">
        <v>46230</v>
      </c>
      <c r="AE795" s="73"/>
      <c r="AF795" s="73">
        <v>46230</v>
      </c>
      <c r="AG795" s="3">
        <v>-2500</v>
      </c>
      <c r="AH795" s="353" t="str">
        <f t="shared" si="78"/>
        <v/>
      </c>
      <c r="AI795" s="3" t="str">
        <f t="shared" si="79"/>
        <v>59</v>
      </c>
      <c r="AJ795" s="64" t="str">
        <f>VLOOKUP(T795,'GL Name'!A:B,2,0)</f>
        <v>ค่าวิจัยคุณภาพสินค้า</v>
      </c>
      <c r="AL795" s="13">
        <f t="shared" si="80"/>
        <v>169.85999999999999</v>
      </c>
      <c r="AM795" s="13" t="e">
        <f>VLOOKUP(I795,'Order 301-305 (เรียง)'!A:B,2,0)</f>
        <v>#N/A</v>
      </c>
      <c r="AN795" t="e">
        <f>VLOOKUP(I795,'Order 301-305 (เรียง)'!A:C,3,0)</f>
        <v>#N/A</v>
      </c>
    </row>
    <row r="796" spans="1:40" x14ac:dyDescent="0.3">
      <c r="A796" s="1" t="s">
        <v>81</v>
      </c>
      <c r="B796" s="1" t="s">
        <v>82</v>
      </c>
      <c r="C796" s="1" t="s">
        <v>64</v>
      </c>
      <c r="D796" s="1" t="s">
        <v>87</v>
      </c>
      <c r="E796" s="1" t="s">
        <v>88</v>
      </c>
      <c r="F796" s="1" t="s">
        <v>1878</v>
      </c>
      <c r="G796" s="1" t="s">
        <v>83</v>
      </c>
      <c r="H796" s="1" t="s">
        <v>1498</v>
      </c>
      <c r="I796" s="1" t="s">
        <v>68</v>
      </c>
      <c r="J796" s="1" t="s">
        <v>1879</v>
      </c>
      <c r="K796" s="1" t="s">
        <v>223</v>
      </c>
      <c r="L796" s="1" t="s">
        <v>92</v>
      </c>
      <c r="M796" s="1" t="s">
        <v>68</v>
      </c>
      <c r="N796" s="1" t="s">
        <v>71</v>
      </c>
      <c r="O796" s="1" t="s">
        <v>68</v>
      </c>
      <c r="P796" s="1" t="s">
        <v>1880</v>
      </c>
      <c r="Q796" s="1" t="s">
        <v>68</v>
      </c>
      <c r="R796" s="1" t="s">
        <v>1883</v>
      </c>
      <c r="S796" s="1" t="s">
        <v>90</v>
      </c>
      <c r="T796" s="1" t="s">
        <v>91</v>
      </c>
      <c r="U796" s="1" t="s">
        <v>68</v>
      </c>
      <c r="V796" s="1" t="s">
        <v>68</v>
      </c>
      <c r="W796" s="1" t="s">
        <v>68</v>
      </c>
      <c r="X796" s="1" t="s">
        <v>68</v>
      </c>
      <c r="Y796" s="73"/>
      <c r="Z796" s="2" t="s">
        <v>74</v>
      </c>
      <c r="AA796" s="3">
        <v>-3</v>
      </c>
      <c r="AB796" s="4">
        <v>-509.58</v>
      </c>
      <c r="AC796" s="73">
        <v>46230</v>
      </c>
      <c r="AD796" s="73">
        <v>46230</v>
      </c>
      <c r="AE796" s="73"/>
      <c r="AF796" s="73">
        <v>46230</v>
      </c>
      <c r="AG796" s="3">
        <v>-1500</v>
      </c>
      <c r="AH796" s="353" t="str">
        <f t="shared" si="78"/>
        <v/>
      </c>
      <c r="AI796" s="3" t="str">
        <f t="shared" si="79"/>
        <v>59</v>
      </c>
      <c r="AJ796" s="64" t="str">
        <f>VLOOKUP(T796,'GL Name'!A:B,2,0)</f>
        <v>ค่าวิจัยคุณภาพสินค้า</v>
      </c>
      <c r="AL796" s="13">
        <f t="shared" si="80"/>
        <v>169.85999999999999</v>
      </c>
      <c r="AM796" s="13" t="e">
        <f>VLOOKUP(I796,'Order 301-305 (เรียง)'!A:B,2,0)</f>
        <v>#N/A</v>
      </c>
      <c r="AN796" t="e">
        <f>VLOOKUP(I796,'Order 301-305 (เรียง)'!A:C,3,0)</f>
        <v>#N/A</v>
      </c>
    </row>
    <row r="797" spans="1:40" x14ac:dyDescent="0.3">
      <c r="A797" s="1" t="s">
        <v>9</v>
      </c>
      <c r="B797" s="1" t="s">
        <v>10</v>
      </c>
      <c r="C797" s="1" t="s">
        <v>64</v>
      </c>
      <c r="D797" s="1" t="s">
        <v>1942</v>
      </c>
      <c r="E797" s="1" t="s">
        <v>1943</v>
      </c>
      <c r="F797" s="1" t="s">
        <v>1944</v>
      </c>
      <c r="G797" s="1" t="s">
        <v>278</v>
      </c>
      <c r="H797" s="1" t="s">
        <v>327</v>
      </c>
      <c r="I797" s="1" t="s">
        <v>68</v>
      </c>
      <c r="J797" s="1" t="s">
        <v>1945</v>
      </c>
      <c r="K797" s="1" t="s">
        <v>1946</v>
      </c>
      <c r="L797" s="1" t="s">
        <v>70</v>
      </c>
      <c r="M797" s="1" t="s">
        <v>68</v>
      </c>
      <c r="N797" s="1" t="s">
        <v>71</v>
      </c>
      <c r="O797" s="1" t="s">
        <v>68</v>
      </c>
      <c r="P797" s="1" t="s">
        <v>502</v>
      </c>
      <c r="Q797" s="1" t="s">
        <v>1587</v>
      </c>
      <c r="R797" s="1" t="s">
        <v>1947</v>
      </c>
      <c r="S797" s="1" t="s">
        <v>90</v>
      </c>
      <c r="T797" s="1" t="s">
        <v>91</v>
      </c>
      <c r="U797" s="1" t="s">
        <v>68</v>
      </c>
      <c r="V797" s="1" t="s">
        <v>68</v>
      </c>
      <c r="W797" s="1" t="s">
        <v>68</v>
      </c>
      <c r="X797" s="1" t="s">
        <v>68</v>
      </c>
      <c r="Y797" s="73"/>
      <c r="Z797" s="2" t="s">
        <v>265</v>
      </c>
      <c r="AA797" s="3">
        <v>500</v>
      </c>
      <c r="AB797" s="4">
        <v>131.94</v>
      </c>
      <c r="AC797" s="73">
        <v>110489</v>
      </c>
      <c r="AD797" s="73">
        <v>46233</v>
      </c>
      <c r="AE797" s="73"/>
      <c r="AF797" s="73">
        <v>46233</v>
      </c>
      <c r="AG797" s="3">
        <v>500</v>
      </c>
      <c r="AH797" s="353" t="str">
        <f t="shared" si="78"/>
        <v/>
      </c>
      <c r="AI797" s="3" t="str">
        <f t="shared" si="79"/>
        <v>54</v>
      </c>
      <c r="AJ797" s="64" t="str">
        <f>VLOOKUP(T797,'GL Name'!A:B,2,0)</f>
        <v>ค่าวิจัยคุณภาพสินค้า</v>
      </c>
      <c r="AL797" s="13">
        <f t="shared" si="80"/>
        <v>0.26388</v>
      </c>
      <c r="AM797" s="13" t="e">
        <f>VLOOKUP(I797,'Order 301-305 (เรียง)'!A:B,2,0)</f>
        <v>#N/A</v>
      </c>
      <c r="AN797" t="e">
        <f>VLOOKUP(I797,'Order 301-305 (เรียง)'!A:C,3,0)</f>
        <v>#N/A</v>
      </c>
    </row>
    <row r="798" spans="1:40" x14ac:dyDescent="0.3">
      <c r="A798" s="1" t="s">
        <v>9</v>
      </c>
      <c r="B798" s="1" t="s">
        <v>10</v>
      </c>
      <c r="C798" s="1" t="s">
        <v>64</v>
      </c>
      <c r="D798" s="1" t="s">
        <v>93</v>
      </c>
      <c r="E798" s="1" t="s">
        <v>94</v>
      </c>
      <c r="F798" s="1" t="s">
        <v>1948</v>
      </c>
      <c r="G798" s="1" t="s">
        <v>232</v>
      </c>
      <c r="H798" s="1" t="s">
        <v>1711</v>
      </c>
      <c r="I798" s="1" t="s">
        <v>68</v>
      </c>
      <c r="J798" s="1" t="s">
        <v>1949</v>
      </c>
      <c r="K798" s="1" t="s">
        <v>223</v>
      </c>
      <c r="L798" s="1" t="s">
        <v>70</v>
      </c>
      <c r="M798" s="1" t="s">
        <v>68</v>
      </c>
      <c r="N798" s="1" t="s">
        <v>71</v>
      </c>
      <c r="O798" s="1" t="s">
        <v>68</v>
      </c>
      <c r="P798" s="1" t="s">
        <v>72</v>
      </c>
      <c r="Q798" s="1" t="s">
        <v>68</v>
      </c>
      <c r="R798" s="1" t="s">
        <v>68</v>
      </c>
      <c r="S798" s="1" t="s">
        <v>68</v>
      </c>
      <c r="T798" s="1" t="s">
        <v>68</v>
      </c>
      <c r="U798" s="1" t="s">
        <v>68</v>
      </c>
      <c r="V798" s="1" t="s">
        <v>68</v>
      </c>
      <c r="W798" s="1" t="s">
        <v>68</v>
      </c>
      <c r="X798" s="1" t="s">
        <v>68</v>
      </c>
      <c r="Y798" s="73"/>
      <c r="Z798" s="2" t="s">
        <v>80</v>
      </c>
      <c r="AA798" s="3">
        <v>-7975.9</v>
      </c>
      <c r="AB798" s="4">
        <v>0</v>
      </c>
      <c r="AC798" s="73">
        <v>46233</v>
      </c>
      <c r="AD798" s="73">
        <v>46233</v>
      </c>
      <c r="AE798" s="73"/>
      <c r="AF798" s="73">
        <v>46233</v>
      </c>
      <c r="AG798" s="3">
        <v>-7975900</v>
      </c>
      <c r="AH798" s="353" t="str">
        <f t="shared" si="78"/>
        <v/>
      </c>
      <c r="AI798" s="3" t="str">
        <f t="shared" si="79"/>
        <v>54</v>
      </c>
      <c r="AJ798" s="64" t="e">
        <f>VLOOKUP(T798,'GL Name'!A:B,2,0)</f>
        <v>#N/A</v>
      </c>
      <c r="AL798" s="13">
        <f t="shared" si="80"/>
        <v>0</v>
      </c>
      <c r="AM798" s="13" t="e">
        <f>VLOOKUP(I798,'Order 301-305 (เรียง)'!A:B,2,0)</f>
        <v>#N/A</v>
      </c>
      <c r="AN798" t="e">
        <f>VLOOKUP(I798,'Order 301-305 (เรียง)'!A:C,3,0)</f>
        <v>#N/A</v>
      </c>
    </row>
    <row r="799" spans="1:40" x14ac:dyDescent="0.3">
      <c r="A799" s="1" t="s">
        <v>9</v>
      </c>
      <c r="B799" s="1" t="s">
        <v>10</v>
      </c>
      <c r="C799" s="1" t="s">
        <v>64</v>
      </c>
      <c r="D799" s="1" t="s">
        <v>93</v>
      </c>
      <c r="E799" s="1" t="s">
        <v>94</v>
      </c>
      <c r="F799" s="1" t="s">
        <v>1948</v>
      </c>
      <c r="G799" s="1" t="s">
        <v>278</v>
      </c>
      <c r="H799" s="1" t="s">
        <v>1711</v>
      </c>
      <c r="I799" s="1" t="s">
        <v>68</v>
      </c>
      <c r="J799" s="1" t="s">
        <v>1949</v>
      </c>
      <c r="K799" s="1" t="s">
        <v>223</v>
      </c>
      <c r="L799" s="1" t="s">
        <v>86</v>
      </c>
      <c r="M799" s="1" t="s">
        <v>68</v>
      </c>
      <c r="N799" s="1" t="s">
        <v>71</v>
      </c>
      <c r="O799" s="1" t="s">
        <v>68</v>
      </c>
      <c r="P799" s="1" t="s">
        <v>72</v>
      </c>
      <c r="Q799" s="1" t="s">
        <v>68</v>
      </c>
      <c r="R799" s="1" t="s">
        <v>68</v>
      </c>
      <c r="S799" s="1" t="s">
        <v>68</v>
      </c>
      <c r="T799" s="1" t="s">
        <v>68</v>
      </c>
      <c r="U799" s="1" t="s">
        <v>68</v>
      </c>
      <c r="V799" s="1" t="s">
        <v>68</v>
      </c>
      <c r="W799" s="1" t="s">
        <v>68</v>
      </c>
      <c r="X799" s="1" t="s">
        <v>68</v>
      </c>
      <c r="Y799" s="73"/>
      <c r="Z799" s="2" t="s">
        <v>80</v>
      </c>
      <c r="AA799" s="3">
        <v>7975.9</v>
      </c>
      <c r="AB799" s="4">
        <v>0</v>
      </c>
      <c r="AC799" s="73">
        <v>46233</v>
      </c>
      <c r="AD799" s="73">
        <v>46233</v>
      </c>
      <c r="AE799" s="73"/>
      <c r="AF799" s="73">
        <v>46233</v>
      </c>
      <c r="AG799" s="3">
        <v>7975900</v>
      </c>
      <c r="AH799" s="353" t="str">
        <f t="shared" si="78"/>
        <v/>
      </c>
      <c r="AI799" s="3" t="str">
        <f t="shared" si="79"/>
        <v>54</v>
      </c>
      <c r="AJ799" s="64" t="e">
        <f>VLOOKUP(T799,'GL Name'!A:B,2,0)</f>
        <v>#N/A</v>
      </c>
      <c r="AL799" s="13">
        <f t="shared" si="80"/>
        <v>0</v>
      </c>
      <c r="AM799" s="13" t="e">
        <f>VLOOKUP(I799,'Order 301-305 (เรียง)'!A:B,2,0)</f>
        <v>#N/A</v>
      </c>
      <c r="AN799" t="e">
        <f>VLOOKUP(I799,'Order 301-305 (เรียง)'!A:C,3,0)</f>
        <v>#N/A</v>
      </c>
    </row>
    <row r="800" spans="1:40" x14ac:dyDescent="0.3">
      <c r="A800" s="1" t="s">
        <v>17</v>
      </c>
      <c r="B800" s="1" t="s">
        <v>18</v>
      </c>
      <c r="C800" s="1" t="s">
        <v>64</v>
      </c>
      <c r="D800" s="1" t="s">
        <v>93</v>
      </c>
      <c r="E800" s="1" t="s">
        <v>94</v>
      </c>
      <c r="F800" s="1" t="s">
        <v>1948</v>
      </c>
      <c r="G800" s="1" t="s">
        <v>278</v>
      </c>
      <c r="H800" s="1" t="s">
        <v>1885</v>
      </c>
      <c r="I800" s="1" t="s">
        <v>68</v>
      </c>
      <c r="J800" s="1" t="s">
        <v>1949</v>
      </c>
      <c r="K800" s="1" t="s">
        <v>223</v>
      </c>
      <c r="L800" s="1" t="s">
        <v>89</v>
      </c>
      <c r="M800" s="1" t="s">
        <v>68</v>
      </c>
      <c r="N800" s="1" t="s">
        <v>71</v>
      </c>
      <c r="O800" s="1" t="s">
        <v>68</v>
      </c>
      <c r="P800" s="1" t="s">
        <v>72</v>
      </c>
      <c r="Q800" s="1" t="s">
        <v>68</v>
      </c>
      <c r="R800" s="1" t="s">
        <v>68</v>
      </c>
      <c r="S800" s="1" t="s">
        <v>68</v>
      </c>
      <c r="T800" s="1" t="s">
        <v>68</v>
      </c>
      <c r="U800" s="1" t="s">
        <v>68</v>
      </c>
      <c r="V800" s="1" t="s">
        <v>68</v>
      </c>
      <c r="W800" s="1" t="s">
        <v>68</v>
      </c>
      <c r="X800" s="1" t="s">
        <v>68</v>
      </c>
      <c r="Y800" s="73"/>
      <c r="Z800" s="2" t="s">
        <v>80</v>
      </c>
      <c r="AA800" s="3">
        <v>10025.4</v>
      </c>
      <c r="AB800" s="4">
        <v>0</v>
      </c>
      <c r="AC800" s="73">
        <v>46233</v>
      </c>
      <c r="AD800" s="73">
        <v>46233</v>
      </c>
      <c r="AE800" s="73"/>
      <c r="AF800" s="73">
        <v>46233</v>
      </c>
      <c r="AG800" s="3">
        <v>10025400</v>
      </c>
      <c r="AH800" s="353" t="str">
        <f t="shared" si="78"/>
        <v/>
      </c>
      <c r="AI800" s="3" t="str">
        <f t="shared" si="79"/>
        <v>54</v>
      </c>
      <c r="AJ800" s="64" t="e">
        <f>VLOOKUP(T800,'GL Name'!A:B,2,0)</f>
        <v>#N/A</v>
      </c>
      <c r="AL800" s="13">
        <f t="shared" si="80"/>
        <v>0</v>
      </c>
      <c r="AM800" s="13" t="e">
        <f>VLOOKUP(I800,'Order 301-305 (เรียง)'!A:B,2,0)</f>
        <v>#N/A</v>
      </c>
      <c r="AN800" t="e">
        <f>VLOOKUP(I800,'Order 301-305 (เรียง)'!A:C,3,0)</f>
        <v>#N/A</v>
      </c>
    </row>
    <row r="801" spans="1:40" x14ac:dyDescent="0.3">
      <c r="A801" s="1" t="s">
        <v>17</v>
      </c>
      <c r="B801" s="1" t="s">
        <v>18</v>
      </c>
      <c r="C801" s="1" t="s">
        <v>64</v>
      </c>
      <c r="D801" s="1" t="s">
        <v>93</v>
      </c>
      <c r="E801" s="1" t="s">
        <v>94</v>
      </c>
      <c r="F801" s="1" t="s">
        <v>1948</v>
      </c>
      <c r="G801" s="1" t="s">
        <v>232</v>
      </c>
      <c r="H801" s="1" t="s">
        <v>1885</v>
      </c>
      <c r="I801" s="1" t="s">
        <v>68</v>
      </c>
      <c r="J801" s="1" t="s">
        <v>1949</v>
      </c>
      <c r="K801" s="1" t="s">
        <v>223</v>
      </c>
      <c r="L801" s="1" t="s">
        <v>92</v>
      </c>
      <c r="M801" s="1" t="s">
        <v>68</v>
      </c>
      <c r="N801" s="1" t="s">
        <v>71</v>
      </c>
      <c r="O801" s="1" t="s">
        <v>68</v>
      </c>
      <c r="P801" s="1" t="s">
        <v>72</v>
      </c>
      <c r="Q801" s="1" t="s">
        <v>68</v>
      </c>
      <c r="R801" s="1" t="s">
        <v>68</v>
      </c>
      <c r="S801" s="1" t="s">
        <v>68</v>
      </c>
      <c r="T801" s="1" t="s">
        <v>68</v>
      </c>
      <c r="U801" s="1" t="s">
        <v>68</v>
      </c>
      <c r="V801" s="1" t="s">
        <v>68</v>
      </c>
      <c r="W801" s="1" t="s">
        <v>68</v>
      </c>
      <c r="X801" s="1" t="s">
        <v>68</v>
      </c>
      <c r="Y801" s="73"/>
      <c r="Z801" s="2" t="s">
        <v>80</v>
      </c>
      <c r="AA801" s="3">
        <v>-10025.4</v>
      </c>
      <c r="AB801" s="4">
        <v>0</v>
      </c>
      <c r="AC801" s="73">
        <v>46233</v>
      </c>
      <c r="AD801" s="73">
        <v>46233</v>
      </c>
      <c r="AE801" s="73"/>
      <c r="AF801" s="73">
        <v>46233</v>
      </c>
      <c r="AG801" s="3">
        <v>-10025400</v>
      </c>
      <c r="AH801" s="353" t="str">
        <f t="shared" si="78"/>
        <v/>
      </c>
      <c r="AI801" s="3" t="str">
        <f t="shared" si="79"/>
        <v>54</v>
      </c>
      <c r="AJ801" s="64" t="e">
        <f>VLOOKUP(T801,'GL Name'!A:B,2,0)</f>
        <v>#N/A</v>
      </c>
      <c r="AL801" s="13">
        <f t="shared" si="80"/>
        <v>0</v>
      </c>
      <c r="AM801" s="13" t="e">
        <f>VLOOKUP(I801,'Order 301-305 (เรียง)'!A:B,2,0)</f>
        <v>#N/A</v>
      </c>
      <c r="AN801" t="e">
        <f>VLOOKUP(I801,'Order 301-305 (เรียง)'!A:C,3,0)</f>
        <v>#N/A</v>
      </c>
    </row>
    <row r="802" spans="1:40" x14ac:dyDescent="0.3">
      <c r="A802" s="1" t="s">
        <v>17</v>
      </c>
      <c r="B802" s="1" t="s">
        <v>18</v>
      </c>
      <c r="C802" s="1" t="s">
        <v>64</v>
      </c>
      <c r="D802" s="1" t="s">
        <v>77</v>
      </c>
      <c r="E802" s="1" t="s">
        <v>78</v>
      </c>
      <c r="F802" s="1" t="s">
        <v>1950</v>
      </c>
      <c r="G802" s="1" t="s">
        <v>278</v>
      </c>
      <c r="H802" s="1" t="s">
        <v>304</v>
      </c>
      <c r="I802" s="1" t="s">
        <v>1951</v>
      </c>
      <c r="J802" s="1" t="s">
        <v>1952</v>
      </c>
      <c r="K802" s="1" t="s">
        <v>290</v>
      </c>
      <c r="L802" s="1" t="s">
        <v>70</v>
      </c>
      <c r="M802" s="1" t="s">
        <v>68</v>
      </c>
      <c r="N802" s="1" t="s">
        <v>71</v>
      </c>
      <c r="O802" s="1" t="s">
        <v>68</v>
      </c>
      <c r="P802" s="1" t="s">
        <v>1953</v>
      </c>
      <c r="Q802" s="1" t="s">
        <v>68</v>
      </c>
      <c r="R802" s="1" t="s">
        <v>68</v>
      </c>
      <c r="S802" s="1" t="s">
        <v>68</v>
      </c>
      <c r="T802" s="1" t="s">
        <v>79</v>
      </c>
      <c r="U802" s="1" t="s">
        <v>68</v>
      </c>
      <c r="V802" s="1" t="s">
        <v>68</v>
      </c>
      <c r="W802" s="1" t="s">
        <v>68</v>
      </c>
      <c r="X802" s="1" t="s">
        <v>68</v>
      </c>
      <c r="Y802" s="73"/>
      <c r="Z802" s="2" t="s">
        <v>80</v>
      </c>
      <c r="AA802" s="3">
        <v>-220.9</v>
      </c>
      <c r="AB802" s="4">
        <v>-34270.54</v>
      </c>
      <c r="AC802" s="73">
        <v>46233</v>
      </c>
      <c r="AD802" s="73">
        <v>46230</v>
      </c>
      <c r="AE802" s="73"/>
      <c r="AF802" s="73">
        <v>46233</v>
      </c>
      <c r="AG802" s="3">
        <v>-220900</v>
      </c>
      <c r="AH802" s="353" t="str">
        <f t="shared" si="78"/>
        <v>301</v>
      </c>
      <c r="AI802" s="3" t="str">
        <f t="shared" si="79"/>
        <v>54</v>
      </c>
      <c r="AJ802" s="64" t="str">
        <f>VLOOKUP(T802,'GL Name'!A:B,2,0)</f>
        <v>ต้นทุนผลิต-วัตถุดิบ</v>
      </c>
      <c r="AL802" s="13">
        <f t="shared" si="80"/>
        <v>155.14051607062018</v>
      </c>
      <c r="AM802" s="13" t="str">
        <f>VLOOKUP(I802,'Order 301-305 (เรียง)'!A:B,2,0)</f>
        <v>Semi</v>
      </c>
      <c r="AN802" t="str">
        <f>VLOOKUP(I802,'Order 301-305 (เรียง)'!A:C,3,0)</f>
        <v>Semi เมล็ดกาแฟ</v>
      </c>
    </row>
    <row r="803" spans="1:40" x14ac:dyDescent="0.3">
      <c r="A803" s="1" t="s">
        <v>17</v>
      </c>
      <c r="B803" s="1" t="s">
        <v>18</v>
      </c>
      <c r="C803" s="1" t="s">
        <v>64</v>
      </c>
      <c r="D803" s="1" t="s">
        <v>77</v>
      </c>
      <c r="E803" s="1" t="s">
        <v>78</v>
      </c>
      <c r="F803" s="1" t="s">
        <v>1950</v>
      </c>
      <c r="G803" s="1" t="s">
        <v>278</v>
      </c>
      <c r="H803" s="1" t="s">
        <v>1885</v>
      </c>
      <c r="I803" s="1" t="s">
        <v>1951</v>
      </c>
      <c r="J803" s="1" t="s">
        <v>1952</v>
      </c>
      <c r="K803" s="1" t="s">
        <v>290</v>
      </c>
      <c r="L803" s="1" t="s">
        <v>86</v>
      </c>
      <c r="M803" s="1" t="s">
        <v>68</v>
      </c>
      <c r="N803" s="1" t="s">
        <v>71</v>
      </c>
      <c r="O803" s="1" t="s">
        <v>68</v>
      </c>
      <c r="P803" s="1" t="s">
        <v>72</v>
      </c>
      <c r="Q803" s="1" t="s">
        <v>68</v>
      </c>
      <c r="R803" s="1" t="s">
        <v>18</v>
      </c>
      <c r="S803" s="1" t="s">
        <v>68</v>
      </c>
      <c r="T803" s="1" t="s">
        <v>79</v>
      </c>
      <c r="U803" s="1" t="s">
        <v>68</v>
      </c>
      <c r="V803" s="1" t="s">
        <v>68</v>
      </c>
      <c r="W803" s="1" t="s">
        <v>68</v>
      </c>
      <c r="X803" s="1" t="s">
        <v>68</v>
      </c>
      <c r="Y803" s="73"/>
      <c r="Z803" s="2" t="s">
        <v>80</v>
      </c>
      <c r="AA803" s="3">
        <v>-9804.5</v>
      </c>
      <c r="AB803" s="4">
        <v>-1521075.21</v>
      </c>
      <c r="AC803" s="73">
        <v>46233</v>
      </c>
      <c r="AD803" s="73">
        <v>46230</v>
      </c>
      <c r="AE803" s="73"/>
      <c r="AF803" s="73">
        <v>46233</v>
      </c>
      <c r="AG803" s="3">
        <v>-9804500</v>
      </c>
      <c r="AH803" s="353" t="str">
        <f t="shared" si="78"/>
        <v>301</v>
      </c>
      <c r="AI803" s="3" t="str">
        <f t="shared" si="79"/>
        <v>54</v>
      </c>
      <c r="AJ803" s="64" t="str">
        <f>VLOOKUP(T803,'GL Name'!A:B,2,0)</f>
        <v>ต้นทุนผลิต-วัตถุดิบ</v>
      </c>
      <c r="AL803" s="13">
        <f t="shared" si="80"/>
        <v>155.14051812943035</v>
      </c>
      <c r="AM803" s="13" t="str">
        <f>VLOOKUP(I803,'Order 301-305 (เรียง)'!A:B,2,0)</f>
        <v>Semi</v>
      </c>
      <c r="AN803" t="str">
        <f>VLOOKUP(I803,'Order 301-305 (เรียง)'!A:C,3,0)</f>
        <v>Semi เมล็ดกาแฟ</v>
      </c>
    </row>
    <row r="804" spans="1:40" x14ac:dyDescent="0.3">
      <c r="A804" s="1" t="s">
        <v>9</v>
      </c>
      <c r="B804" s="1" t="s">
        <v>10</v>
      </c>
      <c r="C804" s="1" t="s">
        <v>64</v>
      </c>
      <c r="D804" s="1" t="s">
        <v>77</v>
      </c>
      <c r="E804" s="1" t="s">
        <v>78</v>
      </c>
      <c r="F804" s="1" t="s">
        <v>1954</v>
      </c>
      <c r="G804" s="1" t="s">
        <v>278</v>
      </c>
      <c r="H804" s="1" t="s">
        <v>1711</v>
      </c>
      <c r="I804" s="1" t="s">
        <v>1955</v>
      </c>
      <c r="J804" s="1" t="s">
        <v>1956</v>
      </c>
      <c r="K804" s="1" t="s">
        <v>290</v>
      </c>
      <c r="L804" s="1" t="s">
        <v>70</v>
      </c>
      <c r="M804" s="1" t="s">
        <v>68</v>
      </c>
      <c r="N804" s="1" t="s">
        <v>71</v>
      </c>
      <c r="O804" s="1" t="s">
        <v>68</v>
      </c>
      <c r="P804" s="1" t="s">
        <v>1957</v>
      </c>
      <c r="Q804" s="1" t="s">
        <v>68</v>
      </c>
      <c r="R804" s="1" t="s">
        <v>68</v>
      </c>
      <c r="S804" s="1" t="s">
        <v>68</v>
      </c>
      <c r="T804" s="1" t="s">
        <v>79</v>
      </c>
      <c r="U804" s="1" t="s">
        <v>68</v>
      </c>
      <c r="V804" s="1" t="s">
        <v>68</v>
      </c>
      <c r="W804" s="1" t="s">
        <v>68</v>
      </c>
      <c r="X804" s="1" t="s">
        <v>68</v>
      </c>
      <c r="Y804" s="73"/>
      <c r="Z804" s="2" t="s">
        <v>80</v>
      </c>
      <c r="AA804" s="3">
        <v>-7975.9</v>
      </c>
      <c r="AB804" s="4">
        <v>-2109022.52</v>
      </c>
      <c r="AC804" s="73">
        <v>46233</v>
      </c>
      <c r="AD804" s="73">
        <v>46230</v>
      </c>
      <c r="AE804" s="73"/>
      <c r="AF804" s="73">
        <v>46233</v>
      </c>
      <c r="AG804" s="3">
        <v>-7975900</v>
      </c>
      <c r="AH804" s="353" t="str">
        <f t="shared" si="78"/>
        <v>301</v>
      </c>
      <c r="AI804" s="3" t="str">
        <f t="shared" si="79"/>
        <v>54</v>
      </c>
      <c r="AJ804" s="64" t="str">
        <f>VLOOKUP(T804,'GL Name'!A:B,2,0)</f>
        <v>ต้นทุนผลิต-วัตถุดิบ</v>
      </c>
      <c r="AL804" s="13">
        <f t="shared" si="80"/>
        <v>264.42439348537471</v>
      </c>
      <c r="AM804" s="13" t="str">
        <f>VLOOKUP(I804,'Order 301-305 (เรียง)'!A:B,2,0)</f>
        <v>Semi</v>
      </c>
      <c r="AN804" t="str">
        <f>VLOOKUP(I804,'Order 301-305 (เรียง)'!A:C,3,0)</f>
        <v>Semi เมล็ดกาแฟ</v>
      </c>
    </row>
    <row r="805" spans="1:40" x14ac:dyDescent="0.3">
      <c r="A805" s="1" t="s">
        <v>81</v>
      </c>
      <c r="B805" s="1" t="s">
        <v>82</v>
      </c>
      <c r="C805" s="1" t="s">
        <v>64</v>
      </c>
      <c r="D805" s="1" t="s">
        <v>1307</v>
      </c>
      <c r="E805" s="1" t="s">
        <v>1308</v>
      </c>
      <c r="F805" s="1" t="s">
        <v>1958</v>
      </c>
      <c r="G805" s="1" t="s">
        <v>83</v>
      </c>
      <c r="H805" s="1" t="s">
        <v>1498</v>
      </c>
      <c r="I805" s="1" t="s">
        <v>68</v>
      </c>
      <c r="J805" s="1" t="s">
        <v>1959</v>
      </c>
      <c r="K805" s="1" t="s">
        <v>84</v>
      </c>
      <c r="L805" s="1" t="s">
        <v>70</v>
      </c>
      <c r="M805" s="1" t="s">
        <v>68</v>
      </c>
      <c r="N805" s="1" t="s">
        <v>71</v>
      </c>
      <c r="O805" s="1" t="s">
        <v>68</v>
      </c>
      <c r="P805" s="1" t="s">
        <v>72</v>
      </c>
      <c r="Q805" s="1" t="s">
        <v>68</v>
      </c>
      <c r="R805" s="1" t="s">
        <v>68</v>
      </c>
      <c r="S805" s="1" t="s">
        <v>68</v>
      </c>
      <c r="T805" s="1" t="s">
        <v>73</v>
      </c>
      <c r="U805" s="1" t="s">
        <v>68</v>
      </c>
      <c r="V805" s="1" t="s">
        <v>68</v>
      </c>
      <c r="W805" s="1" t="s">
        <v>68</v>
      </c>
      <c r="X805" s="1" t="s">
        <v>1960</v>
      </c>
      <c r="Y805" s="73"/>
      <c r="Z805" s="2" t="s">
        <v>85</v>
      </c>
      <c r="AA805" s="3">
        <v>3</v>
      </c>
      <c r="AB805" s="4">
        <v>3057.48</v>
      </c>
      <c r="AC805" s="73">
        <v>46233</v>
      </c>
      <c r="AD805" s="73">
        <v>46233</v>
      </c>
      <c r="AE805" s="73"/>
      <c r="AF805" s="73">
        <v>46233</v>
      </c>
      <c r="AG805" s="3">
        <v>9000</v>
      </c>
      <c r="AH805" s="353" t="str">
        <f t="shared" si="78"/>
        <v/>
      </c>
      <c r="AI805" s="3" t="str">
        <f t="shared" si="79"/>
        <v>59</v>
      </c>
      <c r="AJ805" s="64" t="str">
        <f>VLOOKUP(T805,'GL Name'!A:B,2,0)</f>
        <v>ต้นทุนขาย</v>
      </c>
      <c r="AL805" s="13">
        <f t="shared" si="80"/>
        <v>1019.16</v>
      </c>
      <c r="AM805" s="13" t="e">
        <f>VLOOKUP(I805,'Order 301-305 (เรียง)'!A:B,2,0)</f>
        <v>#N/A</v>
      </c>
      <c r="AN805" t="e">
        <f>VLOOKUP(I805,'Order 301-305 (เรียง)'!A:C,3,0)</f>
        <v>#N/A</v>
      </c>
    </row>
    <row r="806" spans="1:40" x14ac:dyDescent="0.3">
      <c r="A806" s="1" t="s">
        <v>81</v>
      </c>
      <c r="B806" s="1" t="s">
        <v>82</v>
      </c>
      <c r="C806" s="1" t="s">
        <v>64</v>
      </c>
      <c r="D806" s="1" t="s">
        <v>1942</v>
      </c>
      <c r="E806" s="1" t="s">
        <v>1943</v>
      </c>
      <c r="F806" s="1" t="s">
        <v>1961</v>
      </c>
      <c r="G806" s="1" t="s">
        <v>83</v>
      </c>
      <c r="H806" s="1" t="s">
        <v>1031</v>
      </c>
      <c r="I806" s="1" t="s">
        <v>68</v>
      </c>
      <c r="J806" s="1" t="s">
        <v>1962</v>
      </c>
      <c r="K806" s="1" t="s">
        <v>1946</v>
      </c>
      <c r="L806" s="1" t="s">
        <v>70</v>
      </c>
      <c r="M806" s="1" t="s">
        <v>68</v>
      </c>
      <c r="N806" s="1" t="s">
        <v>71</v>
      </c>
      <c r="O806" s="1" t="s">
        <v>68</v>
      </c>
      <c r="P806" s="1" t="s">
        <v>1564</v>
      </c>
      <c r="Q806" s="1" t="s">
        <v>1587</v>
      </c>
      <c r="R806" s="1" t="s">
        <v>1963</v>
      </c>
      <c r="S806" s="1" t="s">
        <v>90</v>
      </c>
      <c r="T806" s="1" t="s">
        <v>189</v>
      </c>
      <c r="U806" s="1" t="s">
        <v>68</v>
      </c>
      <c r="V806" s="1" t="s">
        <v>68</v>
      </c>
      <c r="W806" s="1" t="s">
        <v>68</v>
      </c>
      <c r="X806" s="1" t="s">
        <v>68</v>
      </c>
      <c r="Y806" s="73"/>
      <c r="Z806" s="2" t="s">
        <v>74</v>
      </c>
      <c r="AA806" s="3">
        <v>2</v>
      </c>
      <c r="AB806" s="4">
        <v>339.72</v>
      </c>
      <c r="AC806" s="73">
        <v>46226</v>
      </c>
      <c r="AD806" s="73">
        <v>46233</v>
      </c>
      <c r="AE806" s="73"/>
      <c r="AF806" s="73">
        <v>46233</v>
      </c>
      <c r="AG806" s="3">
        <v>1000</v>
      </c>
      <c r="AH806" s="353" t="str">
        <f t="shared" si="78"/>
        <v/>
      </c>
      <c r="AI806" s="3" t="str">
        <f t="shared" si="79"/>
        <v>59</v>
      </c>
      <c r="AJ806" s="64" t="str">
        <f>VLOOKUP(T806,'GL Name'!A:B,2,0)</f>
        <v>ค่าวิจัยและพัฒนาอื่น</v>
      </c>
      <c r="AL806" s="13">
        <f t="shared" si="80"/>
        <v>169.86</v>
      </c>
      <c r="AM806" s="13" t="e">
        <f>VLOOKUP(I806,'Order 301-305 (เรียง)'!A:B,2,0)</f>
        <v>#N/A</v>
      </c>
      <c r="AN806" t="e">
        <f>VLOOKUP(I806,'Order 301-305 (เรียง)'!A:C,3,0)</f>
        <v>#N/A</v>
      </c>
    </row>
    <row r="807" spans="1:40" x14ac:dyDescent="0.3">
      <c r="A807" s="1" t="s">
        <v>81</v>
      </c>
      <c r="B807" s="1" t="s">
        <v>82</v>
      </c>
      <c r="C807" s="1" t="s">
        <v>64</v>
      </c>
      <c r="D807" s="1" t="s">
        <v>87</v>
      </c>
      <c r="E807" s="1" t="s">
        <v>88</v>
      </c>
      <c r="F807" s="1" t="s">
        <v>1964</v>
      </c>
      <c r="G807" s="1" t="s">
        <v>83</v>
      </c>
      <c r="H807" s="1" t="s">
        <v>1031</v>
      </c>
      <c r="I807" s="1" t="s">
        <v>68</v>
      </c>
      <c r="J807" s="1" t="s">
        <v>1965</v>
      </c>
      <c r="K807" s="1" t="s">
        <v>84</v>
      </c>
      <c r="L807" s="1" t="s">
        <v>70</v>
      </c>
      <c r="M807" s="1" t="s">
        <v>68</v>
      </c>
      <c r="N807" s="1" t="s">
        <v>71</v>
      </c>
      <c r="O807" s="1" t="s">
        <v>68</v>
      </c>
      <c r="P807" s="1" t="s">
        <v>1966</v>
      </c>
      <c r="Q807" s="1" t="s">
        <v>68</v>
      </c>
      <c r="R807" s="1" t="s">
        <v>308</v>
      </c>
      <c r="S807" s="1" t="s">
        <v>90</v>
      </c>
      <c r="T807" s="1" t="s">
        <v>91</v>
      </c>
      <c r="U807" s="1" t="s">
        <v>68</v>
      </c>
      <c r="V807" s="1" t="s">
        <v>68</v>
      </c>
      <c r="W807" s="1" t="s">
        <v>68</v>
      </c>
      <c r="X807" s="1" t="s">
        <v>68</v>
      </c>
      <c r="Y807" s="73"/>
      <c r="Z807" s="2" t="s">
        <v>74</v>
      </c>
      <c r="AA807" s="3">
        <v>-2</v>
      </c>
      <c r="AB807" s="4">
        <v>-339.72</v>
      </c>
      <c r="AC807" s="73">
        <v>46233</v>
      </c>
      <c r="AD807" s="73">
        <v>46233</v>
      </c>
      <c r="AE807" s="73"/>
      <c r="AF807" s="73">
        <v>46233</v>
      </c>
      <c r="AG807" s="3">
        <v>-1000</v>
      </c>
      <c r="AH807" s="353" t="str">
        <f t="shared" si="78"/>
        <v/>
      </c>
      <c r="AI807" s="3" t="str">
        <f t="shared" si="79"/>
        <v>59</v>
      </c>
      <c r="AJ807" s="64" t="str">
        <f>VLOOKUP(T807,'GL Name'!A:B,2,0)</f>
        <v>ค่าวิจัยคุณภาพสินค้า</v>
      </c>
      <c r="AL807" s="13">
        <f t="shared" si="80"/>
        <v>169.86</v>
      </c>
      <c r="AM807" s="13" t="e">
        <f>VLOOKUP(I807,'Order 301-305 (เรียง)'!A:B,2,0)</f>
        <v>#N/A</v>
      </c>
      <c r="AN807" t="e">
        <f>VLOOKUP(I807,'Order 301-305 (เรียง)'!A:C,3,0)</f>
        <v>#N/A</v>
      </c>
    </row>
    <row r="808" spans="1:40" x14ac:dyDescent="0.3">
      <c r="A808" s="1" t="s">
        <v>62</v>
      </c>
      <c r="B808" s="1" t="s">
        <v>63</v>
      </c>
      <c r="C808" s="1" t="s">
        <v>64</v>
      </c>
      <c r="D808" s="1" t="s">
        <v>65</v>
      </c>
      <c r="E808" s="1" t="s">
        <v>66</v>
      </c>
      <c r="F808" s="1" t="s">
        <v>1967</v>
      </c>
      <c r="G808" s="1" t="s">
        <v>67</v>
      </c>
      <c r="H808" s="1" t="s">
        <v>287</v>
      </c>
      <c r="I808" s="1" t="s">
        <v>68</v>
      </c>
      <c r="J808" s="1" t="s">
        <v>1968</v>
      </c>
      <c r="K808" s="1" t="s">
        <v>96</v>
      </c>
      <c r="L808" s="1" t="s">
        <v>70</v>
      </c>
      <c r="M808" s="1" t="s">
        <v>68</v>
      </c>
      <c r="N808" s="1" t="s">
        <v>71</v>
      </c>
      <c r="O808" s="1" t="s">
        <v>68</v>
      </c>
      <c r="P808" s="1" t="s">
        <v>72</v>
      </c>
      <c r="Q808" s="1" t="s">
        <v>68</v>
      </c>
      <c r="R808" s="1" t="s">
        <v>68</v>
      </c>
      <c r="S808" s="1" t="s">
        <v>68</v>
      </c>
      <c r="T808" s="1" t="s">
        <v>73</v>
      </c>
      <c r="U808" s="1" t="s">
        <v>68</v>
      </c>
      <c r="V808" s="1" t="s">
        <v>68</v>
      </c>
      <c r="W808" s="1" t="s">
        <v>68</v>
      </c>
      <c r="X808" s="1" t="s">
        <v>1969</v>
      </c>
      <c r="Y808" s="73"/>
      <c r="Z808" s="2" t="s">
        <v>74</v>
      </c>
      <c r="AA808" s="3">
        <v>-2</v>
      </c>
      <c r="AB808" s="4">
        <v>-339.64</v>
      </c>
      <c r="AC808" s="73">
        <v>46233</v>
      </c>
      <c r="AD808" s="73">
        <v>46233</v>
      </c>
      <c r="AE808" s="73"/>
      <c r="AF808" s="73">
        <v>46233</v>
      </c>
      <c r="AG808" s="3">
        <v>-1000</v>
      </c>
      <c r="AH808" s="353" t="str">
        <f t="shared" si="78"/>
        <v/>
      </c>
      <c r="AI808" s="3" t="str">
        <f t="shared" si="79"/>
        <v>59</v>
      </c>
      <c r="AJ808" s="64" t="str">
        <f>VLOOKUP(T808,'GL Name'!A:B,2,0)</f>
        <v>ต้นทุนขาย</v>
      </c>
      <c r="AL808" s="13">
        <f t="shared" si="80"/>
        <v>169.82</v>
      </c>
      <c r="AM808" s="13" t="e">
        <f>VLOOKUP(I808,'Order 301-305 (เรียง)'!A:B,2,0)</f>
        <v>#N/A</v>
      </c>
      <c r="AN808" t="e">
        <f>VLOOKUP(I808,'Order 301-305 (เรียง)'!A:C,3,0)</f>
        <v>#N/A</v>
      </c>
    </row>
    <row r="809" spans="1:40" x14ac:dyDescent="0.3">
      <c r="A809" s="1" t="s">
        <v>62</v>
      </c>
      <c r="B809" s="1" t="s">
        <v>63</v>
      </c>
      <c r="C809" s="1" t="s">
        <v>64</v>
      </c>
      <c r="D809" s="1" t="s">
        <v>65</v>
      </c>
      <c r="E809" s="1" t="s">
        <v>66</v>
      </c>
      <c r="F809" s="1" t="s">
        <v>1970</v>
      </c>
      <c r="G809" s="1" t="s">
        <v>67</v>
      </c>
      <c r="H809" s="1" t="s">
        <v>287</v>
      </c>
      <c r="I809" s="1" t="s">
        <v>68</v>
      </c>
      <c r="J809" s="1" t="s">
        <v>1971</v>
      </c>
      <c r="K809" s="1" t="s">
        <v>69</v>
      </c>
      <c r="L809" s="1" t="s">
        <v>70</v>
      </c>
      <c r="M809" s="1" t="s">
        <v>68</v>
      </c>
      <c r="N809" s="1" t="s">
        <v>71</v>
      </c>
      <c r="O809" s="1" t="s">
        <v>68</v>
      </c>
      <c r="P809" s="1" t="s">
        <v>72</v>
      </c>
      <c r="Q809" s="1" t="s">
        <v>68</v>
      </c>
      <c r="R809" s="1" t="s">
        <v>68</v>
      </c>
      <c r="S809" s="1" t="s">
        <v>68</v>
      </c>
      <c r="T809" s="1" t="s">
        <v>73</v>
      </c>
      <c r="U809" s="1" t="s">
        <v>68</v>
      </c>
      <c r="V809" s="1" t="s">
        <v>68</v>
      </c>
      <c r="W809" s="1" t="s">
        <v>68</v>
      </c>
      <c r="X809" s="1" t="s">
        <v>1972</v>
      </c>
      <c r="Y809" s="73"/>
      <c r="Z809" s="2" t="s">
        <v>74</v>
      </c>
      <c r="AA809" s="3">
        <v>-21</v>
      </c>
      <c r="AB809" s="4">
        <v>-3566.22</v>
      </c>
      <c r="AC809" s="73">
        <v>46233</v>
      </c>
      <c r="AD809" s="73">
        <v>46233</v>
      </c>
      <c r="AE809" s="73"/>
      <c r="AF809" s="73">
        <v>46233</v>
      </c>
      <c r="AG809" s="3">
        <v>-10500</v>
      </c>
      <c r="AH809" s="353" t="str">
        <f t="shared" si="78"/>
        <v/>
      </c>
      <c r="AI809" s="3" t="str">
        <f t="shared" si="79"/>
        <v>59</v>
      </c>
      <c r="AJ809" s="64" t="str">
        <f>VLOOKUP(T809,'GL Name'!A:B,2,0)</f>
        <v>ต้นทุนขาย</v>
      </c>
      <c r="AL809" s="13">
        <f t="shared" si="80"/>
        <v>169.82</v>
      </c>
      <c r="AM809" s="13" t="e">
        <f>VLOOKUP(I809,'Order 301-305 (เรียง)'!A:B,2,0)</f>
        <v>#N/A</v>
      </c>
      <c r="AN809" t="e">
        <f>VLOOKUP(I809,'Order 301-305 (เรียง)'!A:C,3,0)</f>
        <v>#N/A</v>
      </c>
    </row>
    <row r="810" spans="1:40" x14ac:dyDescent="0.3">
      <c r="A810" s="1" t="s">
        <v>13</v>
      </c>
      <c r="B810" s="1" t="s">
        <v>14</v>
      </c>
      <c r="C810" s="1" t="s">
        <v>64</v>
      </c>
      <c r="D810" s="1" t="s">
        <v>77</v>
      </c>
      <c r="E810" s="1" t="s">
        <v>78</v>
      </c>
      <c r="F810" s="1" t="s">
        <v>1973</v>
      </c>
      <c r="G810" s="1" t="s">
        <v>279</v>
      </c>
      <c r="H810" s="1" t="s">
        <v>1711</v>
      </c>
      <c r="I810" s="1" t="s">
        <v>1974</v>
      </c>
      <c r="J810" s="1" t="s">
        <v>1975</v>
      </c>
      <c r="K810" s="1" t="s">
        <v>84</v>
      </c>
      <c r="L810" s="1" t="s">
        <v>86</v>
      </c>
      <c r="M810" s="1" t="s">
        <v>68</v>
      </c>
      <c r="N810" s="1" t="s">
        <v>71</v>
      </c>
      <c r="O810" s="1" t="s">
        <v>68</v>
      </c>
      <c r="P810" s="1" t="s">
        <v>1976</v>
      </c>
      <c r="Q810" s="1" t="s">
        <v>68</v>
      </c>
      <c r="R810" s="1" t="s">
        <v>68</v>
      </c>
      <c r="S810" s="1" t="s">
        <v>68</v>
      </c>
      <c r="T810" s="1" t="s">
        <v>123</v>
      </c>
      <c r="U810" s="1" t="s">
        <v>68</v>
      </c>
      <c r="V810" s="1" t="s">
        <v>68</v>
      </c>
      <c r="W810" s="1" t="s">
        <v>68</v>
      </c>
      <c r="X810" s="1" t="s">
        <v>68</v>
      </c>
      <c r="Y810" s="73"/>
      <c r="Z810" s="2" t="s">
        <v>80</v>
      </c>
      <c r="AA810" s="3">
        <v>-8832.42</v>
      </c>
      <c r="AB810" s="4">
        <v>-2392172.63</v>
      </c>
      <c r="AC810" s="73">
        <v>46233</v>
      </c>
      <c r="AD810" s="73">
        <v>46228</v>
      </c>
      <c r="AE810" s="73"/>
      <c r="AF810" s="73">
        <v>46233</v>
      </c>
      <c r="AG810" s="3">
        <v>-8832420</v>
      </c>
      <c r="AH810" s="353" t="str">
        <f t="shared" si="78"/>
        <v>302</v>
      </c>
      <c r="AI810" s="3" t="str">
        <f t="shared" si="79"/>
        <v>57</v>
      </c>
      <c r="AJ810" s="64" t="str">
        <f>VLOOKUP(T810,'GL Name'!A:B,2,0)</f>
        <v>ต้นทุนผลิตกึ่งสำเร็จ</v>
      </c>
      <c r="AL810" s="13">
        <f t="shared" si="80"/>
        <v>270.83999968298605</v>
      </c>
      <c r="AM810" s="13" t="str">
        <f>VLOOKUP(I810,'Order 301-305 (เรียง)'!A:B,2,0)</f>
        <v>59000002</v>
      </c>
      <c r="AN810" t="str">
        <f>VLOOKUP(I810,'Order 301-305 (เรียง)'!A:C,3,0)</f>
        <v>GOLD BLEND ALL CAFE'  ขนาด 500 G.</v>
      </c>
    </row>
    <row r="811" spans="1:40" x14ac:dyDescent="0.3">
      <c r="A811" s="1" t="s">
        <v>19</v>
      </c>
      <c r="B811" s="1" t="s">
        <v>20</v>
      </c>
      <c r="C811" s="1" t="s">
        <v>64</v>
      </c>
      <c r="D811" s="1" t="s">
        <v>77</v>
      </c>
      <c r="E811" s="1" t="s">
        <v>78</v>
      </c>
      <c r="F811" s="1" t="s">
        <v>1973</v>
      </c>
      <c r="G811" s="1" t="s">
        <v>279</v>
      </c>
      <c r="H811" s="1" t="s">
        <v>1885</v>
      </c>
      <c r="I811" s="1" t="s">
        <v>1974</v>
      </c>
      <c r="J811" s="1" t="s">
        <v>1975</v>
      </c>
      <c r="K811" s="1" t="s">
        <v>84</v>
      </c>
      <c r="L811" s="1" t="s">
        <v>89</v>
      </c>
      <c r="M811" s="1" t="s">
        <v>68</v>
      </c>
      <c r="N811" s="1" t="s">
        <v>71</v>
      </c>
      <c r="O811" s="1" t="s">
        <v>68</v>
      </c>
      <c r="P811" s="1" t="s">
        <v>72</v>
      </c>
      <c r="Q811" s="1" t="s">
        <v>68</v>
      </c>
      <c r="R811" s="1" t="s">
        <v>20</v>
      </c>
      <c r="S811" s="1" t="s">
        <v>68</v>
      </c>
      <c r="T811" s="1" t="s">
        <v>123</v>
      </c>
      <c r="U811" s="1" t="s">
        <v>68</v>
      </c>
      <c r="V811" s="1" t="s">
        <v>68</v>
      </c>
      <c r="W811" s="1" t="s">
        <v>68</v>
      </c>
      <c r="X811" s="1" t="s">
        <v>68</v>
      </c>
      <c r="Y811" s="73"/>
      <c r="Z811" s="2" t="s">
        <v>80</v>
      </c>
      <c r="AA811" s="3">
        <v>-2043.63</v>
      </c>
      <c r="AB811" s="4">
        <v>-326837.75</v>
      </c>
      <c r="AC811" s="73">
        <v>46233</v>
      </c>
      <c r="AD811" s="73">
        <v>46228</v>
      </c>
      <c r="AE811" s="73"/>
      <c r="AF811" s="73">
        <v>46233</v>
      </c>
      <c r="AG811" s="3">
        <v>-2043630</v>
      </c>
      <c r="AH811" s="353" t="str">
        <f t="shared" si="78"/>
        <v>302</v>
      </c>
      <c r="AI811" s="3" t="str">
        <f t="shared" si="79"/>
        <v>57</v>
      </c>
      <c r="AJ811" s="64" t="str">
        <f>VLOOKUP(T811,'GL Name'!A:B,2,0)</f>
        <v>ต้นทุนผลิตกึ่งสำเร็จ</v>
      </c>
      <c r="AL811" s="13">
        <f t="shared" si="80"/>
        <v>159.93000200623399</v>
      </c>
      <c r="AM811" s="13" t="str">
        <f>VLOOKUP(I811,'Order 301-305 (เรียง)'!A:B,2,0)</f>
        <v>59000002</v>
      </c>
      <c r="AN811" t="str">
        <f>VLOOKUP(I811,'Order 301-305 (เรียง)'!A:C,3,0)</f>
        <v>GOLD BLEND ALL CAFE'  ขนาด 500 G.</v>
      </c>
    </row>
    <row r="812" spans="1:40" x14ac:dyDescent="0.3">
      <c r="A812" s="1" t="s">
        <v>19</v>
      </c>
      <c r="B812" s="1" t="s">
        <v>20</v>
      </c>
      <c r="C812" s="1" t="s">
        <v>64</v>
      </c>
      <c r="D812" s="1" t="s">
        <v>77</v>
      </c>
      <c r="E812" s="1" t="s">
        <v>78</v>
      </c>
      <c r="F812" s="1" t="s">
        <v>1973</v>
      </c>
      <c r="G812" s="1" t="s">
        <v>279</v>
      </c>
      <c r="H812" s="1" t="s">
        <v>304</v>
      </c>
      <c r="I812" s="1" t="s">
        <v>1974</v>
      </c>
      <c r="J812" s="1" t="s">
        <v>1975</v>
      </c>
      <c r="K812" s="1" t="s">
        <v>84</v>
      </c>
      <c r="L812" s="1" t="s">
        <v>92</v>
      </c>
      <c r="M812" s="1" t="s">
        <v>68</v>
      </c>
      <c r="N812" s="1" t="s">
        <v>71</v>
      </c>
      <c r="O812" s="1" t="s">
        <v>68</v>
      </c>
      <c r="P812" s="1" t="s">
        <v>1976</v>
      </c>
      <c r="Q812" s="1" t="s">
        <v>68</v>
      </c>
      <c r="R812" s="1" t="s">
        <v>68</v>
      </c>
      <c r="S812" s="1" t="s">
        <v>68</v>
      </c>
      <c r="T812" s="1" t="s">
        <v>123</v>
      </c>
      <c r="U812" s="1" t="s">
        <v>68</v>
      </c>
      <c r="V812" s="1" t="s">
        <v>68</v>
      </c>
      <c r="W812" s="1" t="s">
        <v>68</v>
      </c>
      <c r="X812" s="1" t="s">
        <v>68</v>
      </c>
      <c r="Y812" s="73"/>
      <c r="Z812" s="2" t="s">
        <v>80</v>
      </c>
      <c r="AA812" s="3">
        <v>-166.53</v>
      </c>
      <c r="AB812" s="4">
        <v>-26633.14</v>
      </c>
      <c r="AC812" s="73">
        <v>46233</v>
      </c>
      <c r="AD812" s="73">
        <v>46228</v>
      </c>
      <c r="AE812" s="73"/>
      <c r="AF812" s="73">
        <v>46233</v>
      </c>
      <c r="AG812" s="3">
        <v>-166530</v>
      </c>
      <c r="AH812" s="353" t="str">
        <f t="shared" si="78"/>
        <v>302</v>
      </c>
      <c r="AI812" s="3" t="str">
        <f t="shared" si="79"/>
        <v>57</v>
      </c>
      <c r="AJ812" s="64" t="str">
        <f>VLOOKUP(T812,'GL Name'!A:B,2,0)</f>
        <v>ต้นทุนผลิตกึ่งสำเร็จ</v>
      </c>
      <c r="AL812" s="13">
        <f t="shared" si="80"/>
        <v>159.9299825857203</v>
      </c>
      <c r="AM812" s="13" t="str">
        <f>VLOOKUP(I812,'Order 301-305 (เรียง)'!A:B,2,0)</f>
        <v>59000002</v>
      </c>
      <c r="AN812" t="str">
        <f>VLOOKUP(I812,'Order 301-305 (เรียง)'!A:C,3,0)</f>
        <v>GOLD BLEND ALL CAFE'  ขนาด 500 G.</v>
      </c>
    </row>
    <row r="813" spans="1:40" x14ac:dyDescent="0.3">
      <c r="A813" s="1" t="s">
        <v>23</v>
      </c>
      <c r="B813" s="1" t="s">
        <v>24</v>
      </c>
      <c r="C813" s="1" t="s">
        <v>64</v>
      </c>
      <c r="D813" s="1" t="s">
        <v>115</v>
      </c>
      <c r="E813" s="1" t="s">
        <v>116</v>
      </c>
      <c r="F813" s="1" t="s">
        <v>1973</v>
      </c>
      <c r="G813" s="1" t="s">
        <v>103</v>
      </c>
      <c r="H813" s="1" t="s">
        <v>1977</v>
      </c>
      <c r="I813" s="1" t="s">
        <v>1974</v>
      </c>
      <c r="J813" s="1" t="s">
        <v>1975</v>
      </c>
      <c r="K813" s="1" t="s">
        <v>84</v>
      </c>
      <c r="L813" s="1" t="s">
        <v>70</v>
      </c>
      <c r="M813" s="1" t="s">
        <v>68</v>
      </c>
      <c r="N813" s="1" t="s">
        <v>71</v>
      </c>
      <c r="O813" s="1" t="s">
        <v>68</v>
      </c>
      <c r="P813" s="1" t="s">
        <v>72</v>
      </c>
      <c r="Q813" s="1" t="s">
        <v>68</v>
      </c>
      <c r="R813" s="1" t="s">
        <v>68</v>
      </c>
      <c r="S813" s="1" t="s">
        <v>68</v>
      </c>
      <c r="T813" s="1" t="s">
        <v>124</v>
      </c>
      <c r="U813" s="1" t="s">
        <v>68</v>
      </c>
      <c r="V813" s="1" t="s">
        <v>68</v>
      </c>
      <c r="W813" s="1" t="s">
        <v>68</v>
      </c>
      <c r="X813" s="1" t="s">
        <v>68</v>
      </c>
      <c r="Y813" s="73"/>
      <c r="Z813" s="2" t="s">
        <v>80</v>
      </c>
      <c r="AA813" s="3">
        <v>8849.23</v>
      </c>
      <c r="AB813" s="4">
        <v>2877238.64</v>
      </c>
      <c r="AC813" s="73">
        <v>46233</v>
      </c>
      <c r="AD813" s="73">
        <v>46228</v>
      </c>
      <c r="AE813" s="73"/>
      <c r="AF813" s="73">
        <v>46233</v>
      </c>
      <c r="AG813" s="3">
        <v>8849230</v>
      </c>
      <c r="AH813" s="353" t="str">
        <f t="shared" si="78"/>
        <v>302</v>
      </c>
      <c r="AI813" s="3" t="str">
        <f t="shared" si="79"/>
        <v>57</v>
      </c>
      <c r="AJ813" s="64" t="str">
        <f>VLOOKUP(T813,'GL Name'!A:B,2,0)</f>
        <v>ต้นทุนผลิตโอน Semi</v>
      </c>
      <c r="AL813" s="13">
        <f t="shared" si="80"/>
        <v>325.1399997513908</v>
      </c>
      <c r="AM813" s="13" t="str">
        <f>VLOOKUP(I813,'Order 301-305 (เรียง)'!A:B,2,0)</f>
        <v>59000002</v>
      </c>
      <c r="AN813" t="str">
        <f>VLOOKUP(I813,'Order 301-305 (เรียง)'!A:C,3,0)</f>
        <v>GOLD BLEND ALL CAFE'  ขนาด 500 G.</v>
      </c>
    </row>
    <row r="814" spans="1:40" x14ac:dyDescent="0.3">
      <c r="A814" s="1" t="s">
        <v>106</v>
      </c>
      <c r="B814" s="1" t="s">
        <v>107</v>
      </c>
      <c r="C814" s="1" t="s">
        <v>64</v>
      </c>
      <c r="D814" s="1" t="s">
        <v>93</v>
      </c>
      <c r="E814" s="1" t="s">
        <v>94</v>
      </c>
      <c r="F814" s="1" t="s">
        <v>1978</v>
      </c>
      <c r="G814" s="1" t="s">
        <v>101</v>
      </c>
      <c r="H814" s="1" t="s">
        <v>220</v>
      </c>
      <c r="I814" s="1" t="s">
        <v>68</v>
      </c>
      <c r="J814" s="1" t="s">
        <v>1979</v>
      </c>
      <c r="K814" s="1" t="s">
        <v>223</v>
      </c>
      <c r="L814" s="1" t="s">
        <v>70</v>
      </c>
      <c r="M814" s="1" t="s">
        <v>68</v>
      </c>
      <c r="N814" s="1" t="s">
        <v>71</v>
      </c>
      <c r="O814" s="1" t="s">
        <v>68</v>
      </c>
      <c r="P814" s="1" t="s">
        <v>72</v>
      </c>
      <c r="Q814" s="1" t="s">
        <v>68</v>
      </c>
      <c r="R814" s="1" t="s">
        <v>68</v>
      </c>
      <c r="S814" s="1" t="s">
        <v>68</v>
      </c>
      <c r="T814" s="1" t="s">
        <v>68</v>
      </c>
      <c r="U814" s="1" t="s">
        <v>68</v>
      </c>
      <c r="V814" s="1" t="s">
        <v>68</v>
      </c>
      <c r="W814" s="1" t="s">
        <v>68</v>
      </c>
      <c r="X814" s="1" t="s">
        <v>68</v>
      </c>
      <c r="Y814" s="73"/>
      <c r="Z814" s="2" t="s">
        <v>102</v>
      </c>
      <c r="AA814" s="3">
        <v>-35782</v>
      </c>
      <c r="AB814" s="4">
        <v>0</v>
      </c>
      <c r="AC814" s="73">
        <v>46233</v>
      </c>
      <c r="AD814" s="73">
        <v>46233</v>
      </c>
      <c r="AE814" s="73"/>
      <c r="AF814" s="73">
        <v>46233</v>
      </c>
      <c r="AG814" s="3">
        <v>-35782</v>
      </c>
      <c r="AH814" s="353" t="str">
        <f t="shared" si="78"/>
        <v/>
      </c>
      <c r="AI814" s="3" t="str">
        <f t="shared" si="79"/>
        <v>58</v>
      </c>
      <c r="AJ814" s="64" t="e">
        <f>VLOOKUP(T814,'GL Name'!A:B,2,0)</f>
        <v>#N/A</v>
      </c>
      <c r="AL814" s="13">
        <f t="shared" si="80"/>
        <v>0</v>
      </c>
      <c r="AM814" s="13" t="e">
        <f>VLOOKUP(I814,'Order 301-305 (เรียง)'!A:B,2,0)</f>
        <v>#N/A</v>
      </c>
      <c r="AN814" t="e">
        <f>VLOOKUP(I814,'Order 301-305 (เรียง)'!A:C,3,0)</f>
        <v>#N/A</v>
      </c>
    </row>
    <row r="815" spans="1:40" x14ac:dyDescent="0.3">
      <c r="A815" s="1" t="s">
        <v>106</v>
      </c>
      <c r="B815" s="1" t="s">
        <v>107</v>
      </c>
      <c r="C815" s="1" t="s">
        <v>64</v>
      </c>
      <c r="D815" s="1" t="s">
        <v>93</v>
      </c>
      <c r="E815" s="1" t="s">
        <v>94</v>
      </c>
      <c r="F815" s="1" t="s">
        <v>1978</v>
      </c>
      <c r="G815" s="1" t="s">
        <v>103</v>
      </c>
      <c r="H815" s="1" t="s">
        <v>220</v>
      </c>
      <c r="I815" s="1" t="s">
        <v>68</v>
      </c>
      <c r="J815" s="1" t="s">
        <v>1979</v>
      </c>
      <c r="K815" s="1" t="s">
        <v>223</v>
      </c>
      <c r="L815" s="1" t="s">
        <v>86</v>
      </c>
      <c r="M815" s="1" t="s">
        <v>68</v>
      </c>
      <c r="N815" s="1" t="s">
        <v>71</v>
      </c>
      <c r="O815" s="1" t="s">
        <v>68</v>
      </c>
      <c r="P815" s="1" t="s">
        <v>72</v>
      </c>
      <c r="Q815" s="1" t="s">
        <v>68</v>
      </c>
      <c r="R815" s="1" t="s">
        <v>68</v>
      </c>
      <c r="S815" s="1" t="s">
        <v>68</v>
      </c>
      <c r="T815" s="1" t="s">
        <v>68</v>
      </c>
      <c r="U815" s="1" t="s">
        <v>68</v>
      </c>
      <c r="V815" s="1" t="s">
        <v>68</v>
      </c>
      <c r="W815" s="1" t="s">
        <v>68</v>
      </c>
      <c r="X815" s="1" t="s">
        <v>68</v>
      </c>
      <c r="Y815" s="73"/>
      <c r="Z815" s="2" t="s">
        <v>102</v>
      </c>
      <c r="AA815" s="3">
        <v>35782</v>
      </c>
      <c r="AB815" s="4">
        <v>0</v>
      </c>
      <c r="AC815" s="73">
        <v>46233</v>
      </c>
      <c r="AD815" s="73">
        <v>46233</v>
      </c>
      <c r="AE815" s="73"/>
      <c r="AF815" s="73">
        <v>46233</v>
      </c>
      <c r="AG815" s="3">
        <v>35782</v>
      </c>
      <c r="AH815" s="353" t="str">
        <f t="shared" si="78"/>
        <v/>
      </c>
      <c r="AI815" s="3" t="str">
        <f t="shared" si="79"/>
        <v>58</v>
      </c>
      <c r="AJ815" s="64" t="e">
        <f>VLOOKUP(T815,'GL Name'!A:B,2,0)</f>
        <v>#N/A</v>
      </c>
      <c r="AL815" s="13">
        <f t="shared" si="80"/>
        <v>0</v>
      </c>
      <c r="AM815" s="13" t="e">
        <f>VLOOKUP(I815,'Order 301-305 (เรียง)'!A:B,2,0)</f>
        <v>#N/A</v>
      </c>
      <c r="AN815" t="e">
        <f>VLOOKUP(I815,'Order 301-305 (เรียง)'!A:C,3,0)</f>
        <v>#N/A</v>
      </c>
    </row>
    <row r="816" spans="1:40" x14ac:dyDescent="0.3">
      <c r="A816" s="1" t="s">
        <v>23</v>
      </c>
      <c r="B816" s="1" t="s">
        <v>24</v>
      </c>
      <c r="C816" s="1" t="s">
        <v>64</v>
      </c>
      <c r="D816" s="1" t="s">
        <v>77</v>
      </c>
      <c r="E816" s="1" t="s">
        <v>78</v>
      </c>
      <c r="F816" s="1" t="s">
        <v>1980</v>
      </c>
      <c r="G816" s="1" t="s">
        <v>103</v>
      </c>
      <c r="H816" s="1" t="s">
        <v>1977</v>
      </c>
      <c r="I816" s="1" t="s">
        <v>1981</v>
      </c>
      <c r="J816" s="1" t="s">
        <v>1982</v>
      </c>
      <c r="K816" s="1" t="s">
        <v>84</v>
      </c>
      <c r="L816" s="1" t="s">
        <v>86</v>
      </c>
      <c r="M816" s="1" t="s">
        <v>68</v>
      </c>
      <c r="N816" s="1" t="s">
        <v>71</v>
      </c>
      <c r="O816" s="1" t="s">
        <v>68</v>
      </c>
      <c r="P816" s="1" t="s">
        <v>1983</v>
      </c>
      <c r="Q816" s="1" t="s">
        <v>68</v>
      </c>
      <c r="R816" s="1" t="s">
        <v>68</v>
      </c>
      <c r="S816" s="1" t="s">
        <v>68</v>
      </c>
      <c r="T816" s="1" t="s">
        <v>123</v>
      </c>
      <c r="U816" s="1" t="s">
        <v>68</v>
      </c>
      <c r="V816" s="1" t="s">
        <v>68</v>
      </c>
      <c r="W816" s="1" t="s">
        <v>68</v>
      </c>
      <c r="X816" s="1" t="s">
        <v>68</v>
      </c>
      <c r="Y816" s="73"/>
      <c r="Z816" s="2" t="s">
        <v>80</v>
      </c>
      <c r="AA816" s="3">
        <v>-8849.23</v>
      </c>
      <c r="AB816" s="4">
        <v>-2877238.64</v>
      </c>
      <c r="AC816" s="73">
        <v>46233</v>
      </c>
      <c r="AD816" s="73">
        <v>46228</v>
      </c>
      <c r="AE816" s="73"/>
      <c r="AF816" s="73">
        <v>46233</v>
      </c>
      <c r="AG816" s="3">
        <v>-8849230</v>
      </c>
      <c r="AH816" s="353" t="str">
        <f t="shared" si="78"/>
        <v>303</v>
      </c>
      <c r="AI816" s="3" t="str">
        <f t="shared" si="79"/>
        <v>57</v>
      </c>
      <c r="AJ816" s="64" t="str">
        <f>VLOOKUP(T816,'GL Name'!A:B,2,0)</f>
        <v>ต้นทุนผลิตกึ่งสำเร็จ</v>
      </c>
      <c r="AL816" s="13">
        <f t="shared" si="80"/>
        <v>325.1399997513908</v>
      </c>
      <c r="AM816" s="13" t="str">
        <f>VLOOKUP(I816,'Order 301-305 (เรียง)'!A:B,2,0)</f>
        <v>59000002</v>
      </c>
      <c r="AN816" t="str">
        <f>VLOOKUP(I816,'Order 301-305 (เรียง)'!A:C,3,0)</f>
        <v>GOLD BLEND ALL CAFE'  ขนาด 500 G.</v>
      </c>
    </row>
    <row r="817" spans="1:40" x14ac:dyDescent="0.3">
      <c r="A817" s="1" t="s">
        <v>106</v>
      </c>
      <c r="B817" s="1" t="s">
        <v>107</v>
      </c>
      <c r="C817" s="1" t="s">
        <v>64</v>
      </c>
      <c r="D817" s="1" t="s">
        <v>77</v>
      </c>
      <c r="E817" s="1" t="s">
        <v>78</v>
      </c>
      <c r="F817" s="1" t="s">
        <v>1980</v>
      </c>
      <c r="G817" s="1" t="s">
        <v>103</v>
      </c>
      <c r="H817" s="1" t="s">
        <v>220</v>
      </c>
      <c r="I817" s="1" t="s">
        <v>1981</v>
      </c>
      <c r="J817" s="1" t="s">
        <v>1982</v>
      </c>
      <c r="K817" s="1" t="s">
        <v>84</v>
      </c>
      <c r="L817" s="1" t="s">
        <v>92</v>
      </c>
      <c r="M817" s="1" t="s">
        <v>68</v>
      </c>
      <c r="N817" s="1" t="s">
        <v>71</v>
      </c>
      <c r="O817" s="1" t="s">
        <v>68</v>
      </c>
      <c r="P817" s="1" t="s">
        <v>1983</v>
      </c>
      <c r="Q817" s="1" t="s">
        <v>68</v>
      </c>
      <c r="R817" s="1" t="s">
        <v>68</v>
      </c>
      <c r="S817" s="1" t="s">
        <v>68</v>
      </c>
      <c r="T817" s="1" t="s">
        <v>108</v>
      </c>
      <c r="U817" s="1" t="s">
        <v>68</v>
      </c>
      <c r="V817" s="1" t="s">
        <v>68</v>
      </c>
      <c r="W817" s="1" t="s">
        <v>68</v>
      </c>
      <c r="X817" s="1" t="s">
        <v>68</v>
      </c>
      <c r="Y817" s="73"/>
      <c r="Z817" s="2" t="s">
        <v>102</v>
      </c>
      <c r="AA817" s="3">
        <v>-17947</v>
      </c>
      <c r="AB817" s="4">
        <v>-15178.99</v>
      </c>
      <c r="AC817" s="73">
        <v>46233</v>
      </c>
      <c r="AD817" s="73">
        <v>46228</v>
      </c>
      <c r="AE817" s="73"/>
      <c r="AF817" s="73">
        <v>46233</v>
      </c>
      <c r="AG817" s="3">
        <v>-17947</v>
      </c>
      <c r="AH817" s="353" t="str">
        <f t="shared" si="78"/>
        <v>303</v>
      </c>
      <c r="AI817" s="3" t="str">
        <f t="shared" si="79"/>
        <v>58</v>
      </c>
      <c r="AJ817" s="64" t="str">
        <f>VLOOKUP(T817,'GL Name'!A:B,2,0)</f>
        <v>ต้นทุนผลิตหีบห่อ</v>
      </c>
      <c r="AL817" s="13">
        <f t="shared" si="80"/>
        <v>0.84576753775004176</v>
      </c>
      <c r="AM817" s="13" t="str">
        <f>VLOOKUP(I817,'Order 301-305 (เรียง)'!A:B,2,0)</f>
        <v>59000002</v>
      </c>
      <c r="AN817" t="str">
        <f>VLOOKUP(I817,'Order 301-305 (เรียง)'!A:C,3,0)</f>
        <v>GOLD BLEND ALL CAFE'  ขนาด 500 G.</v>
      </c>
    </row>
    <row r="818" spans="1:40" x14ac:dyDescent="0.3">
      <c r="A818" s="1" t="s">
        <v>119</v>
      </c>
      <c r="B818" s="1" t="s">
        <v>120</v>
      </c>
      <c r="C818" s="1" t="s">
        <v>64</v>
      </c>
      <c r="D818" s="1" t="s">
        <v>77</v>
      </c>
      <c r="E818" s="1" t="s">
        <v>78</v>
      </c>
      <c r="F818" s="1" t="s">
        <v>1980</v>
      </c>
      <c r="G818" s="1" t="s">
        <v>103</v>
      </c>
      <c r="H818" s="1" t="s">
        <v>772</v>
      </c>
      <c r="I818" s="1" t="s">
        <v>1981</v>
      </c>
      <c r="J818" s="1" t="s">
        <v>1982</v>
      </c>
      <c r="K818" s="1" t="s">
        <v>84</v>
      </c>
      <c r="L818" s="1" t="s">
        <v>89</v>
      </c>
      <c r="M818" s="1" t="s">
        <v>68</v>
      </c>
      <c r="N818" s="1" t="s">
        <v>71</v>
      </c>
      <c r="O818" s="1" t="s">
        <v>68</v>
      </c>
      <c r="P818" s="1" t="s">
        <v>1983</v>
      </c>
      <c r="Q818" s="1" t="s">
        <v>68</v>
      </c>
      <c r="R818" s="1" t="s">
        <v>68</v>
      </c>
      <c r="S818" s="1" t="s">
        <v>68</v>
      </c>
      <c r="T818" s="1" t="s">
        <v>108</v>
      </c>
      <c r="U818" s="1" t="s">
        <v>68</v>
      </c>
      <c r="V818" s="1" t="s">
        <v>68</v>
      </c>
      <c r="W818" s="1" t="s">
        <v>68</v>
      </c>
      <c r="X818" s="1" t="s">
        <v>68</v>
      </c>
      <c r="Y818" s="73"/>
      <c r="Z818" s="2" t="s">
        <v>102</v>
      </c>
      <c r="AA818" s="3">
        <v>-17947</v>
      </c>
      <c r="AB818" s="4">
        <v>-37392.339999999997</v>
      </c>
      <c r="AC818" s="73">
        <v>46233</v>
      </c>
      <c r="AD818" s="73">
        <v>46228</v>
      </c>
      <c r="AE818" s="73"/>
      <c r="AF818" s="73">
        <v>46233</v>
      </c>
      <c r="AG818" s="3">
        <v>-17947</v>
      </c>
      <c r="AH818" s="353" t="str">
        <f t="shared" si="78"/>
        <v>303</v>
      </c>
      <c r="AI818" s="3" t="str">
        <f t="shared" si="79"/>
        <v>58</v>
      </c>
      <c r="AJ818" s="64" t="str">
        <f>VLOOKUP(T818,'GL Name'!A:B,2,0)</f>
        <v>ต้นทุนผลิตหีบห่อ</v>
      </c>
      <c r="AL818" s="13">
        <f t="shared" si="80"/>
        <v>2.0834869337493731</v>
      </c>
      <c r="AM818" s="13" t="str">
        <f>VLOOKUP(I818,'Order 301-305 (เรียง)'!A:B,2,0)</f>
        <v>59000002</v>
      </c>
      <c r="AN818" t="str">
        <f>VLOOKUP(I818,'Order 301-305 (เรียง)'!A:C,3,0)</f>
        <v>GOLD BLEND ALL CAFE'  ขนาด 500 G.</v>
      </c>
    </row>
    <row r="819" spans="1:40" x14ac:dyDescent="0.3">
      <c r="A819" s="1" t="s">
        <v>121</v>
      </c>
      <c r="B819" s="1" t="s">
        <v>122</v>
      </c>
      <c r="C819" s="1" t="s">
        <v>64</v>
      </c>
      <c r="D819" s="1" t="s">
        <v>77</v>
      </c>
      <c r="E819" s="1" t="s">
        <v>78</v>
      </c>
      <c r="F819" s="1" t="s">
        <v>1980</v>
      </c>
      <c r="G819" s="1" t="s">
        <v>103</v>
      </c>
      <c r="H819" s="1" t="s">
        <v>1076</v>
      </c>
      <c r="I819" s="1" t="s">
        <v>1981</v>
      </c>
      <c r="J819" s="1" t="s">
        <v>1982</v>
      </c>
      <c r="K819" s="1" t="s">
        <v>84</v>
      </c>
      <c r="L819" s="1" t="s">
        <v>95</v>
      </c>
      <c r="M819" s="1" t="s">
        <v>68</v>
      </c>
      <c r="N819" s="1" t="s">
        <v>71</v>
      </c>
      <c r="O819" s="1" t="s">
        <v>68</v>
      </c>
      <c r="P819" s="1" t="s">
        <v>1983</v>
      </c>
      <c r="Q819" s="1" t="s">
        <v>68</v>
      </c>
      <c r="R819" s="1" t="s">
        <v>68</v>
      </c>
      <c r="S819" s="1" t="s">
        <v>68</v>
      </c>
      <c r="T819" s="1" t="s">
        <v>108</v>
      </c>
      <c r="U819" s="1" t="s">
        <v>68</v>
      </c>
      <c r="V819" s="1" t="s">
        <v>68</v>
      </c>
      <c r="W819" s="1" t="s">
        <v>68</v>
      </c>
      <c r="X819" s="1" t="s">
        <v>68</v>
      </c>
      <c r="Y819" s="73"/>
      <c r="Z819" s="2" t="s">
        <v>102</v>
      </c>
      <c r="AA819" s="3">
        <v>-2960</v>
      </c>
      <c r="AB819" s="4">
        <v>-14800</v>
      </c>
      <c r="AC819" s="73">
        <v>46233</v>
      </c>
      <c r="AD819" s="73">
        <v>46228</v>
      </c>
      <c r="AE819" s="73"/>
      <c r="AF819" s="73">
        <v>46233</v>
      </c>
      <c r="AG819" s="3">
        <v>-2960</v>
      </c>
      <c r="AH819" s="353" t="str">
        <f t="shared" si="78"/>
        <v>303</v>
      </c>
      <c r="AI819" s="3" t="str">
        <f t="shared" si="79"/>
        <v>58</v>
      </c>
      <c r="AJ819" s="64" t="str">
        <f>VLOOKUP(T819,'GL Name'!A:B,2,0)</f>
        <v>ต้นทุนผลิตหีบห่อ</v>
      </c>
      <c r="AL819" s="13">
        <f t="shared" si="80"/>
        <v>5</v>
      </c>
      <c r="AM819" s="13" t="str">
        <f>VLOOKUP(I819,'Order 301-305 (เรียง)'!A:B,2,0)</f>
        <v>59000002</v>
      </c>
      <c r="AN819" t="str">
        <f>VLOOKUP(I819,'Order 301-305 (เรียง)'!A:C,3,0)</f>
        <v>GOLD BLEND ALL CAFE'  ขนาด 500 G.</v>
      </c>
    </row>
    <row r="820" spans="1:40" x14ac:dyDescent="0.3">
      <c r="A820" s="1" t="s">
        <v>81</v>
      </c>
      <c r="B820" s="1" t="s">
        <v>82</v>
      </c>
      <c r="C820" s="1" t="s">
        <v>64</v>
      </c>
      <c r="D820" s="1" t="s">
        <v>115</v>
      </c>
      <c r="E820" s="1" t="s">
        <v>116</v>
      </c>
      <c r="F820" s="1" t="s">
        <v>1980</v>
      </c>
      <c r="G820" s="1" t="s">
        <v>83</v>
      </c>
      <c r="H820" s="1" t="s">
        <v>1984</v>
      </c>
      <c r="I820" s="1" t="s">
        <v>1981</v>
      </c>
      <c r="J820" s="1" t="s">
        <v>1982</v>
      </c>
      <c r="K820" s="1" t="s">
        <v>84</v>
      </c>
      <c r="L820" s="1" t="s">
        <v>70</v>
      </c>
      <c r="M820" s="1" t="s">
        <v>68</v>
      </c>
      <c r="N820" s="1" t="s">
        <v>71</v>
      </c>
      <c r="O820" s="1" t="s">
        <v>68</v>
      </c>
      <c r="P820" s="1" t="s">
        <v>72</v>
      </c>
      <c r="Q820" s="1" t="s">
        <v>68</v>
      </c>
      <c r="R820" s="1" t="s">
        <v>68</v>
      </c>
      <c r="S820" s="1" t="s">
        <v>68</v>
      </c>
      <c r="T820" s="1" t="s">
        <v>117</v>
      </c>
      <c r="U820" s="1" t="s">
        <v>68</v>
      </c>
      <c r="V820" s="1" t="s">
        <v>68</v>
      </c>
      <c r="W820" s="1" t="s">
        <v>68</v>
      </c>
      <c r="X820" s="1" t="s">
        <v>68</v>
      </c>
      <c r="Y820" s="73"/>
      <c r="Z820" s="2" t="s">
        <v>74</v>
      </c>
      <c r="AA820" s="3">
        <v>17671</v>
      </c>
      <c r="AB820" s="4">
        <v>3001596.06</v>
      </c>
      <c r="AC820" s="73">
        <v>46233</v>
      </c>
      <c r="AD820" s="73">
        <v>46228</v>
      </c>
      <c r="AE820" s="73"/>
      <c r="AF820" s="73">
        <v>46233</v>
      </c>
      <c r="AG820" s="3">
        <v>8835500</v>
      </c>
      <c r="AH820" s="353" t="str">
        <f t="shared" si="78"/>
        <v>303</v>
      </c>
      <c r="AI820" s="3" t="str">
        <f t="shared" si="79"/>
        <v>59</v>
      </c>
      <c r="AJ820" s="64" t="str">
        <f>VLOOKUP(T820,'GL Name'!A:B,2,0)</f>
        <v>ต้นทุนผลิตโอน F/G</v>
      </c>
      <c r="AL820" s="13">
        <f t="shared" si="80"/>
        <v>169.86</v>
      </c>
      <c r="AM820" s="13" t="str">
        <f>VLOOKUP(I820,'Order 301-305 (เรียง)'!A:B,2,0)</f>
        <v>59000002</v>
      </c>
      <c r="AN820" t="str">
        <f>VLOOKUP(I820,'Order 301-305 (เรียง)'!A:C,3,0)</f>
        <v>GOLD BLEND ALL CAFE'  ขนาด 500 G.</v>
      </c>
    </row>
    <row r="821" spans="1:40" x14ac:dyDescent="0.3">
      <c r="A821" s="1" t="s">
        <v>81</v>
      </c>
      <c r="B821" s="1" t="s">
        <v>82</v>
      </c>
      <c r="C821" s="1" t="s">
        <v>64</v>
      </c>
      <c r="D821" s="1" t="s">
        <v>87</v>
      </c>
      <c r="E821" s="1" t="s">
        <v>88</v>
      </c>
      <c r="F821" s="1" t="s">
        <v>2018</v>
      </c>
      <c r="G821" s="1" t="s">
        <v>83</v>
      </c>
      <c r="H821" s="1" t="s">
        <v>1498</v>
      </c>
      <c r="I821" s="1" t="s">
        <v>68</v>
      </c>
      <c r="J821" s="1" t="s">
        <v>2019</v>
      </c>
      <c r="K821" s="1" t="s">
        <v>223</v>
      </c>
      <c r="L821" s="1" t="s">
        <v>86</v>
      </c>
      <c r="M821" s="1" t="s">
        <v>68</v>
      </c>
      <c r="N821" s="1" t="s">
        <v>71</v>
      </c>
      <c r="O821" s="1" t="s">
        <v>68</v>
      </c>
      <c r="P821" s="1" t="s">
        <v>2020</v>
      </c>
      <c r="Q821" s="1" t="s">
        <v>68</v>
      </c>
      <c r="R821" s="1" t="s">
        <v>2021</v>
      </c>
      <c r="S821" s="1" t="s">
        <v>90</v>
      </c>
      <c r="T821" s="1" t="s">
        <v>91</v>
      </c>
      <c r="U821" s="1" t="s">
        <v>68</v>
      </c>
      <c r="V821" s="1" t="s">
        <v>68</v>
      </c>
      <c r="W821" s="1" t="s">
        <v>68</v>
      </c>
      <c r="X821" s="1" t="s">
        <v>68</v>
      </c>
      <c r="Y821" s="73"/>
      <c r="Z821" s="2" t="s">
        <v>74</v>
      </c>
      <c r="AA821" s="3">
        <v>-5</v>
      </c>
      <c r="AB821" s="4">
        <v>-849.3</v>
      </c>
      <c r="AC821" s="73">
        <v>46233</v>
      </c>
      <c r="AD821" s="73">
        <v>46234</v>
      </c>
      <c r="AE821" s="73"/>
      <c r="AF821" s="73">
        <v>46234</v>
      </c>
      <c r="AG821" s="3">
        <v>-2500</v>
      </c>
      <c r="AH821" s="353" t="str">
        <f t="shared" si="78"/>
        <v/>
      </c>
      <c r="AI821" s="3" t="str">
        <f t="shared" si="79"/>
        <v>59</v>
      </c>
      <c r="AJ821" s="64" t="str">
        <f>VLOOKUP(T821,'GL Name'!A:B,2,0)</f>
        <v>ค่าวิจัยคุณภาพสินค้า</v>
      </c>
      <c r="AL821" s="13">
        <f t="shared" si="80"/>
        <v>169.85999999999999</v>
      </c>
      <c r="AM821" s="13" t="e">
        <f>VLOOKUP(I821,'Order 301-305 (เรียง)'!A:B,2,0)</f>
        <v>#N/A</v>
      </c>
      <c r="AN821" t="e">
        <f>VLOOKUP(I821,'Order 301-305 (เรียง)'!A:C,3,0)</f>
        <v>#N/A</v>
      </c>
    </row>
    <row r="822" spans="1:40" x14ac:dyDescent="0.3">
      <c r="A822" s="1" t="s">
        <v>81</v>
      </c>
      <c r="B822" s="1" t="s">
        <v>82</v>
      </c>
      <c r="C822" s="1" t="s">
        <v>64</v>
      </c>
      <c r="D822" s="1" t="s">
        <v>87</v>
      </c>
      <c r="E822" s="1" t="s">
        <v>88</v>
      </c>
      <c r="F822" s="1" t="s">
        <v>2018</v>
      </c>
      <c r="G822" s="1" t="s">
        <v>83</v>
      </c>
      <c r="H822" s="1" t="s">
        <v>1498</v>
      </c>
      <c r="I822" s="1" t="s">
        <v>68</v>
      </c>
      <c r="J822" s="1" t="s">
        <v>2019</v>
      </c>
      <c r="K822" s="1" t="s">
        <v>223</v>
      </c>
      <c r="L822" s="1" t="s">
        <v>70</v>
      </c>
      <c r="M822" s="1" t="s">
        <v>68</v>
      </c>
      <c r="N822" s="1" t="s">
        <v>71</v>
      </c>
      <c r="O822" s="1" t="s">
        <v>68</v>
      </c>
      <c r="P822" s="1" t="s">
        <v>2020</v>
      </c>
      <c r="Q822" s="1" t="s">
        <v>68</v>
      </c>
      <c r="R822" s="1" t="s">
        <v>2022</v>
      </c>
      <c r="S822" s="1" t="s">
        <v>90</v>
      </c>
      <c r="T822" s="1" t="s">
        <v>91</v>
      </c>
      <c r="U822" s="1" t="s">
        <v>68</v>
      </c>
      <c r="V822" s="1" t="s">
        <v>68</v>
      </c>
      <c r="W822" s="1" t="s">
        <v>68</v>
      </c>
      <c r="X822" s="1" t="s">
        <v>68</v>
      </c>
      <c r="Y822" s="73"/>
      <c r="Z822" s="2" t="s">
        <v>74</v>
      </c>
      <c r="AA822" s="3">
        <v>-2</v>
      </c>
      <c r="AB822" s="4">
        <v>-339.72</v>
      </c>
      <c r="AC822" s="73">
        <v>46233</v>
      </c>
      <c r="AD822" s="73">
        <v>46234</v>
      </c>
      <c r="AE822" s="73"/>
      <c r="AF822" s="73">
        <v>46234</v>
      </c>
      <c r="AG822" s="3">
        <v>-1000</v>
      </c>
      <c r="AH822" s="353" t="str">
        <f t="shared" si="78"/>
        <v/>
      </c>
      <c r="AI822" s="3" t="str">
        <f t="shared" si="79"/>
        <v>59</v>
      </c>
      <c r="AJ822" s="64" t="str">
        <f>VLOOKUP(T822,'GL Name'!A:B,2,0)</f>
        <v>ค่าวิจัยคุณภาพสินค้า</v>
      </c>
      <c r="AL822" s="13">
        <f t="shared" si="80"/>
        <v>169.86</v>
      </c>
      <c r="AM822" s="13" t="e">
        <f>VLOOKUP(I822,'Order 301-305 (เรียง)'!A:B,2,0)</f>
        <v>#N/A</v>
      </c>
      <c r="AN822" t="e">
        <f>VLOOKUP(I822,'Order 301-305 (เรียง)'!A:C,3,0)</f>
        <v>#N/A</v>
      </c>
    </row>
    <row r="823" spans="1:40" x14ac:dyDescent="0.3">
      <c r="A823" s="1" t="s">
        <v>13</v>
      </c>
      <c r="B823" s="1" t="s">
        <v>14</v>
      </c>
      <c r="C823" s="1" t="s">
        <v>64</v>
      </c>
      <c r="D823" s="1" t="s">
        <v>77</v>
      </c>
      <c r="E823" s="1" t="s">
        <v>78</v>
      </c>
      <c r="F823" s="1" t="s">
        <v>2023</v>
      </c>
      <c r="G823" s="1" t="s">
        <v>279</v>
      </c>
      <c r="H823" s="1" t="s">
        <v>1711</v>
      </c>
      <c r="I823" s="1" t="s">
        <v>2024</v>
      </c>
      <c r="J823" s="1" t="s">
        <v>2025</v>
      </c>
      <c r="K823" s="1" t="s">
        <v>84</v>
      </c>
      <c r="L823" s="1" t="s">
        <v>86</v>
      </c>
      <c r="M823" s="1" t="s">
        <v>68</v>
      </c>
      <c r="N823" s="1" t="s">
        <v>71</v>
      </c>
      <c r="O823" s="1" t="s">
        <v>68</v>
      </c>
      <c r="P823" s="1" t="s">
        <v>2026</v>
      </c>
      <c r="Q823" s="1" t="s">
        <v>68</v>
      </c>
      <c r="R823" s="1" t="s">
        <v>68</v>
      </c>
      <c r="S823" s="1" t="s">
        <v>68</v>
      </c>
      <c r="T823" s="1" t="s">
        <v>123</v>
      </c>
      <c r="U823" s="1" t="s">
        <v>68</v>
      </c>
      <c r="V823" s="1" t="s">
        <v>68</v>
      </c>
      <c r="W823" s="1" t="s">
        <v>68</v>
      </c>
      <c r="X823" s="1" t="s">
        <v>68</v>
      </c>
      <c r="Y823" s="73"/>
      <c r="Z823" s="2" t="s">
        <v>80</v>
      </c>
      <c r="AA823" s="3">
        <v>-8640.06</v>
      </c>
      <c r="AB823" s="4">
        <v>-2340073.85</v>
      </c>
      <c r="AC823" s="73">
        <v>46234</v>
      </c>
      <c r="AD823" s="73">
        <v>46230</v>
      </c>
      <c r="AE823" s="73"/>
      <c r="AF823" s="73">
        <v>46234</v>
      </c>
      <c r="AG823" s="3">
        <v>-8640060</v>
      </c>
      <c r="AH823" s="353" t="str">
        <f t="shared" si="78"/>
        <v>302</v>
      </c>
      <c r="AI823" s="3" t="str">
        <f t="shared" si="79"/>
        <v>57</v>
      </c>
      <c r="AJ823" s="64" t="str">
        <f>VLOOKUP(T823,'GL Name'!A:B,2,0)</f>
        <v>ต้นทุนผลิตกึ่งสำเร็จ</v>
      </c>
      <c r="AL823" s="13">
        <f t="shared" si="80"/>
        <v>270.83999995370408</v>
      </c>
      <c r="AM823" s="13" t="str">
        <f>VLOOKUP(I823,'Order 301-305 (เรียง)'!A:B,2,0)</f>
        <v>59000002</v>
      </c>
      <c r="AN823" t="str">
        <f>VLOOKUP(I823,'Order 301-305 (เรียง)'!A:C,3,0)</f>
        <v>GOLD BLEND ALL CAFE'  ขนาด 500 G.</v>
      </c>
    </row>
    <row r="824" spans="1:40" x14ac:dyDescent="0.3">
      <c r="A824" s="1" t="s">
        <v>19</v>
      </c>
      <c r="B824" s="1" t="s">
        <v>20</v>
      </c>
      <c r="C824" s="1" t="s">
        <v>64</v>
      </c>
      <c r="D824" s="1" t="s">
        <v>77</v>
      </c>
      <c r="E824" s="1" t="s">
        <v>78</v>
      </c>
      <c r="F824" s="1" t="s">
        <v>2023</v>
      </c>
      <c r="G824" s="1" t="s">
        <v>279</v>
      </c>
      <c r="H824" s="1" t="s">
        <v>1885</v>
      </c>
      <c r="I824" s="1" t="s">
        <v>2024</v>
      </c>
      <c r="J824" s="1" t="s">
        <v>2025</v>
      </c>
      <c r="K824" s="1" t="s">
        <v>84</v>
      </c>
      <c r="L824" s="1" t="s">
        <v>92</v>
      </c>
      <c r="M824" s="1" t="s">
        <v>68</v>
      </c>
      <c r="N824" s="1" t="s">
        <v>71</v>
      </c>
      <c r="O824" s="1" t="s">
        <v>68</v>
      </c>
      <c r="P824" s="1" t="s">
        <v>2026</v>
      </c>
      <c r="Q824" s="1" t="s">
        <v>68</v>
      </c>
      <c r="R824" s="1" t="s">
        <v>68</v>
      </c>
      <c r="S824" s="1" t="s">
        <v>68</v>
      </c>
      <c r="T824" s="1" t="s">
        <v>123</v>
      </c>
      <c r="U824" s="1" t="s">
        <v>68</v>
      </c>
      <c r="V824" s="1" t="s">
        <v>68</v>
      </c>
      <c r="W824" s="1" t="s">
        <v>68</v>
      </c>
      <c r="X824" s="1" t="s">
        <v>68</v>
      </c>
      <c r="Y824" s="73"/>
      <c r="Z824" s="2" t="s">
        <v>80</v>
      </c>
      <c r="AA824" s="3">
        <v>-2160.92</v>
      </c>
      <c r="AB824" s="4">
        <v>-345595.93</v>
      </c>
      <c r="AC824" s="73">
        <v>46234</v>
      </c>
      <c r="AD824" s="73">
        <v>46230</v>
      </c>
      <c r="AE824" s="73"/>
      <c r="AF824" s="73">
        <v>46234</v>
      </c>
      <c r="AG824" s="3">
        <v>-2160920</v>
      </c>
      <c r="AH824" s="353" t="str">
        <f t="shared" si="78"/>
        <v>302</v>
      </c>
      <c r="AI824" s="3" t="str">
        <f t="shared" si="79"/>
        <v>57</v>
      </c>
      <c r="AJ824" s="64" t="str">
        <f>VLOOKUP(T824,'GL Name'!A:B,2,0)</f>
        <v>ต้นทุนผลิตกึ่งสำเร็จ</v>
      </c>
      <c r="AL824" s="13">
        <f t="shared" si="80"/>
        <v>159.92999740851118</v>
      </c>
      <c r="AM824" s="13" t="str">
        <f>VLOOKUP(I824,'Order 301-305 (เรียง)'!A:B,2,0)</f>
        <v>59000002</v>
      </c>
      <c r="AN824" t="str">
        <f>VLOOKUP(I824,'Order 301-305 (เรียง)'!A:C,3,0)</f>
        <v>GOLD BLEND ALL CAFE'  ขนาด 500 G.</v>
      </c>
    </row>
    <row r="825" spans="1:40" x14ac:dyDescent="0.3">
      <c r="A825" s="1" t="s">
        <v>23</v>
      </c>
      <c r="B825" s="1" t="s">
        <v>24</v>
      </c>
      <c r="C825" s="1" t="s">
        <v>64</v>
      </c>
      <c r="D825" s="1" t="s">
        <v>115</v>
      </c>
      <c r="E825" s="1" t="s">
        <v>116</v>
      </c>
      <c r="F825" s="1" t="s">
        <v>2023</v>
      </c>
      <c r="G825" s="1" t="s">
        <v>103</v>
      </c>
      <c r="H825" s="1" t="s">
        <v>2027</v>
      </c>
      <c r="I825" s="1" t="s">
        <v>2024</v>
      </c>
      <c r="J825" s="1" t="s">
        <v>2025</v>
      </c>
      <c r="K825" s="1" t="s">
        <v>84</v>
      </c>
      <c r="L825" s="1" t="s">
        <v>70</v>
      </c>
      <c r="M825" s="1" t="s">
        <v>68</v>
      </c>
      <c r="N825" s="1" t="s">
        <v>71</v>
      </c>
      <c r="O825" s="1" t="s">
        <v>68</v>
      </c>
      <c r="P825" s="1" t="s">
        <v>72</v>
      </c>
      <c r="Q825" s="1" t="s">
        <v>68</v>
      </c>
      <c r="R825" s="1" t="s">
        <v>68</v>
      </c>
      <c r="S825" s="1" t="s">
        <v>68</v>
      </c>
      <c r="T825" s="1" t="s">
        <v>124</v>
      </c>
      <c r="U825" s="1" t="s">
        <v>68</v>
      </c>
      <c r="V825" s="1" t="s">
        <v>68</v>
      </c>
      <c r="W825" s="1" t="s">
        <v>68</v>
      </c>
      <c r="X825" s="1" t="s">
        <v>68</v>
      </c>
      <c r="Y825" s="73"/>
      <c r="Z825" s="2" t="s">
        <v>80</v>
      </c>
      <c r="AA825" s="3">
        <v>8647.75</v>
      </c>
      <c r="AB825" s="4">
        <v>2811729.44</v>
      </c>
      <c r="AC825" s="73">
        <v>46234</v>
      </c>
      <c r="AD825" s="73">
        <v>46230</v>
      </c>
      <c r="AE825" s="73"/>
      <c r="AF825" s="73">
        <v>46234</v>
      </c>
      <c r="AG825" s="3">
        <v>8647750</v>
      </c>
      <c r="AH825" s="353" t="str">
        <f t="shared" si="78"/>
        <v>302</v>
      </c>
      <c r="AI825" s="3" t="str">
        <f t="shared" si="79"/>
        <v>57</v>
      </c>
      <c r="AJ825" s="64" t="str">
        <f>VLOOKUP(T825,'GL Name'!A:B,2,0)</f>
        <v>ต้นทุนผลิตโอน Semi</v>
      </c>
      <c r="AL825" s="13">
        <f t="shared" si="80"/>
        <v>325.1400005781851</v>
      </c>
      <c r="AM825" s="13" t="str">
        <f>VLOOKUP(I825,'Order 301-305 (เรียง)'!A:B,2,0)</f>
        <v>59000002</v>
      </c>
      <c r="AN825" t="str">
        <f>VLOOKUP(I825,'Order 301-305 (เรียง)'!A:C,3,0)</f>
        <v>GOLD BLEND ALL CAFE'  ขนาด 500 G.</v>
      </c>
    </row>
    <row r="826" spans="1:40" x14ac:dyDescent="0.3">
      <c r="A826" s="1" t="s">
        <v>121</v>
      </c>
      <c r="B826" s="1" t="s">
        <v>122</v>
      </c>
      <c r="C826" s="1" t="s">
        <v>64</v>
      </c>
      <c r="D826" s="1" t="s">
        <v>93</v>
      </c>
      <c r="E826" s="1" t="s">
        <v>94</v>
      </c>
      <c r="F826" s="1" t="s">
        <v>2028</v>
      </c>
      <c r="G826" s="1" t="s">
        <v>101</v>
      </c>
      <c r="H826" s="1" t="s">
        <v>1378</v>
      </c>
      <c r="I826" s="1" t="s">
        <v>68</v>
      </c>
      <c r="J826" s="1" t="s">
        <v>2029</v>
      </c>
      <c r="K826" s="1" t="s">
        <v>84</v>
      </c>
      <c r="L826" s="1" t="s">
        <v>70</v>
      </c>
      <c r="M826" s="1" t="s">
        <v>68</v>
      </c>
      <c r="N826" s="1" t="s">
        <v>71</v>
      </c>
      <c r="O826" s="1" t="s">
        <v>68</v>
      </c>
      <c r="P826" s="1" t="s">
        <v>72</v>
      </c>
      <c r="Q826" s="1" t="s">
        <v>68</v>
      </c>
      <c r="R826" s="1" t="s">
        <v>68</v>
      </c>
      <c r="S826" s="1" t="s">
        <v>68</v>
      </c>
      <c r="T826" s="1" t="s">
        <v>68</v>
      </c>
      <c r="U826" s="1" t="s">
        <v>68</v>
      </c>
      <c r="V826" s="1" t="s">
        <v>68</v>
      </c>
      <c r="W826" s="1" t="s">
        <v>68</v>
      </c>
      <c r="X826" s="1" t="s">
        <v>68</v>
      </c>
      <c r="Y826" s="73"/>
      <c r="Z826" s="2" t="s">
        <v>102</v>
      </c>
      <c r="AA826" s="3">
        <v>-2000</v>
      </c>
      <c r="AB826" s="4">
        <v>0</v>
      </c>
      <c r="AC826" s="73">
        <v>46234</v>
      </c>
      <c r="AD826" s="73">
        <v>46234</v>
      </c>
      <c r="AE826" s="73"/>
      <c r="AF826" s="73">
        <v>46234</v>
      </c>
      <c r="AG826" s="3">
        <v>-2000</v>
      </c>
      <c r="AH826" s="353" t="str">
        <f t="shared" si="78"/>
        <v/>
      </c>
      <c r="AI826" s="3" t="str">
        <f t="shared" si="79"/>
        <v>58</v>
      </c>
      <c r="AJ826" s="64" t="e">
        <f>VLOOKUP(T826,'GL Name'!A:B,2,0)</f>
        <v>#N/A</v>
      </c>
      <c r="AL826" s="13">
        <f t="shared" si="80"/>
        <v>0</v>
      </c>
      <c r="AM826" s="13" t="e">
        <f>VLOOKUP(I826,'Order 301-305 (เรียง)'!A:B,2,0)</f>
        <v>#N/A</v>
      </c>
      <c r="AN826" t="e">
        <f>VLOOKUP(I826,'Order 301-305 (เรียง)'!A:C,3,0)</f>
        <v>#N/A</v>
      </c>
    </row>
    <row r="827" spans="1:40" x14ac:dyDescent="0.3">
      <c r="A827" s="1" t="s">
        <v>121</v>
      </c>
      <c r="B827" s="1" t="s">
        <v>122</v>
      </c>
      <c r="C827" s="1" t="s">
        <v>64</v>
      </c>
      <c r="D827" s="1" t="s">
        <v>93</v>
      </c>
      <c r="E827" s="1" t="s">
        <v>94</v>
      </c>
      <c r="F827" s="1" t="s">
        <v>2028</v>
      </c>
      <c r="G827" s="1" t="s">
        <v>103</v>
      </c>
      <c r="H827" s="1" t="s">
        <v>1378</v>
      </c>
      <c r="I827" s="1" t="s">
        <v>68</v>
      </c>
      <c r="J827" s="1" t="s">
        <v>2029</v>
      </c>
      <c r="K827" s="1" t="s">
        <v>84</v>
      </c>
      <c r="L827" s="1" t="s">
        <v>86</v>
      </c>
      <c r="M827" s="1" t="s">
        <v>68</v>
      </c>
      <c r="N827" s="1" t="s">
        <v>71</v>
      </c>
      <c r="O827" s="1" t="s">
        <v>68</v>
      </c>
      <c r="P827" s="1" t="s">
        <v>72</v>
      </c>
      <c r="Q827" s="1" t="s">
        <v>68</v>
      </c>
      <c r="R827" s="1" t="s">
        <v>68</v>
      </c>
      <c r="S827" s="1" t="s">
        <v>68</v>
      </c>
      <c r="T827" s="1" t="s">
        <v>68</v>
      </c>
      <c r="U827" s="1" t="s">
        <v>68</v>
      </c>
      <c r="V827" s="1" t="s">
        <v>68</v>
      </c>
      <c r="W827" s="1" t="s">
        <v>68</v>
      </c>
      <c r="X827" s="1" t="s">
        <v>68</v>
      </c>
      <c r="Y827" s="73"/>
      <c r="Z827" s="2" t="s">
        <v>102</v>
      </c>
      <c r="AA827" s="3">
        <v>2000</v>
      </c>
      <c r="AB827" s="4">
        <v>0</v>
      </c>
      <c r="AC827" s="73">
        <v>46234</v>
      </c>
      <c r="AD827" s="73">
        <v>46234</v>
      </c>
      <c r="AE827" s="73"/>
      <c r="AF827" s="73">
        <v>46234</v>
      </c>
      <c r="AG827" s="3">
        <v>2000</v>
      </c>
      <c r="AH827" s="353" t="str">
        <f t="shared" si="78"/>
        <v/>
      </c>
      <c r="AI827" s="3" t="str">
        <f t="shared" si="79"/>
        <v>58</v>
      </c>
      <c r="AJ827" s="64" t="e">
        <f>VLOOKUP(T827,'GL Name'!A:B,2,0)</f>
        <v>#N/A</v>
      </c>
      <c r="AL827" s="13">
        <f t="shared" si="80"/>
        <v>0</v>
      </c>
      <c r="AM827" s="13" t="e">
        <f>VLOOKUP(I827,'Order 301-305 (เรียง)'!A:B,2,0)</f>
        <v>#N/A</v>
      </c>
      <c r="AN827" t="e">
        <f>VLOOKUP(I827,'Order 301-305 (เรียง)'!A:C,3,0)</f>
        <v>#N/A</v>
      </c>
    </row>
    <row r="828" spans="1:40" x14ac:dyDescent="0.3">
      <c r="A828" s="1" t="s">
        <v>23</v>
      </c>
      <c r="B828" s="1" t="s">
        <v>24</v>
      </c>
      <c r="C828" s="1" t="s">
        <v>64</v>
      </c>
      <c r="D828" s="1" t="s">
        <v>77</v>
      </c>
      <c r="E828" s="1" t="s">
        <v>78</v>
      </c>
      <c r="F828" s="1" t="s">
        <v>2030</v>
      </c>
      <c r="G828" s="1" t="s">
        <v>103</v>
      </c>
      <c r="H828" s="1" t="s">
        <v>2027</v>
      </c>
      <c r="I828" s="1" t="s">
        <v>2031</v>
      </c>
      <c r="J828" s="1" t="s">
        <v>2032</v>
      </c>
      <c r="K828" s="1" t="s">
        <v>84</v>
      </c>
      <c r="L828" s="1" t="s">
        <v>86</v>
      </c>
      <c r="M828" s="1" t="s">
        <v>68</v>
      </c>
      <c r="N828" s="1" t="s">
        <v>71</v>
      </c>
      <c r="O828" s="1" t="s">
        <v>68</v>
      </c>
      <c r="P828" s="1" t="s">
        <v>2033</v>
      </c>
      <c r="Q828" s="1" t="s">
        <v>68</v>
      </c>
      <c r="R828" s="1" t="s">
        <v>68</v>
      </c>
      <c r="S828" s="1" t="s">
        <v>68</v>
      </c>
      <c r="T828" s="1" t="s">
        <v>123</v>
      </c>
      <c r="U828" s="1" t="s">
        <v>68</v>
      </c>
      <c r="V828" s="1" t="s">
        <v>68</v>
      </c>
      <c r="W828" s="1" t="s">
        <v>68</v>
      </c>
      <c r="X828" s="1" t="s">
        <v>68</v>
      </c>
      <c r="Y828" s="73"/>
      <c r="Z828" s="2" t="s">
        <v>80</v>
      </c>
      <c r="AA828" s="3">
        <v>-8647.75</v>
      </c>
      <c r="AB828" s="4">
        <v>-2811729.44</v>
      </c>
      <c r="AC828" s="73">
        <v>46234</v>
      </c>
      <c r="AD828" s="73">
        <v>46230</v>
      </c>
      <c r="AE828" s="73"/>
      <c r="AF828" s="73">
        <v>46234</v>
      </c>
      <c r="AG828" s="3">
        <v>-8647750</v>
      </c>
      <c r="AH828" s="353" t="str">
        <f t="shared" si="78"/>
        <v>303</v>
      </c>
      <c r="AI828" s="3" t="str">
        <f t="shared" si="79"/>
        <v>57</v>
      </c>
      <c r="AJ828" s="64" t="str">
        <f>VLOOKUP(T828,'GL Name'!A:B,2,0)</f>
        <v>ต้นทุนผลิตกึ่งสำเร็จ</v>
      </c>
      <c r="AL828" s="13">
        <f t="shared" si="80"/>
        <v>325.1400005781851</v>
      </c>
      <c r="AM828" s="13" t="str">
        <f>VLOOKUP(I828,'Order 301-305 (เรียง)'!A:B,2,0)</f>
        <v>59000002</v>
      </c>
      <c r="AN828" t="str">
        <f>VLOOKUP(I828,'Order 301-305 (เรียง)'!A:C,3,0)</f>
        <v>GOLD BLEND ALL CAFE'  ขนาด 500 G.</v>
      </c>
    </row>
    <row r="829" spans="1:40" x14ac:dyDescent="0.3">
      <c r="A829" s="1" t="s">
        <v>106</v>
      </c>
      <c r="B829" s="1" t="s">
        <v>107</v>
      </c>
      <c r="C829" s="1" t="s">
        <v>64</v>
      </c>
      <c r="D829" s="1" t="s">
        <v>77</v>
      </c>
      <c r="E829" s="1" t="s">
        <v>78</v>
      </c>
      <c r="F829" s="1" t="s">
        <v>2030</v>
      </c>
      <c r="G829" s="1" t="s">
        <v>103</v>
      </c>
      <c r="H829" s="1" t="s">
        <v>220</v>
      </c>
      <c r="I829" s="1" t="s">
        <v>2031</v>
      </c>
      <c r="J829" s="1" t="s">
        <v>2032</v>
      </c>
      <c r="K829" s="1" t="s">
        <v>84</v>
      </c>
      <c r="L829" s="1" t="s">
        <v>92</v>
      </c>
      <c r="M829" s="1" t="s">
        <v>68</v>
      </c>
      <c r="N829" s="1" t="s">
        <v>71</v>
      </c>
      <c r="O829" s="1" t="s">
        <v>68</v>
      </c>
      <c r="P829" s="1" t="s">
        <v>2033</v>
      </c>
      <c r="Q829" s="1" t="s">
        <v>68</v>
      </c>
      <c r="R829" s="1" t="s">
        <v>68</v>
      </c>
      <c r="S829" s="1" t="s">
        <v>68</v>
      </c>
      <c r="T829" s="1" t="s">
        <v>108</v>
      </c>
      <c r="U829" s="1" t="s">
        <v>68</v>
      </c>
      <c r="V829" s="1" t="s">
        <v>68</v>
      </c>
      <c r="W829" s="1" t="s">
        <v>68</v>
      </c>
      <c r="X829" s="1" t="s">
        <v>68</v>
      </c>
      <c r="Y829" s="73"/>
      <c r="Z829" s="2" t="s">
        <v>102</v>
      </c>
      <c r="AA829" s="3">
        <v>-17835</v>
      </c>
      <c r="AB829" s="4">
        <v>-15084.27</v>
      </c>
      <c r="AC829" s="73">
        <v>46234</v>
      </c>
      <c r="AD829" s="73">
        <v>46230</v>
      </c>
      <c r="AE829" s="73"/>
      <c r="AF829" s="73">
        <v>46234</v>
      </c>
      <c r="AG829" s="3">
        <v>-17835</v>
      </c>
      <c r="AH829" s="353" t="str">
        <f t="shared" si="78"/>
        <v>303</v>
      </c>
      <c r="AI829" s="3" t="str">
        <f t="shared" si="79"/>
        <v>58</v>
      </c>
      <c r="AJ829" s="64" t="str">
        <f>VLOOKUP(T829,'GL Name'!A:B,2,0)</f>
        <v>ต้นทุนผลิตหีบห่อ</v>
      </c>
      <c r="AL829" s="13">
        <f t="shared" si="80"/>
        <v>0.84576787216148031</v>
      </c>
      <c r="AM829" s="13" t="str">
        <f>VLOOKUP(I829,'Order 301-305 (เรียง)'!A:B,2,0)</f>
        <v>59000002</v>
      </c>
      <c r="AN829" t="str">
        <f>VLOOKUP(I829,'Order 301-305 (เรียง)'!A:C,3,0)</f>
        <v>GOLD BLEND ALL CAFE'  ขนาด 500 G.</v>
      </c>
    </row>
    <row r="830" spans="1:40" x14ac:dyDescent="0.3">
      <c r="A830" s="1" t="s">
        <v>119</v>
      </c>
      <c r="B830" s="1" t="s">
        <v>120</v>
      </c>
      <c r="C830" s="1" t="s">
        <v>64</v>
      </c>
      <c r="D830" s="1" t="s">
        <v>77</v>
      </c>
      <c r="E830" s="1" t="s">
        <v>78</v>
      </c>
      <c r="F830" s="1" t="s">
        <v>2030</v>
      </c>
      <c r="G830" s="1" t="s">
        <v>103</v>
      </c>
      <c r="H830" s="1" t="s">
        <v>772</v>
      </c>
      <c r="I830" s="1" t="s">
        <v>2031</v>
      </c>
      <c r="J830" s="1" t="s">
        <v>2032</v>
      </c>
      <c r="K830" s="1" t="s">
        <v>84</v>
      </c>
      <c r="L830" s="1" t="s">
        <v>89</v>
      </c>
      <c r="M830" s="1" t="s">
        <v>68</v>
      </c>
      <c r="N830" s="1" t="s">
        <v>71</v>
      </c>
      <c r="O830" s="1" t="s">
        <v>68</v>
      </c>
      <c r="P830" s="1" t="s">
        <v>2033</v>
      </c>
      <c r="Q830" s="1" t="s">
        <v>68</v>
      </c>
      <c r="R830" s="1" t="s">
        <v>68</v>
      </c>
      <c r="S830" s="1" t="s">
        <v>68</v>
      </c>
      <c r="T830" s="1" t="s">
        <v>108</v>
      </c>
      <c r="U830" s="1" t="s">
        <v>68</v>
      </c>
      <c r="V830" s="1" t="s">
        <v>68</v>
      </c>
      <c r="W830" s="1" t="s">
        <v>68</v>
      </c>
      <c r="X830" s="1" t="s">
        <v>68</v>
      </c>
      <c r="Y830" s="73"/>
      <c r="Z830" s="2" t="s">
        <v>102</v>
      </c>
      <c r="AA830" s="3">
        <v>-17835</v>
      </c>
      <c r="AB830" s="4">
        <v>-37158.99</v>
      </c>
      <c r="AC830" s="73">
        <v>46234</v>
      </c>
      <c r="AD830" s="73">
        <v>46230</v>
      </c>
      <c r="AE830" s="73"/>
      <c r="AF830" s="73">
        <v>46234</v>
      </c>
      <c r="AG830" s="3">
        <v>-17835</v>
      </c>
      <c r="AH830" s="353" t="str">
        <f t="shared" si="78"/>
        <v>303</v>
      </c>
      <c r="AI830" s="3" t="str">
        <f t="shared" si="79"/>
        <v>58</v>
      </c>
      <c r="AJ830" s="64" t="str">
        <f>VLOOKUP(T830,'GL Name'!A:B,2,0)</f>
        <v>ต้นทุนผลิตหีบห่อ</v>
      </c>
      <c r="AL830" s="13">
        <f t="shared" si="80"/>
        <v>2.0834869638351554</v>
      </c>
      <c r="AM830" s="13" t="str">
        <f>VLOOKUP(I830,'Order 301-305 (เรียง)'!A:B,2,0)</f>
        <v>59000002</v>
      </c>
      <c r="AN830" t="str">
        <f>VLOOKUP(I830,'Order 301-305 (เรียง)'!A:C,3,0)</f>
        <v>GOLD BLEND ALL CAFE'  ขนาด 500 G.</v>
      </c>
    </row>
    <row r="831" spans="1:40" x14ac:dyDescent="0.3">
      <c r="A831" s="1" t="s">
        <v>121</v>
      </c>
      <c r="B831" s="1" t="s">
        <v>122</v>
      </c>
      <c r="C831" s="1" t="s">
        <v>64</v>
      </c>
      <c r="D831" s="1" t="s">
        <v>77</v>
      </c>
      <c r="E831" s="1" t="s">
        <v>78</v>
      </c>
      <c r="F831" s="1" t="s">
        <v>2030</v>
      </c>
      <c r="G831" s="1" t="s">
        <v>103</v>
      </c>
      <c r="H831" s="1" t="s">
        <v>1076</v>
      </c>
      <c r="I831" s="1" t="s">
        <v>2031</v>
      </c>
      <c r="J831" s="1" t="s">
        <v>2032</v>
      </c>
      <c r="K831" s="1" t="s">
        <v>84</v>
      </c>
      <c r="L831" s="1" t="s">
        <v>95</v>
      </c>
      <c r="M831" s="1" t="s">
        <v>68</v>
      </c>
      <c r="N831" s="1" t="s">
        <v>71</v>
      </c>
      <c r="O831" s="1" t="s">
        <v>68</v>
      </c>
      <c r="P831" s="1" t="s">
        <v>2033</v>
      </c>
      <c r="Q831" s="1" t="s">
        <v>68</v>
      </c>
      <c r="R831" s="1" t="s">
        <v>68</v>
      </c>
      <c r="S831" s="1" t="s">
        <v>68</v>
      </c>
      <c r="T831" s="1" t="s">
        <v>108</v>
      </c>
      <c r="U831" s="1" t="s">
        <v>68</v>
      </c>
      <c r="V831" s="1" t="s">
        <v>68</v>
      </c>
      <c r="W831" s="1" t="s">
        <v>68</v>
      </c>
      <c r="X831" s="1" t="s">
        <v>68</v>
      </c>
      <c r="Y831" s="73"/>
      <c r="Z831" s="2" t="s">
        <v>102</v>
      </c>
      <c r="AA831" s="3">
        <v>-1018</v>
      </c>
      <c r="AB831" s="4">
        <v>-5090</v>
      </c>
      <c r="AC831" s="73">
        <v>46234</v>
      </c>
      <c r="AD831" s="73">
        <v>46230</v>
      </c>
      <c r="AE831" s="73"/>
      <c r="AF831" s="73">
        <v>46234</v>
      </c>
      <c r="AG831" s="3">
        <v>-1018</v>
      </c>
      <c r="AH831" s="353" t="str">
        <f t="shared" si="78"/>
        <v>303</v>
      </c>
      <c r="AI831" s="3" t="str">
        <f t="shared" si="79"/>
        <v>58</v>
      </c>
      <c r="AJ831" s="64" t="str">
        <f>VLOOKUP(T831,'GL Name'!A:B,2,0)</f>
        <v>ต้นทุนผลิตหีบห่อ</v>
      </c>
      <c r="AL831" s="13">
        <f t="shared" si="80"/>
        <v>5</v>
      </c>
      <c r="AM831" s="13" t="str">
        <f>VLOOKUP(I831,'Order 301-305 (เรียง)'!A:B,2,0)</f>
        <v>59000002</v>
      </c>
      <c r="AN831" t="str">
        <f>VLOOKUP(I831,'Order 301-305 (เรียง)'!A:C,3,0)</f>
        <v>GOLD BLEND ALL CAFE'  ขนาด 500 G.</v>
      </c>
    </row>
    <row r="832" spans="1:40" x14ac:dyDescent="0.3">
      <c r="A832" s="1" t="s">
        <v>121</v>
      </c>
      <c r="B832" s="1" t="s">
        <v>122</v>
      </c>
      <c r="C832" s="1" t="s">
        <v>64</v>
      </c>
      <c r="D832" s="1" t="s">
        <v>77</v>
      </c>
      <c r="E832" s="1" t="s">
        <v>78</v>
      </c>
      <c r="F832" s="1" t="s">
        <v>2030</v>
      </c>
      <c r="G832" s="1" t="s">
        <v>103</v>
      </c>
      <c r="H832" s="1" t="s">
        <v>1378</v>
      </c>
      <c r="I832" s="1" t="s">
        <v>2031</v>
      </c>
      <c r="J832" s="1" t="s">
        <v>2032</v>
      </c>
      <c r="K832" s="1" t="s">
        <v>84</v>
      </c>
      <c r="L832" s="1" t="s">
        <v>111</v>
      </c>
      <c r="M832" s="1" t="s">
        <v>68</v>
      </c>
      <c r="N832" s="1" t="s">
        <v>71</v>
      </c>
      <c r="O832" s="1" t="s">
        <v>68</v>
      </c>
      <c r="P832" s="1" t="s">
        <v>72</v>
      </c>
      <c r="Q832" s="1" t="s">
        <v>68</v>
      </c>
      <c r="R832" s="1" t="s">
        <v>122</v>
      </c>
      <c r="S832" s="1" t="s">
        <v>68</v>
      </c>
      <c r="T832" s="1" t="s">
        <v>108</v>
      </c>
      <c r="U832" s="1" t="s">
        <v>68</v>
      </c>
      <c r="V832" s="1" t="s">
        <v>68</v>
      </c>
      <c r="W832" s="1" t="s">
        <v>68</v>
      </c>
      <c r="X832" s="1" t="s">
        <v>68</v>
      </c>
      <c r="Y832" s="73"/>
      <c r="Z832" s="2" t="s">
        <v>102</v>
      </c>
      <c r="AA832" s="3">
        <v>-1865</v>
      </c>
      <c r="AB832" s="4">
        <v>-9325</v>
      </c>
      <c r="AC832" s="73">
        <v>46234</v>
      </c>
      <c r="AD832" s="73">
        <v>46230</v>
      </c>
      <c r="AE832" s="73"/>
      <c r="AF832" s="73">
        <v>46234</v>
      </c>
      <c r="AG832" s="3">
        <v>-1865</v>
      </c>
      <c r="AH832" s="353" t="str">
        <f t="shared" si="78"/>
        <v>303</v>
      </c>
      <c r="AI832" s="3" t="str">
        <f t="shared" si="79"/>
        <v>58</v>
      </c>
      <c r="AJ832" s="64" t="str">
        <f>VLOOKUP(T832,'GL Name'!A:B,2,0)</f>
        <v>ต้นทุนผลิตหีบห่อ</v>
      </c>
      <c r="AL832" s="13">
        <f t="shared" si="80"/>
        <v>5</v>
      </c>
      <c r="AM832" s="13" t="str">
        <f>VLOOKUP(I832,'Order 301-305 (เรียง)'!A:B,2,0)</f>
        <v>59000002</v>
      </c>
      <c r="AN832" t="str">
        <f>VLOOKUP(I832,'Order 301-305 (เรียง)'!A:C,3,0)</f>
        <v>GOLD BLEND ALL CAFE'  ขนาด 500 G.</v>
      </c>
    </row>
    <row r="833" spans="1:40" x14ac:dyDescent="0.3">
      <c r="A833" s="1" t="s">
        <v>81</v>
      </c>
      <c r="B833" s="1" t="s">
        <v>82</v>
      </c>
      <c r="C833" s="1" t="s">
        <v>64</v>
      </c>
      <c r="D833" s="1" t="s">
        <v>115</v>
      </c>
      <c r="E833" s="1" t="s">
        <v>116</v>
      </c>
      <c r="F833" s="1" t="s">
        <v>2030</v>
      </c>
      <c r="G833" s="1" t="s">
        <v>83</v>
      </c>
      <c r="H833" s="1" t="s">
        <v>2034</v>
      </c>
      <c r="I833" s="1" t="s">
        <v>2031</v>
      </c>
      <c r="J833" s="1" t="s">
        <v>2032</v>
      </c>
      <c r="K833" s="1" t="s">
        <v>84</v>
      </c>
      <c r="L833" s="1" t="s">
        <v>70</v>
      </c>
      <c r="M833" s="1" t="s">
        <v>68</v>
      </c>
      <c r="N833" s="1" t="s">
        <v>71</v>
      </c>
      <c r="O833" s="1" t="s">
        <v>68</v>
      </c>
      <c r="P833" s="1" t="s">
        <v>72</v>
      </c>
      <c r="Q833" s="1" t="s">
        <v>68</v>
      </c>
      <c r="R833" s="1" t="s">
        <v>68</v>
      </c>
      <c r="S833" s="1" t="s">
        <v>68</v>
      </c>
      <c r="T833" s="1" t="s">
        <v>117</v>
      </c>
      <c r="U833" s="1" t="s">
        <v>68</v>
      </c>
      <c r="V833" s="1" t="s">
        <v>68</v>
      </c>
      <c r="W833" s="1" t="s">
        <v>68</v>
      </c>
      <c r="X833" s="1" t="s">
        <v>68</v>
      </c>
      <c r="Y833" s="73"/>
      <c r="Z833" s="2" t="s">
        <v>74</v>
      </c>
      <c r="AA833" s="3">
        <v>17278</v>
      </c>
      <c r="AB833" s="4">
        <v>2934841.08</v>
      </c>
      <c r="AC833" s="73">
        <v>46234</v>
      </c>
      <c r="AD833" s="73">
        <v>46230</v>
      </c>
      <c r="AE833" s="73"/>
      <c r="AF833" s="73">
        <v>46234</v>
      </c>
      <c r="AG833" s="3">
        <v>8639000</v>
      </c>
      <c r="AH833" s="353" t="str">
        <f t="shared" si="78"/>
        <v>303</v>
      </c>
      <c r="AI833" s="3" t="str">
        <f t="shared" si="79"/>
        <v>59</v>
      </c>
      <c r="AJ833" s="64" t="str">
        <f>VLOOKUP(T833,'GL Name'!A:B,2,0)</f>
        <v>ต้นทุนผลิตโอน F/G</v>
      </c>
      <c r="AL833" s="13">
        <f t="shared" si="80"/>
        <v>169.86</v>
      </c>
      <c r="AM833" s="13" t="str">
        <f>VLOOKUP(I833,'Order 301-305 (เรียง)'!A:B,2,0)</f>
        <v>59000002</v>
      </c>
      <c r="AN833" t="str">
        <f>VLOOKUP(I833,'Order 301-305 (เรียง)'!A:C,3,0)</f>
        <v>GOLD BLEND ALL CAFE'  ขนาด 500 G.</v>
      </c>
    </row>
    <row r="834" spans="1:40" x14ac:dyDescent="0.3">
      <c r="A834" s="1" t="s">
        <v>863</v>
      </c>
      <c r="B834" s="1" t="s">
        <v>864</v>
      </c>
      <c r="C834" s="1" t="s">
        <v>64</v>
      </c>
      <c r="D834" s="1" t="s">
        <v>125</v>
      </c>
      <c r="E834" s="1" t="s">
        <v>289</v>
      </c>
      <c r="F834" s="1" t="s">
        <v>2035</v>
      </c>
      <c r="G834" s="1" t="s">
        <v>83</v>
      </c>
      <c r="H834" s="1" t="s">
        <v>264</v>
      </c>
      <c r="I834" s="1" t="s">
        <v>68</v>
      </c>
      <c r="J834" s="1" t="s">
        <v>2036</v>
      </c>
      <c r="K834" s="1" t="s">
        <v>69</v>
      </c>
      <c r="L834" s="1" t="s">
        <v>86</v>
      </c>
      <c r="M834" s="1" t="s">
        <v>68</v>
      </c>
      <c r="N834" s="1" t="s">
        <v>71</v>
      </c>
      <c r="O834" s="1" t="s">
        <v>68</v>
      </c>
      <c r="P834" s="1" t="s">
        <v>72</v>
      </c>
      <c r="Q834" s="1" t="s">
        <v>2037</v>
      </c>
      <c r="R834" s="1" t="s">
        <v>68</v>
      </c>
      <c r="S834" s="1" t="s">
        <v>68</v>
      </c>
      <c r="T834" s="1" t="s">
        <v>68</v>
      </c>
      <c r="U834" s="1" t="s">
        <v>68</v>
      </c>
      <c r="V834" s="1" t="s">
        <v>68</v>
      </c>
      <c r="W834" s="1" t="s">
        <v>68</v>
      </c>
      <c r="X834" s="1" t="s">
        <v>68</v>
      </c>
      <c r="Y834" s="73"/>
      <c r="Z834" s="2" t="s">
        <v>74</v>
      </c>
      <c r="AA834" s="3">
        <v>393</v>
      </c>
      <c r="AB834" s="4">
        <v>0</v>
      </c>
      <c r="AC834" s="73">
        <v>46234</v>
      </c>
      <c r="AD834" s="73">
        <v>46234</v>
      </c>
      <c r="AE834" s="73"/>
      <c r="AF834" s="73">
        <v>46234</v>
      </c>
      <c r="AG834" s="3">
        <v>98250</v>
      </c>
      <c r="AH834" s="353" t="str">
        <f t="shared" si="78"/>
        <v/>
      </c>
      <c r="AI834" s="3" t="str">
        <f t="shared" si="79"/>
        <v>59</v>
      </c>
      <c r="AJ834" s="64" t="e">
        <f>VLOOKUP(T834,'GL Name'!A:B,2,0)</f>
        <v>#N/A</v>
      </c>
      <c r="AL834" s="13">
        <f t="shared" si="80"/>
        <v>0</v>
      </c>
      <c r="AM834" s="13" t="e">
        <f>VLOOKUP(I834,'Order 301-305 (เรียง)'!A:B,2,0)</f>
        <v>#N/A</v>
      </c>
      <c r="AN834" t="e">
        <f>VLOOKUP(I834,'Order 301-305 (เรียง)'!A:C,3,0)</f>
        <v>#N/A</v>
      </c>
    </row>
    <row r="835" spans="1:40" x14ac:dyDescent="0.3">
      <c r="A835" s="1" t="s">
        <v>863</v>
      </c>
      <c r="B835" s="1" t="s">
        <v>864</v>
      </c>
      <c r="C835" s="1" t="s">
        <v>64</v>
      </c>
      <c r="D835" s="1" t="s">
        <v>125</v>
      </c>
      <c r="E835" s="1" t="s">
        <v>289</v>
      </c>
      <c r="F835" s="1" t="s">
        <v>2035</v>
      </c>
      <c r="G835" s="1" t="s">
        <v>67</v>
      </c>
      <c r="H835" s="1" t="s">
        <v>264</v>
      </c>
      <c r="I835" s="1" t="s">
        <v>68</v>
      </c>
      <c r="J835" s="1" t="s">
        <v>2036</v>
      </c>
      <c r="K835" s="1" t="s">
        <v>69</v>
      </c>
      <c r="L835" s="1" t="s">
        <v>70</v>
      </c>
      <c r="M835" s="1" t="s">
        <v>68</v>
      </c>
      <c r="N835" s="1" t="s">
        <v>71</v>
      </c>
      <c r="O835" s="1" t="s">
        <v>68</v>
      </c>
      <c r="P835" s="1" t="s">
        <v>72</v>
      </c>
      <c r="Q835" s="1" t="s">
        <v>2037</v>
      </c>
      <c r="R835" s="1" t="s">
        <v>68</v>
      </c>
      <c r="S835" s="1" t="s">
        <v>68</v>
      </c>
      <c r="T835" s="1" t="s">
        <v>68</v>
      </c>
      <c r="U835" s="1" t="s">
        <v>68</v>
      </c>
      <c r="V835" s="1" t="s">
        <v>68</v>
      </c>
      <c r="W835" s="1" t="s">
        <v>68</v>
      </c>
      <c r="X835" s="1" t="s">
        <v>68</v>
      </c>
      <c r="Y835" s="73"/>
      <c r="Z835" s="2" t="s">
        <v>74</v>
      </c>
      <c r="AA835" s="3">
        <v>-393</v>
      </c>
      <c r="AB835" s="4">
        <v>0</v>
      </c>
      <c r="AC835" s="73">
        <v>46234</v>
      </c>
      <c r="AD835" s="73">
        <v>46234</v>
      </c>
      <c r="AE835" s="73"/>
      <c r="AF835" s="73">
        <v>46234</v>
      </c>
      <c r="AG835" s="3">
        <v>-98250</v>
      </c>
      <c r="AH835" s="353" t="str">
        <f t="shared" si="78"/>
        <v/>
      </c>
      <c r="AI835" s="3" t="str">
        <f t="shared" si="79"/>
        <v>59</v>
      </c>
      <c r="AJ835" s="64" t="e">
        <f>VLOOKUP(T835,'GL Name'!A:B,2,0)</f>
        <v>#N/A</v>
      </c>
      <c r="AL835" s="13">
        <f t="shared" si="80"/>
        <v>0</v>
      </c>
      <c r="AM835" s="13" t="e">
        <f>VLOOKUP(I835,'Order 301-305 (เรียง)'!A:B,2,0)</f>
        <v>#N/A</v>
      </c>
      <c r="AN835" t="e">
        <f>VLOOKUP(I835,'Order 301-305 (เรียง)'!A:C,3,0)</f>
        <v>#N/A</v>
      </c>
    </row>
    <row r="836" spans="1:40" x14ac:dyDescent="0.3">
      <c r="A836" s="1" t="s">
        <v>262</v>
      </c>
      <c r="B836" s="1" t="s">
        <v>263</v>
      </c>
      <c r="C836" s="1" t="s">
        <v>64</v>
      </c>
      <c r="D836" s="1" t="s">
        <v>125</v>
      </c>
      <c r="E836" s="1" t="s">
        <v>289</v>
      </c>
      <c r="F836" s="1" t="s">
        <v>2035</v>
      </c>
      <c r="G836" s="1" t="s">
        <v>67</v>
      </c>
      <c r="H836" s="1" t="s">
        <v>264</v>
      </c>
      <c r="I836" s="1" t="s">
        <v>68</v>
      </c>
      <c r="J836" s="1" t="s">
        <v>2036</v>
      </c>
      <c r="K836" s="1" t="s">
        <v>69</v>
      </c>
      <c r="L836" s="1" t="s">
        <v>92</v>
      </c>
      <c r="M836" s="1" t="s">
        <v>68</v>
      </c>
      <c r="N836" s="1" t="s">
        <v>71</v>
      </c>
      <c r="O836" s="1" t="s">
        <v>68</v>
      </c>
      <c r="P836" s="1" t="s">
        <v>72</v>
      </c>
      <c r="Q836" s="1" t="s">
        <v>2037</v>
      </c>
      <c r="R836" s="1" t="s">
        <v>68</v>
      </c>
      <c r="S836" s="1" t="s">
        <v>68</v>
      </c>
      <c r="T836" s="1" t="s">
        <v>68</v>
      </c>
      <c r="U836" s="1" t="s">
        <v>68</v>
      </c>
      <c r="V836" s="1" t="s">
        <v>68</v>
      </c>
      <c r="W836" s="1" t="s">
        <v>68</v>
      </c>
      <c r="X836" s="1" t="s">
        <v>68</v>
      </c>
      <c r="Y836" s="73"/>
      <c r="Z836" s="2" t="s">
        <v>74</v>
      </c>
      <c r="AA836" s="3">
        <v>-728</v>
      </c>
      <c r="AB836" s="4">
        <v>0</v>
      </c>
      <c r="AC836" s="73">
        <v>46234</v>
      </c>
      <c r="AD836" s="73">
        <v>46234</v>
      </c>
      <c r="AE836" s="73"/>
      <c r="AF836" s="73">
        <v>46234</v>
      </c>
      <c r="AG836" s="3">
        <v>-364000</v>
      </c>
      <c r="AH836" s="353" t="str">
        <f t="shared" si="78"/>
        <v/>
      </c>
      <c r="AI836" s="3" t="str">
        <f t="shared" si="79"/>
        <v>59</v>
      </c>
      <c r="AJ836" s="64" t="e">
        <f>VLOOKUP(T836,'GL Name'!A:B,2,0)</f>
        <v>#N/A</v>
      </c>
      <c r="AL836" s="13">
        <f t="shared" si="80"/>
        <v>0</v>
      </c>
      <c r="AM836" s="13" t="e">
        <f>VLOOKUP(I836,'Order 301-305 (เรียง)'!A:B,2,0)</f>
        <v>#N/A</v>
      </c>
      <c r="AN836" t="e">
        <f>VLOOKUP(I836,'Order 301-305 (เรียง)'!A:C,3,0)</f>
        <v>#N/A</v>
      </c>
    </row>
    <row r="837" spans="1:40" x14ac:dyDescent="0.3">
      <c r="A837" s="1" t="s">
        <v>262</v>
      </c>
      <c r="B837" s="1" t="s">
        <v>263</v>
      </c>
      <c r="C837" s="1" t="s">
        <v>64</v>
      </c>
      <c r="D837" s="1" t="s">
        <v>125</v>
      </c>
      <c r="E837" s="1" t="s">
        <v>289</v>
      </c>
      <c r="F837" s="1" t="s">
        <v>2035</v>
      </c>
      <c r="G837" s="1" t="s">
        <v>83</v>
      </c>
      <c r="H837" s="1" t="s">
        <v>264</v>
      </c>
      <c r="I837" s="1" t="s">
        <v>68</v>
      </c>
      <c r="J837" s="1" t="s">
        <v>2036</v>
      </c>
      <c r="K837" s="1" t="s">
        <v>69</v>
      </c>
      <c r="L837" s="1" t="s">
        <v>89</v>
      </c>
      <c r="M837" s="1" t="s">
        <v>68</v>
      </c>
      <c r="N837" s="1" t="s">
        <v>71</v>
      </c>
      <c r="O837" s="1" t="s">
        <v>68</v>
      </c>
      <c r="P837" s="1" t="s">
        <v>72</v>
      </c>
      <c r="Q837" s="1" t="s">
        <v>2037</v>
      </c>
      <c r="R837" s="1" t="s">
        <v>68</v>
      </c>
      <c r="S837" s="1" t="s">
        <v>68</v>
      </c>
      <c r="T837" s="1" t="s">
        <v>68</v>
      </c>
      <c r="U837" s="1" t="s">
        <v>68</v>
      </c>
      <c r="V837" s="1" t="s">
        <v>68</v>
      </c>
      <c r="W837" s="1" t="s">
        <v>68</v>
      </c>
      <c r="X837" s="1" t="s">
        <v>68</v>
      </c>
      <c r="Y837" s="73"/>
      <c r="Z837" s="2" t="s">
        <v>74</v>
      </c>
      <c r="AA837" s="3">
        <v>728</v>
      </c>
      <c r="AB837" s="4">
        <v>0</v>
      </c>
      <c r="AC837" s="73">
        <v>46234</v>
      </c>
      <c r="AD837" s="73">
        <v>46234</v>
      </c>
      <c r="AE837" s="73"/>
      <c r="AF837" s="73">
        <v>46234</v>
      </c>
      <c r="AG837" s="3">
        <v>364000</v>
      </c>
      <c r="AH837" s="353" t="str">
        <f t="shared" si="78"/>
        <v/>
      </c>
      <c r="AI837" s="3" t="str">
        <f t="shared" si="79"/>
        <v>59</v>
      </c>
      <c r="AJ837" s="64" t="e">
        <f>VLOOKUP(T837,'GL Name'!A:B,2,0)</f>
        <v>#N/A</v>
      </c>
      <c r="AL837" s="13">
        <f t="shared" si="80"/>
        <v>0</v>
      </c>
      <c r="AM837" s="13" t="e">
        <f>VLOOKUP(I837,'Order 301-305 (เรียง)'!A:B,2,0)</f>
        <v>#N/A</v>
      </c>
      <c r="AN837" t="e">
        <f>VLOOKUP(I837,'Order 301-305 (เรียง)'!A:C,3,0)</f>
        <v>#N/A</v>
      </c>
    </row>
    <row r="838" spans="1:40" x14ac:dyDescent="0.3">
      <c r="A838" s="1" t="s">
        <v>128</v>
      </c>
      <c r="B838" s="1" t="s">
        <v>129</v>
      </c>
      <c r="C838" s="1" t="s">
        <v>64</v>
      </c>
      <c r="D838" s="1" t="s">
        <v>2038</v>
      </c>
      <c r="E838" s="1" t="s">
        <v>2039</v>
      </c>
      <c r="F838" s="1" t="s">
        <v>2040</v>
      </c>
      <c r="G838" s="1" t="s">
        <v>131</v>
      </c>
      <c r="H838" s="1" t="s">
        <v>2041</v>
      </c>
      <c r="I838" s="1" t="s">
        <v>68</v>
      </c>
      <c r="J838" s="1" t="s">
        <v>2042</v>
      </c>
      <c r="K838" s="1" t="s">
        <v>84</v>
      </c>
      <c r="L838" s="1" t="s">
        <v>70</v>
      </c>
      <c r="M838" s="1" t="s">
        <v>68</v>
      </c>
      <c r="N838" s="1" t="s">
        <v>2043</v>
      </c>
      <c r="O838" s="1" t="s">
        <v>68</v>
      </c>
      <c r="P838" s="1" t="s">
        <v>72</v>
      </c>
      <c r="Q838" s="1" t="s">
        <v>2044</v>
      </c>
      <c r="R838" s="1" t="s">
        <v>2045</v>
      </c>
      <c r="S838" s="1" t="s">
        <v>2046</v>
      </c>
      <c r="T838" s="1" t="s">
        <v>184</v>
      </c>
      <c r="U838" s="1" t="s">
        <v>68</v>
      </c>
      <c r="V838" s="1" t="s">
        <v>68</v>
      </c>
      <c r="W838" s="1" t="s">
        <v>68</v>
      </c>
      <c r="X838" s="1" t="s">
        <v>68</v>
      </c>
      <c r="Y838" s="73"/>
      <c r="Z838" s="2" t="s">
        <v>102</v>
      </c>
      <c r="AA838" s="3">
        <v>-35</v>
      </c>
      <c r="AB838" s="4">
        <v>-36225</v>
      </c>
      <c r="AC838" s="73">
        <v>46234</v>
      </c>
      <c r="AD838" s="73">
        <v>46234</v>
      </c>
      <c r="AE838" s="73"/>
      <c r="AF838" s="73">
        <v>46234</v>
      </c>
      <c r="AG838" s="3">
        <v>-35</v>
      </c>
      <c r="AH838" s="353" t="str">
        <f t="shared" si="78"/>
        <v/>
      </c>
      <c r="AI838" s="3" t="str">
        <f t="shared" si="79"/>
        <v>54</v>
      </c>
      <c r="AJ838" s="64" t="str">
        <f>VLOOKUP(T838,'GL Name'!A:B,2,0)</f>
        <v>ค่าเชื้อเพลิง</v>
      </c>
      <c r="AL838" s="13">
        <f t="shared" si="80"/>
        <v>1035</v>
      </c>
      <c r="AM838" s="13" t="e">
        <f>VLOOKUP(I838,'Order 301-305 (เรียง)'!A:B,2,0)</f>
        <v>#N/A</v>
      </c>
      <c r="AN838" t="e">
        <f>VLOOKUP(I838,'Order 301-305 (เรียง)'!A:C,3,0)</f>
        <v>#N/A</v>
      </c>
    </row>
    <row r="839" spans="1:40" x14ac:dyDescent="0.3">
      <c r="A839" s="1" t="s">
        <v>128</v>
      </c>
      <c r="B839" s="1" t="s">
        <v>129</v>
      </c>
      <c r="C839" s="1" t="s">
        <v>64</v>
      </c>
      <c r="D839" s="1" t="s">
        <v>2038</v>
      </c>
      <c r="E839" s="1" t="s">
        <v>2039</v>
      </c>
      <c r="F839" s="1" t="s">
        <v>2040</v>
      </c>
      <c r="G839" s="1" t="s">
        <v>131</v>
      </c>
      <c r="H839" s="1" t="s">
        <v>690</v>
      </c>
      <c r="I839" s="1" t="s">
        <v>68</v>
      </c>
      <c r="J839" s="1" t="s">
        <v>2042</v>
      </c>
      <c r="K839" s="1" t="s">
        <v>84</v>
      </c>
      <c r="L839" s="1" t="s">
        <v>86</v>
      </c>
      <c r="M839" s="1" t="s">
        <v>68</v>
      </c>
      <c r="N839" s="1" t="s">
        <v>2043</v>
      </c>
      <c r="O839" s="1" t="s">
        <v>68</v>
      </c>
      <c r="P839" s="1" t="s">
        <v>72</v>
      </c>
      <c r="Q839" s="1" t="s">
        <v>2044</v>
      </c>
      <c r="R839" s="1" t="s">
        <v>2045</v>
      </c>
      <c r="S839" s="1" t="s">
        <v>2046</v>
      </c>
      <c r="T839" s="1" t="s">
        <v>184</v>
      </c>
      <c r="U839" s="1" t="s">
        <v>68</v>
      </c>
      <c r="V839" s="1" t="s">
        <v>68</v>
      </c>
      <c r="W839" s="1" t="s">
        <v>68</v>
      </c>
      <c r="X839" s="1" t="s">
        <v>68</v>
      </c>
      <c r="Y839" s="73"/>
      <c r="Z839" s="2" t="s">
        <v>102</v>
      </c>
      <c r="AA839" s="3">
        <v>-311</v>
      </c>
      <c r="AB839" s="4">
        <v>-321885</v>
      </c>
      <c r="AC839" s="73">
        <v>46234</v>
      </c>
      <c r="AD839" s="73">
        <v>46234</v>
      </c>
      <c r="AE839" s="73"/>
      <c r="AF839" s="73">
        <v>46234</v>
      </c>
      <c r="AG839" s="3">
        <v>-311</v>
      </c>
      <c r="AH839" s="353" t="str">
        <f t="shared" si="78"/>
        <v/>
      </c>
      <c r="AI839" s="3" t="str">
        <f t="shared" si="79"/>
        <v>54</v>
      </c>
      <c r="AJ839" s="64" t="str">
        <f>VLOOKUP(T839,'GL Name'!A:B,2,0)</f>
        <v>ค่าเชื้อเพลิง</v>
      </c>
      <c r="AL839" s="13">
        <f t="shared" si="80"/>
        <v>1035</v>
      </c>
      <c r="AM839" s="13" t="e">
        <f>VLOOKUP(I839,'Order 301-305 (เรียง)'!A:B,2,0)</f>
        <v>#N/A</v>
      </c>
      <c r="AN839" t="e">
        <f>VLOOKUP(I839,'Order 301-305 (เรียง)'!A:C,3,0)</f>
        <v>#N/A</v>
      </c>
    </row>
    <row r="840" spans="1:40" x14ac:dyDescent="0.3">
      <c r="A840" s="1" t="s">
        <v>9</v>
      </c>
      <c r="B840" s="1" t="s">
        <v>10</v>
      </c>
      <c r="C840" s="1" t="s">
        <v>64</v>
      </c>
      <c r="D840" s="1" t="s">
        <v>87</v>
      </c>
      <c r="E840" s="1" t="s">
        <v>88</v>
      </c>
      <c r="F840" s="1" t="s">
        <v>2047</v>
      </c>
      <c r="G840" s="1" t="s">
        <v>278</v>
      </c>
      <c r="H840" s="1" t="s">
        <v>327</v>
      </c>
      <c r="I840" s="1" t="s">
        <v>68</v>
      </c>
      <c r="J840" s="1" t="s">
        <v>2048</v>
      </c>
      <c r="K840" s="1" t="s">
        <v>290</v>
      </c>
      <c r="L840" s="1" t="s">
        <v>70</v>
      </c>
      <c r="M840" s="1" t="s">
        <v>68</v>
      </c>
      <c r="N840" s="1" t="s">
        <v>71</v>
      </c>
      <c r="O840" s="1" t="s">
        <v>68</v>
      </c>
      <c r="P840" s="1" t="s">
        <v>502</v>
      </c>
      <c r="Q840" s="1" t="s">
        <v>68</v>
      </c>
      <c r="R840" s="1" t="s">
        <v>503</v>
      </c>
      <c r="S840" s="1" t="s">
        <v>90</v>
      </c>
      <c r="T840" s="1" t="s">
        <v>91</v>
      </c>
      <c r="U840" s="1" t="s">
        <v>68</v>
      </c>
      <c r="V840" s="1" t="s">
        <v>68</v>
      </c>
      <c r="W840" s="1" t="s">
        <v>68</v>
      </c>
      <c r="X840" s="1" t="s">
        <v>68</v>
      </c>
      <c r="Y840" s="73"/>
      <c r="Z840" s="2" t="s">
        <v>265</v>
      </c>
      <c r="AA840" s="3">
        <v>-500</v>
      </c>
      <c r="AB840" s="4">
        <v>-132.21</v>
      </c>
      <c r="AC840" s="73">
        <v>46207</v>
      </c>
      <c r="AD840" s="73">
        <v>46207</v>
      </c>
      <c r="AE840" s="73"/>
      <c r="AF840" s="73">
        <v>46234</v>
      </c>
      <c r="AG840" s="3">
        <v>-500</v>
      </c>
      <c r="AH840" s="353" t="str">
        <f t="shared" si="78"/>
        <v/>
      </c>
      <c r="AI840" s="3" t="str">
        <f t="shared" si="79"/>
        <v>54</v>
      </c>
      <c r="AJ840" s="64" t="str">
        <f>VLOOKUP(T840,'GL Name'!A:B,2,0)</f>
        <v>ค่าวิจัยคุณภาพสินค้า</v>
      </c>
      <c r="AL840" s="13">
        <f t="shared" si="80"/>
        <v>0.26441999999999999</v>
      </c>
      <c r="AM840" s="13" t="e">
        <f>VLOOKUP(I840,'Order 301-305 (เรียง)'!A:B,2,0)</f>
        <v>#N/A</v>
      </c>
      <c r="AN840" t="e">
        <f>VLOOKUP(I840,'Order 301-305 (เรียง)'!A:C,3,0)</f>
        <v>#N/A</v>
      </c>
    </row>
    <row r="841" spans="1:40" x14ac:dyDescent="0.3">
      <c r="A841" s="1" t="s">
        <v>9</v>
      </c>
      <c r="B841" s="1" t="s">
        <v>10</v>
      </c>
      <c r="C841" s="1" t="s">
        <v>64</v>
      </c>
      <c r="D841" s="1" t="s">
        <v>87</v>
      </c>
      <c r="E841" s="1" t="s">
        <v>88</v>
      </c>
      <c r="F841" s="1" t="s">
        <v>2049</v>
      </c>
      <c r="G841" s="1" t="s">
        <v>278</v>
      </c>
      <c r="H841" s="1" t="s">
        <v>944</v>
      </c>
      <c r="I841" s="1" t="s">
        <v>68</v>
      </c>
      <c r="J841" s="1" t="s">
        <v>2050</v>
      </c>
      <c r="K841" s="1" t="s">
        <v>290</v>
      </c>
      <c r="L841" s="1" t="s">
        <v>70</v>
      </c>
      <c r="M841" s="1" t="s">
        <v>68</v>
      </c>
      <c r="N841" s="1" t="s">
        <v>71</v>
      </c>
      <c r="O841" s="1" t="s">
        <v>68</v>
      </c>
      <c r="P841" s="1" t="s">
        <v>2051</v>
      </c>
      <c r="Q841" s="1" t="s">
        <v>68</v>
      </c>
      <c r="R841" s="1" t="s">
        <v>2052</v>
      </c>
      <c r="S841" s="1" t="s">
        <v>90</v>
      </c>
      <c r="T841" s="1" t="s">
        <v>91</v>
      </c>
      <c r="U841" s="1" t="s">
        <v>68</v>
      </c>
      <c r="V841" s="1" t="s">
        <v>68</v>
      </c>
      <c r="W841" s="1" t="s">
        <v>68</v>
      </c>
      <c r="X841" s="1" t="s">
        <v>68</v>
      </c>
      <c r="Y841" s="73"/>
      <c r="Z841" s="2" t="s">
        <v>265</v>
      </c>
      <c r="AA841" s="3">
        <v>-500</v>
      </c>
      <c r="AB841" s="4">
        <v>-132.21</v>
      </c>
      <c r="AC841" s="73">
        <v>46234</v>
      </c>
      <c r="AD841" s="73">
        <v>46234</v>
      </c>
      <c r="AE841" s="73"/>
      <c r="AF841" s="73">
        <v>46234</v>
      </c>
      <c r="AG841" s="3">
        <v>-500</v>
      </c>
      <c r="AH841" s="353" t="str">
        <f t="shared" si="78"/>
        <v/>
      </c>
      <c r="AI841" s="3" t="str">
        <f t="shared" si="79"/>
        <v>54</v>
      </c>
      <c r="AJ841" s="64" t="str">
        <f>VLOOKUP(T841,'GL Name'!A:B,2,0)</f>
        <v>ค่าวิจัยคุณภาพสินค้า</v>
      </c>
      <c r="AL841" s="13">
        <f t="shared" si="80"/>
        <v>0.26441999999999999</v>
      </c>
      <c r="AM841" s="13" t="e">
        <f>VLOOKUP(I841,'Order 301-305 (เรียง)'!A:B,2,0)</f>
        <v>#N/A</v>
      </c>
      <c r="AN841" t="e">
        <f>VLOOKUP(I841,'Order 301-305 (เรียง)'!A:C,3,0)</f>
        <v>#N/A</v>
      </c>
    </row>
    <row r="842" spans="1:40" x14ac:dyDescent="0.3">
      <c r="A842" s="1" t="s">
        <v>9</v>
      </c>
      <c r="B842" s="1" t="s">
        <v>10</v>
      </c>
      <c r="C842" s="1" t="s">
        <v>64</v>
      </c>
      <c r="D842" s="1" t="s">
        <v>87</v>
      </c>
      <c r="E842" s="1" t="s">
        <v>88</v>
      </c>
      <c r="F842" s="1" t="s">
        <v>2053</v>
      </c>
      <c r="G842" s="1" t="s">
        <v>278</v>
      </c>
      <c r="H842" s="1" t="s">
        <v>944</v>
      </c>
      <c r="I842" s="1" t="s">
        <v>68</v>
      </c>
      <c r="J842" s="1" t="s">
        <v>2054</v>
      </c>
      <c r="K842" s="1" t="s">
        <v>290</v>
      </c>
      <c r="L842" s="1" t="s">
        <v>70</v>
      </c>
      <c r="M842" s="1" t="s">
        <v>68</v>
      </c>
      <c r="N842" s="1" t="s">
        <v>71</v>
      </c>
      <c r="O842" s="1" t="s">
        <v>68</v>
      </c>
      <c r="P842" s="1" t="s">
        <v>2055</v>
      </c>
      <c r="Q842" s="1" t="s">
        <v>68</v>
      </c>
      <c r="R842" s="1" t="s">
        <v>2056</v>
      </c>
      <c r="S842" s="1" t="s">
        <v>90</v>
      </c>
      <c r="T842" s="1" t="s">
        <v>91</v>
      </c>
      <c r="U842" s="1" t="s">
        <v>68</v>
      </c>
      <c r="V842" s="1" t="s">
        <v>68</v>
      </c>
      <c r="W842" s="1" t="s">
        <v>68</v>
      </c>
      <c r="X842" s="1" t="s">
        <v>68</v>
      </c>
      <c r="Y842" s="73"/>
      <c r="Z842" s="2" t="s">
        <v>265</v>
      </c>
      <c r="AA842" s="3">
        <v>-500</v>
      </c>
      <c r="AB842" s="4">
        <v>-132.21</v>
      </c>
      <c r="AC842" s="73">
        <v>46234</v>
      </c>
      <c r="AD842" s="73">
        <v>46234</v>
      </c>
      <c r="AE842" s="73"/>
      <c r="AF842" s="73">
        <v>46234</v>
      </c>
      <c r="AG842" s="3">
        <v>-500</v>
      </c>
      <c r="AH842" s="353" t="str">
        <f t="shared" si="78"/>
        <v/>
      </c>
      <c r="AI842" s="3" t="str">
        <f t="shared" si="79"/>
        <v>54</v>
      </c>
      <c r="AJ842" s="64" t="str">
        <f>VLOOKUP(T842,'GL Name'!A:B,2,0)</f>
        <v>ค่าวิจัยคุณภาพสินค้า</v>
      </c>
      <c r="AL842" s="13">
        <f t="shared" si="80"/>
        <v>0.26441999999999999</v>
      </c>
      <c r="AM842" s="13" t="e">
        <f>VLOOKUP(I842,'Order 301-305 (เรียง)'!A:B,2,0)</f>
        <v>#N/A</v>
      </c>
      <c r="AN842" t="e">
        <f>VLOOKUP(I842,'Order 301-305 (เรียง)'!A:C,3,0)</f>
        <v>#N/A</v>
      </c>
    </row>
    <row r="843" spans="1:40" x14ac:dyDescent="0.3">
      <c r="A843" s="1" t="s">
        <v>9</v>
      </c>
      <c r="B843" s="1" t="s">
        <v>10</v>
      </c>
      <c r="C843" s="1" t="s">
        <v>64</v>
      </c>
      <c r="D843" s="1" t="s">
        <v>93</v>
      </c>
      <c r="E843" s="1" t="s">
        <v>94</v>
      </c>
      <c r="F843" s="1" t="s">
        <v>2057</v>
      </c>
      <c r="G843" s="1" t="s">
        <v>278</v>
      </c>
      <c r="H843" s="1" t="s">
        <v>2059</v>
      </c>
      <c r="I843" s="1" t="s">
        <v>68</v>
      </c>
      <c r="J843" s="1" t="s">
        <v>2058</v>
      </c>
      <c r="K843" s="1" t="s">
        <v>118</v>
      </c>
      <c r="L843" s="1" t="s">
        <v>89</v>
      </c>
      <c r="M843" s="1" t="s">
        <v>68</v>
      </c>
      <c r="N843" s="1" t="s">
        <v>71</v>
      </c>
      <c r="O843" s="1" t="s">
        <v>68</v>
      </c>
      <c r="P843" s="1" t="s">
        <v>72</v>
      </c>
      <c r="Q843" s="1" t="s">
        <v>68</v>
      </c>
      <c r="R843" s="1" t="s">
        <v>68</v>
      </c>
      <c r="S843" s="1" t="s">
        <v>68</v>
      </c>
      <c r="T843" s="1" t="s">
        <v>68</v>
      </c>
      <c r="U843" s="1" t="s">
        <v>68</v>
      </c>
      <c r="V843" s="1" t="s">
        <v>68</v>
      </c>
      <c r="W843" s="1" t="s">
        <v>68</v>
      </c>
      <c r="X843" s="1" t="s">
        <v>68</v>
      </c>
      <c r="Y843" s="73"/>
      <c r="Z843" s="2" t="s">
        <v>80</v>
      </c>
      <c r="AA843" s="3">
        <v>10006</v>
      </c>
      <c r="AB843" s="4">
        <v>0</v>
      </c>
      <c r="AC843" s="73">
        <v>46234</v>
      </c>
      <c r="AD843" s="73">
        <v>46234</v>
      </c>
      <c r="AE843" s="73"/>
      <c r="AF843" s="73">
        <v>46234</v>
      </c>
      <c r="AG843" s="3">
        <v>10006000</v>
      </c>
      <c r="AH843" s="353" t="str">
        <f t="shared" si="78"/>
        <v/>
      </c>
      <c r="AI843" s="3" t="str">
        <f t="shared" si="79"/>
        <v>54</v>
      </c>
      <c r="AJ843" s="64" t="e">
        <f>VLOOKUP(T843,'GL Name'!A:B,2,0)</f>
        <v>#N/A</v>
      </c>
      <c r="AL843" s="13">
        <f t="shared" si="80"/>
        <v>0</v>
      </c>
      <c r="AM843" s="13" t="e">
        <f>VLOOKUP(I843,'Order 301-305 (เรียง)'!A:B,2,0)</f>
        <v>#N/A</v>
      </c>
      <c r="AN843" t="e">
        <f>VLOOKUP(I843,'Order 301-305 (เรียง)'!A:C,3,0)</f>
        <v>#N/A</v>
      </c>
    </row>
    <row r="844" spans="1:40" x14ac:dyDescent="0.3">
      <c r="A844" s="1" t="s">
        <v>9</v>
      </c>
      <c r="B844" s="1" t="s">
        <v>10</v>
      </c>
      <c r="C844" s="1" t="s">
        <v>64</v>
      </c>
      <c r="D844" s="1" t="s">
        <v>93</v>
      </c>
      <c r="E844" s="1" t="s">
        <v>94</v>
      </c>
      <c r="F844" s="1" t="s">
        <v>2057</v>
      </c>
      <c r="G844" s="1" t="s">
        <v>232</v>
      </c>
      <c r="H844" s="1" t="s">
        <v>2059</v>
      </c>
      <c r="I844" s="1" t="s">
        <v>68</v>
      </c>
      <c r="J844" s="1" t="s">
        <v>2058</v>
      </c>
      <c r="K844" s="1" t="s">
        <v>118</v>
      </c>
      <c r="L844" s="1" t="s">
        <v>92</v>
      </c>
      <c r="M844" s="1" t="s">
        <v>68</v>
      </c>
      <c r="N844" s="1" t="s">
        <v>71</v>
      </c>
      <c r="O844" s="1" t="s">
        <v>68</v>
      </c>
      <c r="P844" s="1" t="s">
        <v>72</v>
      </c>
      <c r="Q844" s="1" t="s">
        <v>68</v>
      </c>
      <c r="R844" s="1" t="s">
        <v>68</v>
      </c>
      <c r="S844" s="1" t="s">
        <v>68</v>
      </c>
      <c r="T844" s="1" t="s">
        <v>68</v>
      </c>
      <c r="U844" s="1" t="s">
        <v>68</v>
      </c>
      <c r="V844" s="1" t="s">
        <v>68</v>
      </c>
      <c r="W844" s="1" t="s">
        <v>68</v>
      </c>
      <c r="X844" s="1" t="s">
        <v>68</v>
      </c>
      <c r="Y844" s="73"/>
      <c r="Z844" s="2" t="s">
        <v>80</v>
      </c>
      <c r="AA844" s="3">
        <v>-10006</v>
      </c>
      <c r="AB844" s="4">
        <v>0</v>
      </c>
      <c r="AC844" s="73">
        <v>46234</v>
      </c>
      <c r="AD844" s="73">
        <v>46234</v>
      </c>
      <c r="AE844" s="73"/>
      <c r="AF844" s="73">
        <v>46234</v>
      </c>
      <c r="AG844" s="3">
        <v>-10006000</v>
      </c>
      <c r="AH844" s="353" t="str">
        <f t="shared" si="78"/>
        <v/>
      </c>
      <c r="AI844" s="3" t="str">
        <f t="shared" si="79"/>
        <v>54</v>
      </c>
      <c r="AJ844" s="64" t="e">
        <f>VLOOKUP(T844,'GL Name'!A:B,2,0)</f>
        <v>#N/A</v>
      </c>
      <c r="AL844" s="13">
        <f t="shared" si="80"/>
        <v>0</v>
      </c>
      <c r="AM844" s="13" t="e">
        <f>VLOOKUP(I844,'Order 301-305 (เรียง)'!A:B,2,0)</f>
        <v>#N/A</v>
      </c>
      <c r="AN844" t="e">
        <f>VLOOKUP(I844,'Order 301-305 (เรียง)'!A:C,3,0)</f>
        <v>#N/A</v>
      </c>
    </row>
    <row r="845" spans="1:40" x14ac:dyDescent="0.3">
      <c r="A845" s="1" t="s">
        <v>9</v>
      </c>
      <c r="B845" s="1" t="s">
        <v>10</v>
      </c>
      <c r="C845" s="1" t="s">
        <v>64</v>
      </c>
      <c r="D845" s="1" t="s">
        <v>93</v>
      </c>
      <c r="E845" s="1" t="s">
        <v>94</v>
      </c>
      <c r="F845" s="1" t="s">
        <v>2057</v>
      </c>
      <c r="G845" s="1" t="s">
        <v>278</v>
      </c>
      <c r="H845" s="1" t="s">
        <v>1711</v>
      </c>
      <c r="I845" s="1" t="s">
        <v>68</v>
      </c>
      <c r="J845" s="1" t="s">
        <v>2058</v>
      </c>
      <c r="K845" s="1" t="s">
        <v>118</v>
      </c>
      <c r="L845" s="1" t="s">
        <v>86</v>
      </c>
      <c r="M845" s="1" t="s">
        <v>68</v>
      </c>
      <c r="N845" s="1" t="s">
        <v>71</v>
      </c>
      <c r="O845" s="1" t="s">
        <v>68</v>
      </c>
      <c r="P845" s="1" t="s">
        <v>72</v>
      </c>
      <c r="Q845" s="1" t="s">
        <v>68</v>
      </c>
      <c r="R845" s="1" t="s">
        <v>68</v>
      </c>
      <c r="S845" s="1" t="s">
        <v>68</v>
      </c>
      <c r="T845" s="1" t="s">
        <v>68</v>
      </c>
      <c r="U845" s="1" t="s">
        <v>68</v>
      </c>
      <c r="V845" s="1" t="s">
        <v>68</v>
      </c>
      <c r="W845" s="1" t="s">
        <v>68</v>
      </c>
      <c r="X845" s="1" t="s">
        <v>68</v>
      </c>
      <c r="Y845" s="73"/>
      <c r="Z845" s="2" t="s">
        <v>80</v>
      </c>
      <c r="AA845" s="3">
        <v>7975.9</v>
      </c>
      <c r="AB845" s="4">
        <v>0</v>
      </c>
      <c r="AC845" s="73">
        <v>46234</v>
      </c>
      <c r="AD845" s="73">
        <v>46234</v>
      </c>
      <c r="AE845" s="73"/>
      <c r="AF845" s="73">
        <v>46234</v>
      </c>
      <c r="AG845" s="3">
        <v>7975900</v>
      </c>
      <c r="AH845" s="353" t="str">
        <f t="shared" ref="AH845:AH870" si="81">LEFT(I845,3)</f>
        <v/>
      </c>
      <c r="AI845" s="3" t="str">
        <f t="shared" ref="AI845:AI870" si="82">LEFT(A845,2)</f>
        <v>54</v>
      </c>
      <c r="AJ845" s="64" t="e">
        <f>VLOOKUP(T845,'GL Name'!A:B,2,0)</f>
        <v>#N/A</v>
      </c>
      <c r="AL845" s="13">
        <f t="shared" ref="AL845:AL870" si="83">AB845/AA845</f>
        <v>0</v>
      </c>
      <c r="AM845" s="13" t="e">
        <f>VLOOKUP(I845,'Order 301-305 (เรียง)'!A:B,2,0)</f>
        <v>#N/A</v>
      </c>
      <c r="AN845" t="e">
        <f>VLOOKUP(I845,'Order 301-305 (เรียง)'!A:C,3,0)</f>
        <v>#N/A</v>
      </c>
    </row>
    <row r="846" spans="1:40" x14ac:dyDescent="0.3">
      <c r="A846" s="1" t="s">
        <v>9</v>
      </c>
      <c r="B846" s="1" t="s">
        <v>10</v>
      </c>
      <c r="C846" s="1" t="s">
        <v>64</v>
      </c>
      <c r="D846" s="1" t="s">
        <v>93</v>
      </c>
      <c r="E846" s="1" t="s">
        <v>94</v>
      </c>
      <c r="F846" s="1" t="s">
        <v>2057</v>
      </c>
      <c r="G846" s="1" t="s">
        <v>232</v>
      </c>
      <c r="H846" s="1" t="s">
        <v>1711</v>
      </c>
      <c r="I846" s="1" t="s">
        <v>68</v>
      </c>
      <c r="J846" s="1" t="s">
        <v>2058</v>
      </c>
      <c r="K846" s="1" t="s">
        <v>118</v>
      </c>
      <c r="L846" s="1" t="s">
        <v>70</v>
      </c>
      <c r="M846" s="1" t="s">
        <v>68</v>
      </c>
      <c r="N846" s="1" t="s">
        <v>71</v>
      </c>
      <c r="O846" s="1" t="s">
        <v>68</v>
      </c>
      <c r="P846" s="1" t="s">
        <v>72</v>
      </c>
      <c r="Q846" s="1" t="s">
        <v>68</v>
      </c>
      <c r="R846" s="1" t="s">
        <v>68</v>
      </c>
      <c r="S846" s="1" t="s">
        <v>68</v>
      </c>
      <c r="T846" s="1" t="s">
        <v>68</v>
      </c>
      <c r="U846" s="1" t="s">
        <v>68</v>
      </c>
      <c r="V846" s="1" t="s">
        <v>68</v>
      </c>
      <c r="W846" s="1" t="s">
        <v>68</v>
      </c>
      <c r="X846" s="1" t="s">
        <v>68</v>
      </c>
      <c r="Y846" s="73"/>
      <c r="Z846" s="2" t="s">
        <v>80</v>
      </c>
      <c r="AA846" s="3">
        <v>-7975.9</v>
      </c>
      <c r="AB846" s="4">
        <v>0</v>
      </c>
      <c r="AC846" s="73">
        <v>46234</v>
      </c>
      <c r="AD846" s="73">
        <v>46234</v>
      </c>
      <c r="AE846" s="73"/>
      <c r="AF846" s="73">
        <v>46234</v>
      </c>
      <c r="AG846" s="3">
        <v>-7975900</v>
      </c>
      <c r="AH846" s="353" t="str">
        <f t="shared" si="81"/>
        <v/>
      </c>
      <c r="AI846" s="3" t="str">
        <f t="shared" si="82"/>
        <v>54</v>
      </c>
      <c r="AJ846" s="64" t="e">
        <f>VLOOKUP(T846,'GL Name'!A:B,2,0)</f>
        <v>#N/A</v>
      </c>
      <c r="AL846" s="13">
        <f t="shared" si="83"/>
        <v>0</v>
      </c>
      <c r="AM846" s="13" t="e">
        <f>VLOOKUP(I846,'Order 301-305 (เรียง)'!A:B,2,0)</f>
        <v>#N/A</v>
      </c>
      <c r="AN846" t="e">
        <f>VLOOKUP(I846,'Order 301-305 (เรียง)'!A:C,3,0)</f>
        <v>#N/A</v>
      </c>
    </row>
    <row r="847" spans="1:40" x14ac:dyDescent="0.3">
      <c r="A847" s="1" t="s">
        <v>17</v>
      </c>
      <c r="B847" s="1" t="s">
        <v>18</v>
      </c>
      <c r="C847" s="1" t="s">
        <v>64</v>
      </c>
      <c r="D847" s="1" t="s">
        <v>93</v>
      </c>
      <c r="E847" s="1" t="s">
        <v>94</v>
      </c>
      <c r="F847" s="1" t="s">
        <v>2057</v>
      </c>
      <c r="G847" s="1" t="s">
        <v>232</v>
      </c>
      <c r="H847" s="1" t="s">
        <v>1885</v>
      </c>
      <c r="I847" s="1" t="s">
        <v>68</v>
      </c>
      <c r="J847" s="1" t="s">
        <v>2058</v>
      </c>
      <c r="K847" s="1" t="s">
        <v>118</v>
      </c>
      <c r="L847" s="1" t="s">
        <v>95</v>
      </c>
      <c r="M847" s="1" t="s">
        <v>68</v>
      </c>
      <c r="N847" s="1" t="s">
        <v>71</v>
      </c>
      <c r="O847" s="1" t="s">
        <v>68</v>
      </c>
      <c r="P847" s="1" t="s">
        <v>72</v>
      </c>
      <c r="Q847" s="1" t="s">
        <v>68</v>
      </c>
      <c r="R847" s="1" t="s">
        <v>68</v>
      </c>
      <c r="S847" s="1" t="s">
        <v>68</v>
      </c>
      <c r="T847" s="1" t="s">
        <v>68</v>
      </c>
      <c r="U847" s="1" t="s">
        <v>68</v>
      </c>
      <c r="V847" s="1" t="s">
        <v>68</v>
      </c>
      <c r="W847" s="1" t="s">
        <v>68</v>
      </c>
      <c r="X847" s="1" t="s">
        <v>68</v>
      </c>
      <c r="Y847" s="73"/>
      <c r="Z847" s="2" t="s">
        <v>80</v>
      </c>
      <c r="AA847" s="3">
        <v>-10025.4</v>
      </c>
      <c r="AB847" s="4">
        <v>0</v>
      </c>
      <c r="AC847" s="73">
        <v>46234</v>
      </c>
      <c r="AD847" s="73">
        <v>46234</v>
      </c>
      <c r="AE847" s="73"/>
      <c r="AF847" s="73">
        <v>46234</v>
      </c>
      <c r="AG847" s="3">
        <v>-10025400</v>
      </c>
      <c r="AH847" s="353" t="str">
        <f t="shared" si="81"/>
        <v/>
      </c>
      <c r="AI847" s="3" t="str">
        <f t="shared" si="82"/>
        <v>54</v>
      </c>
      <c r="AJ847" s="64" t="e">
        <f>VLOOKUP(T847,'GL Name'!A:B,2,0)</f>
        <v>#N/A</v>
      </c>
      <c r="AL847" s="13">
        <f t="shared" si="83"/>
        <v>0</v>
      </c>
      <c r="AM847" s="13" t="e">
        <f>VLOOKUP(I847,'Order 301-305 (เรียง)'!A:B,2,0)</f>
        <v>#N/A</v>
      </c>
      <c r="AN847" t="e">
        <f>VLOOKUP(I847,'Order 301-305 (เรียง)'!A:C,3,0)</f>
        <v>#N/A</v>
      </c>
    </row>
    <row r="848" spans="1:40" x14ac:dyDescent="0.3">
      <c r="A848" s="1" t="s">
        <v>17</v>
      </c>
      <c r="B848" s="1" t="s">
        <v>18</v>
      </c>
      <c r="C848" s="1" t="s">
        <v>64</v>
      </c>
      <c r="D848" s="1" t="s">
        <v>93</v>
      </c>
      <c r="E848" s="1" t="s">
        <v>94</v>
      </c>
      <c r="F848" s="1" t="s">
        <v>2057</v>
      </c>
      <c r="G848" s="1" t="s">
        <v>278</v>
      </c>
      <c r="H848" s="1" t="s">
        <v>1885</v>
      </c>
      <c r="I848" s="1" t="s">
        <v>68</v>
      </c>
      <c r="J848" s="1" t="s">
        <v>2058</v>
      </c>
      <c r="K848" s="1" t="s">
        <v>118</v>
      </c>
      <c r="L848" s="1" t="s">
        <v>111</v>
      </c>
      <c r="M848" s="1" t="s">
        <v>68</v>
      </c>
      <c r="N848" s="1" t="s">
        <v>71</v>
      </c>
      <c r="O848" s="1" t="s">
        <v>68</v>
      </c>
      <c r="P848" s="1" t="s">
        <v>72</v>
      </c>
      <c r="Q848" s="1" t="s">
        <v>68</v>
      </c>
      <c r="R848" s="1" t="s">
        <v>68</v>
      </c>
      <c r="S848" s="1" t="s">
        <v>68</v>
      </c>
      <c r="T848" s="1" t="s">
        <v>68</v>
      </c>
      <c r="U848" s="1" t="s">
        <v>68</v>
      </c>
      <c r="V848" s="1" t="s">
        <v>68</v>
      </c>
      <c r="W848" s="1" t="s">
        <v>68</v>
      </c>
      <c r="X848" s="1" t="s">
        <v>68</v>
      </c>
      <c r="Y848" s="73"/>
      <c r="Z848" s="2" t="s">
        <v>80</v>
      </c>
      <c r="AA848" s="3">
        <v>10025.4</v>
      </c>
      <c r="AB848" s="4">
        <v>0</v>
      </c>
      <c r="AC848" s="73">
        <v>46234</v>
      </c>
      <c r="AD848" s="73">
        <v>46234</v>
      </c>
      <c r="AE848" s="73"/>
      <c r="AF848" s="73">
        <v>46234</v>
      </c>
      <c r="AG848" s="3">
        <v>10025400</v>
      </c>
      <c r="AH848" s="353" t="str">
        <f t="shared" si="81"/>
        <v/>
      </c>
      <c r="AI848" s="3" t="str">
        <f t="shared" si="82"/>
        <v>54</v>
      </c>
      <c r="AJ848" s="64" t="e">
        <f>VLOOKUP(T848,'GL Name'!A:B,2,0)</f>
        <v>#N/A</v>
      </c>
      <c r="AL848" s="13">
        <f t="shared" si="83"/>
        <v>0</v>
      </c>
      <c r="AM848" s="13" t="e">
        <f>VLOOKUP(I848,'Order 301-305 (เรียง)'!A:B,2,0)</f>
        <v>#N/A</v>
      </c>
      <c r="AN848" t="e">
        <f>VLOOKUP(I848,'Order 301-305 (เรียง)'!A:C,3,0)</f>
        <v>#N/A</v>
      </c>
    </row>
    <row r="849" spans="1:40" x14ac:dyDescent="0.3">
      <c r="A849" s="1" t="s">
        <v>9</v>
      </c>
      <c r="B849" s="1" t="s">
        <v>10</v>
      </c>
      <c r="C849" s="1" t="s">
        <v>64</v>
      </c>
      <c r="D849" s="1" t="s">
        <v>77</v>
      </c>
      <c r="E849" s="1" t="s">
        <v>78</v>
      </c>
      <c r="F849" s="1" t="s">
        <v>2064</v>
      </c>
      <c r="G849" s="1" t="s">
        <v>278</v>
      </c>
      <c r="H849" s="1" t="s">
        <v>2059</v>
      </c>
      <c r="I849" s="1" t="s">
        <v>2065</v>
      </c>
      <c r="J849" s="1" t="s">
        <v>2066</v>
      </c>
      <c r="K849" s="1" t="s">
        <v>290</v>
      </c>
      <c r="L849" s="1" t="s">
        <v>70</v>
      </c>
      <c r="M849" s="1" t="s">
        <v>68</v>
      </c>
      <c r="N849" s="1" t="s">
        <v>71</v>
      </c>
      <c r="O849" s="1" t="s">
        <v>68</v>
      </c>
      <c r="P849" s="1" t="s">
        <v>2067</v>
      </c>
      <c r="Q849" s="1" t="s">
        <v>68</v>
      </c>
      <c r="R849" s="1" t="s">
        <v>68</v>
      </c>
      <c r="S849" s="1" t="s">
        <v>68</v>
      </c>
      <c r="T849" s="1" t="s">
        <v>79</v>
      </c>
      <c r="U849" s="1" t="s">
        <v>68</v>
      </c>
      <c r="V849" s="1" t="s">
        <v>68</v>
      </c>
      <c r="W849" s="1" t="s">
        <v>68</v>
      </c>
      <c r="X849" s="1" t="s">
        <v>68</v>
      </c>
      <c r="Y849" s="73"/>
      <c r="Z849" s="2" t="s">
        <v>80</v>
      </c>
      <c r="AA849" s="3">
        <v>-9961</v>
      </c>
      <c r="AB849" s="4">
        <v>-2633931.38</v>
      </c>
      <c r="AC849" s="73">
        <v>46234</v>
      </c>
      <c r="AD849" s="73">
        <v>46234</v>
      </c>
      <c r="AE849" s="73"/>
      <c r="AF849" s="73">
        <v>46234</v>
      </c>
      <c r="AG849" s="3">
        <v>-9961000</v>
      </c>
      <c r="AH849" s="353" t="str">
        <f t="shared" si="81"/>
        <v>301</v>
      </c>
      <c r="AI849" s="3" t="str">
        <f t="shared" si="82"/>
        <v>54</v>
      </c>
      <c r="AJ849" s="64" t="str">
        <f>VLOOKUP(T849,'GL Name'!A:B,2,0)</f>
        <v>ต้นทุนผลิต-วัตถุดิบ</v>
      </c>
      <c r="AL849" s="13">
        <f t="shared" si="83"/>
        <v>264.42439313321955</v>
      </c>
      <c r="AM849" s="13" t="str">
        <f>VLOOKUP(I849,'Order 301-305 (เรียง)'!A:B,2,0)</f>
        <v>Semi</v>
      </c>
      <c r="AN849" t="str">
        <f>VLOOKUP(I849,'Order 301-305 (เรียง)'!A:C,3,0)</f>
        <v>Semi เมล็ดกาแฟ</v>
      </c>
    </row>
    <row r="850" spans="1:40" x14ac:dyDescent="0.3">
      <c r="A850" s="1" t="s">
        <v>9</v>
      </c>
      <c r="B850" s="1" t="s">
        <v>10</v>
      </c>
      <c r="C850" s="1" t="s">
        <v>64</v>
      </c>
      <c r="D850" s="1" t="s">
        <v>967</v>
      </c>
      <c r="E850" s="1" t="s">
        <v>968</v>
      </c>
      <c r="F850" s="1" t="s">
        <v>2068</v>
      </c>
      <c r="G850" s="1" t="s">
        <v>278</v>
      </c>
      <c r="H850" s="1" t="s">
        <v>2059</v>
      </c>
      <c r="I850" s="1" t="s">
        <v>2065</v>
      </c>
      <c r="J850" s="1" t="s">
        <v>2069</v>
      </c>
      <c r="K850" s="1" t="s">
        <v>290</v>
      </c>
      <c r="L850" s="1" t="s">
        <v>70</v>
      </c>
      <c r="M850" s="1" t="s">
        <v>68</v>
      </c>
      <c r="N850" s="1" t="s">
        <v>71</v>
      </c>
      <c r="O850" s="1" t="s">
        <v>68</v>
      </c>
      <c r="P850" s="1" t="s">
        <v>2067</v>
      </c>
      <c r="Q850" s="1" t="s">
        <v>68</v>
      </c>
      <c r="R850" s="1" t="s">
        <v>68</v>
      </c>
      <c r="S850" s="1" t="s">
        <v>68</v>
      </c>
      <c r="T850" s="1" t="s">
        <v>79</v>
      </c>
      <c r="U850" s="1" t="s">
        <v>68</v>
      </c>
      <c r="V850" s="1" t="s">
        <v>68</v>
      </c>
      <c r="W850" s="1" t="s">
        <v>68</v>
      </c>
      <c r="X850" s="1" t="s">
        <v>68</v>
      </c>
      <c r="Y850" s="73"/>
      <c r="Z850" s="2" t="s">
        <v>80</v>
      </c>
      <c r="AA850" s="3">
        <v>9961</v>
      </c>
      <c r="AB850" s="4">
        <v>2633931.38</v>
      </c>
      <c r="AC850" s="73">
        <v>46234</v>
      </c>
      <c r="AD850" s="73">
        <v>46234</v>
      </c>
      <c r="AE850" s="73"/>
      <c r="AF850" s="73">
        <v>46234</v>
      </c>
      <c r="AG850" s="3">
        <v>9961000</v>
      </c>
      <c r="AH850" s="353" t="str">
        <f t="shared" si="81"/>
        <v>301</v>
      </c>
      <c r="AI850" s="3" t="str">
        <f t="shared" si="82"/>
        <v>54</v>
      </c>
      <c r="AJ850" s="64" t="str">
        <f>VLOOKUP(T850,'GL Name'!A:B,2,0)</f>
        <v>ต้นทุนผลิต-วัตถุดิบ</v>
      </c>
      <c r="AL850" s="13">
        <f t="shared" si="83"/>
        <v>264.42439313321955</v>
      </c>
      <c r="AM850" s="13" t="str">
        <f>VLOOKUP(I850,'Order 301-305 (เรียง)'!A:B,2,0)</f>
        <v>Semi</v>
      </c>
      <c r="AN850" t="str">
        <f>VLOOKUP(I850,'Order 301-305 (เรียง)'!A:C,3,0)</f>
        <v>Semi เมล็ดกาแฟ</v>
      </c>
    </row>
    <row r="851" spans="1:40" x14ac:dyDescent="0.3">
      <c r="A851" s="1" t="s">
        <v>9</v>
      </c>
      <c r="B851" s="1" t="s">
        <v>10</v>
      </c>
      <c r="C851" s="1" t="s">
        <v>64</v>
      </c>
      <c r="D851" s="1" t="s">
        <v>77</v>
      </c>
      <c r="E851" s="1" t="s">
        <v>78</v>
      </c>
      <c r="F851" s="1" t="s">
        <v>2070</v>
      </c>
      <c r="G851" s="1" t="s">
        <v>278</v>
      </c>
      <c r="H851" s="1" t="s">
        <v>2059</v>
      </c>
      <c r="I851" s="1" t="s">
        <v>2065</v>
      </c>
      <c r="J851" s="1" t="s">
        <v>974</v>
      </c>
      <c r="K851" s="1" t="s">
        <v>290</v>
      </c>
      <c r="L851" s="1" t="s">
        <v>70</v>
      </c>
      <c r="M851" s="1" t="s">
        <v>68</v>
      </c>
      <c r="N851" s="1" t="s">
        <v>71</v>
      </c>
      <c r="O851" s="1" t="s">
        <v>68</v>
      </c>
      <c r="P851" s="1" t="s">
        <v>2067</v>
      </c>
      <c r="Q851" s="1" t="s">
        <v>68</v>
      </c>
      <c r="R851" s="1" t="s">
        <v>68</v>
      </c>
      <c r="S851" s="1" t="s">
        <v>68</v>
      </c>
      <c r="T851" s="1" t="s">
        <v>79</v>
      </c>
      <c r="U851" s="1" t="s">
        <v>68</v>
      </c>
      <c r="V851" s="1" t="s">
        <v>68</v>
      </c>
      <c r="W851" s="1" t="s">
        <v>68</v>
      </c>
      <c r="X851" s="1" t="s">
        <v>68</v>
      </c>
      <c r="Y851" s="73"/>
      <c r="Z851" s="2" t="s">
        <v>80</v>
      </c>
      <c r="AA851" s="3">
        <v>-10006</v>
      </c>
      <c r="AB851" s="4">
        <v>-2645830.48</v>
      </c>
      <c r="AC851" s="73">
        <v>46234</v>
      </c>
      <c r="AD851" s="73">
        <v>46234</v>
      </c>
      <c r="AE851" s="73"/>
      <c r="AF851" s="73">
        <v>46234</v>
      </c>
      <c r="AG851" s="3">
        <v>-10006000</v>
      </c>
      <c r="AH851" s="353" t="str">
        <f t="shared" si="81"/>
        <v>301</v>
      </c>
      <c r="AI851" s="3" t="str">
        <f t="shared" si="82"/>
        <v>54</v>
      </c>
      <c r="AJ851" s="64" t="str">
        <f>VLOOKUP(T851,'GL Name'!A:B,2,0)</f>
        <v>ต้นทุนผลิต-วัตถุดิบ</v>
      </c>
      <c r="AL851" s="13">
        <f t="shared" si="83"/>
        <v>264.42439336398161</v>
      </c>
      <c r="AM851" s="13" t="str">
        <f>VLOOKUP(I851,'Order 301-305 (เรียง)'!A:B,2,0)</f>
        <v>Semi</v>
      </c>
      <c r="AN851" t="str">
        <f>VLOOKUP(I851,'Order 301-305 (เรียง)'!A:C,3,0)</f>
        <v>Semi เมล็ดกาแฟ</v>
      </c>
    </row>
    <row r="852" spans="1:40" x14ac:dyDescent="0.3">
      <c r="A852" s="1" t="s">
        <v>128</v>
      </c>
      <c r="B852" s="1" t="s">
        <v>129</v>
      </c>
      <c r="C852" s="1" t="s">
        <v>64</v>
      </c>
      <c r="D852" s="1" t="s">
        <v>115</v>
      </c>
      <c r="E852" s="1" t="s">
        <v>130</v>
      </c>
      <c r="F852" s="1" t="s">
        <v>689</v>
      </c>
      <c r="G852" s="1" t="s">
        <v>131</v>
      </c>
      <c r="H852" s="1" t="s">
        <v>690</v>
      </c>
      <c r="I852" s="1" t="s">
        <v>68</v>
      </c>
      <c r="J852" s="1" t="s">
        <v>691</v>
      </c>
      <c r="K852" s="1" t="s">
        <v>132</v>
      </c>
      <c r="L852" s="1" t="s">
        <v>70</v>
      </c>
      <c r="M852" s="1" t="s">
        <v>692</v>
      </c>
      <c r="N852" s="1" t="s">
        <v>71</v>
      </c>
      <c r="O852" s="1" t="s">
        <v>68</v>
      </c>
      <c r="P852" s="1" t="s">
        <v>72</v>
      </c>
      <c r="Q852" s="1" t="s">
        <v>292</v>
      </c>
      <c r="R852" s="1" t="s">
        <v>68</v>
      </c>
      <c r="S852" s="1" t="s">
        <v>68</v>
      </c>
      <c r="T852" s="1" t="s">
        <v>68</v>
      </c>
      <c r="U852" s="1" t="s">
        <v>292</v>
      </c>
      <c r="V852" s="1" t="s">
        <v>133</v>
      </c>
      <c r="W852" s="1" t="s">
        <v>68</v>
      </c>
      <c r="X852" s="1" t="s">
        <v>692</v>
      </c>
      <c r="Y852" s="73"/>
      <c r="Z852" s="2" t="s">
        <v>102</v>
      </c>
      <c r="AA852" s="3">
        <v>10</v>
      </c>
      <c r="AB852" s="4">
        <v>10350</v>
      </c>
      <c r="AC852" s="73">
        <v>46204</v>
      </c>
      <c r="AD852" s="73">
        <v>46204</v>
      </c>
      <c r="AE852" s="73"/>
      <c r="AF852" s="73">
        <v>46204</v>
      </c>
      <c r="AG852" s="3">
        <v>10</v>
      </c>
      <c r="AH852" s="353" t="str">
        <f t="shared" si="81"/>
        <v/>
      </c>
      <c r="AI852" s="3" t="str">
        <f t="shared" si="82"/>
        <v>54</v>
      </c>
      <c r="AJ852" s="64" t="e">
        <f>VLOOKUP(T852,'GL Name'!A:B,2,0)</f>
        <v>#N/A</v>
      </c>
      <c r="AL852" s="13">
        <f t="shared" si="83"/>
        <v>1035</v>
      </c>
      <c r="AM852" s="13" t="e">
        <f>VLOOKUP(I852,'Order 301-305 (เรียง)'!A:B,2,0)</f>
        <v>#N/A</v>
      </c>
      <c r="AN852" t="e">
        <f>VLOOKUP(I852,'Order 301-305 (เรียง)'!A:C,3,0)</f>
        <v>#N/A</v>
      </c>
    </row>
    <row r="853" spans="1:40" x14ac:dyDescent="0.3">
      <c r="A853" s="1" t="s">
        <v>128</v>
      </c>
      <c r="B853" s="1" t="s">
        <v>129</v>
      </c>
      <c r="C853" s="1" t="s">
        <v>64</v>
      </c>
      <c r="D853" s="1" t="s">
        <v>115</v>
      </c>
      <c r="E853" s="1" t="s">
        <v>130</v>
      </c>
      <c r="F853" s="1" t="s">
        <v>693</v>
      </c>
      <c r="G853" s="1" t="s">
        <v>131</v>
      </c>
      <c r="H853" s="1" t="s">
        <v>690</v>
      </c>
      <c r="I853" s="1" t="s">
        <v>68</v>
      </c>
      <c r="J853" s="1" t="s">
        <v>694</v>
      </c>
      <c r="K853" s="1" t="s">
        <v>132</v>
      </c>
      <c r="L853" s="1" t="s">
        <v>70</v>
      </c>
      <c r="M853" s="1" t="s">
        <v>695</v>
      </c>
      <c r="N853" s="1" t="s">
        <v>71</v>
      </c>
      <c r="O853" s="1" t="s">
        <v>68</v>
      </c>
      <c r="P853" s="1" t="s">
        <v>72</v>
      </c>
      <c r="Q853" s="1" t="s">
        <v>292</v>
      </c>
      <c r="R853" s="1" t="s">
        <v>68</v>
      </c>
      <c r="S853" s="1" t="s">
        <v>68</v>
      </c>
      <c r="T853" s="1" t="s">
        <v>68</v>
      </c>
      <c r="U853" s="1" t="s">
        <v>292</v>
      </c>
      <c r="V853" s="1" t="s">
        <v>133</v>
      </c>
      <c r="W853" s="1" t="s">
        <v>68</v>
      </c>
      <c r="X853" s="1" t="s">
        <v>695</v>
      </c>
      <c r="Y853" s="73"/>
      <c r="Z853" s="2" t="s">
        <v>102</v>
      </c>
      <c r="AA853" s="3">
        <v>15</v>
      </c>
      <c r="AB853" s="4">
        <v>15525</v>
      </c>
      <c r="AC853" s="73">
        <v>46205</v>
      </c>
      <c r="AD853" s="73">
        <v>46205</v>
      </c>
      <c r="AE853" s="73"/>
      <c r="AF853" s="73">
        <v>46205</v>
      </c>
      <c r="AG853" s="3">
        <v>15</v>
      </c>
      <c r="AH853" s="353" t="str">
        <f t="shared" si="81"/>
        <v/>
      </c>
      <c r="AI853" s="3" t="str">
        <f t="shared" si="82"/>
        <v>54</v>
      </c>
      <c r="AJ853" s="64" t="e">
        <f>VLOOKUP(T853,'GL Name'!A:B,2,0)</f>
        <v>#N/A</v>
      </c>
      <c r="AL853" s="13">
        <f t="shared" si="83"/>
        <v>1035</v>
      </c>
      <c r="AM853" s="13" t="e">
        <f>VLOOKUP(I853,'Order 301-305 (เรียง)'!A:B,2,0)</f>
        <v>#N/A</v>
      </c>
      <c r="AN853" t="e">
        <f>VLOOKUP(I853,'Order 301-305 (เรียง)'!A:C,3,0)</f>
        <v>#N/A</v>
      </c>
    </row>
    <row r="854" spans="1:40" x14ac:dyDescent="0.3">
      <c r="A854" s="1" t="s">
        <v>13</v>
      </c>
      <c r="B854" s="1" t="s">
        <v>14</v>
      </c>
      <c r="C854" s="1" t="s">
        <v>64</v>
      </c>
      <c r="D854" s="1" t="s">
        <v>115</v>
      </c>
      <c r="E854" s="1" t="s">
        <v>116</v>
      </c>
      <c r="F854" s="1" t="s">
        <v>696</v>
      </c>
      <c r="G854" s="1" t="s">
        <v>279</v>
      </c>
      <c r="H854" s="1" t="s">
        <v>327</v>
      </c>
      <c r="I854" s="1" t="s">
        <v>451</v>
      </c>
      <c r="J854" s="1" t="s">
        <v>697</v>
      </c>
      <c r="K854" s="1" t="s">
        <v>290</v>
      </c>
      <c r="L854" s="1" t="s">
        <v>70</v>
      </c>
      <c r="M854" s="1" t="s">
        <v>68</v>
      </c>
      <c r="N854" s="1" t="s">
        <v>71</v>
      </c>
      <c r="O854" s="1" t="s">
        <v>68</v>
      </c>
      <c r="P854" s="1" t="s">
        <v>72</v>
      </c>
      <c r="Q854" s="1" t="s">
        <v>68</v>
      </c>
      <c r="R854" s="1" t="s">
        <v>328</v>
      </c>
      <c r="S854" s="1" t="s">
        <v>68</v>
      </c>
      <c r="T854" s="1" t="s">
        <v>124</v>
      </c>
      <c r="U854" s="1" t="s">
        <v>68</v>
      </c>
      <c r="V854" s="1" t="s">
        <v>68</v>
      </c>
      <c r="W854" s="1" t="s">
        <v>68</v>
      </c>
      <c r="X854" s="1" t="s">
        <v>698</v>
      </c>
      <c r="Y854" s="73"/>
      <c r="Z854" s="2" t="s">
        <v>80</v>
      </c>
      <c r="AA854" s="3">
        <v>9853.2000000000007</v>
      </c>
      <c r="AB854" s="4">
        <v>2658294.83</v>
      </c>
      <c r="AC854" s="73">
        <v>46204</v>
      </c>
      <c r="AD854" s="73">
        <v>46204</v>
      </c>
      <c r="AE854" s="73"/>
      <c r="AF854" s="73">
        <v>46206</v>
      </c>
      <c r="AG854" s="3">
        <v>9853200</v>
      </c>
      <c r="AH854" s="353" t="str">
        <f t="shared" si="81"/>
        <v>301</v>
      </c>
      <c r="AI854" s="3" t="str">
        <f t="shared" si="82"/>
        <v>57</v>
      </c>
      <c r="AJ854" s="64" t="str">
        <f>VLOOKUP(T854,'GL Name'!A:B,2,0)</f>
        <v>ต้นทุนผลิตโอน Semi</v>
      </c>
      <c r="AL854" s="13">
        <f t="shared" si="83"/>
        <v>269.79000020297974</v>
      </c>
      <c r="AM854" s="13" t="str">
        <f>VLOOKUP(I854,'Order 301-305 (เรียง)'!A:B,2,0)</f>
        <v>Semi</v>
      </c>
      <c r="AN854" t="str">
        <f>VLOOKUP(I854,'Order 301-305 (เรียง)'!A:C,3,0)</f>
        <v>Semi เมล็ดกาแฟ</v>
      </c>
    </row>
    <row r="855" spans="1:40" x14ac:dyDescent="0.3">
      <c r="A855" s="1" t="s">
        <v>15</v>
      </c>
      <c r="B855" s="1" t="s">
        <v>233</v>
      </c>
      <c r="C855" s="1" t="s">
        <v>64</v>
      </c>
      <c r="D855" s="1" t="s">
        <v>115</v>
      </c>
      <c r="E855" s="1" t="s">
        <v>116</v>
      </c>
      <c r="F855" s="1" t="s">
        <v>696</v>
      </c>
      <c r="G855" s="1" t="s">
        <v>279</v>
      </c>
      <c r="H855" s="1" t="s">
        <v>327</v>
      </c>
      <c r="I855" s="1" t="s">
        <v>451</v>
      </c>
      <c r="J855" s="1" t="s">
        <v>697</v>
      </c>
      <c r="K855" s="1" t="s">
        <v>290</v>
      </c>
      <c r="L855" s="1" t="s">
        <v>86</v>
      </c>
      <c r="M855" s="1" t="s">
        <v>68</v>
      </c>
      <c r="N855" s="1" t="s">
        <v>71</v>
      </c>
      <c r="O855" s="1" t="s">
        <v>68</v>
      </c>
      <c r="P855" s="1" t="s">
        <v>72</v>
      </c>
      <c r="Q855" s="1" t="s">
        <v>68</v>
      </c>
      <c r="R855" s="1" t="s">
        <v>68</v>
      </c>
      <c r="S855" s="1" t="s">
        <v>68</v>
      </c>
      <c r="T855" s="1" t="s">
        <v>124</v>
      </c>
      <c r="U855" s="1" t="s">
        <v>68</v>
      </c>
      <c r="V855" s="1" t="s">
        <v>68</v>
      </c>
      <c r="W855" s="1" t="s">
        <v>68</v>
      </c>
      <c r="X855" s="1" t="s">
        <v>698</v>
      </c>
      <c r="Y855" s="73"/>
      <c r="Z855" s="2" t="s">
        <v>80</v>
      </c>
      <c r="AA855" s="3">
        <v>171.8</v>
      </c>
      <c r="AB855" s="4">
        <v>46349.919999999998</v>
      </c>
      <c r="AC855" s="73">
        <v>46204</v>
      </c>
      <c r="AD855" s="73">
        <v>46204</v>
      </c>
      <c r="AE855" s="73"/>
      <c r="AF855" s="73">
        <v>46206</v>
      </c>
      <c r="AG855" s="3">
        <v>171800</v>
      </c>
      <c r="AH855" s="353" t="str">
        <f t="shared" si="81"/>
        <v>301</v>
      </c>
      <c r="AI855" s="3" t="str">
        <f t="shared" si="82"/>
        <v>57</v>
      </c>
      <c r="AJ855" s="64" t="str">
        <f>VLOOKUP(T855,'GL Name'!A:B,2,0)</f>
        <v>ต้นทุนผลิตโอน Semi</v>
      </c>
      <c r="AL855" s="13">
        <f t="shared" si="83"/>
        <v>269.78998835855646</v>
      </c>
      <c r="AM855" s="13" t="str">
        <f>VLOOKUP(I855,'Order 301-305 (เรียง)'!A:B,2,0)</f>
        <v>Semi</v>
      </c>
      <c r="AN855" t="str">
        <f>VLOOKUP(I855,'Order 301-305 (เรียง)'!A:C,3,0)</f>
        <v>Semi เมล็ดกาแฟ</v>
      </c>
    </row>
    <row r="856" spans="1:40" x14ac:dyDescent="0.3">
      <c r="A856" s="1" t="s">
        <v>19</v>
      </c>
      <c r="B856" s="1" t="s">
        <v>20</v>
      </c>
      <c r="C856" s="1" t="s">
        <v>64</v>
      </c>
      <c r="D856" s="1" t="s">
        <v>115</v>
      </c>
      <c r="E856" s="1" t="s">
        <v>116</v>
      </c>
      <c r="F856" s="1" t="s">
        <v>699</v>
      </c>
      <c r="G856" s="1" t="s">
        <v>279</v>
      </c>
      <c r="H856" s="1" t="s">
        <v>304</v>
      </c>
      <c r="I856" s="1" t="s">
        <v>462</v>
      </c>
      <c r="J856" s="1" t="s">
        <v>700</v>
      </c>
      <c r="K856" s="1" t="s">
        <v>290</v>
      </c>
      <c r="L856" s="1" t="s">
        <v>70</v>
      </c>
      <c r="M856" s="1" t="s">
        <v>68</v>
      </c>
      <c r="N856" s="1" t="s">
        <v>71</v>
      </c>
      <c r="O856" s="1" t="s">
        <v>68</v>
      </c>
      <c r="P856" s="1" t="s">
        <v>72</v>
      </c>
      <c r="Q856" s="1" t="s">
        <v>68</v>
      </c>
      <c r="R856" s="1" t="s">
        <v>701</v>
      </c>
      <c r="S856" s="1" t="s">
        <v>68</v>
      </c>
      <c r="T856" s="1" t="s">
        <v>124</v>
      </c>
      <c r="U856" s="1" t="s">
        <v>68</v>
      </c>
      <c r="V856" s="1" t="s">
        <v>68</v>
      </c>
      <c r="W856" s="1" t="s">
        <v>68</v>
      </c>
      <c r="X856" s="1" t="s">
        <v>702</v>
      </c>
      <c r="Y856" s="73"/>
      <c r="Z856" s="2" t="s">
        <v>80</v>
      </c>
      <c r="AA856" s="3">
        <v>9891</v>
      </c>
      <c r="AB856" s="4">
        <v>1588692.42</v>
      </c>
      <c r="AC856" s="73">
        <v>46205</v>
      </c>
      <c r="AD856" s="73">
        <v>46205</v>
      </c>
      <c r="AE856" s="73"/>
      <c r="AF856" s="73">
        <v>46206</v>
      </c>
      <c r="AG856" s="3">
        <v>9891000</v>
      </c>
      <c r="AH856" s="353" t="str">
        <f t="shared" si="81"/>
        <v>301</v>
      </c>
      <c r="AI856" s="3" t="str">
        <f t="shared" si="82"/>
        <v>57</v>
      </c>
      <c r="AJ856" s="64" t="str">
        <f>VLOOKUP(T856,'GL Name'!A:B,2,0)</f>
        <v>ต้นทุนผลิตโอน Semi</v>
      </c>
      <c r="AL856" s="13">
        <f t="shared" si="83"/>
        <v>160.62</v>
      </c>
      <c r="AM856" s="13" t="str">
        <f>VLOOKUP(I856,'Order 301-305 (เรียง)'!A:B,2,0)</f>
        <v>Semi</v>
      </c>
      <c r="AN856" t="str">
        <f>VLOOKUP(I856,'Order 301-305 (เรียง)'!A:C,3,0)</f>
        <v>Semi เมล็ดกาแฟ</v>
      </c>
    </row>
    <row r="857" spans="1:40" x14ac:dyDescent="0.3">
      <c r="A857" s="1" t="s">
        <v>21</v>
      </c>
      <c r="B857" s="1" t="s">
        <v>234</v>
      </c>
      <c r="C857" s="1" t="s">
        <v>64</v>
      </c>
      <c r="D857" s="1" t="s">
        <v>115</v>
      </c>
      <c r="E857" s="1" t="s">
        <v>116</v>
      </c>
      <c r="F857" s="1" t="s">
        <v>699</v>
      </c>
      <c r="G857" s="1" t="s">
        <v>279</v>
      </c>
      <c r="H857" s="1" t="s">
        <v>304</v>
      </c>
      <c r="I857" s="1" t="s">
        <v>462</v>
      </c>
      <c r="J857" s="1" t="s">
        <v>700</v>
      </c>
      <c r="K857" s="1" t="s">
        <v>290</v>
      </c>
      <c r="L857" s="1" t="s">
        <v>86</v>
      </c>
      <c r="M857" s="1" t="s">
        <v>68</v>
      </c>
      <c r="N857" s="1" t="s">
        <v>71</v>
      </c>
      <c r="O857" s="1" t="s">
        <v>68</v>
      </c>
      <c r="P857" s="1" t="s">
        <v>72</v>
      </c>
      <c r="Q857" s="1" t="s">
        <v>68</v>
      </c>
      <c r="R857" s="1" t="s">
        <v>701</v>
      </c>
      <c r="S857" s="1" t="s">
        <v>68</v>
      </c>
      <c r="T857" s="1" t="s">
        <v>124</v>
      </c>
      <c r="U857" s="1" t="s">
        <v>68</v>
      </c>
      <c r="V857" s="1" t="s">
        <v>68</v>
      </c>
      <c r="W857" s="1" t="s">
        <v>68</v>
      </c>
      <c r="X857" s="1" t="s">
        <v>702</v>
      </c>
      <c r="Y857" s="73"/>
      <c r="Z857" s="2" t="s">
        <v>80</v>
      </c>
      <c r="AA857" s="3">
        <v>139.19999999999999</v>
      </c>
      <c r="AB857" s="4">
        <v>22358.3</v>
      </c>
      <c r="AC857" s="73">
        <v>46205</v>
      </c>
      <c r="AD857" s="73">
        <v>46205</v>
      </c>
      <c r="AE857" s="73"/>
      <c r="AF857" s="73">
        <v>46206</v>
      </c>
      <c r="AG857" s="3">
        <v>139200</v>
      </c>
      <c r="AH857" s="353" t="str">
        <f t="shared" si="81"/>
        <v>301</v>
      </c>
      <c r="AI857" s="3" t="str">
        <f t="shared" si="82"/>
        <v>57</v>
      </c>
      <c r="AJ857" s="64" t="str">
        <f>VLOOKUP(T857,'GL Name'!A:B,2,0)</f>
        <v>ต้นทุนผลิตโอน Semi</v>
      </c>
      <c r="AL857" s="13">
        <f t="shared" si="83"/>
        <v>160.61997126436782</v>
      </c>
      <c r="AM857" s="13" t="str">
        <f>VLOOKUP(I857,'Order 301-305 (เรียง)'!A:B,2,0)</f>
        <v>Semi</v>
      </c>
      <c r="AN857" t="str">
        <f>VLOOKUP(I857,'Order 301-305 (เรียง)'!A:C,3,0)</f>
        <v>Semi เมล็ดกาแฟ</v>
      </c>
    </row>
    <row r="858" spans="1:40" x14ac:dyDescent="0.3">
      <c r="A858" s="1" t="s">
        <v>126</v>
      </c>
      <c r="B858" s="1" t="s">
        <v>127</v>
      </c>
      <c r="C858" s="1" t="s">
        <v>64</v>
      </c>
      <c r="D858" s="1" t="s">
        <v>115</v>
      </c>
      <c r="E858" s="1" t="s">
        <v>130</v>
      </c>
      <c r="F858" s="1" t="s">
        <v>703</v>
      </c>
      <c r="G858" s="1" t="s">
        <v>101</v>
      </c>
      <c r="H858" s="1" t="s">
        <v>704</v>
      </c>
      <c r="I858" s="1" t="s">
        <v>68</v>
      </c>
      <c r="J858" s="1" t="s">
        <v>705</v>
      </c>
      <c r="K858" s="1" t="s">
        <v>294</v>
      </c>
      <c r="L858" s="1" t="s">
        <v>70</v>
      </c>
      <c r="M858" s="1" t="s">
        <v>706</v>
      </c>
      <c r="N858" s="1" t="s">
        <v>71</v>
      </c>
      <c r="O858" s="1" t="s">
        <v>68</v>
      </c>
      <c r="P858" s="1" t="s">
        <v>72</v>
      </c>
      <c r="Q858" s="1" t="s">
        <v>707</v>
      </c>
      <c r="R858" s="1" t="s">
        <v>68</v>
      </c>
      <c r="S858" s="1" t="s">
        <v>68</v>
      </c>
      <c r="T858" s="1" t="s">
        <v>68</v>
      </c>
      <c r="U858" s="1" t="s">
        <v>707</v>
      </c>
      <c r="V858" s="1" t="s">
        <v>280</v>
      </c>
      <c r="W858" s="1" t="s">
        <v>68</v>
      </c>
      <c r="X858" s="1" t="s">
        <v>706</v>
      </c>
      <c r="Y858" s="73"/>
      <c r="Z858" s="2" t="s">
        <v>102</v>
      </c>
      <c r="AA858" s="3">
        <v>500</v>
      </c>
      <c r="AB858" s="4">
        <v>11000</v>
      </c>
      <c r="AC858" s="73">
        <v>46207</v>
      </c>
      <c r="AD858" s="73">
        <v>46207</v>
      </c>
      <c r="AE858" s="73"/>
      <c r="AF858" s="73">
        <v>46207</v>
      </c>
      <c r="AG858" s="3">
        <v>500</v>
      </c>
      <c r="AH858" s="353" t="str">
        <f t="shared" si="81"/>
        <v/>
      </c>
      <c r="AI858" s="3" t="str">
        <f t="shared" si="82"/>
        <v>58</v>
      </c>
      <c r="AJ858" s="64" t="e">
        <f>VLOOKUP(T858,'GL Name'!A:B,2,0)</f>
        <v>#N/A</v>
      </c>
      <c r="AL858" s="13">
        <f t="shared" si="83"/>
        <v>22</v>
      </c>
      <c r="AM858" s="13" t="e">
        <f>VLOOKUP(I858,'Order 301-305 (เรียง)'!A:B,2,0)</f>
        <v>#N/A</v>
      </c>
      <c r="AN858" t="e">
        <f>VLOOKUP(I858,'Order 301-305 (เรียง)'!A:C,3,0)</f>
        <v>#N/A</v>
      </c>
    </row>
    <row r="859" spans="1:40" x14ac:dyDescent="0.3">
      <c r="A859" s="1" t="s">
        <v>121</v>
      </c>
      <c r="B859" s="1" t="s">
        <v>122</v>
      </c>
      <c r="C859" s="1" t="s">
        <v>64</v>
      </c>
      <c r="D859" s="1" t="s">
        <v>115</v>
      </c>
      <c r="E859" s="1" t="s">
        <v>130</v>
      </c>
      <c r="F859" s="1" t="s">
        <v>708</v>
      </c>
      <c r="G859" s="1" t="s">
        <v>101</v>
      </c>
      <c r="H859" s="1" t="s">
        <v>704</v>
      </c>
      <c r="I859" s="1" t="s">
        <v>68</v>
      </c>
      <c r="J859" s="1" t="s">
        <v>709</v>
      </c>
      <c r="K859" s="1" t="s">
        <v>294</v>
      </c>
      <c r="L859" s="1" t="s">
        <v>70</v>
      </c>
      <c r="M859" s="1" t="s">
        <v>710</v>
      </c>
      <c r="N859" s="1" t="s">
        <v>71</v>
      </c>
      <c r="O859" s="1" t="s">
        <v>68</v>
      </c>
      <c r="P859" s="1" t="s">
        <v>72</v>
      </c>
      <c r="Q859" s="1" t="s">
        <v>315</v>
      </c>
      <c r="R859" s="1" t="s">
        <v>68</v>
      </c>
      <c r="S859" s="1" t="s">
        <v>68</v>
      </c>
      <c r="T859" s="1" t="s">
        <v>68</v>
      </c>
      <c r="U859" s="1" t="s">
        <v>315</v>
      </c>
      <c r="V859" s="1" t="s">
        <v>280</v>
      </c>
      <c r="W859" s="1" t="s">
        <v>68</v>
      </c>
      <c r="X859" s="1" t="s">
        <v>710</v>
      </c>
      <c r="Y859" s="73"/>
      <c r="Z859" s="2" t="s">
        <v>102</v>
      </c>
      <c r="AA859" s="3">
        <v>15000</v>
      </c>
      <c r="AB859" s="4">
        <v>75000</v>
      </c>
      <c r="AC859" s="73">
        <v>46207</v>
      </c>
      <c r="AD859" s="73">
        <v>46207</v>
      </c>
      <c r="AE859" s="73"/>
      <c r="AF859" s="73">
        <v>46207</v>
      </c>
      <c r="AG859" s="3">
        <v>15000</v>
      </c>
      <c r="AH859" s="353" t="str">
        <f t="shared" si="81"/>
        <v/>
      </c>
      <c r="AI859" s="3" t="str">
        <f t="shared" si="82"/>
        <v>58</v>
      </c>
      <c r="AJ859" s="64" t="e">
        <f>VLOOKUP(T859,'GL Name'!A:B,2,0)</f>
        <v>#N/A</v>
      </c>
      <c r="AL859" s="13">
        <f t="shared" si="83"/>
        <v>5</v>
      </c>
      <c r="AM859" s="13" t="e">
        <f>VLOOKUP(I859,'Order 301-305 (เรียง)'!A:B,2,0)</f>
        <v>#N/A</v>
      </c>
      <c r="AN859" t="e">
        <f>VLOOKUP(I859,'Order 301-305 (เรียง)'!A:C,3,0)</f>
        <v>#N/A</v>
      </c>
    </row>
    <row r="860" spans="1:40" x14ac:dyDescent="0.3">
      <c r="A860" s="1" t="s">
        <v>13</v>
      </c>
      <c r="B860" s="1" t="s">
        <v>14</v>
      </c>
      <c r="C860" s="1" t="s">
        <v>64</v>
      </c>
      <c r="D860" s="1" t="s">
        <v>115</v>
      </c>
      <c r="E860" s="1" t="s">
        <v>116</v>
      </c>
      <c r="F860" s="1" t="s">
        <v>711</v>
      </c>
      <c r="G860" s="1" t="s">
        <v>279</v>
      </c>
      <c r="H860" s="1" t="s">
        <v>327</v>
      </c>
      <c r="I860" s="1" t="s">
        <v>477</v>
      </c>
      <c r="J860" s="1" t="s">
        <v>712</v>
      </c>
      <c r="K860" s="1" t="s">
        <v>290</v>
      </c>
      <c r="L860" s="1" t="s">
        <v>70</v>
      </c>
      <c r="M860" s="1" t="s">
        <v>68</v>
      </c>
      <c r="N860" s="1" t="s">
        <v>71</v>
      </c>
      <c r="O860" s="1" t="s">
        <v>68</v>
      </c>
      <c r="P860" s="1" t="s">
        <v>72</v>
      </c>
      <c r="Q860" s="1" t="s">
        <v>68</v>
      </c>
      <c r="R860" s="1" t="s">
        <v>713</v>
      </c>
      <c r="S860" s="1" t="s">
        <v>68</v>
      </c>
      <c r="T860" s="1" t="s">
        <v>124</v>
      </c>
      <c r="U860" s="1" t="s">
        <v>68</v>
      </c>
      <c r="V860" s="1" t="s">
        <v>68</v>
      </c>
      <c r="W860" s="1" t="s">
        <v>68</v>
      </c>
      <c r="X860" s="1" t="s">
        <v>714</v>
      </c>
      <c r="Y860" s="73"/>
      <c r="Z860" s="2" t="s">
        <v>80</v>
      </c>
      <c r="AA860" s="3">
        <v>14667.22</v>
      </c>
      <c r="AB860" s="4">
        <v>3957069.28</v>
      </c>
      <c r="AC860" s="73">
        <v>46206</v>
      </c>
      <c r="AD860" s="73">
        <v>46206</v>
      </c>
      <c r="AE860" s="73"/>
      <c r="AF860" s="73">
        <v>46207</v>
      </c>
      <c r="AG860" s="3">
        <v>14667220</v>
      </c>
      <c r="AH860" s="353" t="str">
        <f t="shared" si="81"/>
        <v>301</v>
      </c>
      <c r="AI860" s="3" t="str">
        <f t="shared" si="82"/>
        <v>57</v>
      </c>
      <c r="AJ860" s="64" t="str">
        <f>VLOOKUP(T860,'GL Name'!A:B,2,0)</f>
        <v>ต้นทุนผลิตโอน Semi</v>
      </c>
      <c r="AL860" s="13">
        <f t="shared" si="83"/>
        <v>269.78999974091886</v>
      </c>
      <c r="AM860" s="13" t="str">
        <f>VLOOKUP(I860,'Order 301-305 (เรียง)'!A:B,2,0)</f>
        <v>Semi</v>
      </c>
      <c r="AN860" t="str">
        <f>VLOOKUP(I860,'Order 301-305 (เรียง)'!A:C,3,0)</f>
        <v>Semi เมล็ดกาแฟ</v>
      </c>
    </row>
    <row r="861" spans="1:40" x14ac:dyDescent="0.3">
      <c r="A861" s="1" t="s">
        <v>15</v>
      </c>
      <c r="B861" s="1" t="s">
        <v>233</v>
      </c>
      <c r="C861" s="1" t="s">
        <v>64</v>
      </c>
      <c r="D861" s="1" t="s">
        <v>115</v>
      </c>
      <c r="E861" s="1" t="s">
        <v>116</v>
      </c>
      <c r="F861" s="1" t="s">
        <v>711</v>
      </c>
      <c r="G861" s="1" t="s">
        <v>279</v>
      </c>
      <c r="H861" s="1" t="s">
        <v>327</v>
      </c>
      <c r="I861" s="1" t="s">
        <v>477</v>
      </c>
      <c r="J861" s="1" t="s">
        <v>712</v>
      </c>
      <c r="K861" s="1" t="s">
        <v>290</v>
      </c>
      <c r="L861" s="1" t="s">
        <v>86</v>
      </c>
      <c r="M861" s="1" t="s">
        <v>68</v>
      </c>
      <c r="N861" s="1" t="s">
        <v>71</v>
      </c>
      <c r="O861" s="1" t="s">
        <v>68</v>
      </c>
      <c r="P861" s="1" t="s">
        <v>72</v>
      </c>
      <c r="Q861" s="1" t="s">
        <v>68</v>
      </c>
      <c r="R861" s="1" t="s">
        <v>713</v>
      </c>
      <c r="S861" s="1" t="s">
        <v>68</v>
      </c>
      <c r="T861" s="1" t="s">
        <v>124</v>
      </c>
      <c r="U861" s="1" t="s">
        <v>68</v>
      </c>
      <c r="V861" s="1" t="s">
        <v>68</v>
      </c>
      <c r="W861" s="1" t="s">
        <v>68</v>
      </c>
      <c r="X861" s="1" t="s">
        <v>714</v>
      </c>
      <c r="Y861" s="73"/>
      <c r="Z861" s="2" t="s">
        <v>80</v>
      </c>
      <c r="AA861" s="3">
        <v>374.9</v>
      </c>
      <c r="AB861" s="4">
        <v>101144.27</v>
      </c>
      <c r="AC861" s="73">
        <v>46206</v>
      </c>
      <c r="AD861" s="73">
        <v>46206</v>
      </c>
      <c r="AE861" s="73"/>
      <c r="AF861" s="73">
        <v>46207</v>
      </c>
      <c r="AG861" s="3">
        <v>374900</v>
      </c>
      <c r="AH861" s="353" t="str">
        <f t="shared" si="81"/>
        <v>301</v>
      </c>
      <c r="AI861" s="3" t="str">
        <f t="shared" si="82"/>
        <v>57</v>
      </c>
      <c r="AJ861" s="64" t="str">
        <f>VLOOKUP(T861,'GL Name'!A:B,2,0)</f>
        <v>ต้นทุนผลิตโอน Semi</v>
      </c>
      <c r="AL861" s="13">
        <f t="shared" si="83"/>
        <v>269.78999733262208</v>
      </c>
      <c r="AM861" s="13" t="str">
        <f>VLOOKUP(I861,'Order 301-305 (เรียง)'!A:B,2,0)</f>
        <v>Semi</v>
      </c>
      <c r="AN861" t="str">
        <f>VLOOKUP(I861,'Order 301-305 (เรียง)'!A:C,3,0)</f>
        <v>Semi เมล็ดกาแฟ</v>
      </c>
    </row>
    <row r="862" spans="1:40" x14ac:dyDescent="0.3">
      <c r="A862" s="1" t="s">
        <v>128</v>
      </c>
      <c r="B862" s="1" t="s">
        <v>129</v>
      </c>
      <c r="C862" s="1" t="s">
        <v>64</v>
      </c>
      <c r="D862" s="1" t="s">
        <v>115</v>
      </c>
      <c r="E862" s="1" t="s">
        <v>130</v>
      </c>
      <c r="F862" s="1" t="s">
        <v>715</v>
      </c>
      <c r="G862" s="1" t="s">
        <v>131</v>
      </c>
      <c r="H862" s="1" t="s">
        <v>690</v>
      </c>
      <c r="I862" s="1" t="s">
        <v>68</v>
      </c>
      <c r="J862" s="1" t="s">
        <v>716</v>
      </c>
      <c r="K862" s="1" t="s">
        <v>132</v>
      </c>
      <c r="L862" s="1" t="s">
        <v>70</v>
      </c>
      <c r="M862" s="1" t="s">
        <v>717</v>
      </c>
      <c r="N862" s="1" t="s">
        <v>71</v>
      </c>
      <c r="O862" s="1" t="s">
        <v>68</v>
      </c>
      <c r="P862" s="1" t="s">
        <v>72</v>
      </c>
      <c r="Q862" s="1" t="s">
        <v>292</v>
      </c>
      <c r="R862" s="1" t="s">
        <v>68</v>
      </c>
      <c r="S862" s="1" t="s">
        <v>68</v>
      </c>
      <c r="T862" s="1" t="s">
        <v>68</v>
      </c>
      <c r="U862" s="1" t="s">
        <v>292</v>
      </c>
      <c r="V862" s="1" t="s">
        <v>133</v>
      </c>
      <c r="W862" s="1" t="s">
        <v>68</v>
      </c>
      <c r="X862" s="1" t="s">
        <v>717</v>
      </c>
      <c r="Y862" s="73"/>
      <c r="Z862" s="2" t="s">
        <v>102</v>
      </c>
      <c r="AA862" s="3">
        <v>20</v>
      </c>
      <c r="AB862" s="4">
        <v>20700</v>
      </c>
      <c r="AC862" s="73">
        <v>46206</v>
      </c>
      <c r="AD862" s="73">
        <v>46209</v>
      </c>
      <c r="AE862" s="73"/>
      <c r="AF862" s="73">
        <v>46209</v>
      </c>
      <c r="AG862" s="3">
        <v>20</v>
      </c>
      <c r="AH862" s="353" t="str">
        <f t="shared" si="81"/>
        <v/>
      </c>
      <c r="AI862" s="3" t="str">
        <f t="shared" si="82"/>
        <v>54</v>
      </c>
      <c r="AJ862" s="64" t="e">
        <f>VLOOKUP(T862,'GL Name'!A:B,2,0)</f>
        <v>#N/A</v>
      </c>
      <c r="AL862" s="13">
        <f t="shared" si="83"/>
        <v>1035</v>
      </c>
      <c r="AM862" s="13" t="e">
        <f>VLOOKUP(I862,'Order 301-305 (เรียง)'!A:B,2,0)</f>
        <v>#N/A</v>
      </c>
      <c r="AN862" t="e">
        <f>VLOOKUP(I862,'Order 301-305 (เรียง)'!A:C,3,0)</f>
        <v>#N/A</v>
      </c>
    </row>
    <row r="863" spans="1:40" x14ac:dyDescent="0.3">
      <c r="A863" s="1" t="s">
        <v>128</v>
      </c>
      <c r="B863" s="1" t="s">
        <v>129</v>
      </c>
      <c r="C863" s="1" t="s">
        <v>64</v>
      </c>
      <c r="D863" s="1" t="s">
        <v>115</v>
      </c>
      <c r="E863" s="1" t="s">
        <v>130</v>
      </c>
      <c r="F863" s="1" t="s">
        <v>718</v>
      </c>
      <c r="G863" s="1" t="s">
        <v>131</v>
      </c>
      <c r="H863" s="1" t="s">
        <v>690</v>
      </c>
      <c r="I863" s="1" t="s">
        <v>68</v>
      </c>
      <c r="J863" s="1" t="s">
        <v>719</v>
      </c>
      <c r="K863" s="1" t="s">
        <v>132</v>
      </c>
      <c r="L863" s="1" t="s">
        <v>70</v>
      </c>
      <c r="M863" s="1" t="s">
        <v>720</v>
      </c>
      <c r="N863" s="1" t="s">
        <v>71</v>
      </c>
      <c r="O863" s="1" t="s">
        <v>68</v>
      </c>
      <c r="P863" s="1" t="s">
        <v>72</v>
      </c>
      <c r="Q863" s="1" t="s">
        <v>721</v>
      </c>
      <c r="R863" s="1" t="s">
        <v>68</v>
      </c>
      <c r="S863" s="1" t="s">
        <v>68</v>
      </c>
      <c r="T863" s="1" t="s">
        <v>68</v>
      </c>
      <c r="U863" s="1" t="s">
        <v>721</v>
      </c>
      <c r="V863" s="1" t="s">
        <v>133</v>
      </c>
      <c r="W863" s="1" t="s">
        <v>68</v>
      </c>
      <c r="X863" s="1" t="s">
        <v>720</v>
      </c>
      <c r="Y863" s="73"/>
      <c r="Z863" s="2" t="s">
        <v>102</v>
      </c>
      <c r="AA863" s="3">
        <v>20</v>
      </c>
      <c r="AB863" s="4">
        <v>20700</v>
      </c>
      <c r="AC863" s="73">
        <v>46207</v>
      </c>
      <c r="AD863" s="73">
        <v>46209</v>
      </c>
      <c r="AE863" s="73"/>
      <c r="AF863" s="73">
        <v>46209</v>
      </c>
      <c r="AG863" s="3">
        <v>20</v>
      </c>
      <c r="AH863" s="353" t="str">
        <f t="shared" si="81"/>
        <v/>
      </c>
      <c r="AI863" s="3" t="str">
        <f t="shared" si="82"/>
        <v>54</v>
      </c>
      <c r="AJ863" s="64" t="e">
        <f>VLOOKUP(T863,'GL Name'!A:B,2,0)</f>
        <v>#N/A</v>
      </c>
      <c r="AL863" s="13">
        <f t="shared" si="83"/>
        <v>1035</v>
      </c>
      <c r="AM863" s="13" t="e">
        <f>VLOOKUP(I863,'Order 301-305 (เรียง)'!A:B,2,0)</f>
        <v>#N/A</v>
      </c>
      <c r="AN863" t="e">
        <f>VLOOKUP(I863,'Order 301-305 (เรียง)'!A:C,3,0)</f>
        <v>#N/A</v>
      </c>
    </row>
    <row r="864" spans="1:40" x14ac:dyDescent="0.3">
      <c r="A864" s="1" t="s">
        <v>128</v>
      </c>
      <c r="B864" s="1" t="s">
        <v>129</v>
      </c>
      <c r="C864" s="1" t="s">
        <v>64</v>
      </c>
      <c r="D864" s="1" t="s">
        <v>115</v>
      </c>
      <c r="E864" s="1" t="s">
        <v>130</v>
      </c>
      <c r="F864" s="1" t="s">
        <v>722</v>
      </c>
      <c r="G864" s="1" t="s">
        <v>131</v>
      </c>
      <c r="H864" s="1" t="s">
        <v>690</v>
      </c>
      <c r="I864" s="1" t="s">
        <v>68</v>
      </c>
      <c r="J864" s="1" t="s">
        <v>723</v>
      </c>
      <c r="K864" s="1" t="s">
        <v>132</v>
      </c>
      <c r="L864" s="1" t="s">
        <v>70</v>
      </c>
      <c r="M864" s="1" t="s">
        <v>724</v>
      </c>
      <c r="N864" s="1" t="s">
        <v>71</v>
      </c>
      <c r="O864" s="1" t="s">
        <v>68</v>
      </c>
      <c r="P864" s="1" t="s">
        <v>72</v>
      </c>
      <c r="Q864" s="1" t="s">
        <v>721</v>
      </c>
      <c r="R864" s="1" t="s">
        <v>68</v>
      </c>
      <c r="S864" s="1" t="s">
        <v>68</v>
      </c>
      <c r="T864" s="1" t="s">
        <v>68</v>
      </c>
      <c r="U864" s="1" t="s">
        <v>721</v>
      </c>
      <c r="V864" s="1" t="s">
        <v>133</v>
      </c>
      <c r="W864" s="1" t="s">
        <v>68</v>
      </c>
      <c r="X864" s="1" t="s">
        <v>724</v>
      </c>
      <c r="Y864" s="73"/>
      <c r="Z864" s="2" t="s">
        <v>102</v>
      </c>
      <c r="AA864" s="3">
        <v>15</v>
      </c>
      <c r="AB864" s="4">
        <v>15525</v>
      </c>
      <c r="AC864" s="73">
        <v>46209</v>
      </c>
      <c r="AD864" s="73">
        <v>46209</v>
      </c>
      <c r="AE864" s="73"/>
      <c r="AF864" s="73">
        <v>46209</v>
      </c>
      <c r="AG864" s="3">
        <v>15</v>
      </c>
      <c r="AH864" s="353" t="str">
        <f t="shared" si="81"/>
        <v/>
      </c>
      <c r="AI864" s="3" t="str">
        <f t="shared" si="82"/>
        <v>54</v>
      </c>
      <c r="AJ864" s="64" t="e">
        <f>VLOOKUP(T864,'GL Name'!A:B,2,0)</f>
        <v>#N/A</v>
      </c>
      <c r="AL864" s="13">
        <f t="shared" si="83"/>
        <v>1035</v>
      </c>
      <c r="AM864" s="13" t="e">
        <f>VLOOKUP(I864,'Order 301-305 (เรียง)'!A:B,2,0)</f>
        <v>#N/A</v>
      </c>
      <c r="AN864" t="e">
        <f>VLOOKUP(I864,'Order 301-305 (เรียง)'!A:C,3,0)</f>
        <v>#N/A</v>
      </c>
    </row>
    <row r="865" spans="1:40" x14ac:dyDescent="0.3">
      <c r="A865" s="1" t="s">
        <v>13</v>
      </c>
      <c r="B865" s="1" t="s">
        <v>14</v>
      </c>
      <c r="C865" s="1" t="s">
        <v>64</v>
      </c>
      <c r="D865" s="1" t="s">
        <v>115</v>
      </c>
      <c r="E865" s="1" t="s">
        <v>116</v>
      </c>
      <c r="F865" s="1" t="s">
        <v>725</v>
      </c>
      <c r="G865" s="1" t="s">
        <v>279</v>
      </c>
      <c r="H865" s="1" t="s">
        <v>662</v>
      </c>
      <c r="I865" s="1" t="s">
        <v>589</v>
      </c>
      <c r="J865" s="1" t="s">
        <v>726</v>
      </c>
      <c r="K865" s="1" t="s">
        <v>290</v>
      </c>
      <c r="L865" s="1" t="s">
        <v>70</v>
      </c>
      <c r="M865" s="1" t="s">
        <v>68</v>
      </c>
      <c r="N865" s="1" t="s">
        <v>71</v>
      </c>
      <c r="O865" s="1" t="s">
        <v>68</v>
      </c>
      <c r="P865" s="1" t="s">
        <v>72</v>
      </c>
      <c r="Q865" s="1" t="s">
        <v>68</v>
      </c>
      <c r="R865" s="1" t="s">
        <v>727</v>
      </c>
      <c r="S865" s="1" t="s">
        <v>68</v>
      </c>
      <c r="T865" s="1" t="s">
        <v>124</v>
      </c>
      <c r="U865" s="1" t="s">
        <v>68</v>
      </c>
      <c r="V865" s="1" t="s">
        <v>68</v>
      </c>
      <c r="W865" s="1" t="s">
        <v>68</v>
      </c>
      <c r="X865" s="1" t="s">
        <v>728</v>
      </c>
      <c r="Y865" s="73"/>
      <c r="Z865" s="2" t="s">
        <v>80</v>
      </c>
      <c r="AA865" s="3">
        <v>14889.54</v>
      </c>
      <c r="AB865" s="4">
        <v>4017049</v>
      </c>
      <c r="AC865" s="73">
        <v>46209</v>
      </c>
      <c r="AD865" s="73">
        <v>46209</v>
      </c>
      <c r="AE865" s="73"/>
      <c r="AF865" s="73">
        <v>46210</v>
      </c>
      <c r="AG865" s="3">
        <v>14889540</v>
      </c>
      <c r="AH865" s="353" t="str">
        <f t="shared" si="81"/>
        <v>301</v>
      </c>
      <c r="AI865" s="3" t="str">
        <f t="shared" si="82"/>
        <v>57</v>
      </c>
      <c r="AJ865" s="64" t="str">
        <f>VLOOKUP(T865,'GL Name'!A:B,2,0)</f>
        <v>ต้นทุนผลิตโอน Semi</v>
      </c>
      <c r="AL865" s="13">
        <f t="shared" si="83"/>
        <v>269.79000022834822</v>
      </c>
      <c r="AM865" s="13" t="str">
        <f>VLOOKUP(I865,'Order 301-305 (เรียง)'!A:B,2,0)</f>
        <v>Semi</v>
      </c>
      <c r="AN865" t="str">
        <f>VLOOKUP(I865,'Order 301-305 (เรียง)'!A:C,3,0)</f>
        <v>Semi เมล็ดกาแฟ</v>
      </c>
    </row>
    <row r="866" spans="1:40" x14ac:dyDescent="0.3">
      <c r="A866" s="1" t="s">
        <v>297</v>
      </c>
      <c r="B866" s="1" t="s">
        <v>298</v>
      </c>
      <c r="C866" s="1" t="s">
        <v>64</v>
      </c>
      <c r="D866" s="1" t="s">
        <v>115</v>
      </c>
      <c r="E866" s="1" t="s">
        <v>130</v>
      </c>
      <c r="F866" s="1" t="s">
        <v>729</v>
      </c>
      <c r="G866" s="1" t="s">
        <v>101</v>
      </c>
      <c r="H866" s="1" t="s">
        <v>730</v>
      </c>
      <c r="I866" s="1" t="s">
        <v>68</v>
      </c>
      <c r="J866" s="1" t="s">
        <v>731</v>
      </c>
      <c r="K866" s="1" t="s">
        <v>294</v>
      </c>
      <c r="L866" s="1" t="s">
        <v>70</v>
      </c>
      <c r="M866" s="1" t="s">
        <v>732</v>
      </c>
      <c r="N866" s="1" t="s">
        <v>71</v>
      </c>
      <c r="O866" s="1" t="s">
        <v>68</v>
      </c>
      <c r="P866" s="1" t="s">
        <v>72</v>
      </c>
      <c r="Q866" s="1" t="s">
        <v>733</v>
      </c>
      <c r="R866" s="1" t="s">
        <v>68</v>
      </c>
      <c r="S866" s="1" t="s">
        <v>68</v>
      </c>
      <c r="T866" s="1" t="s">
        <v>68</v>
      </c>
      <c r="U866" s="1" t="s">
        <v>733</v>
      </c>
      <c r="V866" s="1" t="s">
        <v>734</v>
      </c>
      <c r="W866" s="1" t="s">
        <v>68</v>
      </c>
      <c r="X866" s="1" t="s">
        <v>732</v>
      </c>
      <c r="Y866" s="73"/>
      <c r="Z866" s="2" t="s">
        <v>241</v>
      </c>
      <c r="AA866" s="3">
        <v>4500</v>
      </c>
      <c r="AB866" s="4">
        <v>5220</v>
      </c>
      <c r="AC866" s="73">
        <v>46210</v>
      </c>
      <c r="AD866" s="73">
        <v>46210</v>
      </c>
      <c r="AE866" s="73"/>
      <c r="AF866" s="73">
        <v>46210</v>
      </c>
      <c r="AG866" s="3">
        <v>4500</v>
      </c>
      <c r="AH866" s="353" t="str">
        <f t="shared" si="81"/>
        <v/>
      </c>
      <c r="AI866" s="3" t="str">
        <f t="shared" si="82"/>
        <v>58</v>
      </c>
      <c r="AJ866" s="64" t="e">
        <f>VLOOKUP(T866,'GL Name'!A:B,2,0)</f>
        <v>#N/A</v>
      </c>
      <c r="AL866" s="13">
        <f t="shared" si="83"/>
        <v>1.1599999999999999</v>
      </c>
      <c r="AM866" s="13" t="e">
        <f>VLOOKUP(I866,'Order 301-305 (เรียง)'!A:B,2,0)</f>
        <v>#N/A</v>
      </c>
      <c r="AN866" t="e">
        <f>VLOOKUP(I866,'Order 301-305 (เรียง)'!A:C,3,0)</f>
        <v>#N/A</v>
      </c>
    </row>
    <row r="867" spans="1:40" x14ac:dyDescent="0.3">
      <c r="A867" s="1" t="s">
        <v>333</v>
      </c>
      <c r="B867" s="1" t="s">
        <v>334</v>
      </c>
      <c r="C867" s="1" t="s">
        <v>64</v>
      </c>
      <c r="D867" s="1" t="s">
        <v>115</v>
      </c>
      <c r="E867" s="1" t="s">
        <v>130</v>
      </c>
      <c r="F867" s="1" t="s">
        <v>729</v>
      </c>
      <c r="G867" s="1" t="s">
        <v>101</v>
      </c>
      <c r="H867" s="1" t="s">
        <v>730</v>
      </c>
      <c r="I867" s="1" t="s">
        <v>68</v>
      </c>
      <c r="J867" s="1" t="s">
        <v>731</v>
      </c>
      <c r="K867" s="1" t="s">
        <v>294</v>
      </c>
      <c r="L867" s="1" t="s">
        <v>86</v>
      </c>
      <c r="M867" s="1" t="s">
        <v>732</v>
      </c>
      <c r="N867" s="1" t="s">
        <v>71</v>
      </c>
      <c r="O867" s="1" t="s">
        <v>68</v>
      </c>
      <c r="P867" s="1" t="s">
        <v>72</v>
      </c>
      <c r="Q867" s="1" t="s">
        <v>733</v>
      </c>
      <c r="R867" s="1" t="s">
        <v>68</v>
      </c>
      <c r="S867" s="1" t="s">
        <v>68</v>
      </c>
      <c r="T867" s="1" t="s">
        <v>68</v>
      </c>
      <c r="U867" s="1" t="s">
        <v>733</v>
      </c>
      <c r="V867" s="1" t="s">
        <v>734</v>
      </c>
      <c r="W867" s="1" t="s">
        <v>68</v>
      </c>
      <c r="X867" s="1" t="s">
        <v>732</v>
      </c>
      <c r="Y867" s="73"/>
      <c r="Z867" s="2" t="s">
        <v>241</v>
      </c>
      <c r="AA867" s="3">
        <v>1500</v>
      </c>
      <c r="AB867" s="4">
        <v>1740</v>
      </c>
      <c r="AC867" s="73">
        <v>46210</v>
      </c>
      <c r="AD867" s="73">
        <v>46210</v>
      </c>
      <c r="AE867" s="73"/>
      <c r="AF867" s="73">
        <v>46210</v>
      </c>
      <c r="AG867" s="3">
        <v>1500</v>
      </c>
      <c r="AH867" s="353" t="str">
        <f t="shared" si="81"/>
        <v/>
      </c>
      <c r="AI867" s="3" t="str">
        <f t="shared" si="82"/>
        <v>58</v>
      </c>
      <c r="AJ867" s="64" t="e">
        <f>VLOOKUP(T867,'GL Name'!A:B,2,0)</f>
        <v>#N/A</v>
      </c>
      <c r="AL867" s="13">
        <f t="shared" si="83"/>
        <v>1.1599999999999999</v>
      </c>
      <c r="AM867" s="13" t="e">
        <f>VLOOKUP(I867,'Order 301-305 (เรียง)'!A:B,2,0)</f>
        <v>#N/A</v>
      </c>
      <c r="AN867" t="e">
        <f>VLOOKUP(I867,'Order 301-305 (เรียง)'!A:C,3,0)</f>
        <v>#N/A</v>
      </c>
    </row>
    <row r="868" spans="1:40" x14ac:dyDescent="0.3">
      <c r="A868" s="1" t="s">
        <v>13</v>
      </c>
      <c r="B868" s="1" t="s">
        <v>14</v>
      </c>
      <c r="C868" s="1" t="s">
        <v>64</v>
      </c>
      <c r="D868" s="1" t="s">
        <v>115</v>
      </c>
      <c r="E868" s="1" t="s">
        <v>116</v>
      </c>
      <c r="F868" s="1" t="s">
        <v>735</v>
      </c>
      <c r="G868" s="1" t="s">
        <v>279</v>
      </c>
      <c r="H868" s="1" t="s">
        <v>327</v>
      </c>
      <c r="I868" s="1" t="s">
        <v>629</v>
      </c>
      <c r="J868" s="1" t="s">
        <v>736</v>
      </c>
      <c r="K868" s="1" t="s">
        <v>290</v>
      </c>
      <c r="L868" s="1" t="s">
        <v>70</v>
      </c>
      <c r="M868" s="1" t="s">
        <v>68</v>
      </c>
      <c r="N868" s="1" t="s">
        <v>71</v>
      </c>
      <c r="O868" s="1" t="s">
        <v>68</v>
      </c>
      <c r="P868" s="1" t="s">
        <v>72</v>
      </c>
      <c r="Q868" s="1" t="s">
        <v>68</v>
      </c>
      <c r="R868" s="1" t="s">
        <v>713</v>
      </c>
      <c r="S868" s="1" t="s">
        <v>68</v>
      </c>
      <c r="T868" s="1" t="s">
        <v>124</v>
      </c>
      <c r="U868" s="1" t="s">
        <v>68</v>
      </c>
      <c r="V868" s="1" t="s">
        <v>68</v>
      </c>
      <c r="W868" s="1" t="s">
        <v>68</v>
      </c>
      <c r="X868" s="1" t="s">
        <v>737</v>
      </c>
      <c r="Y868" s="73"/>
      <c r="Z868" s="2" t="s">
        <v>80</v>
      </c>
      <c r="AA868" s="3">
        <v>3959.2</v>
      </c>
      <c r="AB868" s="4">
        <v>1068152.57</v>
      </c>
      <c r="AC868" s="73">
        <v>46209</v>
      </c>
      <c r="AD868" s="73">
        <v>46209</v>
      </c>
      <c r="AE868" s="73"/>
      <c r="AF868" s="73">
        <v>46210</v>
      </c>
      <c r="AG868" s="3">
        <v>3959200</v>
      </c>
      <c r="AH868" s="353" t="str">
        <f t="shared" si="81"/>
        <v>301</v>
      </c>
      <c r="AI868" s="3" t="str">
        <f t="shared" si="82"/>
        <v>57</v>
      </c>
      <c r="AJ868" s="64" t="str">
        <f>VLOOKUP(T868,'GL Name'!A:B,2,0)</f>
        <v>ต้นทุนผลิตโอน Semi</v>
      </c>
      <c r="AL868" s="13">
        <f t="shared" si="83"/>
        <v>269.79000050515259</v>
      </c>
      <c r="AM868" s="13" t="str">
        <f>VLOOKUP(I868,'Order 301-305 (เรียง)'!A:B,2,0)</f>
        <v>Semi</v>
      </c>
      <c r="AN868" t="str">
        <f>VLOOKUP(I868,'Order 301-305 (เรียง)'!A:C,3,0)</f>
        <v>Semi เมล็ดกาแฟ</v>
      </c>
    </row>
    <row r="869" spans="1:40" x14ac:dyDescent="0.3">
      <c r="A869" s="1" t="s">
        <v>128</v>
      </c>
      <c r="B869" s="1" t="s">
        <v>129</v>
      </c>
      <c r="C869" s="1" t="s">
        <v>64</v>
      </c>
      <c r="D869" s="1" t="s">
        <v>115</v>
      </c>
      <c r="E869" s="1" t="s">
        <v>130</v>
      </c>
      <c r="F869" s="1" t="s">
        <v>738</v>
      </c>
      <c r="G869" s="1" t="s">
        <v>131</v>
      </c>
      <c r="H869" s="1" t="s">
        <v>690</v>
      </c>
      <c r="I869" s="1" t="s">
        <v>68</v>
      </c>
      <c r="J869" s="1" t="s">
        <v>739</v>
      </c>
      <c r="K869" s="1" t="s">
        <v>132</v>
      </c>
      <c r="L869" s="1" t="s">
        <v>70</v>
      </c>
      <c r="M869" s="1" t="s">
        <v>740</v>
      </c>
      <c r="N869" s="1" t="s">
        <v>71</v>
      </c>
      <c r="O869" s="1" t="s">
        <v>68</v>
      </c>
      <c r="P869" s="1" t="s">
        <v>72</v>
      </c>
      <c r="Q869" s="1" t="s">
        <v>721</v>
      </c>
      <c r="R869" s="1" t="s">
        <v>68</v>
      </c>
      <c r="S869" s="1" t="s">
        <v>68</v>
      </c>
      <c r="T869" s="1" t="s">
        <v>68</v>
      </c>
      <c r="U869" s="1" t="s">
        <v>721</v>
      </c>
      <c r="V869" s="1" t="s">
        <v>133</v>
      </c>
      <c r="W869" s="1" t="s">
        <v>68</v>
      </c>
      <c r="X869" s="1" t="s">
        <v>740</v>
      </c>
      <c r="Y869" s="73"/>
      <c r="Z869" s="2" t="s">
        <v>102</v>
      </c>
      <c r="AA869" s="3">
        <v>10</v>
      </c>
      <c r="AB869" s="4">
        <v>10350</v>
      </c>
      <c r="AC869" s="73">
        <v>46210</v>
      </c>
      <c r="AD869" s="73">
        <v>46210</v>
      </c>
      <c r="AE869" s="73"/>
      <c r="AF869" s="73">
        <v>46210</v>
      </c>
      <c r="AG869" s="3">
        <v>10</v>
      </c>
      <c r="AH869" s="353" t="str">
        <f t="shared" si="81"/>
        <v/>
      </c>
      <c r="AI869" s="3" t="str">
        <f t="shared" si="82"/>
        <v>54</v>
      </c>
      <c r="AJ869" s="64" t="e">
        <f>VLOOKUP(T869,'GL Name'!A:B,2,0)</f>
        <v>#N/A</v>
      </c>
      <c r="AL869" s="13">
        <f t="shared" si="83"/>
        <v>1035</v>
      </c>
      <c r="AM869" s="13" t="e">
        <f>VLOOKUP(I869,'Order 301-305 (เรียง)'!A:B,2,0)</f>
        <v>#N/A</v>
      </c>
      <c r="AN869" t="e">
        <f>VLOOKUP(I869,'Order 301-305 (เรียง)'!A:C,3,0)</f>
        <v>#N/A</v>
      </c>
    </row>
    <row r="870" spans="1:40" x14ac:dyDescent="0.3">
      <c r="A870" s="1" t="s">
        <v>19</v>
      </c>
      <c r="B870" s="1" t="s">
        <v>20</v>
      </c>
      <c r="C870" s="1" t="s">
        <v>64</v>
      </c>
      <c r="D870" s="1" t="s">
        <v>115</v>
      </c>
      <c r="E870" s="1" t="s">
        <v>116</v>
      </c>
      <c r="F870" s="1" t="s">
        <v>840</v>
      </c>
      <c r="G870" s="1" t="s">
        <v>279</v>
      </c>
      <c r="H870" s="1" t="s">
        <v>304</v>
      </c>
      <c r="I870" s="1" t="s">
        <v>777</v>
      </c>
      <c r="J870" s="1" t="s">
        <v>841</v>
      </c>
      <c r="K870" s="1" t="s">
        <v>290</v>
      </c>
      <c r="L870" s="1" t="s">
        <v>70</v>
      </c>
      <c r="M870" s="1" t="s">
        <v>68</v>
      </c>
      <c r="N870" s="1" t="s">
        <v>71</v>
      </c>
      <c r="O870" s="1" t="s">
        <v>68</v>
      </c>
      <c r="P870" s="1" t="s">
        <v>72</v>
      </c>
      <c r="Q870" s="1" t="s">
        <v>68</v>
      </c>
      <c r="R870" s="1" t="s">
        <v>701</v>
      </c>
      <c r="S870" s="1" t="s">
        <v>68</v>
      </c>
      <c r="T870" s="1" t="s">
        <v>124</v>
      </c>
      <c r="U870" s="1" t="s">
        <v>68</v>
      </c>
      <c r="V870" s="1" t="s">
        <v>68</v>
      </c>
      <c r="W870" s="1" t="s">
        <v>68</v>
      </c>
      <c r="X870" s="1" t="s">
        <v>842</v>
      </c>
      <c r="Y870" s="73"/>
      <c r="Z870" s="2" t="s">
        <v>80</v>
      </c>
      <c r="AA870" s="3">
        <v>9776.02</v>
      </c>
      <c r="AB870" s="4">
        <v>1570224.33</v>
      </c>
      <c r="AC870" s="73">
        <v>46210</v>
      </c>
      <c r="AD870" s="73">
        <v>46210</v>
      </c>
      <c r="AE870" s="73"/>
      <c r="AF870" s="73">
        <v>46211</v>
      </c>
      <c r="AG870" s="3">
        <v>9776020</v>
      </c>
      <c r="AH870" s="353" t="str">
        <f t="shared" si="81"/>
        <v>301</v>
      </c>
      <c r="AI870" s="3" t="str">
        <f t="shared" si="82"/>
        <v>57</v>
      </c>
      <c r="AJ870" s="64" t="str">
        <f>VLOOKUP(T870,'GL Name'!A:B,2,0)</f>
        <v>ต้นทุนผลิตโอน Semi</v>
      </c>
      <c r="AL870" s="13">
        <f t="shared" si="83"/>
        <v>160.61999975450132</v>
      </c>
      <c r="AM870" s="13" t="str">
        <f>VLOOKUP(I870,'Order 301-305 (เรียง)'!A:B,2,0)</f>
        <v>Semi</v>
      </c>
      <c r="AN870" t="str">
        <f>VLOOKUP(I870,'Order 301-305 (เรียง)'!A:C,3,0)</f>
        <v>Semi เมล็ดกาแฟ</v>
      </c>
    </row>
    <row r="871" spans="1:40" x14ac:dyDescent="0.3">
      <c r="A871" s="1" t="s">
        <v>21</v>
      </c>
      <c r="B871" s="1" t="s">
        <v>234</v>
      </c>
      <c r="C871" s="1" t="s">
        <v>64</v>
      </c>
      <c r="D871" s="1" t="s">
        <v>115</v>
      </c>
      <c r="E871" s="1" t="s">
        <v>116</v>
      </c>
      <c r="F871" s="1" t="s">
        <v>840</v>
      </c>
      <c r="G871" s="1" t="s">
        <v>279</v>
      </c>
      <c r="H871" s="1" t="s">
        <v>304</v>
      </c>
      <c r="I871" s="1" t="s">
        <v>777</v>
      </c>
      <c r="J871" s="1" t="s">
        <v>841</v>
      </c>
      <c r="K871" s="1" t="s">
        <v>290</v>
      </c>
      <c r="L871" s="1" t="s">
        <v>86</v>
      </c>
      <c r="M871" s="1" t="s">
        <v>68</v>
      </c>
      <c r="N871" s="1" t="s">
        <v>71</v>
      </c>
      <c r="O871" s="1" t="s">
        <v>68</v>
      </c>
      <c r="P871" s="1" t="s">
        <v>72</v>
      </c>
      <c r="Q871" s="1" t="s">
        <v>68</v>
      </c>
      <c r="R871" s="1" t="s">
        <v>701</v>
      </c>
      <c r="S871" s="1" t="s">
        <v>68</v>
      </c>
      <c r="T871" s="1" t="s">
        <v>124</v>
      </c>
      <c r="U871" s="1" t="s">
        <v>68</v>
      </c>
      <c r="V871" s="1" t="s">
        <v>68</v>
      </c>
      <c r="W871" s="1" t="s">
        <v>68</v>
      </c>
      <c r="X871" s="1" t="s">
        <v>842</v>
      </c>
      <c r="Y871" s="73"/>
      <c r="Z871" s="2" t="s">
        <v>80</v>
      </c>
      <c r="AA871" s="3">
        <v>147.69999999999999</v>
      </c>
      <c r="AB871" s="4">
        <v>23723.57</v>
      </c>
      <c r="AC871" s="73">
        <v>46210</v>
      </c>
      <c r="AD871" s="73">
        <v>46210</v>
      </c>
      <c r="AE871" s="73"/>
      <c r="AF871" s="73">
        <v>46211</v>
      </c>
      <c r="AG871" s="3">
        <v>147700</v>
      </c>
      <c r="AH871" s="353" t="str">
        <f t="shared" ref="AH871:AH906" si="84">LEFT(I871,3)</f>
        <v>301</v>
      </c>
      <c r="AI871" s="3" t="str">
        <f t="shared" ref="AI871:AI906" si="85">LEFT(A871,2)</f>
        <v>57</v>
      </c>
      <c r="AJ871" s="64" t="str">
        <f>VLOOKUP(T871,'GL Name'!A:B,2,0)</f>
        <v>ต้นทุนผลิตโอน Semi</v>
      </c>
      <c r="AL871" s="13">
        <f t="shared" ref="AL871:AL906" si="86">AB871/AA871</f>
        <v>160.6199729180772</v>
      </c>
      <c r="AM871" s="13" t="str">
        <f>VLOOKUP(I871,'Order 301-305 (เรียง)'!A:B,2,0)</f>
        <v>Semi</v>
      </c>
      <c r="AN871" t="str">
        <f>VLOOKUP(I871,'Order 301-305 (เรียง)'!A:C,3,0)</f>
        <v>Semi เมล็ดกาแฟ</v>
      </c>
    </row>
    <row r="872" spans="1:40" x14ac:dyDescent="0.3">
      <c r="A872" s="1" t="s">
        <v>128</v>
      </c>
      <c r="B872" s="1" t="s">
        <v>129</v>
      </c>
      <c r="C872" s="1" t="s">
        <v>64</v>
      </c>
      <c r="D872" s="1" t="s">
        <v>115</v>
      </c>
      <c r="E872" s="1" t="s">
        <v>130</v>
      </c>
      <c r="F872" s="1" t="s">
        <v>843</v>
      </c>
      <c r="G872" s="1" t="s">
        <v>131</v>
      </c>
      <c r="H872" s="1" t="s">
        <v>690</v>
      </c>
      <c r="I872" s="1" t="s">
        <v>68</v>
      </c>
      <c r="J872" s="1" t="s">
        <v>844</v>
      </c>
      <c r="K872" s="1" t="s">
        <v>132</v>
      </c>
      <c r="L872" s="1" t="s">
        <v>70</v>
      </c>
      <c r="M872" s="1" t="s">
        <v>845</v>
      </c>
      <c r="N872" s="1" t="s">
        <v>71</v>
      </c>
      <c r="O872" s="1" t="s">
        <v>68</v>
      </c>
      <c r="P872" s="1" t="s">
        <v>72</v>
      </c>
      <c r="Q872" s="1" t="s">
        <v>721</v>
      </c>
      <c r="R872" s="1" t="s">
        <v>68</v>
      </c>
      <c r="S872" s="1" t="s">
        <v>68</v>
      </c>
      <c r="T872" s="1" t="s">
        <v>68</v>
      </c>
      <c r="U872" s="1" t="s">
        <v>721</v>
      </c>
      <c r="V872" s="1" t="s">
        <v>133</v>
      </c>
      <c r="W872" s="1" t="s">
        <v>68</v>
      </c>
      <c r="X872" s="1" t="s">
        <v>845</v>
      </c>
      <c r="Y872" s="73"/>
      <c r="Z872" s="2" t="s">
        <v>102</v>
      </c>
      <c r="AA872" s="3">
        <v>10</v>
      </c>
      <c r="AB872" s="4">
        <v>10350</v>
      </c>
      <c r="AC872" s="73">
        <v>46211</v>
      </c>
      <c r="AD872" s="73">
        <v>46211</v>
      </c>
      <c r="AE872" s="73"/>
      <c r="AF872" s="73">
        <v>46211</v>
      </c>
      <c r="AG872" s="3">
        <v>10</v>
      </c>
      <c r="AH872" s="353" t="str">
        <f t="shared" si="84"/>
        <v/>
      </c>
      <c r="AI872" s="3" t="str">
        <f t="shared" si="85"/>
        <v>54</v>
      </c>
      <c r="AJ872" s="64" t="e">
        <f>VLOOKUP(T872,'GL Name'!A:B,2,0)</f>
        <v>#N/A</v>
      </c>
      <c r="AL872" s="13">
        <f t="shared" si="86"/>
        <v>1035</v>
      </c>
      <c r="AM872" s="13" t="e">
        <f>VLOOKUP(I872,'Order 301-305 (เรียง)'!A:B,2,0)</f>
        <v>#N/A</v>
      </c>
      <c r="AN872" t="e">
        <f>VLOOKUP(I872,'Order 301-305 (เรียง)'!A:C,3,0)</f>
        <v>#N/A</v>
      </c>
    </row>
    <row r="873" spans="1:40" x14ac:dyDescent="0.3">
      <c r="A873" s="1" t="s">
        <v>13</v>
      </c>
      <c r="B873" s="1" t="s">
        <v>14</v>
      </c>
      <c r="C873" s="1" t="s">
        <v>64</v>
      </c>
      <c r="D873" s="1" t="s">
        <v>115</v>
      </c>
      <c r="E873" s="1" t="s">
        <v>116</v>
      </c>
      <c r="F873" s="1" t="s">
        <v>846</v>
      </c>
      <c r="G873" s="1" t="s">
        <v>279</v>
      </c>
      <c r="H873" s="1" t="s">
        <v>327</v>
      </c>
      <c r="I873" s="1" t="s">
        <v>814</v>
      </c>
      <c r="J873" s="1" t="s">
        <v>847</v>
      </c>
      <c r="K873" s="1" t="s">
        <v>290</v>
      </c>
      <c r="L873" s="1" t="s">
        <v>70</v>
      </c>
      <c r="M873" s="1" t="s">
        <v>68</v>
      </c>
      <c r="N873" s="1" t="s">
        <v>71</v>
      </c>
      <c r="O873" s="1" t="s">
        <v>68</v>
      </c>
      <c r="P873" s="1" t="s">
        <v>72</v>
      </c>
      <c r="Q873" s="1" t="s">
        <v>68</v>
      </c>
      <c r="R873" s="1" t="s">
        <v>713</v>
      </c>
      <c r="S873" s="1" t="s">
        <v>68</v>
      </c>
      <c r="T873" s="1" t="s">
        <v>124</v>
      </c>
      <c r="U873" s="1" t="s">
        <v>68</v>
      </c>
      <c r="V873" s="1" t="s">
        <v>68</v>
      </c>
      <c r="W873" s="1" t="s">
        <v>68</v>
      </c>
      <c r="X873" s="1" t="s">
        <v>848</v>
      </c>
      <c r="Y873" s="73"/>
      <c r="Z873" s="2" t="s">
        <v>80</v>
      </c>
      <c r="AA873" s="3">
        <v>14863.74</v>
      </c>
      <c r="AB873" s="4">
        <v>4025695.34</v>
      </c>
      <c r="AC873" s="73">
        <v>46211</v>
      </c>
      <c r="AD873" s="73">
        <v>46211</v>
      </c>
      <c r="AE873" s="73"/>
      <c r="AF873" s="73">
        <v>46212</v>
      </c>
      <c r="AG873" s="3">
        <v>14863740</v>
      </c>
      <c r="AH873" s="353" t="str">
        <f t="shared" si="84"/>
        <v>301</v>
      </c>
      <c r="AI873" s="3" t="str">
        <f t="shared" si="85"/>
        <v>57</v>
      </c>
      <c r="AJ873" s="64" t="str">
        <f>VLOOKUP(T873,'GL Name'!A:B,2,0)</f>
        <v>ต้นทุนผลิตโอน Semi</v>
      </c>
      <c r="AL873" s="13">
        <f t="shared" si="86"/>
        <v>270.83999989235548</v>
      </c>
      <c r="AM873" s="13" t="str">
        <f>VLOOKUP(I873,'Order 301-305 (เรียง)'!A:B,2,0)</f>
        <v>Semi</v>
      </c>
      <c r="AN873" t="str">
        <f>VLOOKUP(I873,'Order 301-305 (เรียง)'!A:C,3,0)</f>
        <v>Semi เมล็ดกาแฟ</v>
      </c>
    </row>
    <row r="874" spans="1:40" x14ac:dyDescent="0.3">
      <c r="A874" s="1" t="s">
        <v>15</v>
      </c>
      <c r="B874" s="1" t="s">
        <v>233</v>
      </c>
      <c r="C874" s="1" t="s">
        <v>64</v>
      </c>
      <c r="D874" s="1" t="s">
        <v>115</v>
      </c>
      <c r="E874" s="1" t="s">
        <v>116</v>
      </c>
      <c r="F874" s="1" t="s">
        <v>846</v>
      </c>
      <c r="G874" s="1" t="s">
        <v>279</v>
      </c>
      <c r="H874" s="1" t="s">
        <v>327</v>
      </c>
      <c r="I874" s="1" t="s">
        <v>814</v>
      </c>
      <c r="J874" s="1" t="s">
        <v>847</v>
      </c>
      <c r="K874" s="1" t="s">
        <v>290</v>
      </c>
      <c r="L874" s="1" t="s">
        <v>86</v>
      </c>
      <c r="M874" s="1" t="s">
        <v>68</v>
      </c>
      <c r="N874" s="1" t="s">
        <v>71</v>
      </c>
      <c r="O874" s="1" t="s">
        <v>68</v>
      </c>
      <c r="P874" s="1" t="s">
        <v>72</v>
      </c>
      <c r="Q874" s="1" t="s">
        <v>68</v>
      </c>
      <c r="R874" s="1" t="s">
        <v>713</v>
      </c>
      <c r="S874" s="1" t="s">
        <v>68</v>
      </c>
      <c r="T874" s="1" t="s">
        <v>124</v>
      </c>
      <c r="U874" s="1" t="s">
        <v>68</v>
      </c>
      <c r="V874" s="1" t="s">
        <v>68</v>
      </c>
      <c r="W874" s="1" t="s">
        <v>68</v>
      </c>
      <c r="X874" s="1" t="s">
        <v>848</v>
      </c>
      <c r="Y874" s="73"/>
      <c r="Z874" s="2" t="s">
        <v>80</v>
      </c>
      <c r="AA874" s="3">
        <v>167.2</v>
      </c>
      <c r="AB874" s="4">
        <v>45282.78</v>
      </c>
      <c r="AC874" s="73">
        <v>46211</v>
      </c>
      <c r="AD874" s="73">
        <v>46211</v>
      </c>
      <c r="AE874" s="73"/>
      <c r="AF874" s="73">
        <v>46212</v>
      </c>
      <c r="AG874" s="3">
        <v>167200</v>
      </c>
      <c r="AH874" s="353" t="str">
        <f t="shared" si="84"/>
        <v>301</v>
      </c>
      <c r="AI874" s="3" t="str">
        <f t="shared" si="85"/>
        <v>57</v>
      </c>
      <c r="AJ874" s="64" t="str">
        <f>VLOOKUP(T874,'GL Name'!A:B,2,0)</f>
        <v>ต้นทุนผลิตโอน Semi</v>
      </c>
      <c r="AL874" s="13">
        <f t="shared" si="86"/>
        <v>270.83002392344497</v>
      </c>
      <c r="AM874" s="13" t="str">
        <f>VLOOKUP(I874,'Order 301-305 (เรียง)'!A:B,2,0)</f>
        <v>Semi</v>
      </c>
      <c r="AN874" t="str">
        <f>VLOOKUP(I874,'Order 301-305 (เรียง)'!A:C,3,0)</f>
        <v>Semi เมล็ดกาแฟ</v>
      </c>
    </row>
    <row r="875" spans="1:40" x14ac:dyDescent="0.3">
      <c r="A875" s="1" t="s">
        <v>128</v>
      </c>
      <c r="B875" s="1" t="s">
        <v>129</v>
      </c>
      <c r="C875" s="1" t="s">
        <v>64</v>
      </c>
      <c r="D875" s="1" t="s">
        <v>115</v>
      </c>
      <c r="E875" s="1" t="s">
        <v>130</v>
      </c>
      <c r="F875" s="1" t="s">
        <v>849</v>
      </c>
      <c r="G875" s="1" t="s">
        <v>131</v>
      </c>
      <c r="H875" s="1" t="s">
        <v>690</v>
      </c>
      <c r="I875" s="1" t="s">
        <v>68</v>
      </c>
      <c r="J875" s="1" t="s">
        <v>850</v>
      </c>
      <c r="K875" s="1" t="s">
        <v>132</v>
      </c>
      <c r="L875" s="1" t="s">
        <v>70</v>
      </c>
      <c r="M875" s="1" t="s">
        <v>851</v>
      </c>
      <c r="N875" s="1" t="s">
        <v>71</v>
      </c>
      <c r="O875" s="1" t="s">
        <v>68</v>
      </c>
      <c r="P875" s="1" t="s">
        <v>72</v>
      </c>
      <c r="Q875" s="1" t="s">
        <v>721</v>
      </c>
      <c r="R875" s="1" t="s">
        <v>68</v>
      </c>
      <c r="S875" s="1" t="s">
        <v>68</v>
      </c>
      <c r="T875" s="1" t="s">
        <v>68</v>
      </c>
      <c r="U875" s="1" t="s">
        <v>721</v>
      </c>
      <c r="V875" s="1" t="s">
        <v>133</v>
      </c>
      <c r="W875" s="1" t="s">
        <v>68</v>
      </c>
      <c r="X875" s="1" t="s">
        <v>851</v>
      </c>
      <c r="Y875" s="73"/>
      <c r="Z875" s="2" t="s">
        <v>102</v>
      </c>
      <c r="AA875" s="3">
        <v>15</v>
      </c>
      <c r="AB875" s="4">
        <v>15525</v>
      </c>
      <c r="AC875" s="73">
        <v>46212</v>
      </c>
      <c r="AD875" s="73">
        <v>46212</v>
      </c>
      <c r="AE875" s="73"/>
      <c r="AF875" s="73">
        <v>46212</v>
      </c>
      <c r="AG875" s="3">
        <v>15</v>
      </c>
      <c r="AH875" s="353" t="str">
        <f t="shared" si="84"/>
        <v/>
      </c>
      <c r="AI875" s="3" t="str">
        <f t="shared" si="85"/>
        <v>54</v>
      </c>
      <c r="AJ875" s="64" t="e">
        <f>VLOOKUP(T875,'GL Name'!A:B,2,0)</f>
        <v>#N/A</v>
      </c>
      <c r="AL875" s="13">
        <f t="shared" si="86"/>
        <v>1035</v>
      </c>
      <c r="AM875" s="13" t="e">
        <f>VLOOKUP(I875,'Order 301-305 (เรียง)'!A:B,2,0)</f>
        <v>#N/A</v>
      </c>
      <c r="AN875" t="e">
        <f>VLOOKUP(I875,'Order 301-305 (เรียง)'!A:C,3,0)</f>
        <v>#N/A</v>
      </c>
    </row>
    <row r="876" spans="1:40" x14ac:dyDescent="0.3">
      <c r="A876" s="1" t="s">
        <v>119</v>
      </c>
      <c r="B876" s="1" t="s">
        <v>120</v>
      </c>
      <c r="C876" s="1" t="s">
        <v>64</v>
      </c>
      <c r="D876" s="1" t="s">
        <v>115</v>
      </c>
      <c r="E876" s="1" t="s">
        <v>130</v>
      </c>
      <c r="F876" s="1" t="s">
        <v>852</v>
      </c>
      <c r="G876" s="1" t="s">
        <v>101</v>
      </c>
      <c r="H876" s="1" t="s">
        <v>853</v>
      </c>
      <c r="I876" s="1" t="s">
        <v>68</v>
      </c>
      <c r="J876" s="1" t="s">
        <v>854</v>
      </c>
      <c r="K876" s="1" t="s">
        <v>223</v>
      </c>
      <c r="L876" s="1" t="s">
        <v>86</v>
      </c>
      <c r="M876" s="1" t="s">
        <v>855</v>
      </c>
      <c r="N876" s="1" t="s">
        <v>71</v>
      </c>
      <c r="O876" s="1" t="s">
        <v>68</v>
      </c>
      <c r="P876" s="1" t="s">
        <v>72</v>
      </c>
      <c r="Q876" s="1" t="s">
        <v>856</v>
      </c>
      <c r="R876" s="1" t="s">
        <v>68</v>
      </c>
      <c r="S876" s="1" t="s">
        <v>68</v>
      </c>
      <c r="T876" s="1" t="s">
        <v>68</v>
      </c>
      <c r="U876" s="1" t="s">
        <v>857</v>
      </c>
      <c r="V876" s="1" t="s">
        <v>858</v>
      </c>
      <c r="W876" s="1" t="s">
        <v>68</v>
      </c>
      <c r="X876" s="1" t="s">
        <v>855</v>
      </c>
      <c r="Y876" s="73"/>
      <c r="Z876" s="2" t="s">
        <v>859</v>
      </c>
      <c r="AA876" s="3">
        <v>18.239999999999998</v>
      </c>
      <c r="AB876" s="4">
        <v>114000</v>
      </c>
      <c r="AC876" s="73">
        <v>46206</v>
      </c>
      <c r="AD876" s="73">
        <v>46212</v>
      </c>
      <c r="AE876" s="73"/>
      <c r="AF876" s="73">
        <v>46212</v>
      </c>
      <c r="AG876" s="3">
        <v>54720</v>
      </c>
      <c r="AH876" s="353" t="str">
        <f t="shared" si="84"/>
        <v/>
      </c>
      <c r="AI876" s="3" t="str">
        <f t="shared" si="85"/>
        <v>58</v>
      </c>
      <c r="AJ876" s="64" t="e">
        <f>VLOOKUP(T876,'GL Name'!A:B,2,0)</f>
        <v>#N/A</v>
      </c>
      <c r="AL876" s="13">
        <f t="shared" si="86"/>
        <v>6250.0000000000009</v>
      </c>
      <c r="AM876" s="13" t="e">
        <f>VLOOKUP(I876,'Order 301-305 (เรียง)'!A:B,2,0)</f>
        <v>#N/A</v>
      </c>
      <c r="AN876" t="e">
        <f>VLOOKUP(I876,'Order 301-305 (เรียง)'!A:C,3,0)</f>
        <v>#N/A</v>
      </c>
    </row>
    <row r="877" spans="1:40" x14ac:dyDescent="0.3">
      <c r="A877" s="1" t="s">
        <v>119</v>
      </c>
      <c r="B877" s="1" t="s">
        <v>120</v>
      </c>
      <c r="C877" s="1" t="s">
        <v>64</v>
      </c>
      <c r="D877" s="1" t="s">
        <v>115</v>
      </c>
      <c r="E877" s="1" t="s">
        <v>130</v>
      </c>
      <c r="F877" s="1" t="s">
        <v>852</v>
      </c>
      <c r="G877" s="1" t="s">
        <v>101</v>
      </c>
      <c r="H877" s="1" t="s">
        <v>853</v>
      </c>
      <c r="I877" s="1" t="s">
        <v>68</v>
      </c>
      <c r="J877" s="1" t="s">
        <v>854</v>
      </c>
      <c r="K877" s="1" t="s">
        <v>223</v>
      </c>
      <c r="L877" s="1" t="s">
        <v>70</v>
      </c>
      <c r="M877" s="1" t="s">
        <v>855</v>
      </c>
      <c r="N877" s="1" t="s">
        <v>71</v>
      </c>
      <c r="O877" s="1" t="s">
        <v>68</v>
      </c>
      <c r="P877" s="1" t="s">
        <v>72</v>
      </c>
      <c r="Q877" s="1" t="s">
        <v>856</v>
      </c>
      <c r="R877" s="1" t="s">
        <v>68</v>
      </c>
      <c r="S877" s="1" t="s">
        <v>68</v>
      </c>
      <c r="T877" s="1" t="s">
        <v>68</v>
      </c>
      <c r="U877" s="1" t="s">
        <v>860</v>
      </c>
      <c r="V877" s="1" t="s">
        <v>858</v>
      </c>
      <c r="W877" s="1" t="s">
        <v>68</v>
      </c>
      <c r="X877" s="1" t="s">
        <v>855</v>
      </c>
      <c r="Y877" s="73"/>
      <c r="Z877" s="2" t="s">
        <v>859</v>
      </c>
      <c r="AA877" s="3">
        <v>29.76</v>
      </c>
      <c r="AB877" s="4">
        <v>186000</v>
      </c>
      <c r="AC877" s="73">
        <v>46206</v>
      </c>
      <c r="AD877" s="73">
        <v>46212</v>
      </c>
      <c r="AE877" s="73"/>
      <c r="AF877" s="73">
        <v>46212</v>
      </c>
      <c r="AG877" s="3">
        <v>89280</v>
      </c>
      <c r="AH877" s="353" t="str">
        <f t="shared" si="84"/>
        <v/>
      </c>
      <c r="AI877" s="3" t="str">
        <f t="shared" si="85"/>
        <v>58</v>
      </c>
      <c r="AJ877" s="64" t="e">
        <f>VLOOKUP(T877,'GL Name'!A:B,2,0)</f>
        <v>#N/A</v>
      </c>
      <c r="AL877" s="13">
        <f t="shared" si="86"/>
        <v>6250</v>
      </c>
      <c r="AM877" s="13" t="e">
        <f>VLOOKUP(I877,'Order 301-305 (เรียง)'!A:B,2,0)</f>
        <v>#N/A</v>
      </c>
      <c r="AN877" t="e">
        <f>VLOOKUP(I877,'Order 301-305 (เรียง)'!A:C,3,0)</f>
        <v>#N/A</v>
      </c>
    </row>
    <row r="878" spans="1:40" x14ac:dyDescent="0.3">
      <c r="A878" s="1" t="s">
        <v>119</v>
      </c>
      <c r="B878" s="1" t="s">
        <v>120</v>
      </c>
      <c r="C878" s="1" t="s">
        <v>64</v>
      </c>
      <c r="D878" s="1" t="s">
        <v>115</v>
      </c>
      <c r="E878" s="1" t="s">
        <v>130</v>
      </c>
      <c r="F878" s="1" t="s">
        <v>1058</v>
      </c>
      <c r="G878" s="1" t="s">
        <v>101</v>
      </c>
      <c r="H878" s="1" t="s">
        <v>1059</v>
      </c>
      <c r="I878" s="1" t="s">
        <v>68</v>
      </c>
      <c r="J878" s="1" t="s">
        <v>1060</v>
      </c>
      <c r="K878" s="1" t="s">
        <v>294</v>
      </c>
      <c r="L878" s="1" t="s">
        <v>70</v>
      </c>
      <c r="M878" s="1" t="s">
        <v>1061</v>
      </c>
      <c r="N878" s="1" t="s">
        <v>71</v>
      </c>
      <c r="O878" s="1" t="s">
        <v>68</v>
      </c>
      <c r="P878" s="1" t="s">
        <v>72</v>
      </c>
      <c r="Q878" s="1" t="s">
        <v>1062</v>
      </c>
      <c r="R878" s="1" t="s">
        <v>68</v>
      </c>
      <c r="S878" s="1" t="s">
        <v>68</v>
      </c>
      <c r="T878" s="1" t="s">
        <v>68</v>
      </c>
      <c r="U878" s="1" t="s">
        <v>1062</v>
      </c>
      <c r="V878" s="1" t="s">
        <v>858</v>
      </c>
      <c r="W878" s="1" t="s">
        <v>68</v>
      </c>
      <c r="X878" s="1" t="s">
        <v>1061</v>
      </c>
      <c r="Y878" s="73"/>
      <c r="Z878" s="2" t="s">
        <v>859</v>
      </c>
      <c r="AA878" s="3">
        <v>48</v>
      </c>
      <c r="AB878" s="4">
        <v>300000</v>
      </c>
      <c r="AC878" s="73">
        <v>46213</v>
      </c>
      <c r="AD878" s="73">
        <v>46213</v>
      </c>
      <c r="AE878" s="73"/>
      <c r="AF878" s="73">
        <v>46213</v>
      </c>
      <c r="AG878" s="3">
        <v>144000</v>
      </c>
      <c r="AH878" s="353" t="str">
        <f t="shared" si="84"/>
        <v/>
      </c>
      <c r="AI878" s="3" t="str">
        <f t="shared" si="85"/>
        <v>58</v>
      </c>
      <c r="AJ878" s="64" t="e">
        <f>VLOOKUP(T878,'GL Name'!A:B,2,0)</f>
        <v>#N/A</v>
      </c>
      <c r="AL878" s="13">
        <f t="shared" si="86"/>
        <v>6250</v>
      </c>
      <c r="AM878" s="13" t="e">
        <f>VLOOKUP(I878,'Order 301-305 (เรียง)'!A:B,2,0)</f>
        <v>#N/A</v>
      </c>
      <c r="AN878" t="e">
        <f>VLOOKUP(I878,'Order 301-305 (เรียง)'!A:C,3,0)</f>
        <v>#N/A</v>
      </c>
    </row>
    <row r="879" spans="1:40" x14ac:dyDescent="0.3">
      <c r="A879" s="1" t="s">
        <v>128</v>
      </c>
      <c r="B879" s="1" t="s">
        <v>129</v>
      </c>
      <c r="C879" s="1" t="s">
        <v>64</v>
      </c>
      <c r="D879" s="1" t="s">
        <v>115</v>
      </c>
      <c r="E879" s="1" t="s">
        <v>130</v>
      </c>
      <c r="F879" s="1" t="s">
        <v>1063</v>
      </c>
      <c r="G879" s="1" t="s">
        <v>131</v>
      </c>
      <c r="H879" s="1" t="s">
        <v>690</v>
      </c>
      <c r="I879" s="1" t="s">
        <v>68</v>
      </c>
      <c r="J879" s="1" t="s">
        <v>1064</v>
      </c>
      <c r="K879" s="1" t="s">
        <v>132</v>
      </c>
      <c r="L879" s="1" t="s">
        <v>70</v>
      </c>
      <c r="M879" s="1" t="s">
        <v>1065</v>
      </c>
      <c r="N879" s="1" t="s">
        <v>71</v>
      </c>
      <c r="O879" s="1" t="s">
        <v>68</v>
      </c>
      <c r="P879" s="1" t="s">
        <v>72</v>
      </c>
      <c r="Q879" s="1" t="s">
        <v>721</v>
      </c>
      <c r="R879" s="1" t="s">
        <v>68</v>
      </c>
      <c r="S879" s="1" t="s">
        <v>68</v>
      </c>
      <c r="T879" s="1" t="s">
        <v>68</v>
      </c>
      <c r="U879" s="1" t="s">
        <v>721</v>
      </c>
      <c r="V879" s="1" t="s">
        <v>133</v>
      </c>
      <c r="W879" s="1" t="s">
        <v>68</v>
      </c>
      <c r="X879" s="1" t="s">
        <v>1065</v>
      </c>
      <c r="Y879" s="73"/>
      <c r="Z879" s="2" t="s">
        <v>102</v>
      </c>
      <c r="AA879" s="3">
        <v>15</v>
      </c>
      <c r="AB879" s="4">
        <v>15525</v>
      </c>
      <c r="AC879" s="73">
        <v>46213</v>
      </c>
      <c r="AD879" s="73">
        <v>46213</v>
      </c>
      <c r="AE879" s="73"/>
      <c r="AF879" s="73">
        <v>46213</v>
      </c>
      <c r="AG879" s="3">
        <v>15</v>
      </c>
      <c r="AH879" s="353" t="str">
        <f t="shared" si="84"/>
        <v/>
      </c>
      <c r="AI879" s="3" t="str">
        <f t="shared" si="85"/>
        <v>54</v>
      </c>
      <c r="AJ879" s="64" t="e">
        <f>VLOOKUP(T879,'GL Name'!A:B,2,0)</f>
        <v>#N/A</v>
      </c>
      <c r="AL879" s="13">
        <f t="shared" si="86"/>
        <v>1035</v>
      </c>
      <c r="AM879" s="13" t="e">
        <f>VLOOKUP(I879,'Order 301-305 (เรียง)'!A:B,2,0)</f>
        <v>#N/A</v>
      </c>
      <c r="AN879" t="e">
        <f>VLOOKUP(I879,'Order 301-305 (เรียง)'!A:C,3,0)</f>
        <v>#N/A</v>
      </c>
    </row>
    <row r="880" spans="1:40" x14ac:dyDescent="0.3">
      <c r="A880" s="1" t="s">
        <v>9</v>
      </c>
      <c r="B880" s="1" t="s">
        <v>10</v>
      </c>
      <c r="C880" s="1" t="s">
        <v>64</v>
      </c>
      <c r="D880" s="1" t="s">
        <v>115</v>
      </c>
      <c r="E880" s="1" t="s">
        <v>130</v>
      </c>
      <c r="F880" s="1" t="s">
        <v>1066</v>
      </c>
      <c r="G880" s="1" t="s">
        <v>232</v>
      </c>
      <c r="H880" s="1" t="s">
        <v>1067</v>
      </c>
      <c r="I880" s="1" t="s">
        <v>68</v>
      </c>
      <c r="J880" s="1" t="s">
        <v>1068</v>
      </c>
      <c r="K880" s="1" t="s">
        <v>118</v>
      </c>
      <c r="L880" s="1" t="s">
        <v>70</v>
      </c>
      <c r="M880" s="1" t="s">
        <v>1069</v>
      </c>
      <c r="N880" s="1" t="s">
        <v>71</v>
      </c>
      <c r="O880" s="1" t="s">
        <v>68</v>
      </c>
      <c r="P880" s="1" t="s">
        <v>72</v>
      </c>
      <c r="Q880" s="1" t="s">
        <v>1070</v>
      </c>
      <c r="R880" s="1" t="s">
        <v>68</v>
      </c>
      <c r="S880" s="1" t="s">
        <v>68</v>
      </c>
      <c r="T880" s="1" t="s">
        <v>68</v>
      </c>
      <c r="U880" s="1" t="s">
        <v>1070</v>
      </c>
      <c r="V880" s="1" t="s">
        <v>1071</v>
      </c>
      <c r="W880" s="1" t="s">
        <v>68</v>
      </c>
      <c r="X880" s="1" t="s">
        <v>1069</v>
      </c>
      <c r="Y880" s="73"/>
      <c r="Z880" s="2" t="s">
        <v>80</v>
      </c>
      <c r="AA880" s="3">
        <v>2010</v>
      </c>
      <c r="AB880" s="4">
        <v>546720</v>
      </c>
      <c r="AC880" s="73">
        <v>46213</v>
      </c>
      <c r="AD880" s="73">
        <v>46213</v>
      </c>
      <c r="AE880" s="73"/>
      <c r="AF880" s="73">
        <v>46213</v>
      </c>
      <c r="AG880" s="3">
        <v>2010000</v>
      </c>
      <c r="AH880" s="353" t="str">
        <f t="shared" si="84"/>
        <v/>
      </c>
      <c r="AI880" s="3" t="str">
        <f t="shared" si="85"/>
        <v>54</v>
      </c>
      <c r="AJ880" s="64" t="e">
        <f>VLOOKUP(T880,'GL Name'!A:B,2,0)</f>
        <v>#N/A</v>
      </c>
      <c r="AL880" s="13">
        <f t="shared" si="86"/>
        <v>272</v>
      </c>
      <c r="AM880" s="13" t="e">
        <f>VLOOKUP(I880,'Order 301-305 (เรียง)'!A:B,2,0)</f>
        <v>#N/A</v>
      </c>
      <c r="AN880" t="e">
        <f>VLOOKUP(I880,'Order 301-305 (เรียง)'!A:C,3,0)</f>
        <v>#N/A</v>
      </c>
    </row>
    <row r="881" spans="1:40" x14ac:dyDescent="0.3">
      <c r="A881" s="1" t="s">
        <v>9</v>
      </c>
      <c r="B881" s="1" t="s">
        <v>10</v>
      </c>
      <c r="C881" s="1" t="s">
        <v>64</v>
      </c>
      <c r="D881" s="1" t="s">
        <v>115</v>
      </c>
      <c r="E881" s="1" t="s">
        <v>130</v>
      </c>
      <c r="F881" s="1" t="s">
        <v>1072</v>
      </c>
      <c r="G881" s="1" t="s">
        <v>232</v>
      </c>
      <c r="H881" s="1" t="s">
        <v>1067</v>
      </c>
      <c r="I881" s="1" t="s">
        <v>68</v>
      </c>
      <c r="J881" s="1" t="s">
        <v>1073</v>
      </c>
      <c r="K881" s="1" t="s">
        <v>118</v>
      </c>
      <c r="L881" s="1" t="s">
        <v>70</v>
      </c>
      <c r="M881" s="1" t="s">
        <v>1069</v>
      </c>
      <c r="N881" s="1" t="s">
        <v>71</v>
      </c>
      <c r="O881" s="1" t="s">
        <v>68</v>
      </c>
      <c r="P881" s="1" t="s">
        <v>72</v>
      </c>
      <c r="Q881" s="1" t="s">
        <v>1074</v>
      </c>
      <c r="R881" s="1" t="s">
        <v>68</v>
      </c>
      <c r="S881" s="1" t="s">
        <v>68</v>
      </c>
      <c r="T881" s="1" t="s">
        <v>68</v>
      </c>
      <c r="U881" s="1" t="s">
        <v>1074</v>
      </c>
      <c r="V881" s="1" t="s">
        <v>1071</v>
      </c>
      <c r="W881" s="1" t="s">
        <v>68</v>
      </c>
      <c r="X881" s="1" t="s">
        <v>1069</v>
      </c>
      <c r="Y881" s="73"/>
      <c r="Z881" s="2" t="s">
        <v>80</v>
      </c>
      <c r="AA881" s="3">
        <v>90.8</v>
      </c>
      <c r="AB881" s="4">
        <v>24697.599999999999</v>
      </c>
      <c r="AC881" s="73">
        <v>46213</v>
      </c>
      <c r="AD881" s="73">
        <v>46213</v>
      </c>
      <c r="AE881" s="73"/>
      <c r="AF881" s="73">
        <v>46213</v>
      </c>
      <c r="AG881" s="3">
        <v>90800</v>
      </c>
      <c r="AH881" s="353" t="str">
        <f t="shared" si="84"/>
        <v/>
      </c>
      <c r="AI881" s="3" t="str">
        <f t="shared" si="85"/>
        <v>54</v>
      </c>
      <c r="AJ881" s="64" t="e">
        <f>VLOOKUP(T881,'GL Name'!A:B,2,0)</f>
        <v>#N/A</v>
      </c>
      <c r="AL881" s="13">
        <f t="shared" si="86"/>
        <v>272</v>
      </c>
      <c r="AM881" s="13" t="e">
        <f>VLOOKUP(I881,'Order 301-305 (เรียง)'!A:B,2,0)</f>
        <v>#N/A</v>
      </c>
      <c r="AN881" t="e">
        <f>VLOOKUP(I881,'Order 301-305 (เรียง)'!A:C,3,0)</f>
        <v>#N/A</v>
      </c>
    </row>
    <row r="882" spans="1:40" x14ac:dyDescent="0.3">
      <c r="A882" s="1" t="s">
        <v>121</v>
      </c>
      <c r="B882" s="1" t="s">
        <v>122</v>
      </c>
      <c r="C882" s="1" t="s">
        <v>64</v>
      </c>
      <c r="D882" s="1" t="s">
        <v>115</v>
      </c>
      <c r="E882" s="1" t="s">
        <v>130</v>
      </c>
      <c r="F882" s="1" t="s">
        <v>1075</v>
      </c>
      <c r="G882" s="1" t="s">
        <v>101</v>
      </c>
      <c r="H882" s="1" t="s">
        <v>1076</v>
      </c>
      <c r="I882" s="1" t="s">
        <v>68</v>
      </c>
      <c r="J882" s="1" t="s">
        <v>1077</v>
      </c>
      <c r="K882" s="1" t="s">
        <v>118</v>
      </c>
      <c r="L882" s="1" t="s">
        <v>70</v>
      </c>
      <c r="M882" s="1" t="s">
        <v>1078</v>
      </c>
      <c r="N882" s="1" t="s">
        <v>71</v>
      </c>
      <c r="O882" s="1" t="s">
        <v>68</v>
      </c>
      <c r="P882" s="1" t="s">
        <v>72</v>
      </c>
      <c r="Q882" s="1" t="s">
        <v>68</v>
      </c>
      <c r="R882" s="1" t="s">
        <v>68</v>
      </c>
      <c r="S882" s="1" t="s">
        <v>68</v>
      </c>
      <c r="T882" s="1" t="s">
        <v>68</v>
      </c>
      <c r="U882" s="1" t="s">
        <v>315</v>
      </c>
      <c r="V882" s="1" t="s">
        <v>280</v>
      </c>
      <c r="W882" s="1" t="s">
        <v>68</v>
      </c>
      <c r="X882" s="1" t="s">
        <v>1078</v>
      </c>
      <c r="Y882" s="73"/>
      <c r="Z882" s="2" t="s">
        <v>102</v>
      </c>
      <c r="AA882" s="3">
        <v>15000</v>
      </c>
      <c r="AB882" s="4">
        <v>75000</v>
      </c>
      <c r="AC882" s="73">
        <v>46214</v>
      </c>
      <c r="AD882" s="73">
        <v>46214</v>
      </c>
      <c r="AE882" s="73"/>
      <c r="AF882" s="73">
        <v>46214</v>
      </c>
      <c r="AG882" s="3">
        <v>15000</v>
      </c>
      <c r="AH882" s="353" t="str">
        <f t="shared" si="84"/>
        <v/>
      </c>
      <c r="AI882" s="3" t="str">
        <f t="shared" si="85"/>
        <v>58</v>
      </c>
      <c r="AJ882" s="64" t="e">
        <f>VLOOKUP(T882,'GL Name'!A:B,2,0)</f>
        <v>#N/A</v>
      </c>
      <c r="AL882" s="13">
        <f t="shared" si="86"/>
        <v>5</v>
      </c>
      <c r="AM882" s="13" t="e">
        <f>VLOOKUP(I882,'Order 301-305 (เรียง)'!A:B,2,0)</f>
        <v>#N/A</v>
      </c>
      <c r="AN882" t="e">
        <f>VLOOKUP(I882,'Order 301-305 (เรียง)'!A:C,3,0)</f>
        <v>#N/A</v>
      </c>
    </row>
    <row r="883" spans="1:40" x14ac:dyDescent="0.3">
      <c r="A883" s="1" t="s">
        <v>13</v>
      </c>
      <c r="B883" s="1" t="s">
        <v>14</v>
      </c>
      <c r="C883" s="1" t="s">
        <v>64</v>
      </c>
      <c r="D883" s="1" t="s">
        <v>115</v>
      </c>
      <c r="E883" s="1" t="s">
        <v>116</v>
      </c>
      <c r="F883" s="1" t="s">
        <v>1079</v>
      </c>
      <c r="G883" s="1" t="s">
        <v>279</v>
      </c>
      <c r="H883" s="1" t="s">
        <v>561</v>
      </c>
      <c r="I883" s="1" t="s">
        <v>947</v>
      </c>
      <c r="J883" s="1" t="s">
        <v>1080</v>
      </c>
      <c r="K883" s="1" t="s">
        <v>290</v>
      </c>
      <c r="L883" s="1" t="s">
        <v>70</v>
      </c>
      <c r="M883" s="1" t="s">
        <v>68</v>
      </c>
      <c r="N883" s="1" t="s">
        <v>71</v>
      </c>
      <c r="O883" s="1" t="s">
        <v>68</v>
      </c>
      <c r="P883" s="1" t="s">
        <v>72</v>
      </c>
      <c r="Q883" s="1" t="s">
        <v>68</v>
      </c>
      <c r="R883" s="1" t="s">
        <v>727</v>
      </c>
      <c r="S883" s="1" t="s">
        <v>68</v>
      </c>
      <c r="T883" s="1" t="s">
        <v>124</v>
      </c>
      <c r="U883" s="1" t="s">
        <v>68</v>
      </c>
      <c r="V883" s="1" t="s">
        <v>68</v>
      </c>
      <c r="W883" s="1" t="s">
        <v>68</v>
      </c>
      <c r="X883" s="1" t="s">
        <v>1081</v>
      </c>
      <c r="Y883" s="73"/>
      <c r="Z883" s="2" t="s">
        <v>80</v>
      </c>
      <c r="AA883" s="3">
        <v>13008.94</v>
      </c>
      <c r="AB883" s="4">
        <v>3523341.31</v>
      </c>
      <c r="AC883" s="73">
        <v>46212</v>
      </c>
      <c r="AD883" s="73">
        <v>46212</v>
      </c>
      <c r="AE883" s="73"/>
      <c r="AF883" s="73">
        <v>46214</v>
      </c>
      <c r="AG883" s="3">
        <v>13008940</v>
      </c>
      <c r="AH883" s="353" t="str">
        <f t="shared" si="84"/>
        <v>301</v>
      </c>
      <c r="AI883" s="3" t="str">
        <f t="shared" si="85"/>
        <v>57</v>
      </c>
      <c r="AJ883" s="64" t="str">
        <f>VLOOKUP(T883,'GL Name'!A:B,2,0)</f>
        <v>ต้นทุนผลิตโอน Semi</v>
      </c>
      <c r="AL883" s="13">
        <f t="shared" si="86"/>
        <v>270.84000003074806</v>
      </c>
      <c r="AM883" s="13" t="str">
        <f>VLOOKUP(I883,'Order 301-305 (เรียง)'!A:B,2,0)</f>
        <v>Semi</v>
      </c>
      <c r="AN883" t="str">
        <f>VLOOKUP(I883,'Order 301-305 (เรียง)'!A:C,3,0)</f>
        <v>Semi เมล็ดกาแฟ</v>
      </c>
    </row>
    <row r="884" spans="1:40" x14ac:dyDescent="0.3">
      <c r="A884" s="1" t="s">
        <v>13</v>
      </c>
      <c r="B884" s="1" t="s">
        <v>14</v>
      </c>
      <c r="C884" s="1" t="s">
        <v>64</v>
      </c>
      <c r="D884" s="1" t="s">
        <v>115</v>
      </c>
      <c r="E884" s="1" t="s">
        <v>116</v>
      </c>
      <c r="F884" s="1" t="s">
        <v>1082</v>
      </c>
      <c r="G884" s="1" t="s">
        <v>279</v>
      </c>
      <c r="H884" s="1" t="s">
        <v>327</v>
      </c>
      <c r="I884" s="1" t="s">
        <v>951</v>
      </c>
      <c r="J884" s="1" t="s">
        <v>1083</v>
      </c>
      <c r="K884" s="1" t="s">
        <v>290</v>
      </c>
      <c r="L884" s="1" t="s">
        <v>70</v>
      </c>
      <c r="M884" s="1" t="s">
        <v>68</v>
      </c>
      <c r="N884" s="1" t="s">
        <v>71</v>
      </c>
      <c r="O884" s="1" t="s">
        <v>68</v>
      </c>
      <c r="P884" s="1" t="s">
        <v>72</v>
      </c>
      <c r="Q884" s="1" t="s">
        <v>68</v>
      </c>
      <c r="R884" s="1" t="s">
        <v>713</v>
      </c>
      <c r="S884" s="1" t="s">
        <v>68</v>
      </c>
      <c r="T884" s="1" t="s">
        <v>124</v>
      </c>
      <c r="U884" s="1" t="s">
        <v>68</v>
      </c>
      <c r="V884" s="1" t="s">
        <v>68</v>
      </c>
      <c r="W884" s="1" t="s">
        <v>68</v>
      </c>
      <c r="X884" s="1" t="s">
        <v>1084</v>
      </c>
      <c r="Y884" s="73"/>
      <c r="Z884" s="2" t="s">
        <v>80</v>
      </c>
      <c r="AA884" s="3">
        <v>4806</v>
      </c>
      <c r="AB884" s="4">
        <v>1301657.04</v>
      </c>
      <c r="AC884" s="73">
        <v>46213</v>
      </c>
      <c r="AD884" s="73">
        <v>46213</v>
      </c>
      <c r="AE884" s="73"/>
      <c r="AF884" s="73">
        <v>46214</v>
      </c>
      <c r="AG884" s="3">
        <v>4806000</v>
      </c>
      <c r="AH884" s="353" t="str">
        <f t="shared" si="84"/>
        <v>301</v>
      </c>
      <c r="AI884" s="3" t="str">
        <f t="shared" si="85"/>
        <v>57</v>
      </c>
      <c r="AJ884" s="64" t="str">
        <f>VLOOKUP(T884,'GL Name'!A:B,2,0)</f>
        <v>ต้นทุนผลิตโอน Semi</v>
      </c>
      <c r="AL884" s="13">
        <f t="shared" si="86"/>
        <v>270.84000000000003</v>
      </c>
      <c r="AM884" s="13" t="str">
        <f>VLOOKUP(I884,'Order 301-305 (เรียง)'!A:B,2,0)</f>
        <v>Semi</v>
      </c>
      <c r="AN884" t="str">
        <f>VLOOKUP(I884,'Order 301-305 (เรียง)'!A:C,3,0)</f>
        <v>Semi เมล็ดกาแฟ</v>
      </c>
    </row>
    <row r="885" spans="1:40" x14ac:dyDescent="0.3">
      <c r="A885" s="1" t="s">
        <v>15</v>
      </c>
      <c r="B885" s="1" t="s">
        <v>233</v>
      </c>
      <c r="C885" s="1" t="s">
        <v>64</v>
      </c>
      <c r="D885" s="1" t="s">
        <v>115</v>
      </c>
      <c r="E885" s="1" t="s">
        <v>116</v>
      </c>
      <c r="F885" s="1" t="s">
        <v>1082</v>
      </c>
      <c r="G885" s="1" t="s">
        <v>279</v>
      </c>
      <c r="H885" s="1" t="s">
        <v>327</v>
      </c>
      <c r="I885" s="1" t="s">
        <v>951</v>
      </c>
      <c r="J885" s="1" t="s">
        <v>1083</v>
      </c>
      <c r="K885" s="1" t="s">
        <v>290</v>
      </c>
      <c r="L885" s="1" t="s">
        <v>86</v>
      </c>
      <c r="M885" s="1" t="s">
        <v>68</v>
      </c>
      <c r="N885" s="1" t="s">
        <v>71</v>
      </c>
      <c r="O885" s="1" t="s">
        <v>68</v>
      </c>
      <c r="P885" s="1" t="s">
        <v>72</v>
      </c>
      <c r="Q885" s="1" t="s">
        <v>68</v>
      </c>
      <c r="R885" s="1" t="s">
        <v>713</v>
      </c>
      <c r="S885" s="1" t="s">
        <v>68</v>
      </c>
      <c r="T885" s="1" t="s">
        <v>124</v>
      </c>
      <c r="U885" s="1" t="s">
        <v>68</v>
      </c>
      <c r="V885" s="1" t="s">
        <v>68</v>
      </c>
      <c r="W885" s="1" t="s">
        <v>68</v>
      </c>
      <c r="X885" s="1" t="s">
        <v>1084</v>
      </c>
      <c r="Y885" s="73"/>
      <c r="Z885" s="2" t="s">
        <v>80</v>
      </c>
      <c r="AA885" s="3">
        <v>171.72</v>
      </c>
      <c r="AB885" s="4">
        <v>46506.93</v>
      </c>
      <c r="AC885" s="73">
        <v>46213</v>
      </c>
      <c r="AD885" s="73">
        <v>46213</v>
      </c>
      <c r="AE885" s="73"/>
      <c r="AF885" s="73">
        <v>46214</v>
      </c>
      <c r="AG885" s="3">
        <v>171720</v>
      </c>
      <c r="AH885" s="353" t="str">
        <f t="shared" si="84"/>
        <v>301</v>
      </c>
      <c r="AI885" s="3" t="str">
        <f t="shared" si="85"/>
        <v>57</v>
      </c>
      <c r="AJ885" s="64" t="str">
        <f>VLOOKUP(T885,'GL Name'!A:B,2,0)</f>
        <v>ต้นทุนผลิตโอน Semi</v>
      </c>
      <c r="AL885" s="13">
        <f t="shared" si="86"/>
        <v>270.83001397624042</v>
      </c>
      <c r="AM885" s="13" t="str">
        <f>VLOOKUP(I885,'Order 301-305 (เรียง)'!A:B,2,0)</f>
        <v>Semi</v>
      </c>
      <c r="AN885" t="str">
        <f>VLOOKUP(I885,'Order 301-305 (เรียง)'!A:C,3,0)</f>
        <v>Semi เมล็ดกาแฟ</v>
      </c>
    </row>
    <row r="886" spans="1:40" x14ac:dyDescent="0.3">
      <c r="A886" s="1" t="s">
        <v>13</v>
      </c>
      <c r="B886" s="1" t="s">
        <v>14</v>
      </c>
      <c r="C886" s="1" t="s">
        <v>64</v>
      </c>
      <c r="D886" s="1" t="s">
        <v>115</v>
      </c>
      <c r="E886" s="1" t="s">
        <v>116</v>
      </c>
      <c r="F886" s="1" t="s">
        <v>1085</v>
      </c>
      <c r="G886" s="1" t="s">
        <v>279</v>
      </c>
      <c r="H886" s="1" t="s">
        <v>944</v>
      </c>
      <c r="I886" s="1" t="s">
        <v>955</v>
      </c>
      <c r="J886" s="1" t="s">
        <v>1086</v>
      </c>
      <c r="K886" s="1" t="s">
        <v>290</v>
      </c>
      <c r="L886" s="1" t="s">
        <v>70</v>
      </c>
      <c r="M886" s="1" t="s">
        <v>68</v>
      </c>
      <c r="N886" s="1" t="s">
        <v>71</v>
      </c>
      <c r="O886" s="1" t="s">
        <v>68</v>
      </c>
      <c r="P886" s="1" t="s">
        <v>72</v>
      </c>
      <c r="Q886" s="1" t="s">
        <v>68</v>
      </c>
      <c r="R886" s="1" t="s">
        <v>1087</v>
      </c>
      <c r="S886" s="1" t="s">
        <v>68</v>
      </c>
      <c r="T886" s="1" t="s">
        <v>124</v>
      </c>
      <c r="U886" s="1" t="s">
        <v>68</v>
      </c>
      <c r="V886" s="1" t="s">
        <v>68</v>
      </c>
      <c r="W886" s="1" t="s">
        <v>68</v>
      </c>
      <c r="X886" s="1" t="s">
        <v>1084</v>
      </c>
      <c r="Y886" s="73"/>
      <c r="Z886" s="2" t="s">
        <v>80</v>
      </c>
      <c r="AA886" s="3">
        <v>2979.3</v>
      </c>
      <c r="AB886" s="4">
        <v>806913.61</v>
      </c>
      <c r="AC886" s="73">
        <v>46213</v>
      </c>
      <c r="AD886" s="73">
        <v>46213</v>
      </c>
      <c r="AE886" s="73"/>
      <c r="AF886" s="73">
        <v>46214</v>
      </c>
      <c r="AG886" s="3">
        <v>2979300</v>
      </c>
      <c r="AH886" s="353" t="str">
        <f t="shared" si="84"/>
        <v>301</v>
      </c>
      <c r="AI886" s="3" t="str">
        <f t="shared" si="85"/>
        <v>57</v>
      </c>
      <c r="AJ886" s="64" t="str">
        <f>VLOOKUP(T886,'GL Name'!A:B,2,0)</f>
        <v>ต้นทุนผลิตโอน Semi</v>
      </c>
      <c r="AL886" s="13">
        <f t="shared" si="86"/>
        <v>270.83999932870137</v>
      </c>
      <c r="AM886" s="13" t="str">
        <f>VLOOKUP(I886,'Order 301-305 (เรียง)'!A:B,2,0)</f>
        <v>Semi</v>
      </c>
      <c r="AN886" t="str">
        <f>VLOOKUP(I886,'Order 301-305 (เรียง)'!A:C,3,0)</f>
        <v>Semi เมล็ดกาแฟ</v>
      </c>
    </row>
    <row r="887" spans="1:40" x14ac:dyDescent="0.3">
      <c r="A887" s="1" t="s">
        <v>15</v>
      </c>
      <c r="B887" s="1" t="s">
        <v>233</v>
      </c>
      <c r="C887" s="1" t="s">
        <v>64</v>
      </c>
      <c r="D887" s="1" t="s">
        <v>115</v>
      </c>
      <c r="E887" s="1" t="s">
        <v>116</v>
      </c>
      <c r="F887" s="1" t="s">
        <v>1085</v>
      </c>
      <c r="G887" s="1" t="s">
        <v>279</v>
      </c>
      <c r="H887" s="1" t="s">
        <v>944</v>
      </c>
      <c r="I887" s="1" t="s">
        <v>955</v>
      </c>
      <c r="J887" s="1" t="s">
        <v>1086</v>
      </c>
      <c r="K887" s="1" t="s">
        <v>290</v>
      </c>
      <c r="L887" s="1" t="s">
        <v>86</v>
      </c>
      <c r="M887" s="1" t="s">
        <v>68</v>
      </c>
      <c r="N887" s="1" t="s">
        <v>71</v>
      </c>
      <c r="O887" s="1" t="s">
        <v>68</v>
      </c>
      <c r="P887" s="1" t="s">
        <v>72</v>
      </c>
      <c r="Q887" s="1" t="s">
        <v>68</v>
      </c>
      <c r="R887" s="1" t="s">
        <v>1087</v>
      </c>
      <c r="S887" s="1" t="s">
        <v>68</v>
      </c>
      <c r="T887" s="1" t="s">
        <v>124</v>
      </c>
      <c r="U887" s="1" t="s">
        <v>68</v>
      </c>
      <c r="V887" s="1" t="s">
        <v>68</v>
      </c>
      <c r="W887" s="1" t="s">
        <v>68</v>
      </c>
      <c r="X887" s="1" t="s">
        <v>1084</v>
      </c>
      <c r="Y887" s="73"/>
      <c r="Z887" s="2" t="s">
        <v>80</v>
      </c>
      <c r="AA887" s="3">
        <v>35.880000000000003</v>
      </c>
      <c r="AB887" s="4">
        <v>9717.3799999999992</v>
      </c>
      <c r="AC887" s="73">
        <v>46213</v>
      </c>
      <c r="AD887" s="73">
        <v>46213</v>
      </c>
      <c r="AE887" s="73"/>
      <c r="AF887" s="73">
        <v>46214</v>
      </c>
      <c r="AG887" s="3">
        <v>35880</v>
      </c>
      <c r="AH887" s="353" t="str">
        <f t="shared" si="84"/>
        <v>301</v>
      </c>
      <c r="AI887" s="3" t="str">
        <f t="shared" si="85"/>
        <v>57</v>
      </c>
      <c r="AJ887" s="64" t="str">
        <f>VLOOKUP(T887,'GL Name'!A:B,2,0)</f>
        <v>ต้นทุนผลิตโอน Semi</v>
      </c>
      <c r="AL887" s="13">
        <f t="shared" si="86"/>
        <v>270.82998885172793</v>
      </c>
      <c r="AM887" s="13" t="str">
        <f>VLOOKUP(I887,'Order 301-305 (เรียง)'!A:B,2,0)</f>
        <v>Semi</v>
      </c>
      <c r="AN887" t="str">
        <f>VLOOKUP(I887,'Order 301-305 (เรียง)'!A:C,3,0)</f>
        <v>Semi เมล็ดกาแฟ</v>
      </c>
    </row>
    <row r="888" spans="1:40" x14ac:dyDescent="0.3">
      <c r="A888" s="1" t="s">
        <v>13</v>
      </c>
      <c r="B888" s="1" t="s">
        <v>14</v>
      </c>
      <c r="C888" s="1" t="s">
        <v>64</v>
      </c>
      <c r="D888" s="1" t="s">
        <v>115</v>
      </c>
      <c r="E888" s="1" t="s">
        <v>116</v>
      </c>
      <c r="F888" s="1" t="s">
        <v>1088</v>
      </c>
      <c r="G888" s="1" t="s">
        <v>279</v>
      </c>
      <c r="H888" s="1" t="s">
        <v>944</v>
      </c>
      <c r="I888" s="1" t="s">
        <v>955</v>
      </c>
      <c r="J888" s="1" t="s">
        <v>1089</v>
      </c>
      <c r="K888" s="1" t="s">
        <v>290</v>
      </c>
      <c r="L888" s="1" t="s">
        <v>70</v>
      </c>
      <c r="M888" s="1" t="s">
        <v>68</v>
      </c>
      <c r="N888" s="1" t="s">
        <v>71</v>
      </c>
      <c r="O888" s="1" t="s">
        <v>68</v>
      </c>
      <c r="P888" s="1" t="s">
        <v>72</v>
      </c>
      <c r="Q888" s="1" t="s">
        <v>68</v>
      </c>
      <c r="R888" s="1" t="s">
        <v>1087</v>
      </c>
      <c r="S888" s="1" t="s">
        <v>68</v>
      </c>
      <c r="T888" s="1" t="s">
        <v>124</v>
      </c>
      <c r="U888" s="1" t="s">
        <v>68</v>
      </c>
      <c r="V888" s="1" t="s">
        <v>68</v>
      </c>
      <c r="W888" s="1" t="s">
        <v>68</v>
      </c>
      <c r="X888" s="1" t="s">
        <v>1084</v>
      </c>
      <c r="Y888" s="73"/>
      <c r="Z888" s="2" t="s">
        <v>80</v>
      </c>
      <c r="AA888" s="3">
        <v>71.760000000000005</v>
      </c>
      <c r="AB888" s="4">
        <v>19435.48</v>
      </c>
      <c r="AC888" s="73">
        <v>46213</v>
      </c>
      <c r="AD888" s="73">
        <v>46213</v>
      </c>
      <c r="AE888" s="73"/>
      <c r="AF888" s="73">
        <v>46214</v>
      </c>
      <c r="AG888" s="3">
        <v>71760</v>
      </c>
      <c r="AH888" s="353" t="str">
        <f t="shared" si="84"/>
        <v>301</v>
      </c>
      <c r="AI888" s="3" t="str">
        <f t="shared" si="85"/>
        <v>57</v>
      </c>
      <c r="AJ888" s="64" t="str">
        <f>VLOOKUP(T888,'GL Name'!A:B,2,0)</f>
        <v>ต้นทุนผลิตโอน Semi</v>
      </c>
      <c r="AL888" s="13">
        <f t="shared" si="86"/>
        <v>270.84002229654402</v>
      </c>
      <c r="AM888" s="13" t="str">
        <f>VLOOKUP(I888,'Order 301-305 (เรียง)'!A:B,2,0)</f>
        <v>Semi</v>
      </c>
      <c r="AN888" t="str">
        <f>VLOOKUP(I888,'Order 301-305 (เรียง)'!A:C,3,0)</f>
        <v>Semi เมล็ดกาแฟ</v>
      </c>
    </row>
    <row r="889" spans="1:40" x14ac:dyDescent="0.3">
      <c r="A889" s="1" t="s">
        <v>13</v>
      </c>
      <c r="B889" s="1" t="s">
        <v>14</v>
      </c>
      <c r="C889" s="1" t="s">
        <v>64</v>
      </c>
      <c r="D889" s="1" t="s">
        <v>1090</v>
      </c>
      <c r="E889" s="1" t="s">
        <v>1091</v>
      </c>
      <c r="F889" s="1" t="s">
        <v>1092</v>
      </c>
      <c r="G889" s="1" t="s">
        <v>279</v>
      </c>
      <c r="H889" s="1" t="s">
        <v>944</v>
      </c>
      <c r="I889" s="1" t="s">
        <v>955</v>
      </c>
      <c r="J889" s="1" t="s">
        <v>1093</v>
      </c>
      <c r="K889" s="1" t="s">
        <v>84</v>
      </c>
      <c r="L889" s="1" t="s">
        <v>70</v>
      </c>
      <c r="M889" s="1" t="s">
        <v>68</v>
      </c>
      <c r="N889" s="1" t="s">
        <v>71</v>
      </c>
      <c r="O889" s="1" t="s">
        <v>68</v>
      </c>
      <c r="P889" s="1" t="s">
        <v>72</v>
      </c>
      <c r="Q889" s="1" t="s">
        <v>68</v>
      </c>
      <c r="R889" s="1" t="s">
        <v>1087</v>
      </c>
      <c r="S889" s="1" t="s">
        <v>68</v>
      </c>
      <c r="T889" s="1" t="s">
        <v>124</v>
      </c>
      <c r="U889" s="1" t="s">
        <v>68</v>
      </c>
      <c r="V889" s="1" t="s">
        <v>68</v>
      </c>
      <c r="W889" s="1" t="s">
        <v>68</v>
      </c>
      <c r="X889" s="1" t="s">
        <v>1084</v>
      </c>
      <c r="Y889" s="73"/>
      <c r="Z889" s="2" t="s">
        <v>80</v>
      </c>
      <c r="AA889" s="3">
        <v>-71.760000000000005</v>
      </c>
      <c r="AB889" s="4">
        <v>-19435.48</v>
      </c>
      <c r="AC889" s="73">
        <v>46213</v>
      </c>
      <c r="AD889" s="73">
        <v>46213</v>
      </c>
      <c r="AE889" s="73"/>
      <c r="AF889" s="73">
        <v>46216</v>
      </c>
      <c r="AG889" s="3">
        <v>-71760</v>
      </c>
      <c r="AH889" s="353" t="str">
        <f t="shared" si="84"/>
        <v>301</v>
      </c>
      <c r="AI889" s="3" t="str">
        <f t="shared" si="85"/>
        <v>57</v>
      </c>
      <c r="AJ889" s="64" t="str">
        <f>VLOOKUP(T889,'GL Name'!A:B,2,0)</f>
        <v>ต้นทุนผลิตโอน Semi</v>
      </c>
      <c r="AL889" s="13">
        <f t="shared" si="86"/>
        <v>270.84002229654402</v>
      </c>
      <c r="AM889" s="13" t="str">
        <f>VLOOKUP(I889,'Order 301-305 (เรียง)'!A:B,2,0)</f>
        <v>Semi</v>
      </c>
      <c r="AN889" t="str">
        <f>VLOOKUP(I889,'Order 301-305 (เรียง)'!A:C,3,0)</f>
        <v>Semi เมล็ดกาแฟ</v>
      </c>
    </row>
    <row r="890" spans="1:40" x14ac:dyDescent="0.3">
      <c r="A890" s="1" t="s">
        <v>13</v>
      </c>
      <c r="B890" s="1" t="s">
        <v>14</v>
      </c>
      <c r="C890" s="1" t="s">
        <v>64</v>
      </c>
      <c r="D890" s="1" t="s">
        <v>115</v>
      </c>
      <c r="E890" s="1" t="s">
        <v>116</v>
      </c>
      <c r="F890" s="1" t="s">
        <v>1094</v>
      </c>
      <c r="G890" s="1" t="s">
        <v>279</v>
      </c>
      <c r="H890" s="1" t="s">
        <v>944</v>
      </c>
      <c r="I890" s="1" t="s">
        <v>955</v>
      </c>
      <c r="J890" s="1" t="s">
        <v>1095</v>
      </c>
      <c r="K890" s="1" t="s">
        <v>290</v>
      </c>
      <c r="L890" s="1" t="s">
        <v>70</v>
      </c>
      <c r="M890" s="1" t="s">
        <v>68</v>
      </c>
      <c r="N890" s="1" t="s">
        <v>71</v>
      </c>
      <c r="O890" s="1" t="s">
        <v>68</v>
      </c>
      <c r="P890" s="1" t="s">
        <v>72</v>
      </c>
      <c r="Q890" s="1" t="s">
        <v>68</v>
      </c>
      <c r="R890" s="1" t="s">
        <v>1096</v>
      </c>
      <c r="S890" s="1" t="s">
        <v>68</v>
      </c>
      <c r="T890" s="1" t="s">
        <v>124</v>
      </c>
      <c r="U890" s="1" t="s">
        <v>68</v>
      </c>
      <c r="V890" s="1" t="s">
        <v>68</v>
      </c>
      <c r="W890" s="1" t="s">
        <v>68</v>
      </c>
      <c r="X890" s="1" t="s">
        <v>1084</v>
      </c>
      <c r="Y890" s="73"/>
      <c r="Z890" s="2" t="s">
        <v>80</v>
      </c>
      <c r="AA890" s="3">
        <v>35.880000000000003</v>
      </c>
      <c r="AB890" s="4">
        <v>9717.74</v>
      </c>
      <c r="AC890" s="73">
        <v>46213</v>
      </c>
      <c r="AD890" s="73">
        <v>46213</v>
      </c>
      <c r="AE890" s="73"/>
      <c r="AF890" s="73">
        <v>46216</v>
      </c>
      <c r="AG890" s="3">
        <v>35880</v>
      </c>
      <c r="AH890" s="353" t="str">
        <f t="shared" si="84"/>
        <v>301</v>
      </c>
      <c r="AI890" s="3" t="str">
        <f t="shared" si="85"/>
        <v>57</v>
      </c>
      <c r="AJ890" s="64" t="str">
        <f>VLOOKUP(T890,'GL Name'!A:B,2,0)</f>
        <v>ต้นทุนผลิตโอน Semi</v>
      </c>
      <c r="AL890" s="13">
        <f t="shared" si="86"/>
        <v>270.84002229654402</v>
      </c>
      <c r="AM890" s="13" t="str">
        <f>VLOOKUP(I890,'Order 301-305 (เรียง)'!A:B,2,0)</f>
        <v>Semi</v>
      </c>
      <c r="AN890" t="str">
        <f>VLOOKUP(I890,'Order 301-305 (เรียง)'!A:C,3,0)</f>
        <v>Semi เมล็ดกาแฟ</v>
      </c>
    </row>
    <row r="891" spans="1:40" x14ac:dyDescent="0.3">
      <c r="A891" s="1" t="s">
        <v>13</v>
      </c>
      <c r="B891" s="1" t="s">
        <v>14</v>
      </c>
      <c r="C891" s="1" t="s">
        <v>64</v>
      </c>
      <c r="D891" s="1" t="s">
        <v>1090</v>
      </c>
      <c r="E891" s="1" t="s">
        <v>1091</v>
      </c>
      <c r="F891" s="1" t="s">
        <v>1097</v>
      </c>
      <c r="G891" s="1" t="s">
        <v>279</v>
      </c>
      <c r="H891" s="1" t="s">
        <v>327</v>
      </c>
      <c r="I891" s="1" t="s">
        <v>629</v>
      </c>
      <c r="J891" s="1" t="s">
        <v>1098</v>
      </c>
      <c r="K891" s="1" t="s">
        <v>84</v>
      </c>
      <c r="L891" s="1" t="s">
        <v>70</v>
      </c>
      <c r="M891" s="1" t="s">
        <v>68</v>
      </c>
      <c r="N891" s="1" t="s">
        <v>71</v>
      </c>
      <c r="O891" s="1" t="s">
        <v>68</v>
      </c>
      <c r="P891" s="1" t="s">
        <v>72</v>
      </c>
      <c r="Q891" s="1" t="s">
        <v>68</v>
      </c>
      <c r="R891" s="1" t="s">
        <v>713</v>
      </c>
      <c r="S891" s="1" t="s">
        <v>68</v>
      </c>
      <c r="T891" s="1" t="s">
        <v>124</v>
      </c>
      <c r="U891" s="1" t="s">
        <v>68</v>
      </c>
      <c r="V891" s="1" t="s">
        <v>68</v>
      </c>
      <c r="W891" s="1" t="s">
        <v>68</v>
      </c>
      <c r="X891" s="1" t="s">
        <v>737</v>
      </c>
      <c r="Y891" s="73"/>
      <c r="Z891" s="2" t="s">
        <v>80</v>
      </c>
      <c r="AA891" s="3">
        <v>-3959.2</v>
      </c>
      <c r="AB891" s="4">
        <v>-1072309.73</v>
      </c>
      <c r="AC891" s="73">
        <v>46209</v>
      </c>
      <c r="AD891" s="73">
        <v>46209</v>
      </c>
      <c r="AE891" s="73"/>
      <c r="AF891" s="73">
        <v>46216</v>
      </c>
      <c r="AG891" s="3">
        <v>-3959200</v>
      </c>
      <c r="AH891" s="353" t="str">
        <f t="shared" si="84"/>
        <v>301</v>
      </c>
      <c r="AI891" s="3" t="str">
        <f t="shared" si="85"/>
        <v>57</v>
      </c>
      <c r="AJ891" s="64" t="str">
        <f>VLOOKUP(T891,'GL Name'!A:B,2,0)</f>
        <v>ต้นทุนผลิตโอน Semi</v>
      </c>
      <c r="AL891" s="13">
        <f t="shared" si="86"/>
        <v>270.84000050515255</v>
      </c>
      <c r="AM891" s="13" t="str">
        <f>VLOOKUP(I891,'Order 301-305 (เรียง)'!A:B,2,0)</f>
        <v>Semi</v>
      </c>
      <c r="AN891" t="str">
        <f>VLOOKUP(I891,'Order 301-305 (เรียง)'!A:C,3,0)</f>
        <v>Semi เมล็ดกาแฟ</v>
      </c>
    </row>
    <row r="892" spans="1:40" x14ac:dyDescent="0.3">
      <c r="A892" s="1" t="s">
        <v>13</v>
      </c>
      <c r="B892" s="1" t="s">
        <v>14</v>
      </c>
      <c r="C892" s="1" t="s">
        <v>64</v>
      </c>
      <c r="D892" s="1" t="s">
        <v>115</v>
      </c>
      <c r="E892" s="1" t="s">
        <v>116</v>
      </c>
      <c r="F892" s="1" t="s">
        <v>1099</v>
      </c>
      <c r="G892" s="1" t="s">
        <v>279</v>
      </c>
      <c r="H892" s="1" t="s">
        <v>327</v>
      </c>
      <c r="I892" s="1" t="s">
        <v>629</v>
      </c>
      <c r="J892" s="1" t="s">
        <v>1100</v>
      </c>
      <c r="K892" s="1" t="s">
        <v>290</v>
      </c>
      <c r="L892" s="1" t="s">
        <v>70</v>
      </c>
      <c r="M892" s="1" t="s">
        <v>68</v>
      </c>
      <c r="N892" s="1" t="s">
        <v>71</v>
      </c>
      <c r="O892" s="1" t="s">
        <v>68</v>
      </c>
      <c r="P892" s="1" t="s">
        <v>72</v>
      </c>
      <c r="Q892" s="1" t="s">
        <v>68</v>
      </c>
      <c r="R892" s="1" t="s">
        <v>713</v>
      </c>
      <c r="S892" s="1" t="s">
        <v>68</v>
      </c>
      <c r="T892" s="1" t="s">
        <v>124</v>
      </c>
      <c r="U892" s="1" t="s">
        <v>68</v>
      </c>
      <c r="V892" s="1" t="s">
        <v>68</v>
      </c>
      <c r="W892" s="1" t="s">
        <v>68</v>
      </c>
      <c r="X892" s="1" t="s">
        <v>737</v>
      </c>
      <c r="Y892" s="73"/>
      <c r="Z892" s="2" t="s">
        <v>80</v>
      </c>
      <c r="AA892" s="3">
        <v>3861</v>
      </c>
      <c r="AB892" s="4">
        <v>1045713.24</v>
      </c>
      <c r="AC892" s="73">
        <v>46209</v>
      </c>
      <c r="AD892" s="73">
        <v>46209</v>
      </c>
      <c r="AE892" s="73"/>
      <c r="AF892" s="73">
        <v>46216</v>
      </c>
      <c r="AG892" s="3">
        <v>3861000</v>
      </c>
      <c r="AH892" s="353" t="str">
        <f t="shared" si="84"/>
        <v>301</v>
      </c>
      <c r="AI892" s="3" t="str">
        <f t="shared" si="85"/>
        <v>57</v>
      </c>
      <c r="AJ892" s="64" t="str">
        <f>VLOOKUP(T892,'GL Name'!A:B,2,0)</f>
        <v>ต้นทุนผลิตโอน Semi</v>
      </c>
      <c r="AL892" s="13">
        <f t="shared" si="86"/>
        <v>270.83999999999997</v>
      </c>
      <c r="AM892" s="13" t="str">
        <f>VLOOKUP(I892,'Order 301-305 (เรียง)'!A:B,2,0)</f>
        <v>Semi</v>
      </c>
      <c r="AN892" t="str">
        <f>VLOOKUP(I892,'Order 301-305 (เรียง)'!A:C,3,0)</f>
        <v>Semi เมล็ดกาแฟ</v>
      </c>
    </row>
    <row r="893" spans="1:40" x14ac:dyDescent="0.3">
      <c r="A893" s="1" t="s">
        <v>15</v>
      </c>
      <c r="B893" s="1" t="s">
        <v>233</v>
      </c>
      <c r="C893" s="1" t="s">
        <v>64</v>
      </c>
      <c r="D893" s="1" t="s">
        <v>115</v>
      </c>
      <c r="E893" s="1" t="s">
        <v>116</v>
      </c>
      <c r="F893" s="1" t="s">
        <v>1099</v>
      </c>
      <c r="G893" s="1" t="s">
        <v>279</v>
      </c>
      <c r="H893" s="1" t="s">
        <v>327</v>
      </c>
      <c r="I893" s="1" t="s">
        <v>629</v>
      </c>
      <c r="J893" s="1" t="s">
        <v>1100</v>
      </c>
      <c r="K893" s="1" t="s">
        <v>290</v>
      </c>
      <c r="L893" s="1" t="s">
        <v>86</v>
      </c>
      <c r="M893" s="1" t="s">
        <v>68</v>
      </c>
      <c r="N893" s="1" t="s">
        <v>71</v>
      </c>
      <c r="O893" s="1" t="s">
        <v>68</v>
      </c>
      <c r="P893" s="1" t="s">
        <v>72</v>
      </c>
      <c r="Q893" s="1" t="s">
        <v>68</v>
      </c>
      <c r="R893" s="1" t="s">
        <v>713</v>
      </c>
      <c r="S893" s="1" t="s">
        <v>68</v>
      </c>
      <c r="T893" s="1" t="s">
        <v>124</v>
      </c>
      <c r="U893" s="1" t="s">
        <v>68</v>
      </c>
      <c r="V893" s="1" t="s">
        <v>68</v>
      </c>
      <c r="W893" s="1" t="s">
        <v>68</v>
      </c>
      <c r="X893" s="1" t="s">
        <v>737</v>
      </c>
      <c r="Y893" s="73"/>
      <c r="Z893" s="2" t="s">
        <v>80</v>
      </c>
      <c r="AA893" s="3">
        <v>98.2</v>
      </c>
      <c r="AB893" s="4">
        <v>26595.51</v>
      </c>
      <c r="AC893" s="73">
        <v>46209</v>
      </c>
      <c r="AD893" s="73">
        <v>46209</v>
      </c>
      <c r="AE893" s="73"/>
      <c r="AF893" s="73">
        <v>46216</v>
      </c>
      <c r="AG893" s="3">
        <v>98200</v>
      </c>
      <c r="AH893" s="353" t="str">
        <f t="shared" si="84"/>
        <v>301</v>
      </c>
      <c r="AI893" s="3" t="str">
        <f t="shared" si="85"/>
        <v>57</v>
      </c>
      <c r="AJ893" s="64" t="str">
        <f>VLOOKUP(T893,'GL Name'!A:B,2,0)</f>
        <v>ต้นทุนผลิตโอน Semi</v>
      </c>
      <c r="AL893" s="13">
        <f t="shared" si="86"/>
        <v>270.83004073319751</v>
      </c>
      <c r="AM893" s="13" t="str">
        <f>VLOOKUP(I893,'Order 301-305 (เรียง)'!A:B,2,0)</f>
        <v>Semi</v>
      </c>
      <c r="AN893" t="str">
        <f>VLOOKUP(I893,'Order 301-305 (เรียง)'!A:C,3,0)</f>
        <v>Semi เมล็ดกาแฟ</v>
      </c>
    </row>
    <row r="894" spans="1:40" x14ac:dyDescent="0.3">
      <c r="A894" s="1" t="s">
        <v>19</v>
      </c>
      <c r="B894" s="1" t="s">
        <v>20</v>
      </c>
      <c r="C894" s="1" t="s">
        <v>64</v>
      </c>
      <c r="D894" s="1" t="s">
        <v>115</v>
      </c>
      <c r="E894" s="1" t="s">
        <v>116</v>
      </c>
      <c r="F894" s="1" t="s">
        <v>1101</v>
      </c>
      <c r="G894" s="1" t="s">
        <v>279</v>
      </c>
      <c r="H894" s="1" t="s">
        <v>304</v>
      </c>
      <c r="I894" s="1" t="s">
        <v>1055</v>
      </c>
      <c r="J894" s="1" t="s">
        <v>1102</v>
      </c>
      <c r="K894" s="1" t="s">
        <v>290</v>
      </c>
      <c r="L894" s="1" t="s">
        <v>70</v>
      </c>
      <c r="M894" s="1" t="s">
        <v>68</v>
      </c>
      <c r="N894" s="1" t="s">
        <v>71</v>
      </c>
      <c r="O894" s="1" t="s">
        <v>68</v>
      </c>
      <c r="P894" s="1" t="s">
        <v>72</v>
      </c>
      <c r="Q894" s="1" t="s">
        <v>68</v>
      </c>
      <c r="R894" s="1" t="s">
        <v>701</v>
      </c>
      <c r="S894" s="1" t="s">
        <v>68</v>
      </c>
      <c r="T894" s="1" t="s">
        <v>124</v>
      </c>
      <c r="U894" s="1" t="s">
        <v>68</v>
      </c>
      <c r="V894" s="1" t="s">
        <v>68</v>
      </c>
      <c r="W894" s="1" t="s">
        <v>68</v>
      </c>
      <c r="X894" s="1" t="s">
        <v>1103</v>
      </c>
      <c r="Y894" s="73"/>
      <c r="Z894" s="2" t="s">
        <v>80</v>
      </c>
      <c r="AA894" s="3">
        <v>8833.9</v>
      </c>
      <c r="AB894" s="4">
        <v>1412805.63</v>
      </c>
      <c r="AC894" s="73">
        <v>46214</v>
      </c>
      <c r="AD894" s="73">
        <v>46214</v>
      </c>
      <c r="AE894" s="73"/>
      <c r="AF894" s="73">
        <v>46216</v>
      </c>
      <c r="AG894" s="3">
        <v>8833900</v>
      </c>
      <c r="AH894" s="353" t="str">
        <f t="shared" si="84"/>
        <v>301</v>
      </c>
      <c r="AI894" s="3" t="str">
        <f t="shared" si="85"/>
        <v>57</v>
      </c>
      <c r="AJ894" s="64" t="str">
        <f>VLOOKUP(T894,'GL Name'!A:B,2,0)</f>
        <v>ต้นทุนผลิตโอน Semi</v>
      </c>
      <c r="AL894" s="13">
        <f t="shared" si="86"/>
        <v>159.93000033960084</v>
      </c>
      <c r="AM894" s="13" t="str">
        <f>VLOOKUP(I894,'Order 301-305 (เรียง)'!A:B,2,0)</f>
        <v>Semi</v>
      </c>
      <c r="AN894" t="str">
        <f>VLOOKUP(I894,'Order 301-305 (เรียง)'!A:C,3,0)</f>
        <v>Semi เมล็ดกาแฟ</v>
      </c>
    </row>
    <row r="895" spans="1:40" x14ac:dyDescent="0.3">
      <c r="A895" s="1" t="s">
        <v>21</v>
      </c>
      <c r="B895" s="1" t="s">
        <v>234</v>
      </c>
      <c r="C895" s="1" t="s">
        <v>64</v>
      </c>
      <c r="D895" s="1" t="s">
        <v>115</v>
      </c>
      <c r="E895" s="1" t="s">
        <v>116</v>
      </c>
      <c r="F895" s="1" t="s">
        <v>1101</v>
      </c>
      <c r="G895" s="1" t="s">
        <v>279</v>
      </c>
      <c r="H895" s="1" t="s">
        <v>304</v>
      </c>
      <c r="I895" s="1" t="s">
        <v>1055</v>
      </c>
      <c r="J895" s="1" t="s">
        <v>1102</v>
      </c>
      <c r="K895" s="1" t="s">
        <v>290</v>
      </c>
      <c r="L895" s="1" t="s">
        <v>86</v>
      </c>
      <c r="M895" s="1" t="s">
        <v>68</v>
      </c>
      <c r="N895" s="1" t="s">
        <v>71</v>
      </c>
      <c r="O895" s="1" t="s">
        <v>68</v>
      </c>
      <c r="P895" s="1" t="s">
        <v>72</v>
      </c>
      <c r="Q895" s="1" t="s">
        <v>68</v>
      </c>
      <c r="R895" s="1" t="s">
        <v>701</v>
      </c>
      <c r="S895" s="1" t="s">
        <v>68</v>
      </c>
      <c r="T895" s="1" t="s">
        <v>124</v>
      </c>
      <c r="U895" s="1" t="s">
        <v>68</v>
      </c>
      <c r="V895" s="1" t="s">
        <v>68</v>
      </c>
      <c r="W895" s="1" t="s">
        <v>68</v>
      </c>
      <c r="X895" s="1" t="s">
        <v>1103</v>
      </c>
      <c r="Y895" s="73"/>
      <c r="Z895" s="2" t="s">
        <v>80</v>
      </c>
      <c r="AA895" s="3">
        <v>112.4</v>
      </c>
      <c r="AB895" s="4">
        <v>17976.13</v>
      </c>
      <c r="AC895" s="73">
        <v>46214</v>
      </c>
      <c r="AD895" s="73">
        <v>46214</v>
      </c>
      <c r="AE895" s="73"/>
      <c r="AF895" s="73">
        <v>46216</v>
      </c>
      <c r="AG895" s="3">
        <v>112400</v>
      </c>
      <c r="AH895" s="353" t="str">
        <f t="shared" si="84"/>
        <v>301</v>
      </c>
      <c r="AI895" s="3" t="str">
        <f t="shared" si="85"/>
        <v>57</v>
      </c>
      <c r="AJ895" s="64" t="str">
        <f>VLOOKUP(T895,'GL Name'!A:B,2,0)</f>
        <v>ต้นทุนผลิตโอน Semi</v>
      </c>
      <c r="AL895" s="13">
        <f t="shared" si="86"/>
        <v>159.9299822064057</v>
      </c>
      <c r="AM895" s="13" t="str">
        <f>VLOOKUP(I895,'Order 301-305 (เรียง)'!A:B,2,0)</f>
        <v>Semi</v>
      </c>
      <c r="AN895" t="str">
        <f>VLOOKUP(I895,'Order 301-305 (เรียง)'!A:C,3,0)</f>
        <v>Semi เมล็ดกาแฟ</v>
      </c>
    </row>
    <row r="896" spans="1:40" x14ac:dyDescent="0.3">
      <c r="A896" s="1" t="s">
        <v>128</v>
      </c>
      <c r="B896" s="1" t="s">
        <v>129</v>
      </c>
      <c r="C896" s="1" t="s">
        <v>64</v>
      </c>
      <c r="D896" s="1" t="s">
        <v>115</v>
      </c>
      <c r="E896" s="1" t="s">
        <v>130</v>
      </c>
      <c r="F896" s="1" t="s">
        <v>1104</v>
      </c>
      <c r="G896" s="1" t="s">
        <v>131</v>
      </c>
      <c r="H896" s="1" t="s">
        <v>690</v>
      </c>
      <c r="I896" s="1" t="s">
        <v>68</v>
      </c>
      <c r="J896" s="1" t="s">
        <v>1105</v>
      </c>
      <c r="K896" s="1" t="s">
        <v>132</v>
      </c>
      <c r="L896" s="1" t="s">
        <v>70</v>
      </c>
      <c r="M896" s="1" t="s">
        <v>1106</v>
      </c>
      <c r="N896" s="1" t="s">
        <v>71</v>
      </c>
      <c r="O896" s="1" t="s">
        <v>68</v>
      </c>
      <c r="P896" s="1" t="s">
        <v>72</v>
      </c>
      <c r="Q896" s="1" t="s">
        <v>721</v>
      </c>
      <c r="R896" s="1" t="s">
        <v>68</v>
      </c>
      <c r="S896" s="1" t="s">
        <v>68</v>
      </c>
      <c r="T896" s="1" t="s">
        <v>68</v>
      </c>
      <c r="U896" s="1" t="s">
        <v>721</v>
      </c>
      <c r="V896" s="1" t="s">
        <v>133</v>
      </c>
      <c r="W896" s="1" t="s">
        <v>68</v>
      </c>
      <c r="X896" s="1" t="s">
        <v>1106</v>
      </c>
      <c r="Y896" s="73"/>
      <c r="Z896" s="2" t="s">
        <v>102</v>
      </c>
      <c r="AA896" s="3">
        <v>20</v>
      </c>
      <c r="AB896" s="4">
        <v>20700</v>
      </c>
      <c r="AC896" s="73">
        <v>46214</v>
      </c>
      <c r="AD896" s="73">
        <v>46216</v>
      </c>
      <c r="AE896" s="73"/>
      <c r="AF896" s="73">
        <v>46216</v>
      </c>
      <c r="AG896" s="3">
        <v>20</v>
      </c>
      <c r="AH896" s="353" t="str">
        <f t="shared" si="84"/>
        <v/>
      </c>
      <c r="AI896" s="3" t="str">
        <f t="shared" si="85"/>
        <v>54</v>
      </c>
      <c r="AJ896" s="64" t="e">
        <f>VLOOKUP(T896,'GL Name'!A:B,2,0)</f>
        <v>#N/A</v>
      </c>
      <c r="AL896" s="13">
        <f t="shared" si="86"/>
        <v>1035</v>
      </c>
      <c r="AM896" s="13" t="e">
        <f>VLOOKUP(I896,'Order 301-305 (เรียง)'!A:B,2,0)</f>
        <v>#N/A</v>
      </c>
      <c r="AN896" t="e">
        <f>VLOOKUP(I896,'Order 301-305 (เรียง)'!A:C,3,0)</f>
        <v>#N/A</v>
      </c>
    </row>
    <row r="897" spans="1:40" x14ac:dyDescent="0.3">
      <c r="A897" s="1" t="s">
        <v>128</v>
      </c>
      <c r="B897" s="1" t="s">
        <v>129</v>
      </c>
      <c r="C897" s="1" t="s">
        <v>64</v>
      </c>
      <c r="D897" s="1" t="s">
        <v>115</v>
      </c>
      <c r="E897" s="1" t="s">
        <v>130</v>
      </c>
      <c r="F897" s="1" t="s">
        <v>1107</v>
      </c>
      <c r="G897" s="1" t="s">
        <v>131</v>
      </c>
      <c r="H897" s="1" t="s">
        <v>690</v>
      </c>
      <c r="I897" s="1" t="s">
        <v>68</v>
      </c>
      <c r="J897" s="1" t="s">
        <v>1108</v>
      </c>
      <c r="K897" s="1" t="s">
        <v>132</v>
      </c>
      <c r="L897" s="1" t="s">
        <v>70</v>
      </c>
      <c r="M897" s="1" t="s">
        <v>1109</v>
      </c>
      <c r="N897" s="1" t="s">
        <v>71</v>
      </c>
      <c r="O897" s="1" t="s">
        <v>68</v>
      </c>
      <c r="P897" s="1" t="s">
        <v>72</v>
      </c>
      <c r="Q897" s="1" t="s">
        <v>721</v>
      </c>
      <c r="R897" s="1" t="s">
        <v>68</v>
      </c>
      <c r="S897" s="1" t="s">
        <v>68</v>
      </c>
      <c r="T897" s="1" t="s">
        <v>68</v>
      </c>
      <c r="U897" s="1" t="s">
        <v>721</v>
      </c>
      <c r="V897" s="1" t="s">
        <v>133</v>
      </c>
      <c r="W897" s="1" t="s">
        <v>68</v>
      </c>
      <c r="X897" s="1" t="s">
        <v>1109</v>
      </c>
      <c r="Y897" s="73"/>
      <c r="Z897" s="2" t="s">
        <v>102</v>
      </c>
      <c r="AA897" s="3">
        <v>15</v>
      </c>
      <c r="AB897" s="4">
        <v>15525</v>
      </c>
      <c r="AC897" s="73">
        <v>46216</v>
      </c>
      <c r="AD897" s="73">
        <v>46216</v>
      </c>
      <c r="AE897" s="73"/>
      <c r="AF897" s="73">
        <v>46216</v>
      </c>
      <c r="AG897" s="3">
        <v>15</v>
      </c>
      <c r="AH897" s="353" t="str">
        <f t="shared" si="84"/>
        <v/>
      </c>
      <c r="AI897" s="3" t="str">
        <f t="shared" si="85"/>
        <v>54</v>
      </c>
      <c r="AJ897" s="64" t="e">
        <f>VLOOKUP(T897,'GL Name'!A:B,2,0)</f>
        <v>#N/A</v>
      </c>
      <c r="AL897" s="13">
        <f t="shared" si="86"/>
        <v>1035</v>
      </c>
      <c r="AM897" s="13" t="e">
        <f>VLOOKUP(I897,'Order 301-305 (เรียง)'!A:B,2,0)</f>
        <v>#N/A</v>
      </c>
      <c r="AN897" t="e">
        <f>VLOOKUP(I897,'Order 301-305 (เรียง)'!A:C,3,0)</f>
        <v>#N/A</v>
      </c>
    </row>
    <row r="898" spans="1:40" x14ac:dyDescent="0.3">
      <c r="A898" s="1" t="s">
        <v>128</v>
      </c>
      <c r="B898" s="1" t="s">
        <v>129</v>
      </c>
      <c r="C898" s="1" t="s">
        <v>64</v>
      </c>
      <c r="D898" s="1" t="s">
        <v>115</v>
      </c>
      <c r="E898" s="1" t="s">
        <v>130</v>
      </c>
      <c r="F898" s="1" t="s">
        <v>1159</v>
      </c>
      <c r="G898" s="1" t="s">
        <v>131</v>
      </c>
      <c r="H898" s="1" t="s">
        <v>690</v>
      </c>
      <c r="I898" s="1" t="s">
        <v>68</v>
      </c>
      <c r="J898" s="1" t="s">
        <v>1160</v>
      </c>
      <c r="K898" s="1" t="s">
        <v>132</v>
      </c>
      <c r="L898" s="1" t="s">
        <v>70</v>
      </c>
      <c r="M898" s="1" t="s">
        <v>1161</v>
      </c>
      <c r="N898" s="1" t="s">
        <v>71</v>
      </c>
      <c r="O898" s="1" t="s">
        <v>68</v>
      </c>
      <c r="P898" s="1" t="s">
        <v>72</v>
      </c>
      <c r="Q898" s="1" t="s">
        <v>721</v>
      </c>
      <c r="R898" s="1" t="s">
        <v>68</v>
      </c>
      <c r="S898" s="1" t="s">
        <v>68</v>
      </c>
      <c r="T898" s="1" t="s">
        <v>68</v>
      </c>
      <c r="U898" s="1" t="s">
        <v>721</v>
      </c>
      <c r="V898" s="1" t="s">
        <v>133</v>
      </c>
      <c r="W898" s="1" t="s">
        <v>68</v>
      </c>
      <c r="X898" s="1" t="s">
        <v>1161</v>
      </c>
      <c r="Y898" s="73"/>
      <c r="Z898" s="2" t="s">
        <v>102</v>
      </c>
      <c r="AA898" s="3">
        <v>15</v>
      </c>
      <c r="AB898" s="4">
        <v>15525</v>
      </c>
      <c r="AC898" s="73">
        <v>46217</v>
      </c>
      <c r="AD898" s="73">
        <v>46217</v>
      </c>
      <c r="AE898" s="73"/>
      <c r="AF898" s="73">
        <v>46217</v>
      </c>
      <c r="AG898" s="3">
        <v>15</v>
      </c>
      <c r="AH898" s="353" t="str">
        <f t="shared" si="84"/>
        <v/>
      </c>
      <c r="AI898" s="3" t="str">
        <f t="shared" si="85"/>
        <v>54</v>
      </c>
      <c r="AJ898" s="64" t="e">
        <f>VLOOKUP(T898,'GL Name'!A:B,2,0)</f>
        <v>#N/A</v>
      </c>
      <c r="AL898" s="13">
        <f t="shared" si="86"/>
        <v>1035</v>
      </c>
      <c r="AM898" s="13" t="e">
        <f>VLOOKUP(I898,'Order 301-305 (เรียง)'!A:B,2,0)</f>
        <v>#N/A</v>
      </c>
      <c r="AN898" t="e">
        <f>VLOOKUP(I898,'Order 301-305 (เรียง)'!A:C,3,0)</f>
        <v>#N/A</v>
      </c>
    </row>
    <row r="899" spans="1:40" x14ac:dyDescent="0.3">
      <c r="A899" s="1" t="s">
        <v>128</v>
      </c>
      <c r="B899" s="1" t="s">
        <v>129</v>
      </c>
      <c r="C899" s="1" t="s">
        <v>64</v>
      </c>
      <c r="D899" s="1" t="s">
        <v>115</v>
      </c>
      <c r="E899" s="1" t="s">
        <v>130</v>
      </c>
      <c r="F899" s="1" t="s">
        <v>1194</v>
      </c>
      <c r="G899" s="1" t="s">
        <v>131</v>
      </c>
      <c r="H899" s="1" t="s">
        <v>690</v>
      </c>
      <c r="I899" s="1" t="s">
        <v>68</v>
      </c>
      <c r="J899" s="1" t="s">
        <v>1195</v>
      </c>
      <c r="K899" s="1" t="s">
        <v>132</v>
      </c>
      <c r="L899" s="1" t="s">
        <v>70</v>
      </c>
      <c r="M899" s="1" t="s">
        <v>1196</v>
      </c>
      <c r="N899" s="1" t="s">
        <v>71</v>
      </c>
      <c r="O899" s="1" t="s">
        <v>68</v>
      </c>
      <c r="P899" s="1" t="s">
        <v>72</v>
      </c>
      <c r="Q899" s="1" t="s">
        <v>721</v>
      </c>
      <c r="R899" s="1" t="s">
        <v>68</v>
      </c>
      <c r="S899" s="1" t="s">
        <v>68</v>
      </c>
      <c r="T899" s="1" t="s">
        <v>68</v>
      </c>
      <c r="U899" s="1" t="s">
        <v>721</v>
      </c>
      <c r="V899" s="1" t="s">
        <v>133</v>
      </c>
      <c r="W899" s="1" t="s">
        <v>68</v>
      </c>
      <c r="X899" s="1" t="s">
        <v>1196</v>
      </c>
      <c r="Y899" s="73"/>
      <c r="Z899" s="2" t="s">
        <v>102</v>
      </c>
      <c r="AA899" s="3">
        <v>10</v>
      </c>
      <c r="AB899" s="4">
        <v>10350</v>
      </c>
      <c r="AC899" s="73">
        <v>46218</v>
      </c>
      <c r="AD899" s="73">
        <v>46218</v>
      </c>
      <c r="AE899" s="73"/>
      <c r="AF899" s="73">
        <v>46218</v>
      </c>
      <c r="AG899" s="3">
        <v>10</v>
      </c>
      <c r="AH899" s="353" t="str">
        <f t="shared" si="84"/>
        <v/>
      </c>
      <c r="AI899" s="3" t="str">
        <f t="shared" si="85"/>
        <v>54</v>
      </c>
      <c r="AJ899" s="64" t="e">
        <f>VLOOKUP(T899,'GL Name'!A:B,2,0)</f>
        <v>#N/A</v>
      </c>
      <c r="AL899" s="13">
        <f t="shared" si="86"/>
        <v>1035</v>
      </c>
      <c r="AM899" s="13" t="e">
        <f>VLOOKUP(I899,'Order 301-305 (เรียง)'!A:B,2,0)</f>
        <v>#N/A</v>
      </c>
      <c r="AN899" t="e">
        <f>VLOOKUP(I899,'Order 301-305 (เรียง)'!A:C,3,0)</f>
        <v>#N/A</v>
      </c>
    </row>
    <row r="900" spans="1:40" x14ac:dyDescent="0.3">
      <c r="A900" s="1" t="s">
        <v>128</v>
      </c>
      <c r="B900" s="1" t="s">
        <v>129</v>
      </c>
      <c r="C900" s="1" t="s">
        <v>64</v>
      </c>
      <c r="D900" s="1" t="s">
        <v>115</v>
      </c>
      <c r="E900" s="1" t="s">
        <v>130</v>
      </c>
      <c r="F900" s="1" t="s">
        <v>1283</v>
      </c>
      <c r="G900" s="1" t="s">
        <v>131</v>
      </c>
      <c r="H900" s="1" t="s">
        <v>690</v>
      </c>
      <c r="I900" s="1" t="s">
        <v>68</v>
      </c>
      <c r="J900" s="1" t="s">
        <v>1284</v>
      </c>
      <c r="K900" s="1" t="s">
        <v>132</v>
      </c>
      <c r="L900" s="1" t="s">
        <v>70</v>
      </c>
      <c r="M900" s="1" t="s">
        <v>1285</v>
      </c>
      <c r="N900" s="1" t="s">
        <v>71</v>
      </c>
      <c r="O900" s="1" t="s">
        <v>68</v>
      </c>
      <c r="P900" s="1" t="s">
        <v>72</v>
      </c>
      <c r="Q900" s="1" t="s">
        <v>721</v>
      </c>
      <c r="R900" s="1" t="s">
        <v>68</v>
      </c>
      <c r="S900" s="1" t="s">
        <v>68</v>
      </c>
      <c r="T900" s="1" t="s">
        <v>68</v>
      </c>
      <c r="U900" s="1" t="s">
        <v>721</v>
      </c>
      <c r="V900" s="1" t="s">
        <v>133</v>
      </c>
      <c r="W900" s="1" t="s">
        <v>68</v>
      </c>
      <c r="X900" s="1" t="s">
        <v>1285</v>
      </c>
      <c r="Y900" s="73"/>
      <c r="Z900" s="2" t="s">
        <v>102</v>
      </c>
      <c r="AA900" s="3">
        <v>15</v>
      </c>
      <c r="AB900" s="4">
        <v>15525</v>
      </c>
      <c r="AC900" s="73">
        <v>46219</v>
      </c>
      <c r="AD900" s="73">
        <v>46219</v>
      </c>
      <c r="AE900" s="73"/>
      <c r="AF900" s="73">
        <v>46219</v>
      </c>
      <c r="AG900" s="3">
        <v>15</v>
      </c>
      <c r="AH900" s="353" t="str">
        <f t="shared" si="84"/>
        <v/>
      </c>
      <c r="AI900" s="3" t="str">
        <f t="shared" si="85"/>
        <v>54</v>
      </c>
      <c r="AJ900" s="64" t="e">
        <f>VLOOKUP(T900,'GL Name'!A:B,2,0)</f>
        <v>#N/A</v>
      </c>
      <c r="AL900" s="13">
        <f t="shared" si="86"/>
        <v>1035</v>
      </c>
      <c r="AM900" s="13" t="e">
        <f>VLOOKUP(I900,'Order 301-305 (เรียง)'!A:B,2,0)</f>
        <v>#N/A</v>
      </c>
      <c r="AN900" t="e">
        <f>VLOOKUP(I900,'Order 301-305 (เรียง)'!A:C,3,0)</f>
        <v>#N/A</v>
      </c>
    </row>
    <row r="901" spans="1:40" x14ac:dyDescent="0.3">
      <c r="A901" s="1" t="s">
        <v>13</v>
      </c>
      <c r="B901" s="1" t="s">
        <v>14</v>
      </c>
      <c r="C901" s="1" t="s">
        <v>64</v>
      </c>
      <c r="D901" s="1" t="s">
        <v>115</v>
      </c>
      <c r="E901" s="1" t="s">
        <v>116</v>
      </c>
      <c r="F901" s="1" t="s">
        <v>1286</v>
      </c>
      <c r="G901" s="1" t="s">
        <v>279</v>
      </c>
      <c r="H901" s="1" t="s">
        <v>944</v>
      </c>
      <c r="I901" s="1" t="s">
        <v>1255</v>
      </c>
      <c r="J901" s="1" t="s">
        <v>1287</v>
      </c>
      <c r="K901" s="1" t="s">
        <v>290</v>
      </c>
      <c r="L901" s="1" t="s">
        <v>70</v>
      </c>
      <c r="M901" s="1" t="s">
        <v>68</v>
      </c>
      <c r="N901" s="1" t="s">
        <v>71</v>
      </c>
      <c r="O901" s="1" t="s">
        <v>68</v>
      </c>
      <c r="P901" s="1" t="s">
        <v>72</v>
      </c>
      <c r="Q901" s="1" t="s">
        <v>68</v>
      </c>
      <c r="R901" s="1" t="s">
        <v>1096</v>
      </c>
      <c r="S901" s="1" t="s">
        <v>68</v>
      </c>
      <c r="T901" s="1" t="s">
        <v>124</v>
      </c>
      <c r="U901" s="1" t="s">
        <v>68</v>
      </c>
      <c r="V901" s="1" t="s">
        <v>68</v>
      </c>
      <c r="W901" s="1" t="s">
        <v>68</v>
      </c>
      <c r="X901" s="1" t="s">
        <v>1288</v>
      </c>
      <c r="Y901" s="73"/>
      <c r="Z901" s="2" t="s">
        <v>80</v>
      </c>
      <c r="AA901" s="3">
        <v>13588.54</v>
      </c>
      <c r="AB901" s="4">
        <v>3680320.17</v>
      </c>
      <c r="AC901" s="73">
        <v>46216</v>
      </c>
      <c r="AD901" s="73">
        <v>46216</v>
      </c>
      <c r="AE901" s="73"/>
      <c r="AF901" s="73">
        <v>46219</v>
      </c>
      <c r="AG901" s="3">
        <v>13588540</v>
      </c>
      <c r="AH901" s="353" t="str">
        <f t="shared" si="84"/>
        <v>301</v>
      </c>
      <c r="AI901" s="3" t="str">
        <f t="shared" si="85"/>
        <v>57</v>
      </c>
      <c r="AJ901" s="64" t="str">
        <f>VLOOKUP(T901,'GL Name'!A:B,2,0)</f>
        <v>ต้นทุนผลิตโอน Semi</v>
      </c>
      <c r="AL901" s="13">
        <f t="shared" si="86"/>
        <v>270.83999973507088</v>
      </c>
      <c r="AM901" s="13" t="str">
        <f>VLOOKUP(I901,'Order 301-305 (เรียง)'!A:B,2,0)</f>
        <v>Semi</v>
      </c>
      <c r="AN901" t="str">
        <f>VLOOKUP(I901,'Order 301-305 (เรียง)'!A:C,3,0)</f>
        <v>Semi เมล็ดกาแฟ</v>
      </c>
    </row>
    <row r="902" spans="1:40" x14ac:dyDescent="0.3">
      <c r="A902" s="1" t="s">
        <v>15</v>
      </c>
      <c r="B902" s="1" t="s">
        <v>233</v>
      </c>
      <c r="C902" s="1" t="s">
        <v>64</v>
      </c>
      <c r="D902" s="1" t="s">
        <v>115</v>
      </c>
      <c r="E902" s="1" t="s">
        <v>116</v>
      </c>
      <c r="F902" s="1" t="s">
        <v>1286</v>
      </c>
      <c r="G902" s="1" t="s">
        <v>279</v>
      </c>
      <c r="H902" s="1" t="s">
        <v>944</v>
      </c>
      <c r="I902" s="1" t="s">
        <v>1255</v>
      </c>
      <c r="J902" s="1" t="s">
        <v>1287</v>
      </c>
      <c r="K902" s="1" t="s">
        <v>290</v>
      </c>
      <c r="L902" s="1" t="s">
        <v>86</v>
      </c>
      <c r="M902" s="1" t="s">
        <v>68</v>
      </c>
      <c r="N902" s="1" t="s">
        <v>71</v>
      </c>
      <c r="O902" s="1" t="s">
        <v>68</v>
      </c>
      <c r="P902" s="1" t="s">
        <v>72</v>
      </c>
      <c r="Q902" s="1" t="s">
        <v>68</v>
      </c>
      <c r="R902" s="1" t="s">
        <v>1096</v>
      </c>
      <c r="S902" s="1" t="s">
        <v>68</v>
      </c>
      <c r="T902" s="1" t="s">
        <v>124</v>
      </c>
      <c r="U902" s="1" t="s">
        <v>68</v>
      </c>
      <c r="V902" s="1" t="s">
        <v>68</v>
      </c>
      <c r="W902" s="1" t="s">
        <v>68</v>
      </c>
      <c r="X902" s="1" t="s">
        <v>1288</v>
      </c>
      <c r="Y902" s="73"/>
      <c r="Z902" s="2" t="s">
        <v>80</v>
      </c>
      <c r="AA902" s="3">
        <v>385.1</v>
      </c>
      <c r="AB902" s="4">
        <v>104296.63</v>
      </c>
      <c r="AC902" s="73">
        <v>46216</v>
      </c>
      <c r="AD902" s="73">
        <v>46216</v>
      </c>
      <c r="AE902" s="73"/>
      <c r="AF902" s="73">
        <v>46219</v>
      </c>
      <c r="AG902" s="3">
        <v>385100</v>
      </c>
      <c r="AH902" s="353" t="str">
        <f t="shared" si="84"/>
        <v>301</v>
      </c>
      <c r="AI902" s="3" t="str">
        <f t="shared" si="85"/>
        <v>57</v>
      </c>
      <c r="AJ902" s="64" t="str">
        <f>VLOOKUP(T902,'GL Name'!A:B,2,0)</f>
        <v>ต้นทุนผลิตโอน Semi</v>
      </c>
      <c r="AL902" s="13">
        <f t="shared" si="86"/>
        <v>270.8299922098156</v>
      </c>
      <c r="AM902" s="13" t="str">
        <f>VLOOKUP(I902,'Order 301-305 (เรียง)'!A:B,2,0)</f>
        <v>Semi</v>
      </c>
      <c r="AN902" t="str">
        <f>VLOOKUP(I902,'Order 301-305 (เรียง)'!A:C,3,0)</f>
        <v>Semi เมล็ดกาแฟ</v>
      </c>
    </row>
    <row r="903" spans="1:40" x14ac:dyDescent="0.3">
      <c r="A903" s="1" t="s">
        <v>13</v>
      </c>
      <c r="B903" s="1" t="s">
        <v>14</v>
      </c>
      <c r="C903" s="1" t="s">
        <v>64</v>
      </c>
      <c r="D903" s="1" t="s">
        <v>115</v>
      </c>
      <c r="E903" s="1" t="s">
        <v>116</v>
      </c>
      <c r="F903" s="1" t="s">
        <v>1289</v>
      </c>
      <c r="G903" s="1" t="s">
        <v>279</v>
      </c>
      <c r="H903" s="1" t="s">
        <v>561</v>
      </c>
      <c r="I903" s="1" t="s">
        <v>1264</v>
      </c>
      <c r="J903" s="1" t="s">
        <v>1290</v>
      </c>
      <c r="K903" s="1" t="s">
        <v>290</v>
      </c>
      <c r="L903" s="1" t="s">
        <v>70</v>
      </c>
      <c r="M903" s="1" t="s">
        <v>68</v>
      </c>
      <c r="N903" s="1" t="s">
        <v>71</v>
      </c>
      <c r="O903" s="1" t="s">
        <v>68</v>
      </c>
      <c r="P903" s="1" t="s">
        <v>72</v>
      </c>
      <c r="Q903" s="1" t="s">
        <v>68</v>
      </c>
      <c r="R903" s="1" t="s">
        <v>1291</v>
      </c>
      <c r="S903" s="1" t="s">
        <v>68</v>
      </c>
      <c r="T903" s="1" t="s">
        <v>124</v>
      </c>
      <c r="U903" s="1" t="s">
        <v>68</v>
      </c>
      <c r="V903" s="1" t="s">
        <v>68</v>
      </c>
      <c r="W903" s="1" t="s">
        <v>68</v>
      </c>
      <c r="X903" s="1" t="s">
        <v>1292</v>
      </c>
      <c r="Y903" s="73"/>
      <c r="Z903" s="2" t="s">
        <v>80</v>
      </c>
      <c r="AA903" s="3">
        <v>15026</v>
      </c>
      <c r="AB903" s="4">
        <v>4069641.84</v>
      </c>
      <c r="AC903" s="73">
        <v>46218</v>
      </c>
      <c r="AD903" s="73">
        <v>46218</v>
      </c>
      <c r="AE903" s="73"/>
      <c r="AF903" s="73">
        <v>46219</v>
      </c>
      <c r="AG903" s="3">
        <v>15026000</v>
      </c>
      <c r="AH903" s="353" t="str">
        <f t="shared" si="84"/>
        <v>301</v>
      </c>
      <c r="AI903" s="3" t="str">
        <f t="shared" si="85"/>
        <v>57</v>
      </c>
      <c r="AJ903" s="64" t="str">
        <f>VLOOKUP(T903,'GL Name'!A:B,2,0)</f>
        <v>ต้นทุนผลิตโอน Semi</v>
      </c>
      <c r="AL903" s="13">
        <f t="shared" si="86"/>
        <v>270.83999999999997</v>
      </c>
      <c r="AM903" s="13" t="str">
        <f>VLOOKUP(I903,'Order 301-305 (เรียง)'!A:B,2,0)</f>
        <v>Semi</v>
      </c>
      <c r="AN903" t="str">
        <f>VLOOKUP(I903,'Order 301-305 (เรียง)'!A:C,3,0)</f>
        <v>Semi เมล็ดกาแฟ</v>
      </c>
    </row>
    <row r="904" spans="1:40" x14ac:dyDescent="0.3">
      <c r="A904" s="1" t="s">
        <v>13</v>
      </c>
      <c r="B904" s="1" t="s">
        <v>14</v>
      </c>
      <c r="C904" s="1" t="s">
        <v>64</v>
      </c>
      <c r="D904" s="1" t="s">
        <v>115</v>
      </c>
      <c r="E904" s="1" t="s">
        <v>116</v>
      </c>
      <c r="F904" s="1" t="s">
        <v>1293</v>
      </c>
      <c r="G904" s="1" t="s">
        <v>279</v>
      </c>
      <c r="H904" s="1" t="s">
        <v>944</v>
      </c>
      <c r="I904" s="1" t="s">
        <v>1273</v>
      </c>
      <c r="J904" s="1" t="s">
        <v>1294</v>
      </c>
      <c r="K904" s="1" t="s">
        <v>290</v>
      </c>
      <c r="L904" s="1" t="s">
        <v>70</v>
      </c>
      <c r="M904" s="1" t="s">
        <v>68</v>
      </c>
      <c r="N904" s="1" t="s">
        <v>71</v>
      </c>
      <c r="O904" s="1" t="s">
        <v>68</v>
      </c>
      <c r="P904" s="1" t="s">
        <v>72</v>
      </c>
      <c r="Q904" s="1" t="s">
        <v>68</v>
      </c>
      <c r="R904" s="1" t="s">
        <v>1295</v>
      </c>
      <c r="S904" s="1" t="s">
        <v>68</v>
      </c>
      <c r="T904" s="1" t="s">
        <v>124</v>
      </c>
      <c r="U904" s="1" t="s">
        <v>68</v>
      </c>
      <c r="V904" s="1" t="s">
        <v>68</v>
      </c>
      <c r="W904" s="1" t="s">
        <v>68</v>
      </c>
      <c r="X904" s="1" t="s">
        <v>1296</v>
      </c>
      <c r="Y904" s="73"/>
      <c r="Z904" s="2" t="s">
        <v>80</v>
      </c>
      <c r="AA904" s="3">
        <v>6966.9</v>
      </c>
      <c r="AB904" s="4">
        <v>1886915.2</v>
      </c>
      <c r="AC904" s="73">
        <v>46218</v>
      </c>
      <c r="AD904" s="73">
        <v>46218</v>
      </c>
      <c r="AE904" s="73"/>
      <c r="AF904" s="73">
        <v>46219</v>
      </c>
      <c r="AG904" s="3">
        <v>6966900</v>
      </c>
      <c r="AH904" s="353" t="str">
        <f t="shared" si="84"/>
        <v>301</v>
      </c>
      <c r="AI904" s="3" t="str">
        <f t="shared" si="85"/>
        <v>57</v>
      </c>
      <c r="AJ904" s="64" t="str">
        <f>VLOOKUP(T904,'GL Name'!A:B,2,0)</f>
        <v>ต้นทุนผลิตโอน Semi</v>
      </c>
      <c r="AL904" s="13">
        <f t="shared" si="86"/>
        <v>270.84000057414346</v>
      </c>
      <c r="AM904" s="13" t="str">
        <f>VLOOKUP(I904,'Order 301-305 (เรียง)'!A:B,2,0)</f>
        <v>Semi</v>
      </c>
      <c r="AN904" t="str">
        <f>VLOOKUP(I904,'Order 301-305 (เรียง)'!A:C,3,0)</f>
        <v>Semi เมล็ดกาแฟ</v>
      </c>
    </row>
    <row r="905" spans="1:40" x14ac:dyDescent="0.3">
      <c r="A905" s="1" t="s">
        <v>9</v>
      </c>
      <c r="B905" s="1" t="s">
        <v>10</v>
      </c>
      <c r="C905" s="1" t="s">
        <v>64</v>
      </c>
      <c r="D905" s="1" t="s">
        <v>115</v>
      </c>
      <c r="E905" s="1" t="s">
        <v>130</v>
      </c>
      <c r="F905" s="1" t="s">
        <v>1345</v>
      </c>
      <c r="G905" s="1" t="s">
        <v>232</v>
      </c>
      <c r="H905" s="1" t="s">
        <v>1346</v>
      </c>
      <c r="I905" s="1" t="s">
        <v>68</v>
      </c>
      <c r="J905" s="1" t="s">
        <v>1347</v>
      </c>
      <c r="K905" s="1" t="s">
        <v>118</v>
      </c>
      <c r="L905" s="1" t="s">
        <v>70</v>
      </c>
      <c r="M905" s="1" t="s">
        <v>1348</v>
      </c>
      <c r="N905" s="1" t="s">
        <v>71</v>
      </c>
      <c r="O905" s="1" t="s">
        <v>68</v>
      </c>
      <c r="P905" s="1" t="s">
        <v>72</v>
      </c>
      <c r="Q905" s="1" t="s">
        <v>1349</v>
      </c>
      <c r="R905" s="1" t="s">
        <v>68</v>
      </c>
      <c r="S905" s="1" t="s">
        <v>68</v>
      </c>
      <c r="T905" s="1" t="s">
        <v>68</v>
      </c>
      <c r="U905" s="1" t="s">
        <v>1349</v>
      </c>
      <c r="V905" s="1" t="s">
        <v>1350</v>
      </c>
      <c r="W905" s="1" t="s">
        <v>68</v>
      </c>
      <c r="X905" s="1" t="s">
        <v>1348</v>
      </c>
      <c r="Y905" s="73"/>
      <c r="Z905" s="2" t="s">
        <v>80</v>
      </c>
      <c r="AA905" s="3">
        <v>30000</v>
      </c>
      <c r="AB905" s="4">
        <v>8130000</v>
      </c>
      <c r="AC905" s="73">
        <v>46218</v>
      </c>
      <c r="AD905" s="73">
        <v>46218</v>
      </c>
      <c r="AE905" s="73"/>
      <c r="AF905" s="73">
        <v>46220</v>
      </c>
      <c r="AG905" s="3">
        <v>30000000</v>
      </c>
      <c r="AH905" s="353" t="str">
        <f t="shared" si="84"/>
        <v/>
      </c>
      <c r="AI905" s="3" t="str">
        <f t="shared" si="85"/>
        <v>54</v>
      </c>
      <c r="AJ905" s="64" t="e">
        <f>VLOOKUP(T905,'GL Name'!A:B,2,0)</f>
        <v>#N/A</v>
      </c>
      <c r="AL905" s="13">
        <f t="shared" si="86"/>
        <v>271</v>
      </c>
      <c r="AM905" s="13" t="e">
        <f>VLOOKUP(I905,'Order 301-305 (เรียง)'!A:B,2,0)</f>
        <v>#N/A</v>
      </c>
      <c r="AN905" t="e">
        <f>VLOOKUP(I905,'Order 301-305 (เรียง)'!A:C,3,0)</f>
        <v>#N/A</v>
      </c>
    </row>
    <row r="906" spans="1:40" x14ac:dyDescent="0.3">
      <c r="A906" s="1" t="s">
        <v>128</v>
      </c>
      <c r="B906" s="1" t="s">
        <v>129</v>
      </c>
      <c r="C906" s="1" t="s">
        <v>64</v>
      </c>
      <c r="D906" s="1" t="s">
        <v>115</v>
      </c>
      <c r="E906" s="1" t="s">
        <v>130</v>
      </c>
      <c r="F906" s="1" t="s">
        <v>1374</v>
      </c>
      <c r="G906" s="1" t="s">
        <v>131</v>
      </c>
      <c r="H906" s="1" t="s">
        <v>690</v>
      </c>
      <c r="I906" s="1" t="s">
        <v>68</v>
      </c>
      <c r="J906" s="1" t="s">
        <v>1375</v>
      </c>
      <c r="K906" s="1" t="s">
        <v>132</v>
      </c>
      <c r="L906" s="1" t="s">
        <v>70</v>
      </c>
      <c r="M906" s="1" t="s">
        <v>1376</v>
      </c>
      <c r="N906" s="1" t="s">
        <v>71</v>
      </c>
      <c r="O906" s="1" t="s">
        <v>68</v>
      </c>
      <c r="P906" s="1" t="s">
        <v>72</v>
      </c>
      <c r="Q906" s="1" t="s">
        <v>721</v>
      </c>
      <c r="R906" s="1" t="s">
        <v>68</v>
      </c>
      <c r="S906" s="1" t="s">
        <v>68</v>
      </c>
      <c r="T906" s="1" t="s">
        <v>68</v>
      </c>
      <c r="U906" s="1" t="s">
        <v>721</v>
      </c>
      <c r="V906" s="1" t="s">
        <v>133</v>
      </c>
      <c r="W906" s="1" t="s">
        <v>68</v>
      </c>
      <c r="X906" s="1" t="s">
        <v>1376</v>
      </c>
      <c r="Y906" s="73"/>
      <c r="Z906" s="2" t="s">
        <v>102</v>
      </c>
      <c r="AA906" s="3">
        <v>10</v>
      </c>
      <c r="AB906" s="4">
        <v>10350</v>
      </c>
      <c r="AC906" s="73">
        <v>46220</v>
      </c>
      <c r="AD906" s="73">
        <v>46220</v>
      </c>
      <c r="AE906" s="73"/>
      <c r="AF906" s="73">
        <v>46220</v>
      </c>
      <c r="AG906" s="3">
        <v>10</v>
      </c>
      <c r="AH906" s="353" t="str">
        <f t="shared" si="84"/>
        <v/>
      </c>
      <c r="AI906" s="3" t="str">
        <f t="shared" si="85"/>
        <v>54</v>
      </c>
      <c r="AJ906" s="64" t="e">
        <f>VLOOKUP(T906,'GL Name'!A:B,2,0)</f>
        <v>#N/A</v>
      </c>
      <c r="AL906" s="13">
        <f t="shared" si="86"/>
        <v>1035</v>
      </c>
      <c r="AM906" s="13" t="e">
        <f>VLOOKUP(I906,'Order 301-305 (เรียง)'!A:B,2,0)</f>
        <v>#N/A</v>
      </c>
      <c r="AN906" t="e">
        <f>VLOOKUP(I906,'Order 301-305 (เรียง)'!A:C,3,0)</f>
        <v>#N/A</v>
      </c>
    </row>
    <row r="907" spans="1:40" x14ac:dyDescent="0.3">
      <c r="A907" s="1" t="s">
        <v>121</v>
      </c>
      <c r="B907" s="1" t="s">
        <v>122</v>
      </c>
      <c r="C907" s="1" t="s">
        <v>64</v>
      </c>
      <c r="D907" s="1" t="s">
        <v>115</v>
      </c>
      <c r="E907" s="1" t="s">
        <v>130</v>
      </c>
      <c r="F907" s="1" t="s">
        <v>1377</v>
      </c>
      <c r="G907" s="1" t="s">
        <v>101</v>
      </c>
      <c r="H907" s="1" t="s">
        <v>1378</v>
      </c>
      <c r="I907" s="1" t="s">
        <v>68</v>
      </c>
      <c r="J907" s="1" t="s">
        <v>800</v>
      </c>
      <c r="K907" s="1" t="s">
        <v>118</v>
      </c>
      <c r="L907" s="1" t="s">
        <v>70</v>
      </c>
      <c r="M907" s="1" t="s">
        <v>1379</v>
      </c>
      <c r="N907" s="1" t="s">
        <v>71</v>
      </c>
      <c r="O907" s="1" t="s">
        <v>68</v>
      </c>
      <c r="P907" s="1" t="s">
        <v>72</v>
      </c>
      <c r="Q907" s="1" t="s">
        <v>315</v>
      </c>
      <c r="R907" s="1" t="s">
        <v>68</v>
      </c>
      <c r="S907" s="1" t="s">
        <v>68</v>
      </c>
      <c r="T907" s="1" t="s">
        <v>68</v>
      </c>
      <c r="U907" s="1" t="s">
        <v>315</v>
      </c>
      <c r="V907" s="1" t="s">
        <v>280</v>
      </c>
      <c r="W907" s="1" t="s">
        <v>68</v>
      </c>
      <c r="X907" s="1" t="s">
        <v>1379</v>
      </c>
      <c r="Y907" s="73"/>
      <c r="Z907" s="2" t="s">
        <v>102</v>
      </c>
      <c r="AA907" s="3">
        <v>15000</v>
      </c>
      <c r="AB907" s="4">
        <v>75000</v>
      </c>
      <c r="AC907" s="73">
        <v>46221</v>
      </c>
      <c r="AD907" s="73">
        <v>46221</v>
      </c>
      <c r="AE907" s="73"/>
      <c r="AF907" s="73">
        <v>46221</v>
      </c>
      <c r="AG907" s="3">
        <v>15000</v>
      </c>
      <c r="AH907" s="353" t="str">
        <f t="shared" ref="AH907:AH934" si="87">LEFT(I907,3)</f>
        <v/>
      </c>
      <c r="AI907" s="3" t="str">
        <f t="shared" ref="AI907:AI934" si="88">LEFT(A907,2)</f>
        <v>58</v>
      </c>
      <c r="AJ907" s="64" t="e">
        <f>VLOOKUP(T907,'GL Name'!A:B,2,0)</f>
        <v>#N/A</v>
      </c>
      <c r="AL907" s="13">
        <f t="shared" ref="AL907:AL934" si="89">AB907/AA907</f>
        <v>5</v>
      </c>
      <c r="AM907" s="13" t="e">
        <f>VLOOKUP(I907,'Order 301-305 (เรียง)'!A:B,2,0)</f>
        <v>#N/A</v>
      </c>
      <c r="AN907" t="e">
        <f>VLOOKUP(I907,'Order 301-305 (เรียง)'!A:C,3,0)</f>
        <v>#N/A</v>
      </c>
    </row>
    <row r="908" spans="1:40" x14ac:dyDescent="0.3">
      <c r="A908" s="1" t="s">
        <v>128</v>
      </c>
      <c r="B908" s="1" t="s">
        <v>129</v>
      </c>
      <c r="C908" s="1" t="s">
        <v>64</v>
      </c>
      <c r="D908" s="1" t="s">
        <v>115</v>
      </c>
      <c r="E908" s="1" t="s">
        <v>130</v>
      </c>
      <c r="F908" s="1" t="s">
        <v>1380</v>
      </c>
      <c r="G908" s="1" t="s">
        <v>131</v>
      </c>
      <c r="H908" s="1" t="s">
        <v>690</v>
      </c>
      <c r="I908" s="1" t="s">
        <v>68</v>
      </c>
      <c r="J908" s="1" t="s">
        <v>1381</v>
      </c>
      <c r="K908" s="1" t="s">
        <v>132</v>
      </c>
      <c r="L908" s="1" t="s">
        <v>70</v>
      </c>
      <c r="M908" s="1" t="s">
        <v>1382</v>
      </c>
      <c r="N908" s="1" t="s">
        <v>71</v>
      </c>
      <c r="O908" s="1" t="s">
        <v>68</v>
      </c>
      <c r="P908" s="1" t="s">
        <v>72</v>
      </c>
      <c r="Q908" s="1" t="s">
        <v>721</v>
      </c>
      <c r="R908" s="1" t="s">
        <v>68</v>
      </c>
      <c r="S908" s="1" t="s">
        <v>68</v>
      </c>
      <c r="T908" s="1" t="s">
        <v>68</v>
      </c>
      <c r="U908" s="1" t="s">
        <v>721</v>
      </c>
      <c r="V908" s="1" t="s">
        <v>133</v>
      </c>
      <c r="W908" s="1" t="s">
        <v>68</v>
      </c>
      <c r="X908" s="1" t="s">
        <v>1382</v>
      </c>
      <c r="Y908" s="73"/>
      <c r="Z908" s="2" t="s">
        <v>102</v>
      </c>
      <c r="AA908" s="3">
        <v>20</v>
      </c>
      <c r="AB908" s="4">
        <v>20700</v>
      </c>
      <c r="AC908" s="73">
        <v>46221</v>
      </c>
      <c r="AD908" s="73">
        <v>46223</v>
      </c>
      <c r="AE908" s="73"/>
      <c r="AF908" s="73">
        <v>46223</v>
      </c>
      <c r="AG908" s="3">
        <v>20</v>
      </c>
      <c r="AH908" s="353" t="str">
        <f t="shared" si="87"/>
        <v/>
      </c>
      <c r="AI908" s="3" t="str">
        <f t="shared" si="88"/>
        <v>54</v>
      </c>
      <c r="AJ908" s="64" t="e">
        <f>VLOOKUP(T908,'GL Name'!A:B,2,0)</f>
        <v>#N/A</v>
      </c>
      <c r="AL908" s="13">
        <f t="shared" si="89"/>
        <v>1035</v>
      </c>
      <c r="AM908" s="13" t="e">
        <f>VLOOKUP(I908,'Order 301-305 (เรียง)'!A:B,2,0)</f>
        <v>#N/A</v>
      </c>
      <c r="AN908" t="e">
        <f>VLOOKUP(I908,'Order 301-305 (เรียง)'!A:C,3,0)</f>
        <v>#N/A</v>
      </c>
    </row>
    <row r="909" spans="1:40" x14ac:dyDescent="0.3">
      <c r="A909" s="1" t="s">
        <v>9</v>
      </c>
      <c r="B909" s="1" t="s">
        <v>10</v>
      </c>
      <c r="C909" s="1" t="s">
        <v>64</v>
      </c>
      <c r="D909" s="1" t="s">
        <v>115</v>
      </c>
      <c r="E909" s="1" t="s">
        <v>130</v>
      </c>
      <c r="F909" s="1" t="s">
        <v>1446</v>
      </c>
      <c r="G909" s="1" t="s">
        <v>232</v>
      </c>
      <c r="H909" s="1" t="s">
        <v>1346</v>
      </c>
      <c r="I909" s="1" t="s">
        <v>68</v>
      </c>
      <c r="J909" s="1" t="s">
        <v>1447</v>
      </c>
      <c r="K909" s="1" t="s">
        <v>118</v>
      </c>
      <c r="L909" s="1" t="s">
        <v>70</v>
      </c>
      <c r="M909" s="1" t="s">
        <v>1448</v>
      </c>
      <c r="N909" s="1" t="s">
        <v>71</v>
      </c>
      <c r="O909" s="1" t="s">
        <v>68</v>
      </c>
      <c r="P909" s="1" t="s">
        <v>72</v>
      </c>
      <c r="Q909" s="1" t="s">
        <v>1449</v>
      </c>
      <c r="R909" s="1" t="s">
        <v>68</v>
      </c>
      <c r="S909" s="1" t="s">
        <v>68</v>
      </c>
      <c r="T909" s="1" t="s">
        <v>68</v>
      </c>
      <c r="U909" s="1" t="s">
        <v>1448</v>
      </c>
      <c r="V909" s="1" t="s">
        <v>1350</v>
      </c>
      <c r="W909" s="1" t="s">
        <v>68</v>
      </c>
      <c r="X909" s="1" t="s">
        <v>1448</v>
      </c>
      <c r="Y909" s="73"/>
      <c r="Z909" s="2" t="s">
        <v>80</v>
      </c>
      <c r="AA909" s="3">
        <v>49.4</v>
      </c>
      <c r="AB909" s="4">
        <v>13387.4</v>
      </c>
      <c r="AC909" s="73">
        <v>46218</v>
      </c>
      <c r="AD909" s="73">
        <v>46218</v>
      </c>
      <c r="AE909" s="73"/>
      <c r="AF909" s="73">
        <v>46223</v>
      </c>
      <c r="AG909" s="3">
        <v>49400</v>
      </c>
      <c r="AH909" s="353" t="str">
        <f t="shared" si="87"/>
        <v/>
      </c>
      <c r="AI909" s="3" t="str">
        <f t="shared" si="88"/>
        <v>54</v>
      </c>
      <c r="AJ909" s="64" t="e">
        <f>VLOOKUP(T909,'GL Name'!A:B,2,0)</f>
        <v>#N/A</v>
      </c>
      <c r="AL909" s="13">
        <f t="shared" si="89"/>
        <v>271</v>
      </c>
      <c r="AM909" s="13" t="e">
        <f>VLOOKUP(I909,'Order 301-305 (เรียง)'!A:B,2,0)</f>
        <v>#N/A</v>
      </c>
      <c r="AN909" t="e">
        <f>VLOOKUP(I909,'Order 301-305 (เรียง)'!A:C,3,0)</f>
        <v>#N/A</v>
      </c>
    </row>
    <row r="910" spans="1:40" x14ac:dyDescent="0.3">
      <c r="A910" s="1" t="s">
        <v>19</v>
      </c>
      <c r="B910" s="1" t="s">
        <v>20</v>
      </c>
      <c r="C910" s="1" t="s">
        <v>64</v>
      </c>
      <c r="D910" s="1" t="s">
        <v>115</v>
      </c>
      <c r="E910" s="1" t="s">
        <v>116</v>
      </c>
      <c r="F910" s="1" t="s">
        <v>1450</v>
      </c>
      <c r="G910" s="1" t="s">
        <v>279</v>
      </c>
      <c r="H910" s="1" t="s">
        <v>304</v>
      </c>
      <c r="I910" s="1" t="s">
        <v>1426</v>
      </c>
      <c r="J910" s="1" t="s">
        <v>1451</v>
      </c>
      <c r="K910" s="1" t="s">
        <v>290</v>
      </c>
      <c r="L910" s="1" t="s">
        <v>70</v>
      </c>
      <c r="M910" s="1" t="s">
        <v>68</v>
      </c>
      <c r="N910" s="1" t="s">
        <v>71</v>
      </c>
      <c r="O910" s="1" t="s">
        <v>68</v>
      </c>
      <c r="P910" s="1" t="s">
        <v>72</v>
      </c>
      <c r="Q910" s="1" t="s">
        <v>68</v>
      </c>
      <c r="R910" s="1" t="s">
        <v>701</v>
      </c>
      <c r="S910" s="1" t="s">
        <v>68</v>
      </c>
      <c r="T910" s="1" t="s">
        <v>124</v>
      </c>
      <c r="U910" s="1" t="s">
        <v>68</v>
      </c>
      <c r="V910" s="1" t="s">
        <v>68</v>
      </c>
      <c r="W910" s="1" t="s">
        <v>68</v>
      </c>
      <c r="X910" s="1" t="s">
        <v>1452</v>
      </c>
      <c r="Y910" s="73"/>
      <c r="Z910" s="2" t="s">
        <v>80</v>
      </c>
      <c r="AA910" s="3">
        <v>8966</v>
      </c>
      <c r="AB910" s="4">
        <v>1433932.38</v>
      </c>
      <c r="AC910" s="73">
        <v>46219</v>
      </c>
      <c r="AD910" s="73">
        <v>46219</v>
      </c>
      <c r="AE910" s="73"/>
      <c r="AF910" s="73">
        <v>46223</v>
      </c>
      <c r="AG910" s="3">
        <v>8966000</v>
      </c>
      <c r="AH910" s="353" t="str">
        <f t="shared" si="87"/>
        <v>301</v>
      </c>
      <c r="AI910" s="3" t="str">
        <f t="shared" si="88"/>
        <v>57</v>
      </c>
      <c r="AJ910" s="64" t="str">
        <f>VLOOKUP(T910,'GL Name'!A:B,2,0)</f>
        <v>ต้นทุนผลิตโอน Semi</v>
      </c>
      <c r="AL910" s="13">
        <f t="shared" si="89"/>
        <v>159.92999999999998</v>
      </c>
      <c r="AM910" s="13" t="str">
        <f>VLOOKUP(I910,'Order 301-305 (เรียง)'!A:B,2,0)</f>
        <v>Semi</v>
      </c>
      <c r="AN910" t="str">
        <f>VLOOKUP(I910,'Order 301-305 (เรียง)'!A:C,3,0)</f>
        <v>Semi เมล็ดกาแฟ</v>
      </c>
    </row>
    <row r="911" spans="1:40" x14ac:dyDescent="0.3">
      <c r="A911" s="1" t="s">
        <v>13</v>
      </c>
      <c r="B911" s="1" t="s">
        <v>14</v>
      </c>
      <c r="C911" s="1" t="s">
        <v>64</v>
      </c>
      <c r="D911" s="1" t="s">
        <v>115</v>
      </c>
      <c r="E911" s="1" t="s">
        <v>116</v>
      </c>
      <c r="F911" s="1" t="s">
        <v>1467</v>
      </c>
      <c r="G911" s="1" t="s">
        <v>279</v>
      </c>
      <c r="H911" s="1" t="s">
        <v>561</v>
      </c>
      <c r="I911" s="1" t="s">
        <v>1459</v>
      </c>
      <c r="J911" s="1" t="s">
        <v>1468</v>
      </c>
      <c r="K911" s="1" t="s">
        <v>290</v>
      </c>
      <c r="L911" s="1" t="s">
        <v>70</v>
      </c>
      <c r="M911" s="1" t="s">
        <v>68</v>
      </c>
      <c r="N911" s="1" t="s">
        <v>71</v>
      </c>
      <c r="O911" s="1" t="s">
        <v>68</v>
      </c>
      <c r="P911" s="1" t="s">
        <v>72</v>
      </c>
      <c r="Q911" s="1" t="s">
        <v>68</v>
      </c>
      <c r="R911" s="1" t="s">
        <v>727</v>
      </c>
      <c r="S911" s="1" t="s">
        <v>68</v>
      </c>
      <c r="T911" s="1" t="s">
        <v>124</v>
      </c>
      <c r="U911" s="1" t="s">
        <v>68</v>
      </c>
      <c r="V911" s="1" t="s">
        <v>68</v>
      </c>
      <c r="W911" s="1" t="s">
        <v>68</v>
      </c>
      <c r="X911" s="1" t="s">
        <v>1469</v>
      </c>
      <c r="Y911" s="73"/>
      <c r="Z911" s="2" t="s">
        <v>80</v>
      </c>
      <c r="AA911" s="3">
        <v>6938.16</v>
      </c>
      <c r="AB911" s="4">
        <v>1879131.25</v>
      </c>
      <c r="AC911" s="73">
        <v>46219</v>
      </c>
      <c r="AD911" s="73">
        <v>46219</v>
      </c>
      <c r="AE911" s="73"/>
      <c r="AF911" s="73">
        <v>46223</v>
      </c>
      <c r="AG911" s="3">
        <v>6938160</v>
      </c>
      <c r="AH911" s="353" t="str">
        <f t="shared" si="87"/>
        <v>301</v>
      </c>
      <c r="AI911" s="3" t="str">
        <f t="shared" si="88"/>
        <v>57</v>
      </c>
      <c r="AJ911" s="64" t="str">
        <f>VLOOKUP(T911,'GL Name'!A:B,2,0)</f>
        <v>ต้นทุนผลิตโอน Semi</v>
      </c>
      <c r="AL911" s="13">
        <f t="shared" si="89"/>
        <v>270.83999936582609</v>
      </c>
      <c r="AM911" s="13" t="str">
        <f>VLOOKUP(I911,'Order 301-305 (เรียง)'!A:B,2,0)</f>
        <v>Semi</v>
      </c>
      <c r="AN911" t="str">
        <f>VLOOKUP(I911,'Order 301-305 (เรียง)'!A:C,3,0)</f>
        <v>Semi เมล็ดกาแฟ</v>
      </c>
    </row>
    <row r="912" spans="1:40" x14ac:dyDescent="0.3">
      <c r="A912" s="1" t="s">
        <v>128</v>
      </c>
      <c r="B912" s="1" t="s">
        <v>129</v>
      </c>
      <c r="C912" s="1" t="s">
        <v>64</v>
      </c>
      <c r="D912" s="1" t="s">
        <v>115</v>
      </c>
      <c r="E912" s="1" t="s">
        <v>130</v>
      </c>
      <c r="F912" s="1" t="s">
        <v>1470</v>
      </c>
      <c r="G912" s="1" t="s">
        <v>131</v>
      </c>
      <c r="H912" s="1" t="s">
        <v>690</v>
      </c>
      <c r="I912" s="1" t="s">
        <v>68</v>
      </c>
      <c r="J912" s="1" t="s">
        <v>1471</v>
      </c>
      <c r="K912" s="1" t="s">
        <v>132</v>
      </c>
      <c r="L912" s="1" t="s">
        <v>70</v>
      </c>
      <c r="M912" s="1" t="s">
        <v>1472</v>
      </c>
      <c r="N912" s="1" t="s">
        <v>71</v>
      </c>
      <c r="O912" s="1" t="s">
        <v>68</v>
      </c>
      <c r="P912" s="1" t="s">
        <v>72</v>
      </c>
      <c r="Q912" s="1" t="s">
        <v>721</v>
      </c>
      <c r="R912" s="1" t="s">
        <v>68</v>
      </c>
      <c r="S912" s="1" t="s">
        <v>68</v>
      </c>
      <c r="T912" s="1" t="s">
        <v>68</v>
      </c>
      <c r="U912" s="1" t="s">
        <v>721</v>
      </c>
      <c r="V912" s="1" t="s">
        <v>133</v>
      </c>
      <c r="W912" s="1" t="s">
        <v>68</v>
      </c>
      <c r="X912" s="1" t="s">
        <v>1472</v>
      </c>
      <c r="Y912" s="73"/>
      <c r="Z912" s="2" t="s">
        <v>102</v>
      </c>
      <c r="AA912" s="3">
        <v>15</v>
      </c>
      <c r="AB912" s="4">
        <v>15525</v>
      </c>
      <c r="AC912" s="73">
        <v>46223</v>
      </c>
      <c r="AD912" s="73">
        <v>46223</v>
      </c>
      <c r="AE912" s="73"/>
      <c r="AF912" s="73">
        <v>46223</v>
      </c>
      <c r="AG912" s="3">
        <v>15</v>
      </c>
      <c r="AH912" s="353" t="str">
        <f t="shared" si="87"/>
        <v/>
      </c>
      <c r="AI912" s="3" t="str">
        <f t="shared" si="88"/>
        <v>54</v>
      </c>
      <c r="AJ912" s="64" t="e">
        <f>VLOOKUP(T912,'GL Name'!A:B,2,0)</f>
        <v>#N/A</v>
      </c>
      <c r="AL912" s="13">
        <f t="shared" si="89"/>
        <v>1035</v>
      </c>
      <c r="AM912" s="13" t="e">
        <f>VLOOKUP(I912,'Order 301-305 (เรียง)'!A:B,2,0)</f>
        <v>#N/A</v>
      </c>
      <c r="AN912" t="e">
        <f>VLOOKUP(I912,'Order 301-305 (เรียง)'!A:C,3,0)</f>
        <v>#N/A</v>
      </c>
    </row>
    <row r="913" spans="1:40" x14ac:dyDescent="0.3">
      <c r="A913" s="1" t="s">
        <v>121</v>
      </c>
      <c r="B913" s="1" t="s">
        <v>122</v>
      </c>
      <c r="C913" s="1" t="s">
        <v>64</v>
      </c>
      <c r="D913" s="1" t="s">
        <v>115</v>
      </c>
      <c r="E913" s="1" t="s">
        <v>130</v>
      </c>
      <c r="F913" s="1" t="s">
        <v>1543</v>
      </c>
      <c r="G913" s="1" t="s">
        <v>101</v>
      </c>
      <c r="H913" s="1" t="s">
        <v>1544</v>
      </c>
      <c r="I913" s="1" t="s">
        <v>68</v>
      </c>
      <c r="J913" s="1" t="s">
        <v>1545</v>
      </c>
      <c r="K913" s="1" t="s">
        <v>223</v>
      </c>
      <c r="L913" s="1" t="s">
        <v>70</v>
      </c>
      <c r="M913" s="1" t="s">
        <v>1546</v>
      </c>
      <c r="N913" s="1" t="s">
        <v>71</v>
      </c>
      <c r="O913" s="1" t="s">
        <v>68</v>
      </c>
      <c r="P913" s="1" t="s">
        <v>72</v>
      </c>
      <c r="Q913" s="1" t="s">
        <v>1547</v>
      </c>
      <c r="R913" s="1" t="s">
        <v>68</v>
      </c>
      <c r="S913" s="1" t="s">
        <v>68</v>
      </c>
      <c r="T913" s="1" t="s">
        <v>68</v>
      </c>
      <c r="U913" s="1" t="s">
        <v>1547</v>
      </c>
      <c r="V913" s="1" t="s">
        <v>280</v>
      </c>
      <c r="W913" s="1" t="s">
        <v>68</v>
      </c>
      <c r="X913" s="1" t="s">
        <v>1546</v>
      </c>
      <c r="Y913" s="73"/>
      <c r="Z913" s="2" t="s">
        <v>102</v>
      </c>
      <c r="AA913" s="3">
        <v>15000</v>
      </c>
      <c r="AB913" s="4">
        <v>75000</v>
      </c>
      <c r="AC913" s="73">
        <v>46224</v>
      </c>
      <c r="AD913" s="73">
        <v>46224</v>
      </c>
      <c r="AE913" s="73"/>
      <c r="AF913" s="73">
        <v>46224</v>
      </c>
      <c r="AG913" s="3">
        <v>15000</v>
      </c>
      <c r="AH913" s="353" t="str">
        <f t="shared" si="87"/>
        <v/>
      </c>
      <c r="AI913" s="3" t="str">
        <f t="shared" si="88"/>
        <v>58</v>
      </c>
      <c r="AJ913" s="64" t="e">
        <f>VLOOKUP(T913,'GL Name'!A:B,2,0)</f>
        <v>#N/A</v>
      </c>
      <c r="AL913" s="13">
        <f t="shared" si="89"/>
        <v>5</v>
      </c>
      <c r="AM913" s="13" t="e">
        <f>VLOOKUP(I913,'Order 301-305 (เรียง)'!A:B,2,0)</f>
        <v>#N/A</v>
      </c>
      <c r="AN913" t="e">
        <f>VLOOKUP(I913,'Order 301-305 (เรียง)'!A:C,3,0)</f>
        <v>#N/A</v>
      </c>
    </row>
    <row r="914" spans="1:40" x14ac:dyDescent="0.3">
      <c r="A914" s="1" t="s">
        <v>128</v>
      </c>
      <c r="B914" s="1" t="s">
        <v>129</v>
      </c>
      <c r="C914" s="1" t="s">
        <v>64</v>
      </c>
      <c r="D914" s="1" t="s">
        <v>115</v>
      </c>
      <c r="E914" s="1" t="s">
        <v>130</v>
      </c>
      <c r="F914" s="1" t="s">
        <v>1593</v>
      </c>
      <c r="G914" s="1" t="s">
        <v>131</v>
      </c>
      <c r="H914" s="1" t="s">
        <v>690</v>
      </c>
      <c r="I914" s="1" t="s">
        <v>68</v>
      </c>
      <c r="J914" s="1" t="s">
        <v>1594</v>
      </c>
      <c r="K914" s="1" t="s">
        <v>132</v>
      </c>
      <c r="L914" s="1" t="s">
        <v>70</v>
      </c>
      <c r="M914" s="1" t="s">
        <v>1595</v>
      </c>
      <c r="N914" s="1" t="s">
        <v>71</v>
      </c>
      <c r="O914" s="1" t="s">
        <v>68</v>
      </c>
      <c r="P914" s="1" t="s">
        <v>72</v>
      </c>
      <c r="Q914" s="1" t="s">
        <v>721</v>
      </c>
      <c r="R914" s="1" t="s">
        <v>68</v>
      </c>
      <c r="S914" s="1" t="s">
        <v>68</v>
      </c>
      <c r="T914" s="1" t="s">
        <v>68</v>
      </c>
      <c r="U914" s="1" t="s">
        <v>721</v>
      </c>
      <c r="V914" s="1" t="s">
        <v>133</v>
      </c>
      <c r="W914" s="1" t="s">
        <v>68</v>
      </c>
      <c r="X914" s="1" t="s">
        <v>1595</v>
      </c>
      <c r="Y914" s="73"/>
      <c r="Z914" s="2" t="s">
        <v>102</v>
      </c>
      <c r="AA914" s="3">
        <v>10</v>
      </c>
      <c r="AB914" s="4">
        <v>10350</v>
      </c>
      <c r="AC914" s="73">
        <v>46224</v>
      </c>
      <c r="AD914" s="73">
        <v>46224</v>
      </c>
      <c r="AE914" s="73"/>
      <c r="AF914" s="73">
        <v>46224</v>
      </c>
      <c r="AG914" s="3">
        <v>10</v>
      </c>
      <c r="AH914" s="353" t="str">
        <f t="shared" si="87"/>
        <v/>
      </c>
      <c r="AI914" s="3" t="str">
        <f t="shared" si="88"/>
        <v>54</v>
      </c>
      <c r="AJ914" s="64" t="e">
        <f>VLOOKUP(T914,'GL Name'!A:B,2,0)</f>
        <v>#N/A</v>
      </c>
      <c r="AL914" s="13">
        <f t="shared" si="89"/>
        <v>1035</v>
      </c>
      <c r="AM914" s="13" t="e">
        <f>VLOOKUP(I914,'Order 301-305 (เรียง)'!A:B,2,0)</f>
        <v>#N/A</v>
      </c>
      <c r="AN914" t="e">
        <f>VLOOKUP(I914,'Order 301-305 (เรียง)'!A:C,3,0)</f>
        <v>#N/A</v>
      </c>
    </row>
    <row r="915" spans="1:40" x14ac:dyDescent="0.3">
      <c r="A915" s="1" t="s">
        <v>17</v>
      </c>
      <c r="B915" s="1" t="s">
        <v>18</v>
      </c>
      <c r="C915" s="1" t="s">
        <v>64</v>
      </c>
      <c r="D915" s="1" t="s">
        <v>115</v>
      </c>
      <c r="E915" s="1" t="s">
        <v>130</v>
      </c>
      <c r="F915" s="1" t="s">
        <v>1884</v>
      </c>
      <c r="G915" s="1" t="s">
        <v>232</v>
      </c>
      <c r="H915" s="1" t="s">
        <v>1885</v>
      </c>
      <c r="I915" s="1" t="s">
        <v>68</v>
      </c>
      <c r="J915" s="1" t="s">
        <v>1886</v>
      </c>
      <c r="K915" s="1" t="s">
        <v>223</v>
      </c>
      <c r="L915" s="1" t="s">
        <v>70</v>
      </c>
      <c r="M915" s="1" t="s">
        <v>1887</v>
      </c>
      <c r="N915" s="1" t="s">
        <v>71</v>
      </c>
      <c r="O915" s="1" t="s">
        <v>68</v>
      </c>
      <c r="P915" s="1" t="s">
        <v>72</v>
      </c>
      <c r="Q915" s="1" t="s">
        <v>1888</v>
      </c>
      <c r="R915" s="1" t="s">
        <v>68</v>
      </c>
      <c r="S915" s="1" t="s">
        <v>68</v>
      </c>
      <c r="T915" s="1" t="s">
        <v>68</v>
      </c>
      <c r="U915" s="1" t="s">
        <v>1888</v>
      </c>
      <c r="V915" s="1" t="s">
        <v>1889</v>
      </c>
      <c r="W915" s="1" t="s">
        <v>68</v>
      </c>
      <c r="X915" s="1" t="s">
        <v>1887</v>
      </c>
      <c r="Y915" s="73"/>
      <c r="Z915" s="2" t="s">
        <v>80</v>
      </c>
      <c r="AA915" s="3">
        <v>47835.3</v>
      </c>
      <c r="AB915" s="4">
        <v>7414471.5</v>
      </c>
      <c r="AC915" s="73">
        <v>46225</v>
      </c>
      <c r="AD915" s="73">
        <v>46226</v>
      </c>
      <c r="AE915" s="73"/>
      <c r="AF915" s="73">
        <v>46226</v>
      </c>
      <c r="AG915" s="3">
        <v>47835300</v>
      </c>
      <c r="AH915" s="353" t="str">
        <f t="shared" si="87"/>
        <v/>
      </c>
      <c r="AI915" s="3" t="str">
        <f t="shared" si="88"/>
        <v>54</v>
      </c>
      <c r="AJ915" s="64" t="e">
        <f>VLOOKUP(T915,'GL Name'!A:B,2,0)</f>
        <v>#N/A</v>
      </c>
      <c r="AL915" s="13">
        <f t="shared" si="89"/>
        <v>155</v>
      </c>
      <c r="AM915" s="13" t="e">
        <f>VLOOKUP(I915,'Order 301-305 (เรียง)'!A:B,2,0)</f>
        <v>#N/A</v>
      </c>
      <c r="AN915" t="e">
        <f>VLOOKUP(I915,'Order 301-305 (เรียง)'!A:C,3,0)</f>
        <v>#N/A</v>
      </c>
    </row>
    <row r="916" spans="1:40" x14ac:dyDescent="0.3">
      <c r="A916" s="1" t="s">
        <v>128</v>
      </c>
      <c r="B916" s="1" t="s">
        <v>129</v>
      </c>
      <c r="C916" s="1" t="s">
        <v>64</v>
      </c>
      <c r="D916" s="1" t="s">
        <v>115</v>
      </c>
      <c r="E916" s="1" t="s">
        <v>130</v>
      </c>
      <c r="F916" s="1" t="s">
        <v>1890</v>
      </c>
      <c r="G916" s="1" t="s">
        <v>131</v>
      </c>
      <c r="H916" s="1" t="s">
        <v>690</v>
      </c>
      <c r="I916" s="1" t="s">
        <v>68</v>
      </c>
      <c r="J916" s="1" t="s">
        <v>1891</v>
      </c>
      <c r="K916" s="1" t="s">
        <v>132</v>
      </c>
      <c r="L916" s="1" t="s">
        <v>70</v>
      </c>
      <c r="M916" s="1" t="s">
        <v>1892</v>
      </c>
      <c r="N916" s="1" t="s">
        <v>71</v>
      </c>
      <c r="O916" s="1" t="s">
        <v>68</v>
      </c>
      <c r="P916" s="1" t="s">
        <v>72</v>
      </c>
      <c r="Q916" s="1" t="s">
        <v>721</v>
      </c>
      <c r="R916" s="1" t="s">
        <v>68</v>
      </c>
      <c r="S916" s="1" t="s">
        <v>68</v>
      </c>
      <c r="T916" s="1" t="s">
        <v>68</v>
      </c>
      <c r="U916" s="1" t="s">
        <v>721</v>
      </c>
      <c r="V916" s="1" t="s">
        <v>133</v>
      </c>
      <c r="W916" s="1" t="s">
        <v>68</v>
      </c>
      <c r="X916" s="1" t="s">
        <v>1892</v>
      </c>
      <c r="Y916" s="73"/>
      <c r="Z916" s="2" t="s">
        <v>102</v>
      </c>
      <c r="AA916" s="3">
        <v>20</v>
      </c>
      <c r="AB916" s="4">
        <v>20700</v>
      </c>
      <c r="AC916" s="73">
        <v>46225</v>
      </c>
      <c r="AD916" s="73">
        <v>46226</v>
      </c>
      <c r="AE916" s="73"/>
      <c r="AF916" s="73">
        <v>46226</v>
      </c>
      <c r="AG916" s="3">
        <v>20</v>
      </c>
      <c r="AH916" s="353" t="str">
        <f t="shared" si="87"/>
        <v/>
      </c>
      <c r="AI916" s="3" t="str">
        <f t="shared" si="88"/>
        <v>54</v>
      </c>
      <c r="AJ916" s="64" t="e">
        <f>VLOOKUP(T916,'GL Name'!A:B,2,0)</f>
        <v>#N/A</v>
      </c>
      <c r="AL916" s="13">
        <f t="shared" si="89"/>
        <v>1035</v>
      </c>
      <c r="AM916" s="13" t="e">
        <f>VLOOKUP(I916,'Order 301-305 (เรียง)'!A:B,2,0)</f>
        <v>#N/A</v>
      </c>
      <c r="AN916" t="e">
        <f>VLOOKUP(I916,'Order 301-305 (เรียง)'!A:C,3,0)</f>
        <v>#N/A</v>
      </c>
    </row>
    <row r="917" spans="1:40" x14ac:dyDescent="0.3">
      <c r="A917" s="1" t="s">
        <v>128</v>
      </c>
      <c r="B917" s="1" t="s">
        <v>129</v>
      </c>
      <c r="C917" s="1" t="s">
        <v>64</v>
      </c>
      <c r="D917" s="1" t="s">
        <v>115</v>
      </c>
      <c r="E917" s="1" t="s">
        <v>130</v>
      </c>
      <c r="F917" s="1" t="s">
        <v>1893</v>
      </c>
      <c r="G917" s="1" t="s">
        <v>131</v>
      </c>
      <c r="H917" s="1" t="s">
        <v>690</v>
      </c>
      <c r="I917" s="1" t="s">
        <v>68</v>
      </c>
      <c r="J917" s="1" t="s">
        <v>1894</v>
      </c>
      <c r="K917" s="1" t="s">
        <v>132</v>
      </c>
      <c r="L917" s="1" t="s">
        <v>70</v>
      </c>
      <c r="M917" s="1" t="s">
        <v>1895</v>
      </c>
      <c r="N917" s="1" t="s">
        <v>71</v>
      </c>
      <c r="O917" s="1" t="s">
        <v>68</v>
      </c>
      <c r="P917" s="1" t="s">
        <v>72</v>
      </c>
      <c r="Q917" s="1" t="s">
        <v>721</v>
      </c>
      <c r="R917" s="1" t="s">
        <v>68</v>
      </c>
      <c r="S917" s="1" t="s">
        <v>68</v>
      </c>
      <c r="T917" s="1" t="s">
        <v>68</v>
      </c>
      <c r="U917" s="1" t="s">
        <v>721</v>
      </c>
      <c r="V917" s="1" t="s">
        <v>133</v>
      </c>
      <c r="W917" s="1" t="s">
        <v>68</v>
      </c>
      <c r="X917" s="1" t="s">
        <v>1895</v>
      </c>
      <c r="Y917" s="73"/>
      <c r="Z917" s="2" t="s">
        <v>102</v>
      </c>
      <c r="AA917" s="3">
        <v>15</v>
      </c>
      <c r="AB917" s="4">
        <v>15525</v>
      </c>
      <c r="AC917" s="73">
        <v>46226</v>
      </c>
      <c r="AD917" s="73">
        <v>46226</v>
      </c>
      <c r="AE917" s="73"/>
      <c r="AF917" s="73">
        <v>46226</v>
      </c>
      <c r="AG917" s="3">
        <v>15</v>
      </c>
      <c r="AH917" s="353" t="str">
        <f t="shared" si="87"/>
        <v/>
      </c>
      <c r="AI917" s="3" t="str">
        <f t="shared" si="88"/>
        <v>54</v>
      </c>
      <c r="AJ917" s="64" t="e">
        <f>VLOOKUP(T917,'GL Name'!A:B,2,0)</f>
        <v>#N/A</v>
      </c>
      <c r="AL917" s="13">
        <f t="shared" si="89"/>
        <v>1035</v>
      </c>
      <c r="AM917" s="13" t="e">
        <f>VLOOKUP(I917,'Order 301-305 (เรียง)'!A:B,2,0)</f>
        <v>#N/A</v>
      </c>
      <c r="AN917" t="e">
        <f>VLOOKUP(I917,'Order 301-305 (เรียง)'!A:C,3,0)</f>
        <v>#N/A</v>
      </c>
    </row>
    <row r="918" spans="1:40" x14ac:dyDescent="0.3">
      <c r="A918" s="1" t="s">
        <v>128</v>
      </c>
      <c r="B918" s="1" t="s">
        <v>129</v>
      </c>
      <c r="C918" s="1" t="s">
        <v>64</v>
      </c>
      <c r="D918" s="1" t="s">
        <v>115</v>
      </c>
      <c r="E918" s="1" t="s">
        <v>130</v>
      </c>
      <c r="F918" s="1" t="s">
        <v>1896</v>
      </c>
      <c r="G918" s="1" t="s">
        <v>131</v>
      </c>
      <c r="H918" s="1" t="s">
        <v>690</v>
      </c>
      <c r="I918" s="1" t="s">
        <v>68</v>
      </c>
      <c r="J918" s="1" t="s">
        <v>1897</v>
      </c>
      <c r="K918" s="1" t="s">
        <v>132</v>
      </c>
      <c r="L918" s="1" t="s">
        <v>70</v>
      </c>
      <c r="M918" s="1" t="s">
        <v>1898</v>
      </c>
      <c r="N918" s="1" t="s">
        <v>71</v>
      </c>
      <c r="O918" s="1" t="s">
        <v>68</v>
      </c>
      <c r="P918" s="1" t="s">
        <v>72</v>
      </c>
      <c r="Q918" s="1" t="s">
        <v>721</v>
      </c>
      <c r="R918" s="1" t="s">
        <v>68</v>
      </c>
      <c r="S918" s="1" t="s">
        <v>68</v>
      </c>
      <c r="T918" s="1" t="s">
        <v>68</v>
      </c>
      <c r="U918" s="1" t="s">
        <v>721</v>
      </c>
      <c r="V918" s="1" t="s">
        <v>133</v>
      </c>
      <c r="W918" s="1" t="s">
        <v>68</v>
      </c>
      <c r="X918" s="1" t="s">
        <v>1898</v>
      </c>
      <c r="Y918" s="73"/>
      <c r="Z918" s="2" t="s">
        <v>102</v>
      </c>
      <c r="AA918" s="3">
        <v>15</v>
      </c>
      <c r="AB918" s="4">
        <v>15525</v>
      </c>
      <c r="AC918" s="73">
        <v>46227</v>
      </c>
      <c r="AD918" s="73">
        <v>46227</v>
      </c>
      <c r="AE918" s="73"/>
      <c r="AF918" s="73">
        <v>46227</v>
      </c>
      <c r="AG918" s="3">
        <v>15</v>
      </c>
      <c r="AH918" s="353" t="str">
        <f t="shared" si="87"/>
        <v/>
      </c>
      <c r="AI918" s="3" t="str">
        <f t="shared" si="88"/>
        <v>54</v>
      </c>
      <c r="AJ918" s="64" t="e">
        <f>VLOOKUP(T918,'GL Name'!A:B,2,0)</f>
        <v>#N/A</v>
      </c>
      <c r="AL918" s="13">
        <f t="shared" si="89"/>
        <v>1035</v>
      </c>
      <c r="AM918" s="13" t="e">
        <f>VLOOKUP(I918,'Order 301-305 (เรียง)'!A:B,2,0)</f>
        <v>#N/A</v>
      </c>
      <c r="AN918" t="e">
        <f>VLOOKUP(I918,'Order 301-305 (เรียง)'!A:C,3,0)</f>
        <v>#N/A</v>
      </c>
    </row>
    <row r="919" spans="1:40" x14ac:dyDescent="0.3">
      <c r="A919" s="1" t="s">
        <v>13</v>
      </c>
      <c r="B919" s="1" t="s">
        <v>14</v>
      </c>
      <c r="C919" s="1" t="s">
        <v>64</v>
      </c>
      <c r="D919" s="1" t="s">
        <v>115</v>
      </c>
      <c r="E919" s="1" t="s">
        <v>116</v>
      </c>
      <c r="F919" s="1" t="s">
        <v>1899</v>
      </c>
      <c r="G919" s="1" t="s">
        <v>279</v>
      </c>
      <c r="H919" s="1" t="s">
        <v>1709</v>
      </c>
      <c r="I919" s="1" t="s">
        <v>1732</v>
      </c>
      <c r="J919" s="1" t="s">
        <v>1900</v>
      </c>
      <c r="K919" s="1" t="s">
        <v>290</v>
      </c>
      <c r="L919" s="1" t="s">
        <v>70</v>
      </c>
      <c r="M919" s="1" t="s">
        <v>68</v>
      </c>
      <c r="N919" s="1" t="s">
        <v>71</v>
      </c>
      <c r="O919" s="1" t="s">
        <v>68</v>
      </c>
      <c r="P919" s="1" t="s">
        <v>72</v>
      </c>
      <c r="Q919" s="1" t="s">
        <v>68</v>
      </c>
      <c r="R919" s="1" t="s">
        <v>1901</v>
      </c>
      <c r="S919" s="1" t="s">
        <v>68</v>
      </c>
      <c r="T919" s="1" t="s">
        <v>124</v>
      </c>
      <c r="U919" s="1" t="s">
        <v>68</v>
      </c>
      <c r="V919" s="1" t="s">
        <v>68</v>
      </c>
      <c r="W919" s="1" t="s">
        <v>68</v>
      </c>
      <c r="X919" s="1" t="s">
        <v>1902</v>
      </c>
      <c r="Y919" s="73"/>
      <c r="Z919" s="2" t="s">
        <v>80</v>
      </c>
      <c r="AA919" s="3">
        <v>29987</v>
      </c>
      <c r="AB919" s="4">
        <v>8121679.0800000001</v>
      </c>
      <c r="AC919" s="73">
        <v>46224</v>
      </c>
      <c r="AD919" s="73">
        <v>46224</v>
      </c>
      <c r="AE919" s="73"/>
      <c r="AF919" s="73">
        <v>46228</v>
      </c>
      <c r="AG919" s="3">
        <v>29987000</v>
      </c>
      <c r="AH919" s="353" t="str">
        <f t="shared" si="87"/>
        <v>301</v>
      </c>
      <c r="AI919" s="3" t="str">
        <f t="shared" si="88"/>
        <v>57</v>
      </c>
      <c r="AJ919" s="64" t="str">
        <f>VLOOKUP(T919,'GL Name'!A:B,2,0)</f>
        <v>ต้นทุนผลิตโอน Semi</v>
      </c>
      <c r="AL919" s="13">
        <f t="shared" si="89"/>
        <v>270.83999999999997</v>
      </c>
      <c r="AM919" s="13" t="str">
        <f>VLOOKUP(I919,'Order 301-305 (เรียง)'!A:B,2,0)</f>
        <v>Semi</v>
      </c>
      <c r="AN919" t="str">
        <f>VLOOKUP(I919,'Order 301-305 (เรียง)'!A:C,3,0)</f>
        <v>Semi เมล็ดกาแฟ</v>
      </c>
    </row>
    <row r="920" spans="1:40" x14ac:dyDescent="0.3">
      <c r="A920" s="1" t="s">
        <v>19</v>
      </c>
      <c r="B920" s="1" t="s">
        <v>20</v>
      </c>
      <c r="C920" s="1" t="s">
        <v>64</v>
      </c>
      <c r="D920" s="1" t="s">
        <v>115</v>
      </c>
      <c r="E920" s="1" t="s">
        <v>116</v>
      </c>
      <c r="F920" s="1" t="s">
        <v>1903</v>
      </c>
      <c r="G920" s="1" t="s">
        <v>279</v>
      </c>
      <c r="H920" s="1" t="s">
        <v>304</v>
      </c>
      <c r="I920" s="1" t="s">
        <v>1736</v>
      </c>
      <c r="J920" s="1" t="s">
        <v>1904</v>
      </c>
      <c r="K920" s="1" t="s">
        <v>290</v>
      </c>
      <c r="L920" s="1" t="s">
        <v>70</v>
      </c>
      <c r="M920" s="1" t="s">
        <v>68</v>
      </c>
      <c r="N920" s="1" t="s">
        <v>71</v>
      </c>
      <c r="O920" s="1" t="s">
        <v>68</v>
      </c>
      <c r="P920" s="1" t="s">
        <v>72</v>
      </c>
      <c r="Q920" s="1" t="s">
        <v>68</v>
      </c>
      <c r="R920" s="1" t="s">
        <v>701</v>
      </c>
      <c r="S920" s="1" t="s">
        <v>68</v>
      </c>
      <c r="T920" s="1" t="s">
        <v>124</v>
      </c>
      <c r="U920" s="1" t="s">
        <v>68</v>
      </c>
      <c r="V920" s="1" t="s">
        <v>68</v>
      </c>
      <c r="W920" s="1" t="s">
        <v>68</v>
      </c>
      <c r="X920" s="1" t="s">
        <v>1905</v>
      </c>
      <c r="Y920" s="73"/>
      <c r="Z920" s="2" t="s">
        <v>80</v>
      </c>
      <c r="AA920" s="3">
        <v>9966</v>
      </c>
      <c r="AB920" s="4">
        <v>1593862.38</v>
      </c>
      <c r="AC920" s="73">
        <v>46225</v>
      </c>
      <c r="AD920" s="73">
        <v>46225</v>
      </c>
      <c r="AE920" s="73"/>
      <c r="AF920" s="73">
        <v>46228</v>
      </c>
      <c r="AG920" s="3">
        <v>9966000</v>
      </c>
      <c r="AH920" s="353" t="str">
        <f t="shared" si="87"/>
        <v>301</v>
      </c>
      <c r="AI920" s="3" t="str">
        <f t="shared" si="88"/>
        <v>57</v>
      </c>
      <c r="AJ920" s="64" t="str">
        <f>VLOOKUP(T920,'GL Name'!A:B,2,0)</f>
        <v>ต้นทุนผลิตโอน Semi</v>
      </c>
      <c r="AL920" s="13">
        <f t="shared" si="89"/>
        <v>159.92999999999998</v>
      </c>
      <c r="AM920" s="13" t="str">
        <f>VLOOKUP(I920,'Order 301-305 (เรียง)'!A:B,2,0)</f>
        <v>Semi</v>
      </c>
      <c r="AN920" t="str">
        <f>VLOOKUP(I920,'Order 301-305 (เรียง)'!A:C,3,0)</f>
        <v>Semi เมล็ดกาแฟ</v>
      </c>
    </row>
    <row r="921" spans="1:40" x14ac:dyDescent="0.3">
      <c r="A921" s="1" t="s">
        <v>13</v>
      </c>
      <c r="B921" s="1" t="s">
        <v>14</v>
      </c>
      <c r="C921" s="1" t="s">
        <v>64</v>
      </c>
      <c r="D921" s="1" t="s">
        <v>115</v>
      </c>
      <c r="E921" s="1" t="s">
        <v>116</v>
      </c>
      <c r="F921" s="1" t="s">
        <v>1906</v>
      </c>
      <c r="G921" s="1" t="s">
        <v>279</v>
      </c>
      <c r="H921" s="1" t="s">
        <v>1711</v>
      </c>
      <c r="I921" s="1" t="s">
        <v>1760</v>
      </c>
      <c r="J921" s="1" t="s">
        <v>1907</v>
      </c>
      <c r="K921" s="1" t="s">
        <v>290</v>
      </c>
      <c r="L921" s="1" t="s">
        <v>70</v>
      </c>
      <c r="M921" s="1" t="s">
        <v>68</v>
      </c>
      <c r="N921" s="1" t="s">
        <v>71</v>
      </c>
      <c r="O921" s="1" t="s">
        <v>68</v>
      </c>
      <c r="P921" s="1" t="s">
        <v>72</v>
      </c>
      <c r="Q921" s="1" t="s">
        <v>68</v>
      </c>
      <c r="R921" s="1" t="s">
        <v>1908</v>
      </c>
      <c r="S921" s="1" t="s">
        <v>68</v>
      </c>
      <c r="T921" s="1" t="s">
        <v>124</v>
      </c>
      <c r="U921" s="1" t="s">
        <v>68</v>
      </c>
      <c r="V921" s="1" t="s">
        <v>68</v>
      </c>
      <c r="W921" s="1" t="s">
        <v>68</v>
      </c>
      <c r="X921" s="1" t="s">
        <v>1909</v>
      </c>
      <c r="Y921" s="73"/>
      <c r="Z921" s="2" t="s">
        <v>80</v>
      </c>
      <c r="AA921" s="3">
        <v>39546.480000000003</v>
      </c>
      <c r="AB921" s="4">
        <v>10710768.640000001</v>
      </c>
      <c r="AC921" s="73">
        <v>46227</v>
      </c>
      <c r="AD921" s="73">
        <v>46227</v>
      </c>
      <c r="AE921" s="73"/>
      <c r="AF921" s="73">
        <v>46230</v>
      </c>
      <c r="AG921" s="3">
        <v>39546480</v>
      </c>
      <c r="AH921" s="353" t="str">
        <f t="shared" si="87"/>
        <v>301</v>
      </c>
      <c r="AI921" s="3" t="str">
        <f t="shared" si="88"/>
        <v>57</v>
      </c>
      <c r="AJ921" s="64" t="str">
        <f>VLOOKUP(T921,'GL Name'!A:B,2,0)</f>
        <v>ต้นทุนผลิตโอน Semi</v>
      </c>
      <c r="AL921" s="13">
        <f t="shared" si="89"/>
        <v>270.83999991908257</v>
      </c>
      <c r="AM921" s="13" t="str">
        <f>VLOOKUP(I921,'Order 301-305 (เรียง)'!A:B,2,0)</f>
        <v>Semi</v>
      </c>
      <c r="AN921" t="str">
        <f>VLOOKUP(I921,'Order 301-305 (เรียง)'!A:C,3,0)</f>
        <v>Semi เมล็ดกาแฟ</v>
      </c>
    </row>
    <row r="922" spans="1:40" x14ac:dyDescent="0.3">
      <c r="A922" s="1" t="s">
        <v>15</v>
      </c>
      <c r="B922" s="1" t="s">
        <v>233</v>
      </c>
      <c r="C922" s="1" t="s">
        <v>64</v>
      </c>
      <c r="D922" s="1" t="s">
        <v>115</v>
      </c>
      <c r="E922" s="1" t="s">
        <v>116</v>
      </c>
      <c r="F922" s="1" t="s">
        <v>1906</v>
      </c>
      <c r="G922" s="1" t="s">
        <v>279</v>
      </c>
      <c r="H922" s="1" t="s">
        <v>1711</v>
      </c>
      <c r="I922" s="1" t="s">
        <v>1760</v>
      </c>
      <c r="J922" s="1" t="s">
        <v>1907</v>
      </c>
      <c r="K922" s="1" t="s">
        <v>290</v>
      </c>
      <c r="L922" s="1" t="s">
        <v>86</v>
      </c>
      <c r="M922" s="1" t="s">
        <v>68</v>
      </c>
      <c r="N922" s="1" t="s">
        <v>71</v>
      </c>
      <c r="O922" s="1" t="s">
        <v>68</v>
      </c>
      <c r="P922" s="1" t="s">
        <v>72</v>
      </c>
      <c r="Q922" s="1" t="s">
        <v>68</v>
      </c>
      <c r="R922" s="1" t="s">
        <v>1908</v>
      </c>
      <c r="S922" s="1" t="s">
        <v>68</v>
      </c>
      <c r="T922" s="1" t="s">
        <v>124</v>
      </c>
      <c r="U922" s="1" t="s">
        <v>68</v>
      </c>
      <c r="V922" s="1" t="s">
        <v>68</v>
      </c>
      <c r="W922" s="1" t="s">
        <v>68</v>
      </c>
      <c r="X922" s="1" t="s">
        <v>1909</v>
      </c>
      <c r="Y922" s="73"/>
      <c r="Z922" s="2" t="s">
        <v>80</v>
      </c>
      <c r="AA922" s="3">
        <v>484.4</v>
      </c>
      <c r="AB922" s="4">
        <v>131190.04999999999</v>
      </c>
      <c r="AC922" s="73">
        <v>46227</v>
      </c>
      <c r="AD922" s="73">
        <v>46227</v>
      </c>
      <c r="AE922" s="73"/>
      <c r="AF922" s="73">
        <v>46230</v>
      </c>
      <c r="AG922" s="3">
        <v>484400</v>
      </c>
      <c r="AH922" s="353" t="str">
        <f t="shared" si="87"/>
        <v>301</v>
      </c>
      <c r="AI922" s="3" t="str">
        <f t="shared" si="88"/>
        <v>57</v>
      </c>
      <c r="AJ922" s="64" t="str">
        <f>VLOOKUP(T922,'GL Name'!A:B,2,0)</f>
        <v>ต้นทุนผลิตโอน Semi</v>
      </c>
      <c r="AL922" s="13">
        <f t="shared" si="89"/>
        <v>270.82999587118081</v>
      </c>
      <c r="AM922" s="13" t="str">
        <f>VLOOKUP(I922,'Order 301-305 (เรียง)'!A:B,2,0)</f>
        <v>Semi</v>
      </c>
      <c r="AN922" t="str">
        <f>VLOOKUP(I922,'Order 301-305 (เรียง)'!A:C,3,0)</f>
        <v>Semi เมล็ดกาแฟ</v>
      </c>
    </row>
    <row r="923" spans="1:40" x14ac:dyDescent="0.3">
      <c r="A923" s="1" t="s">
        <v>128</v>
      </c>
      <c r="B923" s="1" t="s">
        <v>129</v>
      </c>
      <c r="C923" s="1" t="s">
        <v>64</v>
      </c>
      <c r="D923" s="1" t="s">
        <v>115</v>
      </c>
      <c r="E923" s="1" t="s">
        <v>130</v>
      </c>
      <c r="F923" s="1" t="s">
        <v>1910</v>
      </c>
      <c r="G923" s="1" t="s">
        <v>131</v>
      </c>
      <c r="H923" s="1" t="s">
        <v>690</v>
      </c>
      <c r="I923" s="1" t="s">
        <v>68</v>
      </c>
      <c r="J923" s="1" t="s">
        <v>1911</v>
      </c>
      <c r="K923" s="1" t="s">
        <v>84</v>
      </c>
      <c r="L923" s="1" t="s">
        <v>70</v>
      </c>
      <c r="M923" s="1" t="s">
        <v>1912</v>
      </c>
      <c r="N923" s="1" t="s">
        <v>71</v>
      </c>
      <c r="O923" s="1" t="s">
        <v>68</v>
      </c>
      <c r="P923" s="1" t="s">
        <v>72</v>
      </c>
      <c r="Q923" s="1" t="s">
        <v>721</v>
      </c>
      <c r="R923" s="1" t="s">
        <v>68</v>
      </c>
      <c r="S923" s="1" t="s">
        <v>68</v>
      </c>
      <c r="T923" s="1" t="s">
        <v>68</v>
      </c>
      <c r="U923" s="1" t="s">
        <v>721</v>
      </c>
      <c r="V923" s="1" t="s">
        <v>133</v>
      </c>
      <c r="W923" s="1" t="s">
        <v>68</v>
      </c>
      <c r="X923" s="1" t="s">
        <v>1912</v>
      </c>
      <c r="Y923" s="73"/>
      <c r="Z923" s="2" t="s">
        <v>102</v>
      </c>
      <c r="AA923" s="3">
        <v>15</v>
      </c>
      <c r="AB923" s="4">
        <v>15525</v>
      </c>
      <c r="AC923" s="73">
        <v>46230</v>
      </c>
      <c r="AD923" s="73">
        <v>46230</v>
      </c>
      <c r="AE923" s="73"/>
      <c r="AF923" s="73">
        <v>46230</v>
      </c>
      <c r="AG923" s="3">
        <v>15</v>
      </c>
      <c r="AH923" s="353" t="str">
        <f t="shared" si="87"/>
        <v/>
      </c>
      <c r="AI923" s="3" t="str">
        <f t="shared" si="88"/>
        <v>54</v>
      </c>
      <c r="AJ923" s="64" t="e">
        <f>VLOOKUP(T923,'GL Name'!A:B,2,0)</f>
        <v>#N/A</v>
      </c>
      <c r="AL923" s="13">
        <f t="shared" si="89"/>
        <v>1035</v>
      </c>
      <c r="AM923" s="13" t="e">
        <f>VLOOKUP(I923,'Order 301-305 (เรียง)'!A:B,2,0)</f>
        <v>#N/A</v>
      </c>
      <c r="AN923" t="e">
        <f>VLOOKUP(I923,'Order 301-305 (เรียง)'!A:C,3,0)</f>
        <v>#N/A</v>
      </c>
    </row>
    <row r="924" spans="1:40" x14ac:dyDescent="0.3">
      <c r="A924" s="1" t="s">
        <v>9</v>
      </c>
      <c r="B924" s="1" t="s">
        <v>10</v>
      </c>
      <c r="C924" s="1" t="s">
        <v>64</v>
      </c>
      <c r="D924" s="1" t="s">
        <v>1090</v>
      </c>
      <c r="E924" s="1" t="s">
        <v>1913</v>
      </c>
      <c r="F924" s="1" t="s">
        <v>1914</v>
      </c>
      <c r="G924" s="1" t="s">
        <v>232</v>
      </c>
      <c r="H924" s="1" t="s">
        <v>1346</v>
      </c>
      <c r="I924" s="1" t="s">
        <v>68</v>
      </c>
      <c r="J924" s="1" t="s">
        <v>1915</v>
      </c>
      <c r="K924" s="1" t="s">
        <v>84</v>
      </c>
      <c r="L924" s="1" t="s">
        <v>70</v>
      </c>
      <c r="M924" s="1" t="s">
        <v>1448</v>
      </c>
      <c r="N924" s="1" t="s">
        <v>71</v>
      </c>
      <c r="O924" s="1" t="s">
        <v>68</v>
      </c>
      <c r="P924" s="1" t="s">
        <v>72</v>
      </c>
      <c r="Q924" s="1" t="s">
        <v>1916</v>
      </c>
      <c r="R924" s="1" t="s">
        <v>68</v>
      </c>
      <c r="S924" s="1" t="s">
        <v>68</v>
      </c>
      <c r="T924" s="1" t="s">
        <v>68</v>
      </c>
      <c r="U924" s="1" t="s">
        <v>1448</v>
      </c>
      <c r="V924" s="1" t="s">
        <v>1350</v>
      </c>
      <c r="W924" s="1" t="s">
        <v>68</v>
      </c>
      <c r="X924" s="1" t="s">
        <v>1448</v>
      </c>
      <c r="Y924" s="73"/>
      <c r="Z924" s="2" t="s">
        <v>80</v>
      </c>
      <c r="AA924" s="3">
        <v>-49.4</v>
      </c>
      <c r="AB924" s="4">
        <v>-13387.4</v>
      </c>
      <c r="AC924" s="73">
        <v>46218</v>
      </c>
      <c r="AD924" s="73">
        <v>46218</v>
      </c>
      <c r="AE924" s="73"/>
      <c r="AF924" s="73">
        <v>46230</v>
      </c>
      <c r="AG924" s="3">
        <v>-49400</v>
      </c>
      <c r="AH924" s="353" t="str">
        <f t="shared" si="87"/>
        <v/>
      </c>
      <c r="AI924" s="3" t="str">
        <f t="shared" si="88"/>
        <v>54</v>
      </c>
      <c r="AJ924" s="64" t="e">
        <f>VLOOKUP(T924,'GL Name'!A:B,2,0)</f>
        <v>#N/A</v>
      </c>
      <c r="AL924" s="13">
        <f t="shared" si="89"/>
        <v>271</v>
      </c>
      <c r="AM924" s="13" t="e">
        <f>VLOOKUP(I924,'Order 301-305 (เรียง)'!A:B,2,0)</f>
        <v>#N/A</v>
      </c>
      <c r="AN924" t="e">
        <f>VLOOKUP(I924,'Order 301-305 (เรียง)'!A:C,3,0)</f>
        <v>#N/A</v>
      </c>
    </row>
    <row r="925" spans="1:40" x14ac:dyDescent="0.3">
      <c r="A925" s="1" t="s">
        <v>9</v>
      </c>
      <c r="B925" s="1" t="s">
        <v>10</v>
      </c>
      <c r="C925" s="1" t="s">
        <v>64</v>
      </c>
      <c r="D925" s="1" t="s">
        <v>115</v>
      </c>
      <c r="E925" s="1" t="s">
        <v>130</v>
      </c>
      <c r="F925" s="1" t="s">
        <v>1917</v>
      </c>
      <c r="G925" s="1" t="s">
        <v>232</v>
      </c>
      <c r="H925" s="1" t="s">
        <v>1346</v>
      </c>
      <c r="I925" s="1" t="s">
        <v>68</v>
      </c>
      <c r="J925" s="1" t="s">
        <v>1918</v>
      </c>
      <c r="K925" s="1" t="s">
        <v>84</v>
      </c>
      <c r="L925" s="1" t="s">
        <v>70</v>
      </c>
      <c r="M925" s="1" t="s">
        <v>1449</v>
      </c>
      <c r="N925" s="1" t="s">
        <v>71</v>
      </c>
      <c r="O925" s="1" t="s">
        <v>68</v>
      </c>
      <c r="P925" s="1" t="s">
        <v>72</v>
      </c>
      <c r="Q925" s="1" t="s">
        <v>1448</v>
      </c>
      <c r="R925" s="1" t="s">
        <v>68</v>
      </c>
      <c r="S925" s="1" t="s">
        <v>68</v>
      </c>
      <c r="T925" s="1" t="s">
        <v>68</v>
      </c>
      <c r="U925" s="1" t="s">
        <v>1448</v>
      </c>
      <c r="V925" s="1" t="s">
        <v>1350</v>
      </c>
      <c r="W925" s="1" t="s">
        <v>68</v>
      </c>
      <c r="X925" s="1" t="s">
        <v>1449</v>
      </c>
      <c r="Y925" s="73"/>
      <c r="Z925" s="2" t="s">
        <v>80</v>
      </c>
      <c r="AA925" s="3">
        <v>49.4</v>
      </c>
      <c r="AB925" s="4">
        <v>13387.4</v>
      </c>
      <c r="AC925" s="73">
        <v>46218</v>
      </c>
      <c r="AD925" s="73">
        <v>46218</v>
      </c>
      <c r="AE925" s="73"/>
      <c r="AF925" s="73">
        <v>46230</v>
      </c>
      <c r="AG925" s="3">
        <v>49400</v>
      </c>
      <c r="AH925" s="353" t="str">
        <f t="shared" si="87"/>
        <v/>
      </c>
      <c r="AI925" s="3" t="str">
        <f t="shared" si="88"/>
        <v>54</v>
      </c>
      <c r="AJ925" s="64" t="e">
        <f>VLOOKUP(T925,'GL Name'!A:B,2,0)</f>
        <v>#N/A</v>
      </c>
      <c r="AL925" s="13">
        <f t="shared" si="89"/>
        <v>271</v>
      </c>
      <c r="AM925" s="13" t="e">
        <f>VLOOKUP(I925,'Order 301-305 (เรียง)'!A:B,2,0)</f>
        <v>#N/A</v>
      </c>
      <c r="AN925" t="e">
        <f>VLOOKUP(I925,'Order 301-305 (เรียง)'!A:C,3,0)</f>
        <v>#N/A</v>
      </c>
    </row>
    <row r="926" spans="1:40" x14ac:dyDescent="0.3">
      <c r="A926" s="1" t="s">
        <v>128</v>
      </c>
      <c r="B926" s="1" t="s">
        <v>129</v>
      </c>
      <c r="C926" s="1" t="s">
        <v>64</v>
      </c>
      <c r="D926" s="1" t="s">
        <v>115</v>
      </c>
      <c r="E926" s="1" t="s">
        <v>130</v>
      </c>
      <c r="F926" s="1" t="s">
        <v>1985</v>
      </c>
      <c r="G926" s="1" t="s">
        <v>131</v>
      </c>
      <c r="H926" s="1" t="s">
        <v>690</v>
      </c>
      <c r="I926" s="1" t="s">
        <v>68</v>
      </c>
      <c r="J926" s="1" t="s">
        <v>1986</v>
      </c>
      <c r="K926" s="1" t="s">
        <v>132</v>
      </c>
      <c r="L926" s="1" t="s">
        <v>70</v>
      </c>
      <c r="M926" s="1" t="s">
        <v>1987</v>
      </c>
      <c r="N926" s="1" t="s">
        <v>71</v>
      </c>
      <c r="O926" s="1" t="s">
        <v>68</v>
      </c>
      <c r="P926" s="1" t="s">
        <v>72</v>
      </c>
      <c r="Q926" s="1" t="s">
        <v>721</v>
      </c>
      <c r="R926" s="1" t="s">
        <v>68</v>
      </c>
      <c r="S926" s="1" t="s">
        <v>68</v>
      </c>
      <c r="T926" s="1" t="s">
        <v>68</v>
      </c>
      <c r="U926" s="1" t="s">
        <v>721</v>
      </c>
      <c r="V926" s="1" t="s">
        <v>133</v>
      </c>
      <c r="W926" s="1" t="s">
        <v>68</v>
      </c>
      <c r="X926" s="1" t="s">
        <v>1987</v>
      </c>
      <c r="Y926" s="73"/>
      <c r="Z926" s="2" t="s">
        <v>102</v>
      </c>
      <c r="AA926" s="3">
        <v>20</v>
      </c>
      <c r="AB926" s="4">
        <v>20700</v>
      </c>
      <c r="AC926" s="73">
        <v>46233</v>
      </c>
      <c r="AD926" s="73">
        <v>46233</v>
      </c>
      <c r="AE926" s="73"/>
      <c r="AF926" s="73">
        <v>46233</v>
      </c>
      <c r="AG926" s="3">
        <v>20</v>
      </c>
      <c r="AH926" s="353" t="str">
        <f t="shared" si="87"/>
        <v/>
      </c>
      <c r="AI926" s="3" t="str">
        <f t="shared" si="88"/>
        <v>54</v>
      </c>
      <c r="AJ926" s="64" t="e">
        <f>VLOOKUP(T926,'GL Name'!A:B,2,0)</f>
        <v>#N/A</v>
      </c>
      <c r="AL926" s="13">
        <f t="shared" si="89"/>
        <v>1035</v>
      </c>
      <c r="AM926" s="13" t="e">
        <f>VLOOKUP(I926,'Order 301-305 (เรียง)'!A:B,2,0)</f>
        <v>#N/A</v>
      </c>
      <c r="AN926" t="e">
        <f>VLOOKUP(I926,'Order 301-305 (เรียง)'!A:C,3,0)</f>
        <v>#N/A</v>
      </c>
    </row>
    <row r="927" spans="1:40" x14ac:dyDescent="0.3">
      <c r="A927" s="1" t="s">
        <v>121</v>
      </c>
      <c r="B927" s="1" t="s">
        <v>122</v>
      </c>
      <c r="C927" s="1" t="s">
        <v>64</v>
      </c>
      <c r="D927" s="1" t="s">
        <v>115</v>
      </c>
      <c r="E927" s="1" t="s">
        <v>130</v>
      </c>
      <c r="F927" s="1" t="s">
        <v>1988</v>
      </c>
      <c r="G927" s="1" t="s">
        <v>101</v>
      </c>
      <c r="H927" s="1" t="s">
        <v>1989</v>
      </c>
      <c r="I927" s="1" t="s">
        <v>68</v>
      </c>
      <c r="J927" s="1" t="s">
        <v>1990</v>
      </c>
      <c r="K927" s="1" t="s">
        <v>223</v>
      </c>
      <c r="L927" s="1" t="s">
        <v>70</v>
      </c>
      <c r="M927" s="1" t="s">
        <v>1991</v>
      </c>
      <c r="N927" s="1" t="s">
        <v>71</v>
      </c>
      <c r="O927" s="1" t="s">
        <v>68</v>
      </c>
      <c r="P927" s="1" t="s">
        <v>72</v>
      </c>
      <c r="Q927" s="1" t="s">
        <v>1547</v>
      </c>
      <c r="R927" s="1" t="s">
        <v>68</v>
      </c>
      <c r="S927" s="1" t="s">
        <v>68</v>
      </c>
      <c r="T927" s="1" t="s">
        <v>68</v>
      </c>
      <c r="U927" s="1" t="s">
        <v>1547</v>
      </c>
      <c r="V927" s="1" t="s">
        <v>280</v>
      </c>
      <c r="W927" s="1" t="s">
        <v>68</v>
      </c>
      <c r="X927" s="1" t="s">
        <v>1991</v>
      </c>
      <c r="Y927" s="73"/>
      <c r="Z927" s="2" t="s">
        <v>102</v>
      </c>
      <c r="AA927" s="3">
        <v>15000</v>
      </c>
      <c r="AB927" s="4">
        <v>75000</v>
      </c>
      <c r="AC927" s="73">
        <v>46233</v>
      </c>
      <c r="AD927" s="73">
        <v>46233</v>
      </c>
      <c r="AE927" s="73"/>
      <c r="AF927" s="73">
        <v>46233</v>
      </c>
      <c r="AG927" s="3">
        <v>15000</v>
      </c>
      <c r="AH927" s="353" t="str">
        <f t="shared" si="87"/>
        <v/>
      </c>
      <c r="AI927" s="3" t="str">
        <f t="shared" si="88"/>
        <v>58</v>
      </c>
      <c r="AJ927" s="64" t="e">
        <f>VLOOKUP(T927,'GL Name'!A:B,2,0)</f>
        <v>#N/A</v>
      </c>
      <c r="AL927" s="13">
        <f t="shared" si="89"/>
        <v>5</v>
      </c>
      <c r="AM927" s="13" t="e">
        <f>VLOOKUP(I927,'Order 301-305 (เรียง)'!A:B,2,0)</f>
        <v>#N/A</v>
      </c>
      <c r="AN927" t="e">
        <f>VLOOKUP(I927,'Order 301-305 (เรียง)'!A:C,3,0)</f>
        <v>#N/A</v>
      </c>
    </row>
    <row r="928" spans="1:40" x14ac:dyDescent="0.3">
      <c r="A928" s="1" t="s">
        <v>128</v>
      </c>
      <c r="B928" s="1" t="s">
        <v>129</v>
      </c>
      <c r="C928" s="1" t="s">
        <v>64</v>
      </c>
      <c r="D928" s="1" t="s">
        <v>1090</v>
      </c>
      <c r="E928" s="1" t="s">
        <v>1913</v>
      </c>
      <c r="F928" s="1" t="s">
        <v>1992</v>
      </c>
      <c r="G928" s="1" t="s">
        <v>131</v>
      </c>
      <c r="H928" s="1" t="s">
        <v>690</v>
      </c>
      <c r="I928" s="1" t="s">
        <v>68</v>
      </c>
      <c r="J928" s="1" t="s">
        <v>1993</v>
      </c>
      <c r="K928" s="1" t="s">
        <v>132</v>
      </c>
      <c r="L928" s="1" t="s">
        <v>70</v>
      </c>
      <c r="M928" s="1" t="s">
        <v>1987</v>
      </c>
      <c r="N928" s="1" t="s">
        <v>71</v>
      </c>
      <c r="O928" s="1" t="s">
        <v>68</v>
      </c>
      <c r="P928" s="1" t="s">
        <v>72</v>
      </c>
      <c r="Q928" s="1" t="s">
        <v>721</v>
      </c>
      <c r="R928" s="1" t="s">
        <v>1994</v>
      </c>
      <c r="S928" s="1" t="s">
        <v>68</v>
      </c>
      <c r="T928" s="1" t="s">
        <v>68</v>
      </c>
      <c r="U928" s="1" t="s">
        <v>721</v>
      </c>
      <c r="V928" s="1" t="s">
        <v>133</v>
      </c>
      <c r="W928" s="1" t="s">
        <v>68</v>
      </c>
      <c r="X928" s="1" t="s">
        <v>1987</v>
      </c>
      <c r="Y928" s="73"/>
      <c r="Z928" s="2" t="s">
        <v>102</v>
      </c>
      <c r="AA928" s="3">
        <v>-20</v>
      </c>
      <c r="AB928" s="4">
        <v>-20700</v>
      </c>
      <c r="AC928" s="73">
        <v>46233</v>
      </c>
      <c r="AD928" s="73">
        <v>46233</v>
      </c>
      <c r="AE928" s="73"/>
      <c r="AF928" s="73">
        <v>46233</v>
      </c>
      <c r="AG928" s="3">
        <v>-20</v>
      </c>
      <c r="AH928" s="353" t="str">
        <f t="shared" si="87"/>
        <v/>
      </c>
      <c r="AI928" s="3" t="str">
        <f t="shared" si="88"/>
        <v>54</v>
      </c>
      <c r="AJ928" s="64" t="e">
        <f>VLOOKUP(T928,'GL Name'!A:B,2,0)</f>
        <v>#N/A</v>
      </c>
      <c r="AL928" s="13">
        <f t="shared" si="89"/>
        <v>1035</v>
      </c>
      <c r="AM928" s="13" t="e">
        <f>VLOOKUP(I928,'Order 301-305 (เรียง)'!A:B,2,0)</f>
        <v>#N/A</v>
      </c>
      <c r="AN928" t="e">
        <f>VLOOKUP(I928,'Order 301-305 (เรียง)'!A:C,3,0)</f>
        <v>#N/A</v>
      </c>
    </row>
    <row r="929" spans="1:40" x14ac:dyDescent="0.3">
      <c r="A929" s="1" t="s">
        <v>128</v>
      </c>
      <c r="B929" s="1" t="s">
        <v>129</v>
      </c>
      <c r="C929" s="1" t="s">
        <v>64</v>
      </c>
      <c r="D929" s="1" t="s">
        <v>115</v>
      </c>
      <c r="E929" s="1" t="s">
        <v>130</v>
      </c>
      <c r="F929" s="1" t="s">
        <v>1995</v>
      </c>
      <c r="G929" s="1" t="s">
        <v>131</v>
      </c>
      <c r="H929" s="1" t="s">
        <v>690</v>
      </c>
      <c r="I929" s="1" t="s">
        <v>68</v>
      </c>
      <c r="J929" s="1" t="s">
        <v>1996</v>
      </c>
      <c r="K929" s="1" t="s">
        <v>132</v>
      </c>
      <c r="L929" s="1" t="s">
        <v>70</v>
      </c>
      <c r="M929" s="1" t="s">
        <v>1987</v>
      </c>
      <c r="N929" s="1" t="s">
        <v>71</v>
      </c>
      <c r="O929" s="1" t="s">
        <v>68</v>
      </c>
      <c r="P929" s="1" t="s">
        <v>72</v>
      </c>
      <c r="Q929" s="1" t="s">
        <v>721</v>
      </c>
      <c r="R929" s="1" t="s">
        <v>68</v>
      </c>
      <c r="S929" s="1" t="s">
        <v>68</v>
      </c>
      <c r="T929" s="1" t="s">
        <v>68</v>
      </c>
      <c r="U929" s="1" t="s">
        <v>721</v>
      </c>
      <c r="V929" s="1" t="s">
        <v>133</v>
      </c>
      <c r="W929" s="1" t="s">
        <v>68</v>
      </c>
      <c r="X929" s="1" t="s">
        <v>1987</v>
      </c>
      <c r="Y929" s="73"/>
      <c r="Z929" s="2" t="s">
        <v>102</v>
      </c>
      <c r="AA929" s="3">
        <v>20</v>
      </c>
      <c r="AB929" s="4">
        <v>20700</v>
      </c>
      <c r="AC929" s="73">
        <v>46228</v>
      </c>
      <c r="AD929" s="73">
        <v>46233</v>
      </c>
      <c r="AE929" s="73"/>
      <c r="AF929" s="73">
        <v>46233</v>
      </c>
      <c r="AG929" s="3">
        <v>20</v>
      </c>
      <c r="AH929" s="353" t="str">
        <f t="shared" si="87"/>
        <v/>
      </c>
      <c r="AI929" s="3" t="str">
        <f t="shared" si="88"/>
        <v>54</v>
      </c>
      <c r="AJ929" s="64" t="e">
        <f>VLOOKUP(T929,'GL Name'!A:B,2,0)</f>
        <v>#N/A</v>
      </c>
      <c r="AL929" s="13">
        <f t="shared" si="89"/>
        <v>1035</v>
      </c>
      <c r="AM929" s="13" t="e">
        <f>VLOOKUP(I929,'Order 301-305 (เรียง)'!A:B,2,0)</f>
        <v>#N/A</v>
      </c>
      <c r="AN929" t="e">
        <f>VLOOKUP(I929,'Order 301-305 (เรียง)'!A:C,3,0)</f>
        <v>#N/A</v>
      </c>
    </row>
    <row r="930" spans="1:40" x14ac:dyDescent="0.3">
      <c r="A930" s="1" t="s">
        <v>297</v>
      </c>
      <c r="B930" s="1" t="s">
        <v>298</v>
      </c>
      <c r="C930" s="1" t="s">
        <v>64</v>
      </c>
      <c r="D930" s="1" t="s">
        <v>1090</v>
      </c>
      <c r="E930" s="1" t="s">
        <v>1913</v>
      </c>
      <c r="F930" s="1" t="s">
        <v>1997</v>
      </c>
      <c r="G930" s="1" t="s">
        <v>101</v>
      </c>
      <c r="H930" s="1" t="s">
        <v>730</v>
      </c>
      <c r="I930" s="1" t="s">
        <v>68</v>
      </c>
      <c r="J930" s="1" t="s">
        <v>1998</v>
      </c>
      <c r="K930" s="1" t="s">
        <v>84</v>
      </c>
      <c r="L930" s="1" t="s">
        <v>70</v>
      </c>
      <c r="M930" s="1" t="s">
        <v>732</v>
      </c>
      <c r="N930" s="1" t="s">
        <v>71</v>
      </c>
      <c r="O930" s="1" t="s">
        <v>68</v>
      </c>
      <c r="P930" s="1" t="s">
        <v>72</v>
      </c>
      <c r="Q930" s="1" t="s">
        <v>1999</v>
      </c>
      <c r="R930" s="1" t="s">
        <v>68</v>
      </c>
      <c r="S930" s="1" t="s">
        <v>68</v>
      </c>
      <c r="T930" s="1" t="s">
        <v>68</v>
      </c>
      <c r="U930" s="1" t="s">
        <v>733</v>
      </c>
      <c r="V930" s="1" t="s">
        <v>734</v>
      </c>
      <c r="W930" s="1" t="s">
        <v>68</v>
      </c>
      <c r="X930" s="1" t="s">
        <v>732</v>
      </c>
      <c r="Y930" s="73"/>
      <c r="Z930" s="2" t="s">
        <v>241</v>
      </c>
      <c r="AA930" s="3">
        <v>-4500</v>
      </c>
      <c r="AB930" s="4">
        <v>-5220</v>
      </c>
      <c r="AC930" s="73">
        <v>46210</v>
      </c>
      <c r="AD930" s="73">
        <v>46210</v>
      </c>
      <c r="AE930" s="73"/>
      <c r="AF930" s="73">
        <v>46233</v>
      </c>
      <c r="AG930" s="3">
        <v>-4500</v>
      </c>
      <c r="AH930" s="353" t="str">
        <f t="shared" si="87"/>
        <v/>
      </c>
      <c r="AI930" s="3" t="str">
        <f t="shared" si="88"/>
        <v>58</v>
      </c>
      <c r="AJ930" s="64" t="e">
        <f>VLOOKUP(T930,'GL Name'!A:B,2,0)</f>
        <v>#N/A</v>
      </c>
      <c r="AL930" s="13">
        <f t="shared" si="89"/>
        <v>1.1599999999999999</v>
      </c>
      <c r="AM930" s="13" t="e">
        <f>VLOOKUP(I930,'Order 301-305 (เรียง)'!A:B,2,0)</f>
        <v>#N/A</v>
      </c>
      <c r="AN930" t="e">
        <f>VLOOKUP(I930,'Order 301-305 (เรียง)'!A:C,3,0)</f>
        <v>#N/A</v>
      </c>
    </row>
    <row r="931" spans="1:40" x14ac:dyDescent="0.3">
      <c r="A931" s="1" t="s">
        <v>333</v>
      </c>
      <c r="B931" s="1" t="s">
        <v>334</v>
      </c>
      <c r="C931" s="1" t="s">
        <v>64</v>
      </c>
      <c r="D931" s="1" t="s">
        <v>1090</v>
      </c>
      <c r="E931" s="1" t="s">
        <v>1913</v>
      </c>
      <c r="F931" s="1" t="s">
        <v>1997</v>
      </c>
      <c r="G931" s="1" t="s">
        <v>101</v>
      </c>
      <c r="H931" s="1" t="s">
        <v>730</v>
      </c>
      <c r="I931" s="1" t="s">
        <v>68</v>
      </c>
      <c r="J931" s="1" t="s">
        <v>1998</v>
      </c>
      <c r="K931" s="1" t="s">
        <v>84</v>
      </c>
      <c r="L931" s="1" t="s">
        <v>86</v>
      </c>
      <c r="M931" s="1" t="s">
        <v>732</v>
      </c>
      <c r="N931" s="1" t="s">
        <v>71</v>
      </c>
      <c r="O931" s="1" t="s">
        <v>68</v>
      </c>
      <c r="P931" s="1" t="s">
        <v>72</v>
      </c>
      <c r="Q931" s="1" t="s">
        <v>1999</v>
      </c>
      <c r="R931" s="1" t="s">
        <v>68</v>
      </c>
      <c r="S931" s="1" t="s">
        <v>68</v>
      </c>
      <c r="T931" s="1" t="s">
        <v>68</v>
      </c>
      <c r="U931" s="1" t="s">
        <v>733</v>
      </c>
      <c r="V931" s="1" t="s">
        <v>734</v>
      </c>
      <c r="W931" s="1" t="s">
        <v>68</v>
      </c>
      <c r="X931" s="1" t="s">
        <v>732</v>
      </c>
      <c r="Y931" s="73"/>
      <c r="Z931" s="2" t="s">
        <v>241</v>
      </c>
      <c r="AA931" s="3">
        <v>-1500</v>
      </c>
      <c r="AB931" s="4">
        <v>-1740</v>
      </c>
      <c r="AC931" s="73">
        <v>46210</v>
      </c>
      <c r="AD931" s="73">
        <v>46210</v>
      </c>
      <c r="AE931" s="73"/>
      <c r="AF931" s="73">
        <v>46233</v>
      </c>
      <c r="AG931" s="3">
        <v>-1500</v>
      </c>
      <c r="AH931" s="353" t="str">
        <f t="shared" si="87"/>
        <v/>
      </c>
      <c r="AI931" s="3" t="str">
        <f t="shared" si="88"/>
        <v>58</v>
      </c>
      <c r="AJ931" s="64" t="e">
        <f>VLOOKUP(T931,'GL Name'!A:B,2,0)</f>
        <v>#N/A</v>
      </c>
      <c r="AL931" s="13">
        <f t="shared" si="89"/>
        <v>1.1599999999999999</v>
      </c>
      <c r="AM931" s="13" t="e">
        <f>VLOOKUP(I931,'Order 301-305 (เรียง)'!A:B,2,0)</f>
        <v>#N/A</v>
      </c>
      <c r="AN931" t="e">
        <f>VLOOKUP(I931,'Order 301-305 (เรียง)'!A:C,3,0)</f>
        <v>#N/A</v>
      </c>
    </row>
    <row r="932" spans="1:40" x14ac:dyDescent="0.3">
      <c r="A932" s="1" t="s">
        <v>19</v>
      </c>
      <c r="B932" s="1" t="s">
        <v>20</v>
      </c>
      <c r="C932" s="1" t="s">
        <v>64</v>
      </c>
      <c r="D932" s="1" t="s">
        <v>115</v>
      </c>
      <c r="E932" s="1" t="s">
        <v>116</v>
      </c>
      <c r="F932" s="1" t="s">
        <v>2000</v>
      </c>
      <c r="G932" s="1" t="s">
        <v>279</v>
      </c>
      <c r="H932" s="1" t="s">
        <v>1885</v>
      </c>
      <c r="I932" s="1" t="s">
        <v>1951</v>
      </c>
      <c r="J932" s="1" t="s">
        <v>2001</v>
      </c>
      <c r="K932" s="1" t="s">
        <v>290</v>
      </c>
      <c r="L932" s="1" t="s">
        <v>70</v>
      </c>
      <c r="M932" s="1" t="s">
        <v>68</v>
      </c>
      <c r="N932" s="1" t="s">
        <v>71</v>
      </c>
      <c r="O932" s="1" t="s">
        <v>68</v>
      </c>
      <c r="P932" s="1" t="s">
        <v>72</v>
      </c>
      <c r="Q932" s="1" t="s">
        <v>68</v>
      </c>
      <c r="R932" s="1" t="s">
        <v>2002</v>
      </c>
      <c r="S932" s="1" t="s">
        <v>68</v>
      </c>
      <c r="T932" s="1" t="s">
        <v>124</v>
      </c>
      <c r="U932" s="1" t="s">
        <v>68</v>
      </c>
      <c r="V932" s="1" t="s">
        <v>68</v>
      </c>
      <c r="W932" s="1" t="s">
        <v>68</v>
      </c>
      <c r="X932" s="1" t="s">
        <v>2003</v>
      </c>
      <c r="Y932" s="73"/>
      <c r="Z932" s="2" t="s">
        <v>80</v>
      </c>
      <c r="AA932" s="3">
        <v>10008</v>
      </c>
      <c r="AB932" s="4">
        <v>1600579.44</v>
      </c>
      <c r="AC932" s="73">
        <v>46230</v>
      </c>
      <c r="AD932" s="73">
        <v>46230</v>
      </c>
      <c r="AE932" s="73"/>
      <c r="AF932" s="73">
        <v>46233</v>
      </c>
      <c r="AG932" s="3">
        <v>10008000</v>
      </c>
      <c r="AH932" s="353" t="str">
        <f t="shared" si="87"/>
        <v>301</v>
      </c>
      <c r="AI932" s="3" t="str">
        <f t="shared" si="88"/>
        <v>57</v>
      </c>
      <c r="AJ932" s="64" t="str">
        <f>VLOOKUP(T932,'GL Name'!A:B,2,0)</f>
        <v>ต้นทุนผลิตโอน Semi</v>
      </c>
      <c r="AL932" s="13">
        <f t="shared" si="89"/>
        <v>159.93</v>
      </c>
      <c r="AM932" s="13" t="str">
        <f>VLOOKUP(I932,'Order 301-305 (เรียง)'!A:B,2,0)</f>
        <v>Semi</v>
      </c>
      <c r="AN932" t="str">
        <f>VLOOKUP(I932,'Order 301-305 (เรียง)'!A:C,3,0)</f>
        <v>Semi เมล็ดกาแฟ</v>
      </c>
    </row>
    <row r="933" spans="1:40" x14ac:dyDescent="0.3">
      <c r="A933" s="1" t="s">
        <v>297</v>
      </c>
      <c r="B933" s="1" t="s">
        <v>298</v>
      </c>
      <c r="C933" s="1" t="s">
        <v>64</v>
      </c>
      <c r="D933" s="1" t="s">
        <v>115</v>
      </c>
      <c r="E933" s="1" t="s">
        <v>130</v>
      </c>
      <c r="F933" s="1" t="s">
        <v>2004</v>
      </c>
      <c r="G933" s="1" t="s">
        <v>101</v>
      </c>
      <c r="H933" s="1" t="s">
        <v>2005</v>
      </c>
      <c r="I933" s="1" t="s">
        <v>68</v>
      </c>
      <c r="J933" s="1" t="s">
        <v>2006</v>
      </c>
      <c r="K933" s="1" t="s">
        <v>84</v>
      </c>
      <c r="L933" s="1" t="s">
        <v>70</v>
      </c>
      <c r="M933" s="1" t="s">
        <v>732</v>
      </c>
      <c r="N933" s="1" t="s">
        <v>71</v>
      </c>
      <c r="O933" s="1" t="s">
        <v>68</v>
      </c>
      <c r="P933" s="1" t="s">
        <v>72</v>
      </c>
      <c r="Q933" s="1" t="s">
        <v>733</v>
      </c>
      <c r="R933" s="1" t="s">
        <v>68</v>
      </c>
      <c r="S933" s="1" t="s">
        <v>68</v>
      </c>
      <c r="T933" s="1" t="s">
        <v>68</v>
      </c>
      <c r="U933" s="1" t="s">
        <v>733</v>
      </c>
      <c r="V933" s="1" t="s">
        <v>734</v>
      </c>
      <c r="W933" s="1" t="s">
        <v>68</v>
      </c>
      <c r="X933" s="1" t="s">
        <v>732</v>
      </c>
      <c r="Y933" s="73"/>
      <c r="Z933" s="2" t="s">
        <v>241</v>
      </c>
      <c r="AA933" s="3">
        <v>4500</v>
      </c>
      <c r="AB933" s="4">
        <v>5220</v>
      </c>
      <c r="AC933" s="73">
        <v>46209</v>
      </c>
      <c r="AD933" s="73">
        <v>46233</v>
      </c>
      <c r="AE933" s="73"/>
      <c r="AF933" s="73">
        <v>46233</v>
      </c>
      <c r="AG933" s="3">
        <v>4500</v>
      </c>
      <c r="AH933" s="353" t="str">
        <f t="shared" si="87"/>
        <v/>
      </c>
      <c r="AI933" s="3" t="str">
        <f t="shared" si="88"/>
        <v>58</v>
      </c>
      <c r="AJ933" s="64" t="e">
        <f>VLOOKUP(T933,'GL Name'!A:B,2,0)</f>
        <v>#N/A</v>
      </c>
      <c r="AL933" s="13">
        <f t="shared" si="89"/>
        <v>1.1599999999999999</v>
      </c>
      <c r="AM933" s="13" t="e">
        <f>VLOOKUP(I933,'Order 301-305 (เรียง)'!A:B,2,0)</f>
        <v>#N/A</v>
      </c>
      <c r="AN933" t="e">
        <f>VLOOKUP(I933,'Order 301-305 (เรียง)'!A:C,3,0)</f>
        <v>#N/A</v>
      </c>
    </row>
    <row r="934" spans="1:40" x14ac:dyDescent="0.3">
      <c r="A934" s="1" t="s">
        <v>333</v>
      </c>
      <c r="B934" s="1" t="s">
        <v>334</v>
      </c>
      <c r="C934" s="1" t="s">
        <v>64</v>
      </c>
      <c r="D934" s="1" t="s">
        <v>115</v>
      </c>
      <c r="E934" s="1" t="s">
        <v>130</v>
      </c>
      <c r="F934" s="1" t="s">
        <v>2004</v>
      </c>
      <c r="G934" s="1" t="s">
        <v>101</v>
      </c>
      <c r="H934" s="1" t="s">
        <v>2005</v>
      </c>
      <c r="I934" s="1" t="s">
        <v>68</v>
      </c>
      <c r="J934" s="1" t="s">
        <v>2006</v>
      </c>
      <c r="K934" s="1" t="s">
        <v>84</v>
      </c>
      <c r="L934" s="1" t="s">
        <v>86</v>
      </c>
      <c r="M934" s="1" t="s">
        <v>732</v>
      </c>
      <c r="N934" s="1" t="s">
        <v>71</v>
      </c>
      <c r="O934" s="1" t="s">
        <v>68</v>
      </c>
      <c r="P934" s="1" t="s">
        <v>72</v>
      </c>
      <c r="Q934" s="1" t="s">
        <v>733</v>
      </c>
      <c r="R934" s="1" t="s">
        <v>68</v>
      </c>
      <c r="S934" s="1" t="s">
        <v>68</v>
      </c>
      <c r="T934" s="1" t="s">
        <v>68</v>
      </c>
      <c r="U934" s="1" t="s">
        <v>733</v>
      </c>
      <c r="V934" s="1" t="s">
        <v>734</v>
      </c>
      <c r="W934" s="1" t="s">
        <v>68</v>
      </c>
      <c r="X934" s="1" t="s">
        <v>732</v>
      </c>
      <c r="Y934" s="73"/>
      <c r="Z934" s="2" t="s">
        <v>241</v>
      </c>
      <c r="AA934" s="3">
        <v>1500</v>
      </c>
      <c r="AB934" s="4">
        <v>1740</v>
      </c>
      <c r="AC934" s="73">
        <v>46209</v>
      </c>
      <c r="AD934" s="73">
        <v>46233</v>
      </c>
      <c r="AE934" s="73"/>
      <c r="AF934" s="73">
        <v>46233</v>
      </c>
      <c r="AG934" s="3">
        <v>1500</v>
      </c>
      <c r="AH934" s="353" t="str">
        <f t="shared" si="87"/>
        <v/>
      </c>
      <c r="AI934" s="3" t="str">
        <f t="shared" si="88"/>
        <v>58</v>
      </c>
      <c r="AJ934" s="64" t="e">
        <f>VLOOKUP(T934,'GL Name'!A:B,2,0)</f>
        <v>#N/A</v>
      </c>
      <c r="AL934" s="13">
        <f t="shared" si="89"/>
        <v>1.1599999999999999</v>
      </c>
      <c r="AM934" s="13" t="e">
        <f>VLOOKUP(I934,'Order 301-305 (เรียง)'!A:B,2,0)</f>
        <v>#N/A</v>
      </c>
      <c r="AN934" t="e">
        <f>VLOOKUP(I934,'Order 301-305 (เรียง)'!A:C,3,0)</f>
        <v>#N/A</v>
      </c>
    </row>
    <row r="935" spans="1:40" x14ac:dyDescent="0.3">
      <c r="A935" s="1" t="s">
        <v>13</v>
      </c>
      <c r="B935" s="1" t="s">
        <v>14</v>
      </c>
      <c r="C935" s="1" t="s">
        <v>64</v>
      </c>
      <c r="D935" s="1" t="s">
        <v>115</v>
      </c>
      <c r="E935" s="1" t="s">
        <v>116</v>
      </c>
      <c r="F935" s="1" t="s">
        <v>2007</v>
      </c>
      <c r="G935" s="1" t="s">
        <v>279</v>
      </c>
      <c r="H935" s="1" t="s">
        <v>1711</v>
      </c>
      <c r="I935" s="1" t="s">
        <v>1955</v>
      </c>
      <c r="J935" s="1" t="s">
        <v>2008</v>
      </c>
      <c r="K935" s="1" t="s">
        <v>290</v>
      </c>
      <c r="L935" s="1" t="s">
        <v>70</v>
      </c>
      <c r="M935" s="1" t="s">
        <v>68</v>
      </c>
      <c r="N935" s="1" t="s">
        <v>71</v>
      </c>
      <c r="O935" s="1" t="s">
        <v>68</v>
      </c>
      <c r="P935" s="1" t="s">
        <v>72</v>
      </c>
      <c r="Q935" s="1" t="s">
        <v>68</v>
      </c>
      <c r="R935" s="1" t="s">
        <v>1908</v>
      </c>
      <c r="S935" s="1" t="s">
        <v>68</v>
      </c>
      <c r="T935" s="1" t="s">
        <v>124</v>
      </c>
      <c r="U935" s="1" t="s">
        <v>68</v>
      </c>
      <c r="V935" s="1" t="s">
        <v>68</v>
      </c>
      <c r="W935" s="1" t="s">
        <v>68</v>
      </c>
      <c r="X935" s="1" t="s">
        <v>2009</v>
      </c>
      <c r="Y935" s="73"/>
      <c r="Z935" s="2" t="s">
        <v>80</v>
      </c>
      <c r="AA935" s="3">
        <v>7716.18</v>
      </c>
      <c r="AB935" s="4">
        <v>2089850.19</v>
      </c>
      <c r="AC935" s="73">
        <v>46230</v>
      </c>
      <c r="AD935" s="73">
        <v>46230</v>
      </c>
      <c r="AE935" s="73"/>
      <c r="AF935" s="73">
        <v>46233</v>
      </c>
      <c r="AG935" s="3">
        <v>7716180</v>
      </c>
      <c r="AH935" s="353" t="str">
        <f t="shared" ref="AH935:AH938" si="90">LEFT(I935,3)</f>
        <v>301</v>
      </c>
      <c r="AI935" s="3" t="str">
        <f t="shared" ref="AI935:AI938" si="91">LEFT(A935,2)</f>
        <v>57</v>
      </c>
      <c r="AJ935" s="64" t="str">
        <f>VLOOKUP(T935,'GL Name'!A:B,2,0)</f>
        <v>ต้นทุนผลิตโอน Semi</v>
      </c>
      <c r="AL935" s="13">
        <f t="shared" ref="AL935:AL938" si="92">AB935/AA935</f>
        <v>270.83999984448263</v>
      </c>
      <c r="AM935" s="13" t="str">
        <f>VLOOKUP(I935,'Order 301-305 (เรียง)'!A:B,2,0)</f>
        <v>Semi</v>
      </c>
      <c r="AN935" t="str">
        <f>VLOOKUP(I935,'Order 301-305 (เรียง)'!A:C,3,0)</f>
        <v>Semi เมล็ดกาแฟ</v>
      </c>
    </row>
    <row r="936" spans="1:40" x14ac:dyDescent="0.3">
      <c r="A936" s="1" t="s">
        <v>15</v>
      </c>
      <c r="B936" s="1" t="s">
        <v>233</v>
      </c>
      <c r="C936" s="1" t="s">
        <v>64</v>
      </c>
      <c r="D936" s="1" t="s">
        <v>115</v>
      </c>
      <c r="E936" s="1" t="s">
        <v>116</v>
      </c>
      <c r="F936" s="1" t="s">
        <v>2007</v>
      </c>
      <c r="G936" s="1" t="s">
        <v>279</v>
      </c>
      <c r="H936" s="1" t="s">
        <v>1711</v>
      </c>
      <c r="I936" s="1" t="s">
        <v>1955</v>
      </c>
      <c r="J936" s="1" t="s">
        <v>2008</v>
      </c>
      <c r="K936" s="1" t="s">
        <v>290</v>
      </c>
      <c r="L936" s="1" t="s">
        <v>86</v>
      </c>
      <c r="M936" s="1" t="s">
        <v>68</v>
      </c>
      <c r="N936" s="1" t="s">
        <v>71</v>
      </c>
      <c r="O936" s="1" t="s">
        <v>68</v>
      </c>
      <c r="P936" s="1" t="s">
        <v>72</v>
      </c>
      <c r="Q936" s="1" t="s">
        <v>68</v>
      </c>
      <c r="R936" s="1" t="s">
        <v>1908</v>
      </c>
      <c r="S936" s="1" t="s">
        <v>68</v>
      </c>
      <c r="T936" s="1" t="s">
        <v>124</v>
      </c>
      <c r="U936" s="1" t="s">
        <v>68</v>
      </c>
      <c r="V936" s="1" t="s">
        <v>68</v>
      </c>
      <c r="W936" s="1" t="s">
        <v>68</v>
      </c>
      <c r="X936" s="1" t="s">
        <v>2009</v>
      </c>
      <c r="Y936" s="73"/>
      <c r="Z936" s="2" t="s">
        <v>80</v>
      </c>
      <c r="AA936" s="3">
        <v>221.8</v>
      </c>
      <c r="AB936" s="4">
        <v>60070.09</v>
      </c>
      <c r="AC936" s="73">
        <v>46230</v>
      </c>
      <c r="AD936" s="73">
        <v>46230</v>
      </c>
      <c r="AE936" s="73"/>
      <c r="AF936" s="73">
        <v>46233</v>
      </c>
      <c r="AG936" s="3">
        <v>221800</v>
      </c>
      <c r="AH936" s="353" t="str">
        <f t="shared" si="90"/>
        <v>301</v>
      </c>
      <c r="AI936" s="3" t="str">
        <f t="shared" si="91"/>
        <v>57</v>
      </c>
      <c r="AJ936" s="64" t="str">
        <f>VLOOKUP(T936,'GL Name'!A:B,2,0)</f>
        <v>ต้นทุนผลิตโอน Semi</v>
      </c>
      <c r="AL936" s="13">
        <f t="shared" si="92"/>
        <v>270.82998196573487</v>
      </c>
      <c r="AM936" s="13" t="str">
        <f>VLOOKUP(I936,'Order 301-305 (เรียง)'!A:B,2,0)</f>
        <v>Semi</v>
      </c>
      <c r="AN936" t="str">
        <f>VLOOKUP(I936,'Order 301-305 (เรียง)'!A:C,3,0)</f>
        <v>Semi เมล็ดกาแฟ</v>
      </c>
    </row>
    <row r="937" spans="1:40" x14ac:dyDescent="0.3">
      <c r="A937" s="1" t="s">
        <v>104</v>
      </c>
      <c r="B937" s="1" t="s">
        <v>105</v>
      </c>
      <c r="C937" s="1" t="s">
        <v>64</v>
      </c>
      <c r="D937" s="1" t="s">
        <v>115</v>
      </c>
      <c r="E937" s="1" t="s">
        <v>130</v>
      </c>
      <c r="F937" s="1" t="s">
        <v>2010</v>
      </c>
      <c r="G937" s="1" t="s">
        <v>101</v>
      </c>
      <c r="H937" s="1" t="s">
        <v>1989</v>
      </c>
      <c r="I937" s="1" t="s">
        <v>68</v>
      </c>
      <c r="J937" s="1" t="s">
        <v>2011</v>
      </c>
      <c r="K937" s="1" t="s">
        <v>223</v>
      </c>
      <c r="L937" s="1" t="s">
        <v>70</v>
      </c>
      <c r="M937" s="1" t="s">
        <v>2012</v>
      </c>
      <c r="N937" s="1" t="s">
        <v>71</v>
      </c>
      <c r="O937" s="1" t="s">
        <v>68</v>
      </c>
      <c r="P937" s="1" t="s">
        <v>72</v>
      </c>
      <c r="Q937" s="1" t="s">
        <v>2013</v>
      </c>
      <c r="R937" s="1" t="s">
        <v>68</v>
      </c>
      <c r="S937" s="1" t="s">
        <v>68</v>
      </c>
      <c r="T937" s="1" t="s">
        <v>68</v>
      </c>
      <c r="U937" s="1" t="s">
        <v>2013</v>
      </c>
      <c r="V937" s="1" t="s">
        <v>280</v>
      </c>
      <c r="W937" s="1" t="s">
        <v>68</v>
      </c>
      <c r="X937" s="1" t="s">
        <v>2012</v>
      </c>
      <c r="Y937" s="73"/>
      <c r="Z937" s="2" t="s">
        <v>102</v>
      </c>
      <c r="AA937" s="3">
        <v>4000</v>
      </c>
      <c r="AB937" s="4">
        <v>20000</v>
      </c>
      <c r="AC937" s="73">
        <v>46233</v>
      </c>
      <c r="AD937" s="73">
        <v>46233</v>
      </c>
      <c r="AE937" s="73"/>
      <c r="AF937" s="73">
        <v>46233</v>
      </c>
      <c r="AG937" s="3">
        <v>4000</v>
      </c>
      <c r="AH937" s="353" t="str">
        <f t="shared" si="90"/>
        <v/>
      </c>
      <c r="AI937" s="3" t="str">
        <f t="shared" si="91"/>
        <v>58</v>
      </c>
      <c r="AJ937" s="64" t="e">
        <f>VLOOKUP(T937,'GL Name'!A:B,2,0)</f>
        <v>#N/A</v>
      </c>
      <c r="AL937" s="13">
        <f t="shared" si="92"/>
        <v>5</v>
      </c>
      <c r="AM937" s="13" t="e">
        <f>VLOOKUP(I937,'Order 301-305 (เรียง)'!A:B,2,0)</f>
        <v>#N/A</v>
      </c>
      <c r="AN937" t="e">
        <f>VLOOKUP(I937,'Order 301-305 (เรียง)'!A:C,3,0)</f>
        <v>#N/A</v>
      </c>
    </row>
    <row r="938" spans="1:40" x14ac:dyDescent="0.3">
      <c r="A938" s="1" t="s">
        <v>13</v>
      </c>
      <c r="B938" s="1" t="s">
        <v>14</v>
      </c>
      <c r="C938" s="1" t="s">
        <v>64</v>
      </c>
      <c r="D938" s="1" t="s">
        <v>115</v>
      </c>
      <c r="E938" s="1" t="s">
        <v>116</v>
      </c>
      <c r="F938" s="1" t="s">
        <v>2071</v>
      </c>
      <c r="G938" s="1" t="s">
        <v>279</v>
      </c>
      <c r="H938" s="1" t="s">
        <v>2059</v>
      </c>
      <c r="I938" s="1" t="s">
        <v>2065</v>
      </c>
      <c r="J938" s="1" t="s">
        <v>2072</v>
      </c>
      <c r="K938" s="1" t="s">
        <v>290</v>
      </c>
      <c r="L938" s="1" t="s">
        <v>70</v>
      </c>
      <c r="M938" s="1" t="s">
        <v>68</v>
      </c>
      <c r="N938" s="1" t="s">
        <v>71</v>
      </c>
      <c r="O938" s="1" t="s">
        <v>68</v>
      </c>
      <c r="P938" s="1" t="s">
        <v>72</v>
      </c>
      <c r="Q938" s="1" t="s">
        <v>68</v>
      </c>
      <c r="R938" s="1" t="s">
        <v>2073</v>
      </c>
      <c r="S938" s="1" t="s">
        <v>68</v>
      </c>
      <c r="T938" s="1" t="s">
        <v>124</v>
      </c>
      <c r="U938" s="1" t="s">
        <v>68</v>
      </c>
      <c r="V938" s="1" t="s">
        <v>68</v>
      </c>
      <c r="W938" s="1" t="s">
        <v>68</v>
      </c>
      <c r="X938" s="1" t="s">
        <v>2074</v>
      </c>
      <c r="Y938" s="73"/>
      <c r="Z938" s="2" t="s">
        <v>80</v>
      </c>
      <c r="AA938" s="3">
        <v>9961</v>
      </c>
      <c r="AB938" s="4">
        <v>2697837.24</v>
      </c>
      <c r="AC938" s="73">
        <v>46234</v>
      </c>
      <c r="AD938" s="73">
        <v>46234</v>
      </c>
      <c r="AE938" s="73"/>
      <c r="AF938" s="73">
        <v>46234</v>
      </c>
      <c r="AG938" s="3">
        <v>9961000</v>
      </c>
      <c r="AH938" s="353" t="str">
        <f t="shared" si="90"/>
        <v>301</v>
      </c>
      <c r="AI938" s="3" t="str">
        <f t="shared" si="91"/>
        <v>57</v>
      </c>
      <c r="AJ938" s="64" t="str">
        <f>VLOOKUP(T938,'GL Name'!A:B,2,0)</f>
        <v>ต้นทุนผลิตโอน Semi</v>
      </c>
      <c r="AL938" s="13">
        <f t="shared" si="92"/>
        <v>270.84000000000003</v>
      </c>
      <c r="AM938" s="13" t="str">
        <f>VLOOKUP(I938,'Order 301-305 (เรียง)'!A:B,2,0)</f>
        <v>Semi</v>
      </c>
      <c r="AN938" t="str">
        <f>VLOOKUP(I938,'Order 301-305 (เรียง)'!A:C,3,0)</f>
        <v>Semi เมล็ดกาแฟ</v>
      </c>
    </row>
  </sheetData>
  <autoFilter ref="A1:AO938" xr:uid="{1F7030DD-FFDE-4F87-8639-AE4A67B61430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C414-9F5A-46E8-B2AC-899F2447CB9B}">
  <sheetPr codeName="Sheet25"/>
  <dimension ref="A1:C14"/>
  <sheetViews>
    <sheetView showGridLines="0" workbookViewId="0">
      <selection activeCell="J13" sqref="J13"/>
    </sheetView>
  </sheetViews>
  <sheetFormatPr defaultRowHeight="14" x14ac:dyDescent="0.3"/>
  <cols>
    <col min="2" max="2" width="24.5" bestFit="1" customWidth="1"/>
  </cols>
  <sheetData>
    <row r="1" spans="1:3" x14ac:dyDescent="0.3">
      <c r="A1" s="2" t="s">
        <v>73</v>
      </c>
      <c r="B1" t="s">
        <v>176</v>
      </c>
      <c r="C1">
        <v>328</v>
      </c>
    </row>
    <row r="2" spans="1:3" x14ac:dyDescent="0.3">
      <c r="A2" s="2" t="s">
        <v>117</v>
      </c>
      <c r="B2" t="s">
        <v>177</v>
      </c>
      <c r="C2">
        <v>328</v>
      </c>
    </row>
    <row r="3" spans="1:3" x14ac:dyDescent="0.3">
      <c r="A3" s="2" t="s">
        <v>123</v>
      </c>
      <c r="B3" t="s">
        <v>178</v>
      </c>
      <c r="C3">
        <v>328</v>
      </c>
    </row>
    <row r="4" spans="1:3" x14ac:dyDescent="0.3">
      <c r="A4" s="2" t="s">
        <v>124</v>
      </c>
      <c r="B4" t="s">
        <v>179</v>
      </c>
      <c r="C4">
        <v>328</v>
      </c>
    </row>
    <row r="5" spans="1:3" x14ac:dyDescent="0.3">
      <c r="A5" s="2" t="s">
        <v>79</v>
      </c>
      <c r="B5" t="s">
        <v>180</v>
      </c>
      <c r="C5">
        <v>328</v>
      </c>
    </row>
    <row r="6" spans="1:3" x14ac:dyDescent="0.3">
      <c r="A6" s="2" t="s">
        <v>108</v>
      </c>
      <c r="B6" t="s">
        <v>181</v>
      </c>
      <c r="C6">
        <v>328</v>
      </c>
    </row>
    <row r="7" spans="1:3" x14ac:dyDescent="0.3">
      <c r="A7" s="2" t="s">
        <v>91</v>
      </c>
      <c r="B7" t="s">
        <v>182</v>
      </c>
      <c r="C7">
        <v>328</v>
      </c>
    </row>
    <row r="8" spans="1:3" x14ac:dyDescent="0.3">
      <c r="A8" s="2" t="s">
        <v>184</v>
      </c>
      <c r="B8" t="s">
        <v>185</v>
      </c>
      <c r="C8">
        <v>328</v>
      </c>
    </row>
    <row r="9" spans="1:3" s="75" customFormat="1" x14ac:dyDescent="0.3">
      <c r="A9" s="75" t="s">
        <v>110</v>
      </c>
      <c r="B9" s="75" t="s">
        <v>183</v>
      </c>
      <c r="C9" s="75">
        <v>328</v>
      </c>
    </row>
    <row r="10" spans="1:3" s="75" customFormat="1" x14ac:dyDescent="0.3">
      <c r="A10" s="75" t="s">
        <v>99</v>
      </c>
      <c r="B10" s="75" t="s">
        <v>186</v>
      </c>
      <c r="C10" s="75">
        <v>328</v>
      </c>
    </row>
    <row r="11" spans="1:3" s="75" customFormat="1" x14ac:dyDescent="0.3">
      <c r="A11" s="75" t="s">
        <v>175</v>
      </c>
      <c r="B11" s="75" t="s">
        <v>187</v>
      </c>
      <c r="C11" s="75">
        <v>321</v>
      </c>
    </row>
    <row r="12" spans="1:3" x14ac:dyDescent="0.3">
      <c r="A12" t="s">
        <v>100</v>
      </c>
      <c r="B12" t="s">
        <v>188</v>
      </c>
      <c r="C12">
        <v>321</v>
      </c>
    </row>
    <row r="13" spans="1:3" x14ac:dyDescent="0.3">
      <c r="A13" t="s">
        <v>189</v>
      </c>
      <c r="B13" t="s">
        <v>190</v>
      </c>
      <c r="C13">
        <v>321</v>
      </c>
    </row>
    <row r="14" spans="1:3" x14ac:dyDescent="0.3">
      <c r="A14" t="s">
        <v>568</v>
      </c>
      <c r="B14" t="s">
        <v>1168</v>
      </c>
      <c r="C14" s="75">
        <v>328</v>
      </c>
    </row>
  </sheetData>
  <sortState xmlns:xlrd2="http://schemas.microsoft.com/office/spreadsheetml/2017/richdata2" ref="A1:A8">
    <sortCondition ref="A1:A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498C4-27DA-4E27-A667-560B2AC90E5F}">
  <sheetPr codeName="Sheet9">
    <tabColor rgb="FFFF0000"/>
  </sheetPr>
  <dimension ref="A1:W145"/>
  <sheetViews>
    <sheetView showGridLines="0" tabSelected="1" zoomScale="70" zoomScaleNormal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K23" sqref="K23"/>
    </sheetView>
  </sheetViews>
  <sheetFormatPr defaultRowHeight="14" x14ac:dyDescent="0.3"/>
  <cols>
    <col min="1" max="1" width="19.6640625" bestFit="1" customWidth="1"/>
    <col min="2" max="2" width="12.08203125" bestFit="1" customWidth="1"/>
    <col min="3" max="3" width="30.58203125" bestFit="1" customWidth="1"/>
    <col min="4" max="4" width="7.58203125" bestFit="1" customWidth="1"/>
    <col min="5" max="5" width="22.5" style="7" bestFit="1" customWidth="1"/>
    <col min="6" max="6" width="22.33203125" style="7" bestFit="1" customWidth="1"/>
    <col min="7" max="7" width="12.33203125" style="12" customWidth="1"/>
    <col min="8" max="8" width="14.83203125" customWidth="1"/>
    <col min="9" max="9" width="10.6640625" style="7" customWidth="1"/>
    <col min="10" max="10" width="8.75" style="7" customWidth="1"/>
    <col min="11" max="11" width="16.1640625" style="7" customWidth="1"/>
    <col min="12" max="12" width="12.75" style="7" customWidth="1"/>
    <col min="13" max="13" width="11.6640625" style="7" bestFit="1" customWidth="1"/>
    <col min="14" max="14" width="10.25" customWidth="1"/>
    <col min="15" max="15" width="9.6640625" customWidth="1"/>
    <col min="16" max="16" width="25.5" style="66" bestFit="1" customWidth="1"/>
    <col min="17" max="17" width="16.08203125" customWidth="1"/>
    <col min="20" max="20" width="35.83203125" bestFit="1" customWidth="1"/>
    <col min="21" max="21" width="1.5" customWidth="1"/>
    <col min="22" max="22" width="11.58203125" bestFit="1" customWidth="1"/>
    <col min="23" max="23" width="9.5" bestFit="1" customWidth="1"/>
  </cols>
  <sheetData>
    <row r="1" spans="1:23" s="16" customFormat="1" x14ac:dyDescent="0.3">
      <c r="A1" s="400" t="s">
        <v>58</v>
      </c>
      <c r="B1" s="16" t="s">
        <v>125</v>
      </c>
      <c r="C1" s="35" t="s">
        <v>134</v>
      </c>
      <c r="E1" s="12"/>
      <c r="F1" s="12"/>
      <c r="G1" s="12"/>
      <c r="I1" s="12"/>
      <c r="J1" s="12"/>
      <c r="K1" s="12"/>
      <c r="L1" s="12"/>
      <c r="M1" s="12"/>
      <c r="P1" s="58"/>
      <c r="Q1" s="98" t="s">
        <v>198</v>
      </c>
      <c r="R1" s="135"/>
    </row>
    <row r="2" spans="1:23" x14ac:dyDescent="0.3">
      <c r="Q2" s="136"/>
      <c r="R2" s="137"/>
    </row>
    <row r="3" spans="1:23" ht="42" x14ac:dyDescent="0.3">
      <c r="A3" s="5" t="s">
        <v>135</v>
      </c>
      <c r="B3" s="5" t="s">
        <v>25</v>
      </c>
      <c r="C3" s="5" t="s">
        <v>26</v>
      </c>
      <c r="D3" s="5" t="s">
        <v>50</v>
      </c>
      <c r="E3" t="s">
        <v>211</v>
      </c>
      <c r="F3" t="s">
        <v>213</v>
      </c>
      <c r="G3" s="11" t="s">
        <v>136</v>
      </c>
      <c r="H3" s="91" t="s">
        <v>137</v>
      </c>
      <c r="I3" s="11" t="s">
        <v>138</v>
      </c>
      <c r="J3" s="11" t="s">
        <v>139</v>
      </c>
      <c r="K3" s="11" t="s">
        <v>140</v>
      </c>
      <c r="L3" s="100" t="s">
        <v>201</v>
      </c>
      <c r="M3" s="134" t="s">
        <v>202</v>
      </c>
      <c r="N3" s="155" t="s">
        <v>317</v>
      </c>
      <c r="O3" s="155" t="s">
        <v>318</v>
      </c>
      <c r="P3" s="185" t="s">
        <v>236</v>
      </c>
      <c r="Q3" s="368" t="s">
        <v>1162</v>
      </c>
      <c r="V3" s="8" t="s">
        <v>141</v>
      </c>
    </row>
    <row r="4" spans="1:23" x14ac:dyDescent="0.3">
      <c r="A4" s="349" t="s">
        <v>451</v>
      </c>
      <c r="B4" s="6" t="s">
        <v>9</v>
      </c>
      <c r="C4" s="6" t="s">
        <v>10</v>
      </c>
      <c r="D4" s="6" t="s">
        <v>80</v>
      </c>
      <c r="E4" s="9">
        <v>-10030.5</v>
      </c>
      <c r="F4" s="9">
        <v>-2646750.23</v>
      </c>
      <c r="G4" s="136">
        <f>E5+E6</f>
        <v>10025</v>
      </c>
      <c r="H4" s="93">
        <f>E4/$E$4</f>
        <v>1</v>
      </c>
      <c r="I4" s="77">
        <f>F4/E4</f>
        <v>263.87021883256068</v>
      </c>
      <c r="J4" s="32"/>
      <c r="K4" s="32"/>
      <c r="L4" s="32"/>
      <c r="M4" s="12"/>
      <c r="N4" s="92"/>
      <c r="O4" s="92"/>
      <c r="P4" s="333"/>
      <c r="Q4" s="40">
        <v>101</v>
      </c>
      <c r="S4" s="88" t="s">
        <v>9</v>
      </c>
      <c r="T4" s="88" t="s">
        <v>10</v>
      </c>
      <c r="V4" s="13">
        <f>SUMIF(B:B,S4,E:E)</f>
        <v>-211394.09999999998</v>
      </c>
    </row>
    <row r="5" spans="1:23" x14ac:dyDescent="0.3">
      <c r="B5" s="6" t="s">
        <v>13</v>
      </c>
      <c r="C5" s="6" t="s">
        <v>14</v>
      </c>
      <c r="D5" s="6" t="s">
        <v>80</v>
      </c>
      <c r="E5" s="9">
        <v>9853.2000000000007</v>
      </c>
      <c r="F5" s="9">
        <v>2658294.83</v>
      </c>
      <c r="H5" s="95">
        <f>E5/$E$4</f>
        <v>-0.98232391206819214</v>
      </c>
      <c r="I5" s="77">
        <f>F5/E5</f>
        <v>269.79000020297974</v>
      </c>
      <c r="J5" s="45">
        <v>80</v>
      </c>
      <c r="K5" s="45">
        <f>-F4*J5/J7</f>
        <v>2551084.5590361445</v>
      </c>
      <c r="L5" s="123">
        <f>K5/E5</f>
        <v>258.90924359965743</v>
      </c>
      <c r="M5" s="348">
        <f>ROUND(H5,2)</f>
        <v>-0.98</v>
      </c>
      <c r="N5" s="93"/>
      <c r="O5" s="93"/>
      <c r="P5" s="338"/>
      <c r="S5" s="88" t="s">
        <v>11</v>
      </c>
      <c r="T5" s="88" t="s">
        <v>12</v>
      </c>
      <c r="V5" s="13">
        <f>SUMIF(B:B,S5,E:E)</f>
        <v>0</v>
      </c>
    </row>
    <row r="6" spans="1:23" x14ac:dyDescent="0.3">
      <c r="B6" s="6" t="s">
        <v>15</v>
      </c>
      <c r="C6" s="6" t="s">
        <v>233</v>
      </c>
      <c r="D6" s="6" t="s">
        <v>80</v>
      </c>
      <c r="E6" s="9">
        <v>171.8</v>
      </c>
      <c r="F6" s="9">
        <v>46349.919999999998</v>
      </c>
      <c r="H6" s="95">
        <f>E6/$E$4</f>
        <v>-1.712776033099048E-2</v>
      </c>
      <c r="I6" s="77">
        <f>F6/E6</f>
        <v>269.78998835855646</v>
      </c>
      <c r="J6" s="45">
        <v>3</v>
      </c>
      <c r="K6" s="45">
        <f>-F4*J6/J7</f>
        <v>95665.670963855417</v>
      </c>
      <c r="L6" s="123">
        <f>K6/E6</f>
        <v>556.8432535730816</v>
      </c>
      <c r="M6" s="348">
        <f>ROUND(H6,2)</f>
        <v>-0.02</v>
      </c>
      <c r="N6" s="93"/>
      <c r="O6" s="93"/>
      <c r="P6" s="338"/>
      <c r="S6" s="88" t="s">
        <v>13</v>
      </c>
      <c r="T6" s="88" t="s">
        <v>14</v>
      </c>
      <c r="V6" s="13">
        <f>SUMIF(B:B,S6,E:E)</f>
        <v>208695.08000000002</v>
      </c>
    </row>
    <row r="7" spans="1:23" x14ac:dyDescent="0.3">
      <c r="A7" s="6" t="s">
        <v>743</v>
      </c>
      <c r="E7" s="9">
        <v>-5.499999999999261</v>
      </c>
      <c r="F7" s="9">
        <v>57894.520000000091</v>
      </c>
      <c r="G7" s="46"/>
      <c r="H7" s="94">
        <f>E7/$E$4</f>
        <v>5.4832760081743295E-4</v>
      </c>
      <c r="I7" s="78"/>
      <c r="J7" s="46">
        <f>SUM(J5:J6)</f>
        <v>83</v>
      </c>
      <c r="K7" s="46">
        <f>SUM(K5:K6)</f>
        <v>2646750.23</v>
      </c>
      <c r="L7" s="46"/>
      <c r="M7" s="332">
        <f>SUM(M5:M6)</f>
        <v>-1</v>
      </c>
      <c r="N7" s="94">
        <f>SUM(H5:H6)</f>
        <v>-0.99945167239918264</v>
      </c>
      <c r="O7" s="94">
        <f>-100%-N7</f>
        <v>-5.4832760081735543E-4</v>
      </c>
      <c r="P7" s="373" t="s">
        <v>222</v>
      </c>
      <c r="Q7" s="374"/>
      <c r="S7" s="88" t="s">
        <v>15</v>
      </c>
      <c r="T7" s="88" t="s">
        <v>16</v>
      </c>
      <c r="V7" s="13">
        <f>SUMIF(B:B,S7,E:E)</f>
        <v>2111.0000000000005</v>
      </c>
      <c r="W7" s="9">
        <f>SUM(V4:V7)</f>
        <v>-588.01999999995996</v>
      </c>
    </row>
    <row r="8" spans="1:23" x14ac:dyDescent="0.3">
      <c r="A8" s="349" t="s">
        <v>462</v>
      </c>
      <c r="B8" s="6" t="s">
        <v>17</v>
      </c>
      <c r="C8" s="339" t="s">
        <v>18</v>
      </c>
      <c r="D8" s="6" t="s">
        <v>80</v>
      </c>
      <c r="E8" s="9">
        <v>-10045.799999999999</v>
      </c>
      <c r="F8" s="9">
        <v>-1565128.31</v>
      </c>
      <c r="G8" s="136">
        <f>+E9+E10</f>
        <v>10030.200000000001</v>
      </c>
      <c r="H8" s="93">
        <f>E8/$E$8</f>
        <v>1</v>
      </c>
      <c r="I8" s="77">
        <f>F8/E8</f>
        <v>155.79927034183441</v>
      </c>
      <c r="J8" s="32"/>
      <c r="K8" s="32"/>
      <c r="L8" s="32"/>
      <c r="N8" s="93"/>
      <c r="O8" s="93"/>
      <c r="P8" s="333"/>
      <c r="Q8" s="40">
        <v>101</v>
      </c>
    </row>
    <row r="9" spans="1:23" x14ac:dyDescent="0.3">
      <c r="B9" s="6" t="s">
        <v>19</v>
      </c>
      <c r="C9" s="6" t="s">
        <v>20</v>
      </c>
      <c r="D9" s="6" t="s">
        <v>80</v>
      </c>
      <c r="E9" s="9">
        <v>9891</v>
      </c>
      <c r="F9" s="9">
        <v>1588692.42</v>
      </c>
      <c r="H9" s="93">
        <f>E9/$E$8</f>
        <v>-0.984590575165741</v>
      </c>
      <c r="I9" s="77">
        <f>F9/E9</f>
        <v>160.62</v>
      </c>
      <c r="J9" s="346">
        <v>95</v>
      </c>
      <c r="K9" s="32">
        <f>-F8*J9/J11</f>
        <v>1517216.2188775511</v>
      </c>
      <c r="L9" s="32">
        <f>K9/E9</f>
        <v>153.39361226140443</v>
      </c>
      <c r="M9" s="348">
        <f>ROUND(H9,2)</f>
        <v>-0.98</v>
      </c>
      <c r="P9" s="347"/>
      <c r="S9" s="88" t="s">
        <v>17</v>
      </c>
      <c r="T9" s="88" t="s">
        <v>18</v>
      </c>
      <c r="V9" s="13">
        <f>SUMIF(B:B,S9,E:E)</f>
        <v>-58005.200000000004</v>
      </c>
    </row>
    <row r="10" spans="1:23" x14ac:dyDescent="0.3">
      <c r="B10" s="6" t="s">
        <v>21</v>
      </c>
      <c r="C10" s="6" t="s">
        <v>234</v>
      </c>
      <c r="D10" s="6" t="s">
        <v>80</v>
      </c>
      <c r="E10" s="9">
        <v>139.19999999999999</v>
      </c>
      <c r="F10" s="9">
        <v>22358.3</v>
      </c>
      <c r="H10" s="93">
        <f>E10/$E$8</f>
        <v>-1.385653706026399E-2</v>
      </c>
      <c r="I10" s="77">
        <f>F10/E10</f>
        <v>160.61997126436782</v>
      </c>
      <c r="J10" s="346">
        <v>3</v>
      </c>
      <c r="K10" s="32">
        <f>-F8*J10/J11</f>
        <v>47912.091122448976</v>
      </c>
      <c r="L10" s="32">
        <f>K10/E10</f>
        <v>344.19605691414495</v>
      </c>
      <c r="M10" s="348">
        <f>ROUND(H10,2)</f>
        <v>-0.01</v>
      </c>
      <c r="N10" s="93"/>
      <c r="O10" s="93"/>
      <c r="P10" s="333"/>
      <c r="S10" s="88" t="s">
        <v>19</v>
      </c>
      <c r="T10" s="88" t="s">
        <v>20</v>
      </c>
      <c r="V10" s="13">
        <f>SUMIF(B:B,S10,E:E)</f>
        <v>57440.92</v>
      </c>
    </row>
    <row r="11" spans="1:23" x14ac:dyDescent="0.3">
      <c r="A11" s="6" t="s">
        <v>744</v>
      </c>
      <c r="E11" s="9">
        <v>-15.599999999999284</v>
      </c>
      <c r="F11" s="9">
        <v>45922.409999999873</v>
      </c>
      <c r="G11" s="46"/>
      <c r="H11" s="94">
        <f>E11/$E$8</f>
        <v>1.5528877739950312E-3</v>
      </c>
      <c r="I11" s="78"/>
      <c r="J11" s="46">
        <f>SUM(J9:J10)</f>
        <v>98</v>
      </c>
      <c r="K11" s="46">
        <f>SUM(K9:K10)</f>
        <v>1565128.31</v>
      </c>
      <c r="L11" s="46"/>
      <c r="M11" s="332">
        <f>SUM(M9:M10)</f>
        <v>-0.99</v>
      </c>
      <c r="N11" s="94">
        <f>SUM(H9:H10)</f>
        <v>-0.99844711222600502</v>
      </c>
      <c r="O11" s="94">
        <f>-100%-N11</f>
        <v>-1.552887773994982E-3</v>
      </c>
      <c r="P11" s="373" t="s">
        <v>222</v>
      </c>
      <c r="Q11" s="374"/>
      <c r="S11" s="88" t="s">
        <v>21</v>
      </c>
      <c r="T11" s="88" t="s">
        <v>22</v>
      </c>
      <c r="V11" s="13">
        <f>SUMIF(B:B,S11,E:E)</f>
        <v>399.29999999999995</v>
      </c>
      <c r="W11" s="9">
        <f>SUM(V9:V11)</f>
        <v>-164.98000000000616</v>
      </c>
    </row>
    <row r="12" spans="1:23" x14ac:dyDescent="0.3">
      <c r="A12" s="349" t="s">
        <v>477</v>
      </c>
      <c r="B12" s="6" t="s">
        <v>9</v>
      </c>
      <c r="C12" s="6" t="s">
        <v>10</v>
      </c>
      <c r="D12" s="6" t="s">
        <v>80</v>
      </c>
      <c r="E12" s="9">
        <v>-15116.199999999999</v>
      </c>
      <c r="F12" s="9">
        <v>-3988715.0100000002</v>
      </c>
      <c r="G12" s="136">
        <f>+E13+E14</f>
        <v>15042.119999999999</v>
      </c>
      <c r="H12" s="95">
        <f>E12/$E$12</f>
        <v>1</v>
      </c>
      <c r="I12" s="79">
        <f>F12/E12</f>
        <v>263.87021936730133</v>
      </c>
      <c r="J12" s="45"/>
      <c r="K12" s="45"/>
      <c r="L12" s="45"/>
      <c r="N12" s="93"/>
      <c r="O12" s="93"/>
      <c r="P12" s="333"/>
      <c r="Q12" s="40">
        <v>101</v>
      </c>
    </row>
    <row r="13" spans="1:23" x14ac:dyDescent="0.3">
      <c r="B13" s="6" t="s">
        <v>13</v>
      </c>
      <c r="C13" s="6" t="s">
        <v>14</v>
      </c>
      <c r="D13" s="6" t="s">
        <v>80</v>
      </c>
      <c r="E13" s="9">
        <v>14667.22</v>
      </c>
      <c r="F13" s="9">
        <v>3957069.28</v>
      </c>
      <c r="H13" s="95">
        <f>E13/$E$12</f>
        <v>-0.97029809079001339</v>
      </c>
      <c r="I13" s="79">
        <f>F13/E13</f>
        <v>269.78999974091886</v>
      </c>
      <c r="J13" s="45">
        <v>80</v>
      </c>
      <c r="K13" s="45">
        <f>-F12*J13/J15</f>
        <v>3844544.5879518073</v>
      </c>
      <c r="L13" s="123">
        <f>K13/E13</f>
        <v>262.11815108465049</v>
      </c>
      <c r="M13" s="348">
        <f>ROUND(H13,2)</f>
        <v>-0.97</v>
      </c>
      <c r="N13" s="95"/>
      <c r="O13" s="95"/>
      <c r="P13" s="340"/>
    </row>
    <row r="14" spans="1:23" x14ac:dyDescent="0.3">
      <c r="B14" s="6" t="s">
        <v>15</v>
      </c>
      <c r="C14" s="6" t="s">
        <v>233</v>
      </c>
      <c r="D14" s="6" t="s">
        <v>80</v>
      </c>
      <c r="E14" s="9">
        <v>374.9</v>
      </c>
      <c r="F14" s="9">
        <v>101144.27</v>
      </c>
      <c r="H14" s="95">
        <f>E14/$E$12</f>
        <v>-2.4801206652465567E-2</v>
      </c>
      <c r="I14" s="79">
        <f>F14/E14</f>
        <v>269.78999733262208</v>
      </c>
      <c r="J14" s="45">
        <v>3</v>
      </c>
      <c r="K14" s="45">
        <f>-F12*J14/J15</f>
        <v>144170.42204819279</v>
      </c>
      <c r="L14" s="123">
        <f>K14/E14</f>
        <v>384.55700733046893</v>
      </c>
      <c r="M14" s="348">
        <f>ROUND(H14,2)</f>
        <v>-0.02</v>
      </c>
      <c r="P14" s="121"/>
    </row>
    <row r="15" spans="1:23" x14ac:dyDescent="0.3">
      <c r="A15" s="6" t="s">
        <v>745</v>
      </c>
      <c r="E15" s="9">
        <v>-74.079999999999586</v>
      </c>
      <c r="F15" s="9">
        <v>69498.539999999557</v>
      </c>
      <c r="G15" s="46"/>
      <c r="H15" s="94">
        <f>E15/$E$12</f>
        <v>4.9007025575210431E-3</v>
      </c>
      <c r="I15" s="78"/>
      <c r="J15" s="46">
        <f>SUM(J13:J14)</f>
        <v>83</v>
      </c>
      <c r="K15" s="46">
        <f>SUM(K13:K13)</f>
        <v>3844544.5879518073</v>
      </c>
      <c r="L15" s="46"/>
      <c r="M15" s="332">
        <f>SUM(M13:M14)</f>
        <v>-0.99</v>
      </c>
      <c r="N15" s="94">
        <f>SUM(H13:H14)</f>
        <v>-0.99509929744247894</v>
      </c>
      <c r="O15" s="94">
        <f>-100%-N15</f>
        <v>-4.9007025575210639E-3</v>
      </c>
      <c r="P15" s="373" t="s">
        <v>222</v>
      </c>
      <c r="Q15" s="374"/>
      <c r="S15" s="89" t="s">
        <v>142</v>
      </c>
    </row>
    <row r="16" spans="1:23" x14ac:dyDescent="0.3">
      <c r="A16" s="349" t="s">
        <v>589</v>
      </c>
      <c r="B16" s="6" t="s">
        <v>9</v>
      </c>
      <c r="C16" s="6" t="s">
        <v>10</v>
      </c>
      <c r="D16" s="6" t="s">
        <v>80</v>
      </c>
      <c r="E16" s="9">
        <v>-14936.9</v>
      </c>
      <c r="F16" s="9">
        <v>-3941403.08</v>
      </c>
      <c r="G16" s="136">
        <f>+E17</f>
        <v>14889.54</v>
      </c>
      <c r="H16" s="93">
        <f>E16/$E$16</f>
        <v>1</v>
      </c>
      <c r="I16" s="77">
        <f>F16/E16</f>
        <v>263.87021938956548</v>
      </c>
      <c r="J16" s="32"/>
      <c r="K16" s="32"/>
      <c r="L16" s="32"/>
      <c r="N16" s="93"/>
      <c r="O16" s="93"/>
      <c r="P16" s="333"/>
      <c r="Q16" s="40">
        <v>101</v>
      </c>
      <c r="S16" t="s">
        <v>143</v>
      </c>
    </row>
    <row r="17" spans="1:20" x14ac:dyDescent="0.3">
      <c r="B17" s="6" t="s">
        <v>13</v>
      </c>
      <c r="C17" s="6" t="s">
        <v>14</v>
      </c>
      <c r="D17" s="6" t="s">
        <v>80</v>
      </c>
      <c r="E17" s="9">
        <v>14889.54</v>
      </c>
      <c r="F17" s="9">
        <v>4017049</v>
      </c>
      <c r="H17" s="93">
        <f>E17/$E$16</f>
        <v>-0.99682932870943775</v>
      </c>
      <c r="I17" s="77">
        <f>F17/E17</f>
        <v>269.79000022834822</v>
      </c>
      <c r="J17" s="45">
        <v>80</v>
      </c>
      <c r="K17" s="32">
        <f>-F16*J17/J18</f>
        <v>3941403.0799999996</v>
      </c>
      <c r="L17" s="32">
        <f>K17/E17</f>
        <v>264.70952628489528</v>
      </c>
      <c r="M17" s="348">
        <f>ROUND(H17,2)</f>
        <v>-1</v>
      </c>
      <c r="N17" s="95"/>
      <c r="O17" s="95"/>
      <c r="P17" s="340"/>
      <c r="S17" t="s">
        <v>144</v>
      </c>
    </row>
    <row r="18" spans="1:20" x14ac:dyDescent="0.3">
      <c r="A18" s="6" t="s">
        <v>747</v>
      </c>
      <c r="E18" s="9">
        <v>-47.359999999998763</v>
      </c>
      <c r="F18" s="9">
        <v>75645.919999999925</v>
      </c>
      <c r="G18" s="46"/>
      <c r="H18" s="94">
        <f>E18/$E$16</f>
        <v>3.1706712905622161E-3</v>
      </c>
      <c r="I18" s="78"/>
      <c r="J18" s="46">
        <f>SUM(J17)</f>
        <v>80</v>
      </c>
      <c r="K18" s="46">
        <f>SUM(K17:K17)</f>
        <v>3941403.0799999996</v>
      </c>
      <c r="L18" s="46"/>
      <c r="M18" s="332">
        <f>SUM(M17)</f>
        <v>-1</v>
      </c>
      <c r="N18" s="94">
        <f>SUM(H17:H17)</f>
        <v>-0.99682932870943775</v>
      </c>
      <c r="O18" s="94">
        <f>-100%-N18</f>
        <v>-3.1706712905622547E-3</v>
      </c>
      <c r="P18" s="373" t="s">
        <v>222</v>
      </c>
      <c r="Q18" s="343"/>
    </row>
    <row r="19" spans="1:20" x14ac:dyDescent="0.3">
      <c r="A19" s="349" t="s">
        <v>629</v>
      </c>
      <c r="B19" s="6" t="s">
        <v>9</v>
      </c>
      <c r="C19" s="6" t="s">
        <v>10</v>
      </c>
      <c r="D19" s="6" t="s">
        <v>80</v>
      </c>
      <c r="E19" s="9">
        <v>-4012.2</v>
      </c>
      <c r="F19" s="9">
        <v>-1058854.23</v>
      </c>
      <c r="G19" s="136">
        <f>+E20+E21</f>
        <v>3959.2</v>
      </c>
      <c r="H19" s="95">
        <f>E19/$E$19</f>
        <v>1</v>
      </c>
      <c r="I19" s="79">
        <f>F19/E19</f>
        <v>263.9086361597129</v>
      </c>
      <c r="J19" s="45"/>
      <c r="K19" s="45"/>
      <c r="L19" s="45"/>
      <c r="M19" s="184"/>
      <c r="N19" s="95"/>
      <c r="O19" s="95"/>
      <c r="P19" s="340"/>
      <c r="Q19" s="40">
        <v>101</v>
      </c>
    </row>
    <row r="20" spans="1:20" x14ac:dyDescent="0.3">
      <c r="B20" s="6" t="s">
        <v>13</v>
      </c>
      <c r="C20" s="6" t="s">
        <v>14</v>
      </c>
      <c r="D20" s="6" t="s">
        <v>80</v>
      </c>
      <c r="E20" s="9">
        <v>3861</v>
      </c>
      <c r="F20" s="9">
        <v>1041556.0800000001</v>
      </c>
      <c r="H20" s="95">
        <f>E20/$E$19</f>
        <v>-0.96231493943472413</v>
      </c>
      <c r="I20" s="79">
        <f>F20/E20</f>
        <v>269.76329448329449</v>
      </c>
      <c r="J20" s="45">
        <v>80</v>
      </c>
      <c r="K20" s="45">
        <f>-F19*J20/J22</f>
        <v>1020582.3903614458</v>
      </c>
      <c r="L20" s="32">
        <f>K20/E20</f>
        <v>264.33110343471793</v>
      </c>
      <c r="M20" s="348">
        <f>ROUND(H20,2)</f>
        <v>-0.96</v>
      </c>
      <c r="N20" s="93"/>
      <c r="O20" s="93"/>
      <c r="P20" s="333"/>
    </row>
    <row r="21" spans="1:20" x14ac:dyDescent="0.3">
      <c r="B21" s="6" t="s">
        <v>15</v>
      </c>
      <c r="C21" s="6" t="s">
        <v>233</v>
      </c>
      <c r="D21" s="6" t="s">
        <v>80</v>
      </c>
      <c r="E21" s="9">
        <v>98.2</v>
      </c>
      <c r="F21" s="9">
        <v>26595.51</v>
      </c>
      <c r="H21" s="95">
        <f>E21/$E$19</f>
        <v>-2.447535018194507E-2</v>
      </c>
      <c r="I21" s="79">
        <f>F21/E21</f>
        <v>270.83004073319751</v>
      </c>
      <c r="J21" s="45">
        <v>3</v>
      </c>
      <c r="K21" s="45">
        <f>-F19*J21/J22</f>
        <v>38271.839638554215</v>
      </c>
      <c r="L21" s="32">
        <f>K21/E21</f>
        <v>389.73360120727307</v>
      </c>
      <c r="M21" s="348">
        <f>ROUND(H21,2)</f>
        <v>-0.02</v>
      </c>
      <c r="P21" s="121"/>
    </row>
    <row r="22" spans="1:20" x14ac:dyDescent="0.3">
      <c r="A22" s="6" t="s">
        <v>753</v>
      </c>
      <c r="E22" s="9">
        <v>-52.999999999999815</v>
      </c>
      <c r="F22" s="9">
        <v>9297.3600000000915</v>
      </c>
      <c r="G22" s="46"/>
      <c r="H22" s="94">
        <f>E22/$E$19</f>
        <v>1.3209710383330795E-2</v>
      </c>
      <c r="I22" s="80"/>
      <c r="J22" s="46">
        <f>SUM(J20:J21)</f>
        <v>83</v>
      </c>
      <c r="K22" s="46">
        <f>SUM(K20:K20)</f>
        <v>1020582.3903614458</v>
      </c>
      <c r="L22" s="46"/>
      <c r="M22" s="334">
        <f>SUM(M20:M21)</f>
        <v>-0.98</v>
      </c>
      <c r="N22" s="94">
        <f>SUM(H20:H21)</f>
        <v>-0.98679028961666915</v>
      </c>
      <c r="O22" s="94">
        <f>-100%-N22</f>
        <v>-1.3209710383330853E-2</v>
      </c>
      <c r="P22" s="373" t="s">
        <v>222</v>
      </c>
      <c r="Q22" s="343"/>
    </row>
    <row r="23" spans="1:20" x14ac:dyDescent="0.3">
      <c r="A23" s="349" t="s">
        <v>777</v>
      </c>
      <c r="B23" s="6" t="s">
        <v>17</v>
      </c>
      <c r="C23" s="339" t="s">
        <v>18</v>
      </c>
      <c r="D23" s="6" t="s">
        <v>80</v>
      </c>
      <c r="E23" s="9">
        <v>-9988.2000000000007</v>
      </c>
      <c r="F23" s="9">
        <v>-1556154.27</v>
      </c>
      <c r="G23" s="136">
        <f>+E24+E25</f>
        <v>9923.7200000000012</v>
      </c>
      <c r="H23" s="93">
        <f>E23/$E$23</f>
        <v>1</v>
      </c>
      <c r="I23" s="79">
        <f>F23/E23</f>
        <v>155.79927013876375</v>
      </c>
      <c r="J23" s="32"/>
      <c r="K23" s="32"/>
      <c r="L23" s="32"/>
      <c r="N23" s="93"/>
      <c r="O23" s="93"/>
      <c r="P23" s="333"/>
      <c r="Q23" s="40">
        <v>101</v>
      </c>
    </row>
    <row r="24" spans="1:20" x14ac:dyDescent="0.3">
      <c r="B24" s="6" t="s">
        <v>19</v>
      </c>
      <c r="C24" s="6" t="s">
        <v>20</v>
      </c>
      <c r="D24" s="6" t="s">
        <v>80</v>
      </c>
      <c r="E24" s="9">
        <v>9776.02</v>
      </c>
      <c r="F24" s="9">
        <v>1570224.33</v>
      </c>
      <c r="H24" s="93">
        <f>E24/$E$23</f>
        <v>-0.97875693318115375</v>
      </c>
      <c r="I24" s="79">
        <f>F24/E24</f>
        <v>160.61999975450132</v>
      </c>
      <c r="J24" s="346">
        <v>95</v>
      </c>
      <c r="K24" s="32">
        <f>-F23*J24/J26</f>
        <v>1508516.8943877551</v>
      </c>
      <c r="L24" s="32">
        <f>K24/E24</f>
        <v>154.30787727395762</v>
      </c>
      <c r="M24" s="348">
        <f>ROUND(H24,2)</f>
        <v>-0.98</v>
      </c>
      <c r="N24" s="95"/>
      <c r="O24" s="95"/>
      <c r="P24" s="340"/>
    </row>
    <row r="25" spans="1:20" x14ac:dyDescent="0.3">
      <c r="B25" s="6" t="s">
        <v>21</v>
      </c>
      <c r="C25" s="6" t="s">
        <v>234</v>
      </c>
      <c r="D25" s="6" t="s">
        <v>80</v>
      </c>
      <c r="E25" s="9">
        <v>147.69999999999999</v>
      </c>
      <c r="F25" s="9">
        <v>23723.57</v>
      </c>
      <c r="H25" s="93">
        <f>E25/$E$23</f>
        <v>-1.4787449190044251E-2</v>
      </c>
      <c r="I25" s="79">
        <f>F25/E25</f>
        <v>160.6199729180772</v>
      </c>
      <c r="J25" s="74">
        <v>3</v>
      </c>
      <c r="K25" s="32">
        <f>-F23*J25/J26</f>
        <v>47637.375612244905</v>
      </c>
      <c r="L25" s="32">
        <f>K25/E25</f>
        <v>322.52793237809686</v>
      </c>
      <c r="M25" s="348">
        <f>ROUND(H25,2)</f>
        <v>-0.01</v>
      </c>
      <c r="P25" s="121"/>
      <c r="T25" s="7"/>
    </row>
    <row r="26" spans="1:20" x14ac:dyDescent="0.3">
      <c r="A26" s="6" t="s">
        <v>861</v>
      </c>
      <c r="E26" s="9">
        <v>-64.480000000000302</v>
      </c>
      <c r="F26" s="9">
        <v>37793.630000000056</v>
      </c>
      <c r="G26" s="46"/>
      <c r="H26" s="94">
        <f>E26/$E$23</f>
        <v>6.455617628802016E-3</v>
      </c>
      <c r="I26" s="80"/>
      <c r="J26" s="46">
        <f>SUM(J24:J25)</f>
        <v>98</v>
      </c>
      <c r="K26" s="46">
        <f>SUM(K24:K25)</f>
        <v>1556154.27</v>
      </c>
      <c r="L26" s="46"/>
      <c r="M26" s="334">
        <f>SUM(M24:M25)</f>
        <v>-0.99</v>
      </c>
      <c r="N26" s="94">
        <f>SUM(H24:H25)</f>
        <v>-0.99354438237119802</v>
      </c>
      <c r="O26" s="94">
        <f>-100%-N26</f>
        <v>-6.4556176288019795E-3</v>
      </c>
      <c r="P26" s="373" t="s">
        <v>222</v>
      </c>
      <c r="Q26" s="343"/>
    </row>
    <row r="27" spans="1:20" x14ac:dyDescent="0.3">
      <c r="A27" s="349" t="s">
        <v>814</v>
      </c>
      <c r="B27" s="6" t="s">
        <v>9</v>
      </c>
      <c r="C27" s="6" t="s">
        <v>10</v>
      </c>
      <c r="D27" s="6" t="s">
        <v>80</v>
      </c>
      <c r="E27" s="9">
        <v>-15059.5</v>
      </c>
      <c r="F27" s="9">
        <v>-3973753.57</v>
      </c>
      <c r="G27" s="136">
        <f>+E28+E29</f>
        <v>15030.94</v>
      </c>
      <c r="H27" s="93">
        <f>E27/$E$27</f>
        <v>1</v>
      </c>
      <c r="I27" s="77">
        <f>F27/E27</f>
        <v>263.87021946279754</v>
      </c>
      <c r="J27" s="32"/>
      <c r="K27" s="32"/>
      <c r="L27" s="32"/>
      <c r="N27" s="93"/>
      <c r="O27" s="93"/>
      <c r="P27" s="333"/>
      <c r="Q27" s="40">
        <v>101</v>
      </c>
    </row>
    <row r="28" spans="1:20" x14ac:dyDescent="0.3">
      <c r="B28" s="6" t="s">
        <v>13</v>
      </c>
      <c r="C28" s="6" t="s">
        <v>14</v>
      </c>
      <c r="D28" s="6" t="s">
        <v>80</v>
      </c>
      <c r="E28" s="9">
        <v>14863.74</v>
      </c>
      <c r="F28" s="9">
        <v>4025695.34</v>
      </c>
      <c r="H28" s="93">
        <f>E28/$E$27</f>
        <v>-0.98700089644410505</v>
      </c>
      <c r="I28" s="77">
        <f t="shared" ref="I28:I29" si="0">F28/E28</f>
        <v>270.83999989235548</v>
      </c>
      <c r="J28" s="45">
        <v>80</v>
      </c>
      <c r="K28" s="32">
        <f>-F27*J28/J30</f>
        <v>3830123.9228915661</v>
      </c>
      <c r="L28" s="32">
        <f>K28/E28</f>
        <v>257.6823816140195</v>
      </c>
      <c r="M28" s="348">
        <f>ROUND(H28,2)</f>
        <v>-0.99</v>
      </c>
      <c r="N28" s="93"/>
      <c r="O28" s="93"/>
      <c r="P28" s="333"/>
    </row>
    <row r="29" spans="1:20" x14ac:dyDescent="0.3">
      <c r="B29" s="6" t="s">
        <v>15</v>
      </c>
      <c r="C29" s="6" t="s">
        <v>233</v>
      </c>
      <c r="D29" s="6" t="s">
        <v>80</v>
      </c>
      <c r="E29" s="9">
        <v>167.2</v>
      </c>
      <c r="F29" s="9">
        <v>45282.78</v>
      </c>
      <c r="H29" s="93">
        <f>E29/$E$27</f>
        <v>-1.110262624921146E-2</v>
      </c>
      <c r="I29" s="77">
        <f t="shared" si="0"/>
        <v>270.83002392344497</v>
      </c>
      <c r="J29" s="45">
        <v>3</v>
      </c>
      <c r="K29" s="32">
        <f>-F27*J29/J30</f>
        <v>143629.64710843371</v>
      </c>
      <c r="L29" s="32">
        <f>K29/E29</f>
        <v>859.02898988297682</v>
      </c>
      <c r="M29" s="348">
        <f>ROUND(H29,2)</f>
        <v>-0.01</v>
      </c>
      <c r="P29" s="121"/>
    </row>
    <row r="30" spans="1:20" x14ac:dyDescent="0.3">
      <c r="A30" s="6" t="s">
        <v>862</v>
      </c>
      <c r="E30" s="9">
        <v>-28.56000000000023</v>
      </c>
      <c r="F30" s="9">
        <v>97224.550000000017</v>
      </c>
      <c r="G30" s="46"/>
      <c r="H30" s="94">
        <f>E30/$E$27</f>
        <v>1.896477306683504E-3</v>
      </c>
      <c r="I30" s="80"/>
      <c r="J30" s="46">
        <f>SUM(J28:J29)</f>
        <v>83</v>
      </c>
      <c r="K30" s="46">
        <f>SUM(K28:K29)</f>
        <v>3973753.57</v>
      </c>
      <c r="L30" s="46"/>
      <c r="M30" s="334">
        <f>SUM(M28)</f>
        <v>-0.99</v>
      </c>
      <c r="N30" s="94">
        <f>SUM(H28:H29)</f>
        <v>-0.99810352269331648</v>
      </c>
      <c r="O30" s="94">
        <f>-100%-N30</f>
        <v>-1.8964773066835194E-3</v>
      </c>
      <c r="P30" s="373" t="s">
        <v>222</v>
      </c>
      <c r="Q30" s="343"/>
    </row>
    <row r="31" spans="1:20" x14ac:dyDescent="0.3">
      <c r="A31" s="349" t="s">
        <v>947</v>
      </c>
      <c r="B31" s="6" t="s">
        <v>9</v>
      </c>
      <c r="C31" s="6" t="s">
        <v>10</v>
      </c>
      <c r="D31" s="6" t="s">
        <v>80</v>
      </c>
      <c r="E31" s="9">
        <v>-13021.2</v>
      </c>
      <c r="F31" s="9">
        <v>-3436411.93</v>
      </c>
      <c r="G31" s="136">
        <f>+E32</f>
        <v>13008.94</v>
      </c>
      <c r="H31" s="93">
        <f>E31/$E$31</f>
        <v>1</v>
      </c>
      <c r="I31" s="77">
        <f>F31/E31</f>
        <v>263.90900454643196</v>
      </c>
      <c r="J31" s="32"/>
      <c r="K31" s="32"/>
      <c r="L31" s="32"/>
      <c r="N31" s="93"/>
      <c r="O31" s="93"/>
      <c r="P31" s="333"/>
      <c r="Q31" s="40">
        <v>101</v>
      </c>
    </row>
    <row r="32" spans="1:20" x14ac:dyDescent="0.3">
      <c r="B32" s="6" t="s">
        <v>13</v>
      </c>
      <c r="C32" s="6" t="s">
        <v>14</v>
      </c>
      <c r="D32" s="6" t="s">
        <v>80</v>
      </c>
      <c r="E32" s="9">
        <v>13008.94</v>
      </c>
      <c r="F32" s="9">
        <v>3523341.31</v>
      </c>
      <c r="H32" s="93">
        <f>E32/$E$31</f>
        <v>-0.99905845851380826</v>
      </c>
      <c r="I32" s="77">
        <f>F32/E32</f>
        <v>270.84000003074806</v>
      </c>
      <c r="J32" s="45">
        <v>80</v>
      </c>
      <c r="K32" s="45">
        <f>-F31*J32/J33</f>
        <v>3436411.9300000006</v>
      </c>
      <c r="L32" s="32">
        <f>K32/E32</f>
        <v>264.15771999870861</v>
      </c>
      <c r="M32" s="348">
        <f>ROUND(H32,2)</f>
        <v>-1</v>
      </c>
      <c r="N32" s="93"/>
      <c r="O32" s="93"/>
      <c r="P32" s="333"/>
    </row>
    <row r="33" spans="1:17" x14ac:dyDescent="0.3">
      <c r="A33" s="6" t="s">
        <v>1110</v>
      </c>
      <c r="E33" s="9">
        <v>-12.260000000000218</v>
      </c>
      <c r="F33" s="9">
        <v>86929.379999999888</v>
      </c>
      <c r="G33" s="46"/>
      <c r="H33" s="94">
        <f>E33/$E$31</f>
        <v>9.4154148619176551E-4</v>
      </c>
      <c r="I33" s="80"/>
      <c r="J33" s="46">
        <f>SUM(J32)</f>
        <v>80</v>
      </c>
      <c r="K33" s="46">
        <f>SUM(K32:K32)</f>
        <v>3436411.9300000006</v>
      </c>
      <c r="L33" s="46"/>
      <c r="M33" s="334">
        <f>SUM(M32)</f>
        <v>-1</v>
      </c>
      <c r="N33" s="94">
        <f>SUM(H32:H32)</f>
        <v>-0.99905845851380826</v>
      </c>
      <c r="O33" s="94">
        <f>-100%-N33</f>
        <v>-9.4154148619174372E-4</v>
      </c>
      <c r="P33" s="373" t="s">
        <v>222</v>
      </c>
      <c r="Q33" s="343"/>
    </row>
    <row r="34" spans="1:17" x14ac:dyDescent="0.3">
      <c r="A34" s="349" t="s">
        <v>951</v>
      </c>
      <c r="B34" s="6" t="s">
        <v>9</v>
      </c>
      <c r="C34" s="6" t="s">
        <v>10</v>
      </c>
      <c r="D34" s="6" t="s">
        <v>80</v>
      </c>
      <c r="E34" s="9">
        <v>-5017.3</v>
      </c>
      <c r="F34" s="9">
        <v>-1324110.6499999999</v>
      </c>
      <c r="G34" s="136">
        <f>E35+E36</f>
        <v>4977.72</v>
      </c>
      <c r="H34" s="93">
        <f>E34/$E$34</f>
        <v>1</v>
      </c>
      <c r="I34" s="77">
        <f>F34/E34</f>
        <v>263.90900484324237</v>
      </c>
      <c r="J34" s="32"/>
      <c r="K34" s="32"/>
      <c r="L34" s="32"/>
      <c r="N34" s="93"/>
      <c r="O34" s="93"/>
      <c r="P34" s="333"/>
      <c r="Q34" s="40">
        <v>101</v>
      </c>
    </row>
    <row r="35" spans="1:17" x14ac:dyDescent="0.3">
      <c r="B35" s="6" t="s">
        <v>13</v>
      </c>
      <c r="C35" s="6" t="s">
        <v>14</v>
      </c>
      <c r="D35" s="6" t="s">
        <v>80</v>
      </c>
      <c r="E35" s="9">
        <v>4806</v>
      </c>
      <c r="F35" s="9">
        <v>1301657.04</v>
      </c>
      <c r="G35" s="163"/>
      <c r="H35" s="93">
        <f>E35/$E$34</f>
        <v>-0.95788571542463075</v>
      </c>
      <c r="I35" s="77">
        <f t="shared" ref="I35:I36" si="1">F35/E35</f>
        <v>270.84000000000003</v>
      </c>
      <c r="J35" s="45">
        <v>80</v>
      </c>
      <c r="K35" s="45">
        <f>-F34*J35/J37</f>
        <v>1276251.2289156627</v>
      </c>
      <c r="L35" s="32">
        <f>K35/E35</f>
        <v>265.55373052760359</v>
      </c>
      <c r="M35" s="348">
        <f>ROUND(H35,2)</f>
        <v>-0.96</v>
      </c>
      <c r="N35" s="337"/>
      <c r="O35" s="95"/>
      <c r="P35" s="340"/>
    </row>
    <row r="36" spans="1:17" x14ac:dyDescent="0.3">
      <c r="B36" s="6" t="s">
        <v>15</v>
      </c>
      <c r="C36" s="6" t="s">
        <v>233</v>
      </c>
      <c r="D36" s="6" t="s">
        <v>80</v>
      </c>
      <c r="E36" s="9">
        <v>171.72</v>
      </c>
      <c r="F36" s="9">
        <v>46506.93</v>
      </c>
      <c r="H36" s="93">
        <f>E36/$E$34</f>
        <v>-3.4225579494947478E-2</v>
      </c>
      <c r="I36" s="77">
        <f t="shared" si="1"/>
        <v>270.83001397624042</v>
      </c>
      <c r="J36" s="45">
        <v>3</v>
      </c>
      <c r="K36" s="45">
        <f>-F34*J36/J37</f>
        <v>47859.421084337344</v>
      </c>
      <c r="L36" s="32">
        <f>K36/E36</f>
        <v>278.70615586033858</v>
      </c>
      <c r="M36" s="348">
        <f>ROUND(H36,2)</f>
        <v>-0.03</v>
      </c>
      <c r="P36" s="121"/>
    </row>
    <row r="37" spans="1:17" x14ac:dyDescent="0.3">
      <c r="A37" s="6" t="s">
        <v>1111</v>
      </c>
      <c r="E37" s="9">
        <v>-39.580000000000183</v>
      </c>
      <c r="F37" s="9">
        <v>24053.320000000131</v>
      </c>
      <c r="G37" s="46"/>
      <c r="H37" s="94">
        <f>E37/$E$34</f>
        <v>7.8887050804217762E-3</v>
      </c>
      <c r="I37" s="81"/>
      <c r="J37" s="46">
        <f>SUM(J35:J36)</f>
        <v>83</v>
      </c>
      <c r="K37" s="46">
        <f>SUM(K35:K36)</f>
        <v>1324110.6500000001</v>
      </c>
      <c r="L37" s="46"/>
      <c r="M37" s="334">
        <f>SUM(M35:M36)</f>
        <v>-0.99</v>
      </c>
      <c r="N37" s="94">
        <f>SUM(H35:H36)</f>
        <v>-0.99211129491957828</v>
      </c>
      <c r="O37" s="94">
        <f>-100%-N37</f>
        <v>-7.8887050804217207E-3</v>
      </c>
      <c r="P37" s="373" t="s">
        <v>222</v>
      </c>
      <c r="Q37" s="343"/>
    </row>
    <row r="38" spans="1:17" x14ac:dyDescent="0.3">
      <c r="A38" s="349" t="s">
        <v>955</v>
      </c>
      <c r="B38" s="6" t="s">
        <v>9</v>
      </c>
      <c r="C38" s="6" t="s">
        <v>10</v>
      </c>
      <c r="D38" s="6" t="s">
        <v>80</v>
      </c>
      <c r="E38" s="9">
        <v>-3069.7</v>
      </c>
      <c r="F38" s="9">
        <v>-810121.47</v>
      </c>
      <c r="G38" s="136">
        <f>E39+E40</f>
        <v>3051.0600000000004</v>
      </c>
      <c r="H38" s="105">
        <f>E38/$E$38</f>
        <v>1</v>
      </c>
      <c r="I38" s="82">
        <f>F38/E38</f>
        <v>263.90900413721209</v>
      </c>
      <c r="M38" s="48"/>
      <c r="N38" s="97"/>
      <c r="O38" s="97"/>
      <c r="P38" s="340"/>
      <c r="Q38" s="40">
        <v>101</v>
      </c>
    </row>
    <row r="39" spans="1:17" x14ac:dyDescent="0.3">
      <c r="B39" s="6" t="s">
        <v>13</v>
      </c>
      <c r="C39" s="6" t="s">
        <v>14</v>
      </c>
      <c r="D39" s="6" t="s">
        <v>80</v>
      </c>
      <c r="E39" s="9">
        <v>3015.1800000000003</v>
      </c>
      <c r="F39" s="9">
        <v>816631.35</v>
      </c>
      <c r="H39" s="105">
        <f>E39/$E$38</f>
        <v>-0.98223930677264892</v>
      </c>
      <c r="I39" s="82">
        <f t="shared" ref="I39:I40" si="2">F39/E39</f>
        <v>270.83999960201379</v>
      </c>
      <c r="J39" s="45">
        <v>80</v>
      </c>
      <c r="K39" s="45">
        <f>-F38*J39/J41</f>
        <v>780839.97108433733</v>
      </c>
      <c r="L39" s="44">
        <f>K39/E39</f>
        <v>258.969604164374</v>
      </c>
      <c r="M39" s="348">
        <f>ROUND(H39,2)</f>
        <v>-0.98</v>
      </c>
      <c r="N39" s="95"/>
      <c r="O39" s="95"/>
      <c r="P39" s="340"/>
    </row>
    <row r="40" spans="1:17" x14ac:dyDescent="0.3">
      <c r="B40" s="6" t="s">
        <v>15</v>
      </c>
      <c r="C40" s="6" t="s">
        <v>233</v>
      </c>
      <c r="D40" s="6" t="s">
        <v>80</v>
      </c>
      <c r="E40" s="9">
        <v>35.880000000000003</v>
      </c>
      <c r="F40" s="9">
        <v>9717.3799999999992</v>
      </c>
      <c r="H40" s="105">
        <f>E40/$E$38</f>
        <v>-1.1688438609636122E-2</v>
      </c>
      <c r="I40" s="82">
        <f t="shared" si="2"/>
        <v>270.82998885172793</v>
      </c>
      <c r="J40" s="45">
        <v>3</v>
      </c>
      <c r="K40" s="45">
        <f>-F38*J40/J41</f>
        <v>29281.498915662651</v>
      </c>
      <c r="L40" s="44">
        <f>K40/E40</f>
        <v>816.09528750453308</v>
      </c>
      <c r="M40" s="348">
        <f>ROUND(H40,2)</f>
        <v>-0.01</v>
      </c>
      <c r="N40" s="95"/>
      <c r="O40" s="95"/>
      <c r="P40" s="340"/>
    </row>
    <row r="41" spans="1:17" x14ac:dyDescent="0.3">
      <c r="A41" s="6" t="s">
        <v>1112</v>
      </c>
      <c r="E41" s="9">
        <v>-18.639999999999525</v>
      </c>
      <c r="F41" s="9">
        <v>16227.260000000004</v>
      </c>
      <c r="G41" s="46"/>
      <c r="H41" s="120">
        <f>E41/$E$38</f>
        <v>6.0722546177149313E-3</v>
      </c>
      <c r="I41" s="78"/>
      <c r="J41" s="46">
        <f>SUM(J39:J40)</f>
        <v>83</v>
      </c>
      <c r="K41" s="46">
        <f>SUM(K39:K40)</f>
        <v>810121.47</v>
      </c>
      <c r="L41" s="46"/>
      <c r="M41" s="334">
        <f>SUM(M39:M40)</f>
        <v>-0.99</v>
      </c>
      <c r="N41" s="94">
        <f>SUM(H39:H40)</f>
        <v>-0.99392774538228501</v>
      </c>
      <c r="O41" s="94">
        <f>-100%-N41</f>
        <v>-6.0722546177149894E-3</v>
      </c>
      <c r="P41" s="373" t="s">
        <v>222</v>
      </c>
      <c r="Q41" s="343"/>
    </row>
    <row r="42" spans="1:17" x14ac:dyDescent="0.3">
      <c r="A42" s="349" t="s">
        <v>1055</v>
      </c>
      <c r="B42" s="6" t="s">
        <v>17</v>
      </c>
      <c r="C42" s="339" t="s">
        <v>18</v>
      </c>
      <c r="D42" s="6" t="s">
        <v>80</v>
      </c>
      <c r="E42" s="9">
        <v>-8983.2999999999993</v>
      </c>
      <c r="F42" s="9">
        <v>-1399591.58</v>
      </c>
      <c r="G42" s="136">
        <f>+E43+E44</f>
        <v>8946.2999999999993</v>
      </c>
      <c r="H42" s="105">
        <f>E42/$E$42</f>
        <v>1</v>
      </c>
      <c r="I42" s="79">
        <f>F42/E42</f>
        <v>155.799269756103</v>
      </c>
      <c r="J42" s="45"/>
      <c r="K42" s="45"/>
      <c r="L42" s="45"/>
      <c r="M42" s="48"/>
      <c r="N42" s="97"/>
      <c r="O42" s="97"/>
      <c r="P42" s="340"/>
      <c r="Q42" s="40">
        <v>101</v>
      </c>
    </row>
    <row r="43" spans="1:17" x14ac:dyDescent="0.3">
      <c r="B43" s="6" t="s">
        <v>19</v>
      </c>
      <c r="C43" s="6" t="s">
        <v>20</v>
      </c>
      <c r="D43" s="6" t="s">
        <v>80</v>
      </c>
      <c r="E43" s="9">
        <v>8833.9</v>
      </c>
      <c r="F43" s="9">
        <v>1412805.63</v>
      </c>
      <c r="G43" s="163"/>
      <c r="H43" s="105">
        <f>E43/$E$42</f>
        <v>-0.98336914051629143</v>
      </c>
      <c r="I43" s="79">
        <f t="shared" ref="I43:I44" si="3">F43/E43</f>
        <v>159.93000033960084</v>
      </c>
      <c r="J43" s="346">
        <v>95</v>
      </c>
      <c r="K43" s="45">
        <f>-F42*J43/J45</f>
        <v>1356746.9397959185</v>
      </c>
      <c r="L43" s="44">
        <f>K43/E43</f>
        <v>153.58414061693233</v>
      </c>
      <c r="M43" s="348">
        <f>ROUND(H43,2)</f>
        <v>-0.98</v>
      </c>
      <c r="N43" s="95"/>
      <c r="O43" s="95"/>
      <c r="P43" s="340"/>
    </row>
    <row r="44" spans="1:17" x14ac:dyDescent="0.3">
      <c r="B44" s="6" t="s">
        <v>21</v>
      </c>
      <c r="C44" s="6" t="s">
        <v>234</v>
      </c>
      <c r="D44" s="6" t="s">
        <v>80</v>
      </c>
      <c r="E44" s="9">
        <v>112.4</v>
      </c>
      <c r="F44" s="9">
        <v>17976.13</v>
      </c>
      <c r="H44" s="105">
        <f>E44/$E$42</f>
        <v>-1.2512105796310935E-2</v>
      </c>
      <c r="I44" s="79">
        <f t="shared" si="3"/>
        <v>159.9299822064057</v>
      </c>
      <c r="J44" s="346">
        <v>3</v>
      </c>
      <c r="K44" s="45">
        <f>-F42*J44/J45</f>
        <v>42844.640204081632</v>
      </c>
      <c r="L44" s="44">
        <f>K44/E44</f>
        <v>381.18007299005006</v>
      </c>
      <c r="M44" s="348">
        <f>ROUND(H44,2)</f>
        <v>-0.01</v>
      </c>
      <c r="P44" s="121"/>
    </row>
    <row r="45" spans="1:17" x14ac:dyDescent="0.3">
      <c r="A45" s="6" t="s">
        <v>1123</v>
      </c>
      <c r="E45" s="9">
        <v>-36.999999999999631</v>
      </c>
      <c r="F45" s="9">
        <v>31190.179999999815</v>
      </c>
      <c r="G45" s="46"/>
      <c r="H45" s="120">
        <f>E45/$E$42</f>
        <v>4.1187536873976858E-3</v>
      </c>
      <c r="I45" s="78"/>
      <c r="J45" s="46">
        <f>SUM(J43:J44)</f>
        <v>98</v>
      </c>
      <c r="K45" s="46">
        <f>SUM(K43:K43)</f>
        <v>1356746.9397959185</v>
      </c>
      <c r="L45" s="46"/>
      <c r="M45" s="334">
        <f>SUM(M43:M44)</f>
        <v>-0.99</v>
      </c>
      <c r="N45" s="94">
        <f>SUM(H43:H44)</f>
        <v>-0.99588124631260233</v>
      </c>
      <c r="O45" s="94">
        <f>-100%-N45</f>
        <v>-4.1187536873976693E-3</v>
      </c>
      <c r="P45" s="373" t="s">
        <v>222</v>
      </c>
      <c r="Q45" s="343"/>
    </row>
    <row r="46" spans="1:17" x14ac:dyDescent="0.3">
      <c r="A46" s="375" t="s">
        <v>1255</v>
      </c>
      <c r="B46" s="6" t="s">
        <v>9</v>
      </c>
      <c r="C46" s="6" t="s">
        <v>10</v>
      </c>
      <c r="D46" s="6" t="s">
        <v>80</v>
      </c>
      <c r="E46" s="9">
        <v>-14041</v>
      </c>
      <c r="F46" s="9">
        <v>-3705541.17</v>
      </c>
      <c r="G46" s="136">
        <f>+E47+E48</f>
        <v>13973.640000000001</v>
      </c>
      <c r="H46" s="105">
        <f>E46/$E$46</f>
        <v>1</v>
      </c>
      <c r="I46" s="79">
        <f>F46/E46</f>
        <v>263.90863684922726</v>
      </c>
      <c r="J46" s="45"/>
      <c r="K46" s="45"/>
      <c r="L46" s="45"/>
      <c r="M46" s="13"/>
      <c r="N46" s="95"/>
      <c r="O46" s="95"/>
      <c r="P46" s="97"/>
      <c r="Q46" s="40">
        <v>101</v>
      </c>
    </row>
    <row r="47" spans="1:17" x14ac:dyDescent="0.3">
      <c r="B47" s="6" t="s">
        <v>13</v>
      </c>
      <c r="C47" s="6" t="s">
        <v>14</v>
      </c>
      <c r="D47" s="6" t="s">
        <v>80</v>
      </c>
      <c r="E47" s="9">
        <v>13588.54</v>
      </c>
      <c r="F47" s="9">
        <v>3680320.17</v>
      </c>
      <c r="G47" s="163"/>
      <c r="H47" s="105">
        <f>E47/$E$46</f>
        <v>-0.96777579944448411</v>
      </c>
      <c r="I47" s="79">
        <f t="shared" ref="I47:I48" si="4">F47/E47</f>
        <v>270.83999973507088</v>
      </c>
      <c r="J47" s="45">
        <v>80</v>
      </c>
      <c r="K47" s="45">
        <f>-F46*J47/J49</f>
        <v>3571605.9469879521</v>
      </c>
      <c r="L47" s="44">
        <f>K47/E47</f>
        <v>262.83956532401214</v>
      </c>
      <c r="M47" s="348">
        <f>ROUND(H47,2)</f>
        <v>-0.97</v>
      </c>
      <c r="N47" s="96"/>
      <c r="O47" s="96"/>
      <c r="P47" s="97"/>
    </row>
    <row r="48" spans="1:17" x14ac:dyDescent="0.3">
      <c r="B48" s="6" t="s">
        <v>15</v>
      </c>
      <c r="C48" s="6" t="s">
        <v>233</v>
      </c>
      <c r="D48" s="6" t="s">
        <v>80</v>
      </c>
      <c r="E48" s="9">
        <v>385.1</v>
      </c>
      <c r="F48" s="9">
        <v>104296.63</v>
      </c>
      <c r="G48" s="163"/>
      <c r="H48" s="105">
        <f>E48/$E$46</f>
        <v>-2.7426821451463572E-2</v>
      </c>
      <c r="I48" s="79">
        <f t="shared" si="4"/>
        <v>270.8299922098156</v>
      </c>
      <c r="J48" s="45">
        <v>3</v>
      </c>
      <c r="K48" s="45">
        <f>-F46*J48/J49</f>
        <v>133935.2230120482</v>
      </c>
      <c r="L48" s="44">
        <f>K48/E48</f>
        <v>347.79336019747649</v>
      </c>
      <c r="M48" s="348">
        <f>ROUND(H48,2)</f>
        <v>-0.03</v>
      </c>
      <c r="N48" s="95"/>
      <c r="O48" s="95"/>
      <c r="P48" s="97"/>
    </row>
    <row r="49" spans="1:17" x14ac:dyDescent="0.3">
      <c r="A49" s="6" t="s">
        <v>1300</v>
      </c>
      <c r="E49" s="9">
        <v>-67.359999999999104</v>
      </c>
      <c r="F49" s="9">
        <v>79075.63</v>
      </c>
      <c r="G49" s="46"/>
      <c r="H49" s="120">
        <f>E49/$E$46</f>
        <v>4.7973791040523545E-3</v>
      </c>
      <c r="I49" s="167"/>
      <c r="J49" s="46">
        <f>SUM(J47:J48)</f>
        <v>83</v>
      </c>
      <c r="K49" s="46">
        <f>SUM(K47:K48)</f>
        <v>3705541.1700000004</v>
      </c>
      <c r="L49" s="46"/>
      <c r="M49" s="332">
        <f>SUM(M47:M48)</f>
        <v>-1</v>
      </c>
      <c r="N49" s="94">
        <f>SUM(H47:H48)</f>
        <v>-0.99520262089594769</v>
      </c>
      <c r="O49" s="94">
        <f>-100%-N49</f>
        <v>-4.7973791040523128E-3</v>
      </c>
      <c r="P49" s="373" t="s">
        <v>222</v>
      </c>
      <c r="Q49" s="343"/>
    </row>
    <row r="50" spans="1:17" x14ac:dyDescent="0.3">
      <c r="A50" s="349" t="s">
        <v>1264</v>
      </c>
      <c r="B50" s="6" t="s">
        <v>9</v>
      </c>
      <c r="C50" s="6" t="s">
        <v>10</v>
      </c>
      <c r="D50" s="6" t="s">
        <v>80</v>
      </c>
      <c r="E50" s="9">
        <v>-15064.9</v>
      </c>
      <c r="F50" s="9">
        <v>-3975757.23</v>
      </c>
      <c r="G50" s="136">
        <f>+E51</f>
        <v>15026</v>
      </c>
      <c r="H50" s="105">
        <f>E50/$E$50</f>
        <v>1</v>
      </c>
      <c r="I50" s="79">
        <f>F50/E50</f>
        <v>263.90863729596612</v>
      </c>
      <c r="J50" s="45"/>
      <c r="K50" s="45"/>
      <c r="L50" s="45"/>
      <c r="M50" s="184"/>
      <c r="N50" s="95"/>
      <c r="O50" s="95"/>
      <c r="P50" s="340"/>
      <c r="Q50" s="40">
        <v>101</v>
      </c>
    </row>
    <row r="51" spans="1:17" x14ac:dyDescent="0.3">
      <c r="B51" s="6" t="s">
        <v>13</v>
      </c>
      <c r="C51" s="6" t="s">
        <v>14</v>
      </c>
      <c r="D51" s="6" t="s">
        <v>80</v>
      </c>
      <c r="E51" s="9">
        <v>15026</v>
      </c>
      <c r="F51" s="9">
        <v>4069641.84</v>
      </c>
      <c r="G51" s="163"/>
      <c r="H51" s="105">
        <f>E51/$E$50</f>
        <v>-0.99741783881738344</v>
      </c>
      <c r="I51" s="79">
        <f>F51/E51</f>
        <v>270.83999999999997</v>
      </c>
      <c r="J51" s="45">
        <v>80</v>
      </c>
      <c r="K51" s="32">
        <f>-F50*J51/J52</f>
        <v>3975757.2299999995</v>
      </c>
      <c r="L51" s="44">
        <f>K51/E51</f>
        <v>264.59185611606546</v>
      </c>
      <c r="M51" s="348">
        <f>ROUND(H51,2)</f>
        <v>-1</v>
      </c>
      <c r="N51" s="95"/>
      <c r="O51" s="95"/>
      <c r="P51" s="340"/>
    </row>
    <row r="52" spans="1:17" x14ac:dyDescent="0.3">
      <c r="A52" s="6" t="s">
        <v>1302</v>
      </c>
      <c r="E52" s="9">
        <v>-38.899999999999636</v>
      </c>
      <c r="F52" s="9">
        <v>93884.60999999987</v>
      </c>
      <c r="G52" s="46"/>
      <c r="H52" s="120">
        <f>E52/$E$50</f>
        <v>2.5821611826165216E-3</v>
      </c>
      <c r="I52" s="78"/>
      <c r="J52" s="46">
        <f>SUM(J51:J51)</f>
        <v>80</v>
      </c>
      <c r="K52" s="46">
        <f>SUM(K51:K51)</f>
        <v>3975757.2299999995</v>
      </c>
      <c r="L52" s="46"/>
      <c r="M52" s="332">
        <f>SUM(M51:M51)</f>
        <v>-1</v>
      </c>
      <c r="N52" s="94">
        <f>SUM(H51:H51)</f>
        <v>-0.99741783881738344</v>
      </c>
      <c r="O52" s="94">
        <f>-100%-N52</f>
        <v>-2.5821611826165602E-3</v>
      </c>
      <c r="P52" s="373" t="s">
        <v>222</v>
      </c>
      <c r="Q52" s="343"/>
    </row>
    <row r="53" spans="1:17" x14ac:dyDescent="0.3">
      <c r="A53" s="349" t="s">
        <v>1273</v>
      </c>
      <c r="B53" s="6" t="s">
        <v>9</v>
      </c>
      <c r="C53" s="6" t="s">
        <v>10</v>
      </c>
      <c r="D53" s="6" t="s">
        <v>80</v>
      </c>
      <c r="E53" s="9">
        <v>-7017.2</v>
      </c>
      <c r="F53" s="9">
        <v>-1851899.69</v>
      </c>
      <c r="G53" s="136">
        <f>+E54</f>
        <v>6966.9</v>
      </c>
      <c r="H53" s="105">
        <f>E53/$E$53</f>
        <v>1</v>
      </c>
      <c r="I53" s="79">
        <f>F53/E53</f>
        <v>263.90863734823006</v>
      </c>
      <c r="J53" s="163"/>
      <c r="K53" s="163"/>
      <c r="L53" s="163"/>
      <c r="M53" s="48"/>
      <c r="N53" s="96"/>
      <c r="O53" s="96"/>
      <c r="P53" s="347"/>
      <c r="Q53" s="40">
        <v>101</v>
      </c>
    </row>
    <row r="54" spans="1:17" x14ac:dyDescent="0.3">
      <c r="B54" s="6" t="s">
        <v>13</v>
      </c>
      <c r="C54" s="6" t="s">
        <v>14</v>
      </c>
      <c r="D54" s="6" t="s">
        <v>80</v>
      </c>
      <c r="E54" s="9">
        <v>6966.9</v>
      </c>
      <c r="F54" s="9">
        <v>1886915.2</v>
      </c>
      <c r="H54" s="105">
        <f>E54/$E$53</f>
        <v>-0.99283189876303934</v>
      </c>
      <c r="I54" s="79">
        <f>F54/E54</f>
        <v>270.84000057414346</v>
      </c>
      <c r="J54" s="45">
        <v>80</v>
      </c>
      <c r="K54" s="32">
        <f>-F53*J54/J55</f>
        <v>1851899.69</v>
      </c>
      <c r="L54" s="44">
        <f>K54/E54</f>
        <v>265.81401914768406</v>
      </c>
      <c r="M54" s="348">
        <f>ROUND(H54,2)</f>
        <v>-0.99</v>
      </c>
      <c r="N54" s="95"/>
      <c r="O54" s="95"/>
      <c r="P54" s="340"/>
    </row>
    <row r="55" spans="1:17" x14ac:dyDescent="0.3">
      <c r="A55" s="6" t="s">
        <v>1304</v>
      </c>
      <c r="E55" s="9">
        <v>-50.300000000000182</v>
      </c>
      <c r="F55" s="9">
        <v>35015.510000000009</v>
      </c>
      <c r="G55" s="46"/>
      <c r="H55" s="120">
        <f>E55/$E$53</f>
        <v>7.1681012369606374E-3</v>
      </c>
      <c r="I55" s="78"/>
      <c r="J55" s="46">
        <f>SUM(J54:J54)</f>
        <v>80</v>
      </c>
      <c r="K55" s="46">
        <f>SUM(K54:K54)</f>
        <v>1851899.69</v>
      </c>
      <c r="L55" s="46"/>
      <c r="M55" s="332">
        <f>SUM(M54:M54)</f>
        <v>-0.99</v>
      </c>
      <c r="N55" s="94">
        <f>SUM(H54:H54)</f>
        <v>-0.99283189876303934</v>
      </c>
      <c r="O55" s="94">
        <f>-100%-N55</f>
        <v>-7.1681012369606556E-3</v>
      </c>
      <c r="P55" s="373" t="s">
        <v>222</v>
      </c>
      <c r="Q55" s="343"/>
    </row>
    <row r="56" spans="1:17" x14ac:dyDescent="0.3">
      <c r="A56" s="349" t="s">
        <v>1426</v>
      </c>
      <c r="B56" s="6" t="s">
        <v>17</v>
      </c>
      <c r="C56" s="339" t="s">
        <v>18</v>
      </c>
      <c r="D56" s="6" t="s">
        <v>80</v>
      </c>
      <c r="E56" s="9">
        <v>-8981.2000000000007</v>
      </c>
      <c r="F56" s="9">
        <v>-1399264.4</v>
      </c>
      <c r="G56" s="136">
        <f>+E57</f>
        <v>8966</v>
      </c>
      <c r="H56" s="105">
        <f>E56/$E$56</f>
        <v>1</v>
      </c>
      <c r="I56" s="79">
        <f>F56/E56</f>
        <v>155.79926958535606</v>
      </c>
      <c r="J56" s="45"/>
      <c r="K56" s="45"/>
      <c r="L56" s="45"/>
      <c r="M56" s="13"/>
      <c r="N56" s="95"/>
      <c r="O56" s="95"/>
      <c r="P56" s="97"/>
      <c r="Q56" s="40">
        <v>101</v>
      </c>
    </row>
    <row r="57" spans="1:17" x14ac:dyDescent="0.3">
      <c r="B57" s="6" t="s">
        <v>19</v>
      </c>
      <c r="C57" s="6" t="s">
        <v>20</v>
      </c>
      <c r="D57" s="6" t="s">
        <v>80</v>
      </c>
      <c r="E57" s="9">
        <v>8966</v>
      </c>
      <c r="F57" s="9">
        <v>1433932.38</v>
      </c>
      <c r="G57" s="163"/>
      <c r="H57" s="105">
        <f>E57/$E$56</f>
        <v>-0.99830757582505669</v>
      </c>
      <c r="I57" s="79">
        <f>F57/E57</f>
        <v>159.92999999999998</v>
      </c>
      <c r="J57" s="346">
        <v>95</v>
      </c>
      <c r="K57" s="45">
        <f>-F56*J57/J58</f>
        <v>1399264.4</v>
      </c>
      <c r="L57" s="129">
        <f>K57/E57</f>
        <v>156.06339504795895</v>
      </c>
      <c r="M57" s="348">
        <f>ROUND(H57,2)</f>
        <v>-1</v>
      </c>
      <c r="N57" s="95"/>
      <c r="O57" s="95"/>
      <c r="P57" s="97"/>
    </row>
    <row r="58" spans="1:17" x14ac:dyDescent="0.3">
      <c r="A58" s="6" t="s">
        <v>1457</v>
      </c>
      <c r="E58" s="9">
        <v>-15.200000000000728</v>
      </c>
      <c r="F58" s="9">
        <v>34667.979999999981</v>
      </c>
      <c r="G58" s="46"/>
      <c r="H58" s="120">
        <f>E58/$E$56</f>
        <v>1.6924241749432956E-3</v>
      </c>
      <c r="I58" s="78"/>
      <c r="J58" s="46">
        <f>SUM(J57)</f>
        <v>95</v>
      </c>
      <c r="K58" s="46">
        <f>SUM(K57:K57)</f>
        <v>1399264.4</v>
      </c>
      <c r="L58" s="46"/>
      <c r="M58" s="332">
        <f>SUM(M57)</f>
        <v>-1</v>
      </c>
      <c r="N58" s="94">
        <f>SUM(H57:H57)</f>
        <v>-0.99830757582505669</v>
      </c>
      <c r="O58" s="94">
        <f>-100%-N58</f>
        <v>-1.6924241749433078E-3</v>
      </c>
      <c r="P58" s="373" t="s">
        <v>222</v>
      </c>
      <c r="Q58" s="343"/>
    </row>
    <row r="59" spans="1:17" x14ac:dyDescent="0.3">
      <c r="A59" s="349" t="s">
        <v>1459</v>
      </c>
      <c r="B59" s="6" t="s">
        <v>9</v>
      </c>
      <c r="C59" s="6" t="s">
        <v>10</v>
      </c>
      <c r="D59" s="6" t="s">
        <v>80</v>
      </c>
      <c r="E59" s="9">
        <v>-6972</v>
      </c>
      <c r="F59" s="9">
        <v>-1843566.87</v>
      </c>
      <c r="G59" s="136">
        <f>+E60</f>
        <v>6938.16</v>
      </c>
      <c r="H59" s="105">
        <f>E59/$E$59</f>
        <v>1</v>
      </c>
      <c r="I59" s="79">
        <f>F59/E59</f>
        <v>264.42439328743546</v>
      </c>
      <c r="J59" s="45"/>
      <c r="K59" s="45"/>
      <c r="L59" s="45"/>
      <c r="M59" s="184"/>
      <c r="N59" s="95"/>
      <c r="O59" s="95"/>
      <c r="P59" s="340"/>
      <c r="Q59" s="40">
        <v>101</v>
      </c>
    </row>
    <row r="60" spans="1:17" x14ac:dyDescent="0.3">
      <c r="B60" s="6" t="s">
        <v>13</v>
      </c>
      <c r="C60" s="6" t="s">
        <v>14</v>
      </c>
      <c r="D60" s="6" t="s">
        <v>80</v>
      </c>
      <c r="E60" s="9">
        <v>6938.16</v>
      </c>
      <c r="F60" s="9">
        <v>1879131.25</v>
      </c>
      <c r="G60" s="163"/>
      <c r="H60" s="105">
        <f>E60/$E$59</f>
        <v>-0.99514629948364886</v>
      </c>
      <c r="I60" s="79">
        <f>F60/E60</f>
        <v>270.83999936582609</v>
      </c>
      <c r="J60" s="45">
        <v>80</v>
      </c>
      <c r="K60" s="45">
        <f>-F59*J60/J61</f>
        <v>1843566.8700000003</v>
      </c>
      <c r="L60" s="32">
        <f>K60/E60</f>
        <v>265.71408990279849</v>
      </c>
      <c r="M60" s="348">
        <f>ROUND(H60,2)</f>
        <v>-1</v>
      </c>
      <c r="N60" s="95"/>
      <c r="O60" s="95"/>
      <c r="P60" s="340"/>
    </row>
    <row r="61" spans="1:17" x14ac:dyDescent="0.3">
      <c r="A61" s="6" t="s">
        <v>1473</v>
      </c>
      <c r="E61" s="9">
        <v>-33.840000000000146</v>
      </c>
      <c r="F61" s="9">
        <v>35564.379999999888</v>
      </c>
      <c r="G61" s="46"/>
      <c r="H61" s="120">
        <f>E61/$E$59</f>
        <v>4.8537005163511397E-3</v>
      </c>
      <c r="I61" s="78"/>
      <c r="J61" s="46">
        <f>SUM(J60:J60)</f>
        <v>80</v>
      </c>
      <c r="K61" s="46">
        <f>SUM(K60:K60)</f>
        <v>1843566.8700000003</v>
      </c>
      <c r="L61" s="46"/>
      <c r="M61" s="332">
        <f>SUM(M60:M60)</f>
        <v>-1</v>
      </c>
      <c r="N61" s="94">
        <f>SUM(H60:H60)</f>
        <v>-0.99514629948364886</v>
      </c>
      <c r="O61" s="94">
        <f>-100%-N61</f>
        <v>-4.8537005163511449E-3</v>
      </c>
      <c r="P61" s="373" t="s">
        <v>222</v>
      </c>
      <c r="Q61" s="343"/>
    </row>
    <row r="62" spans="1:17" ht="13" customHeight="1" x14ac:dyDescent="0.3">
      <c r="A62" s="349" t="s">
        <v>1732</v>
      </c>
      <c r="B62" s="6" t="s">
        <v>9</v>
      </c>
      <c r="C62" s="6" t="s">
        <v>10</v>
      </c>
      <c r="D62" s="6" t="s">
        <v>80</v>
      </c>
      <c r="E62" s="9">
        <v>-29996</v>
      </c>
      <c r="F62" s="9">
        <v>-7931674.1100000003</v>
      </c>
      <c r="G62" s="136">
        <f>+E63</f>
        <v>29987</v>
      </c>
      <c r="H62" s="105">
        <f>E62/$E$62</f>
        <v>1</v>
      </c>
      <c r="I62" s="79">
        <f>F62/E62</f>
        <v>264.42439358581146</v>
      </c>
      <c r="J62" s="45"/>
      <c r="K62" s="45"/>
      <c r="L62" s="45"/>
      <c r="M62" s="184"/>
      <c r="N62" s="95"/>
      <c r="O62" s="95"/>
      <c r="P62" s="187"/>
      <c r="Q62" s="40">
        <v>101</v>
      </c>
    </row>
    <row r="63" spans="1:17" x14ac:dyDescent="0.3">
      <c r="B63" s="6" t="s">
        <v>13</v>
      </c>
      <c r="C63" s="6" t="s">
        <v>14</v>
      </c>
      <c r="D63" s="6" t="s">
        <v>80</v>
      </c>
      <c r="E63" s="9">
        <v>29987</v>
      </c>
      <c r="F63" s="9">
        <v>8121679.0800000001</v>
      </c>
      <c r="G63" s="163"/>
      <c r="H63" s="105">
        <f>E63/$E$62</f>
        <v>-0.99969995999466599</v>
      </c>
      <c r="I63" s="79">
        <f>F63/E63</f>
        <v>270.83999999999997</v>
      </c>
      <c r="J63" s="45">
        <v>80</v>
      </c>
      <c r="K63" s="45">
        <f>-F62*J63/J64</f>
        <v>7931674.1100000013</v>
      </c>
      <c r="L63" s="32">
        <f>K63/E63</f>
        <v>264.50375529396075</v>
      </c>
      <c r="M63" s="348">
        <f>ROUND(H63,2)</f>
        <v>-1</v>
      </c>
      <c r="N63" s="95"/>
      <c r="O63" s="95"/>
      <c r="P63" s="187"/>
    </row>
    <row r="64" spans="1:17" x14ac:dyDescent="0.3">
      <c r="A64" s="6" t="s">
        <v>1919</v>
      </c>
      <c r="E64" s="9">
        <v>-9</v>
      </c>
      <c r="F64" s="9">
        <v>190004.96999999974</v>
      </c>
      <c r="G64" s="46"/>
      <c r="H64" s="120">
        <f>E64/$E$62</f>
        <v>3.0004000533404452E-4</v>
      </c>
      <c r="I64" s="78"/>
      <c r="J64" s="46">
        <f>SUM(J63:J63)</f>
        <v>80</v>
      </c>
      <c r="K64" s="46">
        <f>SUM(K63:K63)</f>
        <v>7931674.1100000013</v>
      </c>
      <c r="L64" s="46"/>
      <c r="M64" s="335">
        <f>SUM(M63:M63)</f>
        <v>-1</v>
      </c>
      <c r="N64" s="94">
        <f>SUM(H63:H63)</f>
        <v>-0.99969995999466599</v>
      </c>
      <c r="O64" s="94">
        <f>-100%-N64</f>
        <v>-3.0004000533401243E-4</v>
      </c>
      <c r="P64" s="391" t="s">
        <v>222</v>
      </c>
      <c r="Q64" s="343"/>
    </row>
    <row r="65" spans="1:18" x14ac:dyDescent="0.3">
      <c r="A65" s="349" t="s">
        <v>1736</v>
      </c>
      <c r="B65" s="6" t="s">
        <v>17</v>
      </c>
      <c r="C65" s="339" t="s">
        <v>18</v>
      </c>
      <c r="D65" s="6" t="s">
        <v>80</v>
      </c>
      <c r="E65" s="9">
        <v>-9981.2999999999993</v>
      </c>
      <c r="F65" s="9">
        <v>-1548504.05</v>
      </c>
      <c r="G65" s="136">
        <f>+E66</f>
        <v>9966</v>
      </c>
      <c r="H65" s="105">
        <f>E65/$E$65</f>
        <v>1</v>
      </c>
      <c r="I65" s="79">
        <f t="shared" ref="I65:I66" si="5">F65/E65</f>
        <v>155.1405177682266</v>
      </c>
      <c r="J65" s="163"/>
      <c r="K65" s="163"/>
      <c r="L65" s="163"/>
      <c r="M65" s="48"/>
      <c r="N65" s="96"/>
      <c r="O65" s="96"/>
      <c r="P65" s="58"/>
      <c r="Q65" s="40">
        <v>101</v>
      </c>
    </row>
    <row r="66" spans="1:18" x14ac:dyDescent="0.3">
      <c r="B66" s="6" t="s">
        <v>19</v>
      </c>
      <c r="C66" s="6" t="s">
        <v>20</v>
      </c>
      <c r="D66" s="6" t="s">
        <v>80</v>
      </c>
      <c r="E66" s="9">
        <v>9966</v>
      </c>
      <c r="F66" s="9">
        <v>1593862.38</v>
      </c>
      <c r="G66" s="163"/>
      <c r="H66" s="105">
        <f>E66/$E$65</f>
        <v>-0.99846713353971939</v>
      </c>
      <c r="I66" s="79">
        <f t="shared" si="5"/>
        <v>159.92999999999998</v>
      </c>
      <c r="J66" s="346">
        <v>95</v>
      </c>
      <c r="K66" s="45">
        <f>-F65*J66/J67</f>
        <v>1548504.05</v>
      </c>
      <c r="L66" s="129">
        <f>K66/E65</f>
        <v>-155.1405177682266</v>
      </c>
      <c r="M66" s="348">
        <f>ROUND(H66,2)</f>
        <v>-1</v>
      </c>
      <c r="N66" s="95"/>
      <c r="O66" s="95"/>
      <c r="P66" s="187"/>
    </row>
    <row r="67" spans="1:18" x14ac:dyDescent="0.3">
      <c r="A67" s="6" t="s">
        <v>1920</v>
      </c>
      <c r="E67" s="9">
        <v>-15.299999999999272</v>
      </c>
      <c r="F67" s="9">
        <v>45358.329999999842</v>
      </c>
      <c r="G67" s="46"/>
      <c r="H67" s="120">
        <f>E67/$E$65</f>
        <v>1.5328664602806523E-3</v>
      </c>
      <c r="I67" s="78"/>
      <c r="J67" s="46">
        <f>SUM(J66)</f>
        <v>95</v>
      </c>
      <c r="K67" s="46">
        <f>SUM(K66:K66)</f>
        <v>1548504.05</v>
      </c>
      <c r="L67" s="46"/>
      <c r="M67" s="335">
        <f>SUM(M66:M66)</f>
        <v>-1</v>
      </c>
      <c r="N67" s="94">
        <f>SUM(H66:H66)</f>
        <v>-0.99846713353971939</v>
      </c>
      <c r="O67" s="94">
        <f>-100%-N67</f>
        <v>-1.532866460280613E-3</v>
      </c>
      <c r="P67" s="391" t="s">
        <v>222</v>
      </c>
      <c r="Q67" s="343"/>
    </row>
    <row r="68" spans="1:18" x14ac:dyDescent="0.3">
      <c r="A68" s="349" t="s">
        <v>1760</v>
      </c>
      <c r="B68" s="6" t="s">
        <v>9</v>
      </c>
      <c r="C68" s="6" t="s">
        <v>10</v>
      </c>
      <c r="D68" s="6" t="s">
        <v>80</v>
      </c>
      <c r="E68" s="9">
        <v>-40057.599999999999</v>
      </c>
      <c r="F68" s="9">
        <v>-10592206.59</v>
      </c>
      <c r="G68" s="136">
        <f>+E69+E70</f>
        <v>40030.880000000005</v>
      </c>
      <c r="H68" s="105">
        <f>E68/$E$68</f>
        <v>1</v>
      </c>
      <c r="I68" s="79">
        <f>F68/E68</f>
        <v>264.4243936231826</v>
      </c>
      <c r="J68" s="45"/>
      <c r="K68" s="45"/>
      <c r="L68" s="45"/>
      <c r="M68" s="184"/>
      <c r="N68" s="95"/>
      <c r="O68" s="95"/>
      <c r="P68" s="392"/>
      <c r="Q68" s="40">
        <v>101</v>
      </c>
    </row>
    <row r="69" spans="1:18" x14ac:dyDescent="0.3">
      <c r="B69" s="6" t="s">
        <v>13</v>
      </c>
      <c r="C69" s="6" t="s">
        <v>14</v>
      </c>
      <c r="D69" s="6" t="s">
        <v>80</v>
      </c>
      <c r="E69" s="9">
        <v>39546.480000000003</v>
      </c>
      <c r="F69" s="9">
        <v>10710768.640000001</v>
      </c>
      <c r="G69" s="163"/>
      <c r="H69" s="105">
        <f t="shared" ref="H69:H70" si="6">E69/$E$68</f>
        <v>-0.98724037386163932</v>
      </c>
      <c r="I69" s="79">
        <f>F69/E69</f>
        <v>270.83999991908257</v>
      </c>
      <c r="J69" s="45">
        <v>80</v>
      </c>
      <c r="K69" s="32">
        <f>-F68*J69/J71</f>
        <v>10209355.749397591</v>
      </c>
      <c r="L69" s="44">
        <f>K69/E69</f>
        <v>258.16092227165581</v>
      </c>
      <c r="M69" s="348">
        <f>ROUND(H69,2)</f>
        <v>-0.99</v>
      </c>
      <c r="N69" s="95"/>
      <c r="O69" s="95"/>
      <c r="P69" s="392"/>
    </row>
    <row r="70" spans="1:18" x14ac:dyDescent="0.3">
      <c r="B70" s="6" t="s">
        <v>15</v>
      </c>
      <c r="C70" s="6" t="s">
        <v>233</v>
      </c>
      <c r="D70" s="6" t="s">
        <v>80</v>
      </c>
      <c r="E70" s="9">
        <v>484.4</v>
      </c>
      <c r="F70" s="9">
        <v>131190.04999999999</v>
      </c>
      <c r="H70" s="105">
        <f t="shared" si="6"/>
        <v>-1.2092586675187729E-2</v>
      </c>
      <c r="I70" s="79">
        <f>F70/E70</f>
        <v>270.82999587118081</v>
      </c>
      <c r="J70" s="45">
        <v>3</v>
      </c>
      <c r="K70" s="32">
        <f>-F68*J70/J71</f>
        <v>382850.84060240962</v>
      </c>
      <c r="L70" s="44">
        <f>K70/E70</f>
        <v>790.36094261438814</v>
      </c>
      <c r="M70" s="348">
        <f>ROUND(H70,2)</f>
        <v>-0.01</v>
      </c>
      <c r="N70" s="96"/>
      <c r="O70" s="96"/>
      <c r="P70" s="96"/>
    </row>
    <row r="71" spans="1:18" x14ac:dyDescent="0.3">
      <c r="A71" s="6" t="s">
        <v>1921</v>
      </c>
      <c r="E71" s="9">
        <v>-26.719999999995366</v>
      </c>
      <c r="F71" s="9">
        <v>249752.10000000073</v>
      </c>
      <c r="G71" s="46"/>
      <c r="H71" s="120">
        <f>E71/$E$68</f>
        <v>6.6703946317291519E-4</v>
      </c>
      <c r="I71" s="78"/>
      <c r="J71" s="46">
        <f>SUM(J69:J70)</f>
        <v>83</v>
      </c>
      <c r="K71" s="46">
        <f>SUM(K69:K70)</f>
        <v>10592206.59</v>
      </c>
      <c r="L71" s="46"/>
      <c r="M71" s="335">
        <f>SUM(M69:M70)</f>
        <v>-1</v>
      </c>
      <c r="N71" s="94">
        <f>SUM(H69:H70)</f>
        <v>-0.99933296053682708</v>
      </c>
      <c r="O71" s="94">
        <f>-100%-N71</f>
        <v>-6.6703946317292484E-4</v>
      </c>
      <c r="P71" s="391" t="s">
        <v>222</v>
      </c>
      <c r="Q71" s="343"/>
    </row>
    <row r="72" spans="1:18" x14ac:dyDescent="0.3">
      <c r="A72" s="349" t="s">
        <v>1951</v>
      </c>
      <c r="B72" s="6" t="s">
        <v>17</v>
      </c>
      <c r="C72" s="339" t="s">
        <v>18</v>
      </c>
      <c r="D72" s="6" t="s">
        <v>80</v>
      </c>
      <c r="E72" s="9">
        <v>-10025.4</v>
      </c>
      <c r="F72" s="9">
        <v>-1555345.75</v>
      </c>
      <c r="G72" s="136">
        <f>+E73</f>
        <v>10008</v>
      </c>
      <c r="H72" s="105">
        <f>E72/$E$72</f>
        <v>1</v>
      </c>
      <c r="I72" s="79">
        <f>F72/E72</f>
        <v>155.14051808406649</v>
      </c>
      <c r="J72" s="45"/>
      <c r="K72" s="45"/>
      <c r="L72" s="45"/>
      <c r="M72" s="184"/>
      <c r="N72" s="95"/>
      <c r="O72" s="95"/>
      <c r="P72" s="392"/>
      <c r="Q72" s="395">
        <v>101</v>
      </c>
    </row>
    <row r="73" spans="1:18" x14ac:dyDescent="0.3">
      <c r="B73" s="6" t="s">
        <v>19</v>
      </c>
      <c r="C73" s="6" t="s">
        <v>20</v>
      </c>
      <c r="D73" s="6" t="s">
        <v>80</v>
      </c>
      <c r="E73" s="9">
        <v>10008</v>
      </c>
      <c r="F73" s="9">
        <v>1600579.44</v>
      </c>
      <c r="G73" s="163"/>
      <c r="H73" s="105">
        <f>E73/$E$72</f>
        <v>-0.99826440840265729</v>
      </c>
      <c r="I73" s="79">
        <f>F73/E73</f>
        <v>159.93</v>
      </c>
      <c r="J73" s="346">
        <v>95</v>
      </c>
      <c r="K73" s="32"/>
      <c r="L73" s="44">
        <f>K73/E73</f>
        <v>0</v>
      </c>
      <c r="M73" s="348">
        <f>ROUND(H73,2)</f>
        <v>-1</v>
      </c>
      <c r="N73" s="95"/>
      <c r="O73" s="95"/>
      <c r="P73" s="392"/>
      <c r="Q73" s="121"/>
      <c r="R73" s="9"/>
    </row>
    <row r="74" spans="1:18" x14ac:dyDescent="0.3">
      <c r="A74" s="6" t="s">
        <v>2014</v>
      </c>
      <c r="E74" s="9">
        <v>-17.399999999999636</v>
      </c>
      <c r="F74" s="9">
        <v>45233.689999999944</v>
      </c>
      <c r="G74" s="46"/>
      <c r="H74" s="120">
        <f>E74/$E$72</f>
        <v>1.7355915973427131E-3</v>
      </c>
      <c r="I74" s="78"/>
      <c r="J74" s="46">
        <f>SUM(J73)</f>
        <v>95</v>
      </c>
      <c r="K74" s="46">
        <f>SUM(K73)</f>
        <v>0</v>
      </c>
      <c r="L74" s="46"/>
      <c r="M74" s="335">
        <f>SUM(M73)</f>
        <v>-1</v>
      </c>
      <c r="N74" s="94">
        <f>SUM(H73:H74)</f>
        <v>-0.99652881680531458</v>
      </c>
      <c r="O74" s="94">
        <f>-100%-N74</f>
        <v>-3.4711831946854232E-3</v>
      </c>
      <c r="P74" s="373" t="s">
        <v>222</v>
      </c>
      <c r="Q74" s="396"/>
    </row>
    <row r="75" spans="1:18" x14ac:dyDescent="0.3">
      <c r="A75" s="349" t="s">
        <v>1955</v>
      </c>
      <c r="B75" s="6" t="s">
        <v>9</v>
      </c>
      <c r="C75" s="6" t="s">
        <v>10</v>
      </c>
      <c r="D75" s="6" t="s">
        <v>80</v>
      </c>
      <c r="E75" s="9">
        <v>-7975.9</v>
      </c>
      <c r="F75" s="9">
        <v>-2109022.52</v>
      </c>
      <c r="G75" s="136">
        <f>+E76+E77</f>
        <v>7937.9800000000005</v>
      </c>
      <c r="H75" s="105">
        <f>E75/$E$75</f>
        <v>1</v>
      </c>
      <c r="I75" s="79">
        <f>F75/E75</f>
        <v>264.42439348537471</v>
      </c>
      <c r="J75" s="45"/>
      <c r="K75" s="45"/>
      <c r="L75" s="45"/>
      <c r="M75" s="184"/>
      <c r="N75" s="95"/>
      <c r="O75" s="95"/>
      <c r="P75" s="105"/>
      <c r="Q75" s="395">
        <v>101</v>
      </c>
    </row>
    <row r="76" spans="1:18" x14ac:dyDescent="0.3">
      <c r="B76" s="6" t="s">
        <v>13</v>
      </c>
      <c r="C76" s="6" t="s">
        <v>14</v>
      </c>
      <c r="D76" s="6" t="s">
        <v>80</v>
      </c>
      <c r="E76" s="9">
        <v>7716.18</v>
      </c>
      <c r="F76" s="9">
        <v>2089850.19</v>
      </c>
      <c r="G76" s="163"/>
      <c r="H76" s="105">
        <f>E76/$E$75</f>
        <v>-0.96743690367231294</v>
      </c>
      <c r="I76" s="79">
        <f>F76/E76</f>
        <v>270.83999984448263</v>
      </c>
      <c r="J76" s="45">
        <v>80</v>
      </c>
      <c r="K76" s="32"/>
      <c r="L76" s="44">
        <f t="shared" ref="L76:L77" si="7">K76/E76</f>
        <v>0</v>
      </c>
      <c r="M76" s="348">
        <f>ROUND(H76,2)</f>
        <v>-0.97</v>
      </c>
      <c r="N76" s="95"/>
      <c r="O76" s="95"/>
      <c r="P76" s="105"/>
      <c r="Q76" s="121"/>
    </row>
    <row r="77" spans="1:18" x14ac:dyDescent="0.3">
      <c r="B77" s="6" t="s">
        <v>15</v>
      </c>
      <c r="C77" s="6" t="s">
        <v>233</v>
      </c>
      <c r="D77" s="6" t="s">
        <v>80</v>
      </c>
      <c r="E77" s="9">
        <v>221.8</v>
      </c>
      <c r="F77" s="9">
        <v>60070.09</v>
      </c>
      <c r="H77" s="105">
        <f>E77/$E$75</f>
        <v>-2.780877393146855E-2</v>
      </c>
      <c r="I77" s="79">
        <f>F77/E77</f>
        <v>270.82998196573487</v>
      </c>
      <c r="J77" s="7">
        <v>3</v>
      </c>
      <c r="K77" s="32"/>
      <c r="L77" s="44">
        <f t="shared" si="7"/>
        <v>0</v>
      </c>
      <c r="M77" s="348">
        <f>ROUND(H77,2)</f>
        <v>-0.03</v>
      </c>
      <c r="P77" s="121"/>
    </row>
    <row r="78" spans="1:18" x14ac:dyDescent="0.3">
      <c r="A78" s="6" t="s">
        <v>2015</v>
      </c>
      <c r="E78" s="9">
        <v>-37.919999999999334</v>
      </c>
      <c r="F78" s="9">
        <v>40897.759999999922</v>
      </c>
      <c r="G78" s="46"/>
      <c r="H78" s="120">
        <f>E78/$E$75</f>
        <v>4.7543223962185251E-3</v>
      </c>
      <c r="I78" s="78"/>
      <c r="J78" s="46">
        <f ca="1">SUM(J76:J78)</f>
        <v>83</v>
      </c>
      <c r="K78" s="46">
        <f>SUM(K76:K77)</f>
        <v>0</v>
      </c>
      <c r="L78" s="46"/>
      <c r="M78" s="335">
        <f>SUM(M76:M77)</f>
        <v>-1</v>
      </c>
      <c r="N78" s="94">
        <f>SUM(H76:H78)</f>
        <v>-0.99049135520756293</v>
      </c>
      <c r="O78" s="94">
        <f>-100%-N78</f>
        <v>-9.5086447924370709E-3</v>
      </c>
      <c r="P78" s="373" t="s">
        <v>222</v>
      </c>
      <c r="Q78" s="343"/>
    </row>
    <row r="79" spans="1:18" x14ac:dyDescent="0.3">
      <c r="A79" s="349" t="s">
        <v>2065</v>
      </c>
      <c r="B79" s="6" t="s">
        <v>9</v>
      </c>
      <c r="C79" s="6" t="s">
        <v>10</v>
      </c>
      <c r="D79" s="6" t="s">
        <v>80</v>
      </c>
      <c r="E79" s="9">
        <v>-10006</v>
      </c>
      <c r="F79" s="9">
        <v>-2645830.48</v>
      </c>
      <c r="G79" s="136">
        <f>+E80</f>
        <v>9961</v>
      </c>
      <c r="H79" s="105">
        <f>E79/$E$79</f>
        <v>1</v>
      </c>
      <c r="I79" s="79">
        <f>F79/E79</f>
        <v>264.42439336398161</v>
      </c>
      <c r="J79" s="45"/>
      <c r="K79" s="45"/>
      <c r="L79" s="45"/>
      <c r="M79" s="184"/>
      <c r="N79" s="95"/>
      <c r="O79" s="95"/>
      <c r="P79" s="105"/>
      <c r="Q79" s="395">
        <v>101</v>
      </c>
    </row>
    <row r="80" spans="1:18" x14ac:dyDescent="0.3">
      <c r="B80" s="6" t="s">
        <v>13</v>
      </c>
      <c r="C80" s="6" t="s">
        <v>14</v>
      </c>
      <c r="D80" s="6" t="s">
        <v>80</v>
      </c>
      <c r="E80" s="9">
        <v>9961</v>
      </c>
      <c r="F80" s="9">
        <v>2697837.24</v>
      </c>
      <c r="G80" s="163"/>
      <c r="H80" s="105">
        <f>E80/$E$79</f>
        <v>-0.99550269838097138</v>
      </c>
      <c r="I80" s="79">
        <f>F80/E80</f>
        <v>270.84000000000003</v>
      </c>
      <c r="J80" s="45">
        <v>80</v>
      </c>
      <c r="K80" s="32"/>
      <c r="L80" s="44">
        <f t="shared" ref="L80" si="8">K80/E80</f>
        <v>0</v>
      </c>
      <c r="M80" s="348">
        <f>ROUND(H80,2)</f>
        <v>-1</v>
      </c>
      <c r="N80" s="95"/>
      <c r="O80" s="95"/>
      <c r="P80" s="105"/>
      <c r="Q80" s="121"/>
    </row>
    <row r="81" spans="1:17" x14ac:dyDescent="0.3">
      <c r="A81" s="6" t="s">
        <v>2075</v>
      </c>
      <c r="E81" s="9">
        <v>-45</v>
      </c>
      <c r="F81" s="9">
        <v>52006.760000000242</v>
      </c>
      <c r="G81" s="46"/>
      <c r="H81" s="120">
        <f>E81/$E$79</f>
        <v>4.4973016190285832E-3</v>
      </c>
      <c r="I81" s="78"/>
      <c r="J81" s="46">
        <f ca="1">SUM(J80:J81)</f>
        <v>83</v>
      </c>
      <c r="K81" s="46">
        <f ca="1">SUM(K80:K81)</f>
        <v>0</v>
      </c>
      <c r="L81" s="46"/>
      <c r="M81" s="335">
        <f ca="1">SUM(M80:M81)</f>
        <v>-1.24</v>
      </c>
      <c r="N81" s="94">
        <f>SUM(H80:H81)</f>
        <v>-0.99100539676194277</v>
      </c>
      <c r="O81" s="94">
        <f>-100%-N81</f>
        <v>-8.9946032380572305E-3</v>
      </c>
      <c r="P81" s="373" t="s">
        <v>222</v>
      </c>
      <c r="Q81" s="343"/>
    </row>
    <row r="82" spans="1:17" x14ac:dyDescent="0.3">
      <c r="A82" s="6" t="s">
        <v>145</v>
      </c>
      <c r="E82" s="9">
        <v>-752.99999999999454</v>
      </c>
      <c r="F82" s="9">
        <v>1453138.7899999996</v>
      </c>
    </row>
    <row r="83" spans="1:17" x14ac:dyDescent="0.3">
      <c r="E83" s="13"/>
      <c r="F83" s="13"/>
      <c r="G83" s="163"/>
      <c r="H83" s="340"/>
      <c r="I83" s="341"/>
      <c r="J83" s="163"/>
      <c r="K83" s="163"/>
      <c r="L83" s="163"/>
      <c r="M83" s="342"/>
      <c r="N83" s="96"/>
      <c r="O83" s="96"/>
      <c r="P83" s="58"/>
    </row>
    <row r="84" spans="1:17" x14ac:dyDescent="0.3">
      <c r="E84" s="13"/>
      <c r="F84" s="13"/>
      <c r="G84" s="163"/>
      <c r="H84" s="340"/>
      <c r="I84" s="341"/>
      <c r="J84" s="163"/>
      <c r="K84" s="163"/>
      <c r="L84" s="163"/>
      <c r="M84" s="342"/>
      <c r="N84" s="96"/>
      <c r="O84" s="96"/>
      <c r="P84" s="58"/>
    </row>
    <row r="85" spans="1:17" x14ac:dyDescent="0.3">
      <c r="E85" s="13"/>
      <c r="F85" s="13"/>
      <c r="G85" s="163"/>
      <c r="H85" s="340"/>
      <c r="I85" s="341"/>
      <c r="J85" s="163"/>
      <c r="K85" s="163"/>
      <c r="L85" s="163"/>
      <c r="M85" s="342"/>
      <c r="N85" s="96"/>
      <c r="O85" s="96"/>
      <c r="P85" s="58"/>
    </row>
    <row r="86" spans="1:17" x14ac:dyDescent="0.3">
      <c r="A86" s="101" t="s">
        <v>200</v>
      </c>
      <c r="B86" s="99"/>
      <c r="C86" s="99"/>
      <c r="D86" s="99"/>
      <c r="E86" s="36"/>
      <c r="F86" s="36"/>
      <c r="G86" s="133"/>
      <c r="H86" s="130"/>
      <c r="I86" s="102"/>
      <c r="J86" s="36"/>
      <c r="K86" s="36"/>
      <c r="L86" s="36"/>
      <c r="M86" s="36"/>
      <c r="N86" s="103">
        <f>AVERAGE(N4:N71)</f>
        <v>-0.99608687570751842</v>
      </c>
      <c r="O86" s="103">
        <f>AVERAGE(O4:O71)</f>
        <v>-3.9131242924815611E-3</v>
      </c>
      <c r="P86" s="188"/>
      <c r="Q86" s="394"/>
    </row>
    <row r="87" spans="1:17" ht="17.5" x14ac:dyDescent="0.35">
      <c r="A87" s="109" t="s">
        <v>203</v>
      </c>
    </row>
    <row r="88" spans="1:17" ht="29" customHeight="1" x14ac:dyDescent="0.3">
      <c r="G88" s="330" t="s">
        <v>136</v>
      </c>
      <c r="H88" s="331" t="s">
        <v>137</v>
      </c>
      <c r="I88" s="330" t="s">
        <v>138</v>
      </c>
      <c r="J88" s="330" t="s">
        <v>267</v>
      </c>
      <c r="K88" s="330" t="s">
        <v>140</v>
      </c>
      <c r="L88" s="330" t="s">
        <v>201</v>
      </c>
      <c r="M88" s="134" t="s">
        <v>202</v>
      </c>
      <c r="N88" s="330" t="s">
        <v>317</v>
      </c>
      <c r="O88" s="330" t="s">
        <v>318</v>
      </c>
    </row>
    <row r="89" spans="1:17" ht="17.5" x14ac:dyDescent="0.35">
      <c r="A89" s="71" t="s">
        <v>268</v>
      </c>
      <c r="B89" s="109"/>
      <c r="E89" s="108"/>
      <c r="F89" s="13"/>
      <c r="G89" s="163"/>
      <c r="H89" s="95"/>
      <c r="I89" s="104"/>
      <c r="J89" s="11"/>
      <c r="K89" s="13"/>
      <c r="L89" s="13"/>
      <c r="N89" s="13"/>
      <c r="O89" s="13"/>
      <c r="P89" s="97"/>
    </row>
    <row r="90" spans="1:17" ht="15" x14ac:dyDescent="0.3">
      <c r="A90" s="111" t="s">
        <v>17</v>
      </c>
      <c r="B90" s="107" t="s">
        <v>18</v>
      </c>
      <c r="C90" s="107"/>
      <c r="D90" s="107" t="s">
        <v>80</v>
      </c>
      <c r="E90" s="118">
        <f>SUMIF(B:B,A90,E:E)</f>
        <v>-58005.200000000004</v>
      </c>
      <c r="F90" s="118">
        <f>SUMIF(B:B,A90,F:F)</f>
        <v>-9023988.3599999994</v>
      </c>
      <c r="G90" s="180"/>
      <c r="H90" s="131">
        <f>E90/$E$90</f>
        <v>1</v>
      </c>
      <c r="I90" s="113">
        <f>F90/E90</f>
        <v>155.57205836718086</v>
      </c>
      <c r="J90" s="112"/>
      <c r="K90" s="112"/>
      <c r="L90" s="13"/>
      <c r="N90" s="10"/>
      <c r="O90" s="10"/>
      <c r="P90" s="97"/>
    </row>
    <row r="91" spans="1:17" ht="15" x14ac:dyDescent="0.3">
      <c r="A91" s="111">
        <v>57000003</v>
      </c>
      <c r="B91" s="107" t="s">
        <v>20</v>
      </c>
      <c r="C91" s="107"/>
      <c r="D91" s="107" t="s">
        <v>80</v>
      </c>
      <c r="E91" s="118">
        <f>SUMIF(B:B,A91,E:E)</f>
        <v>57440.92</v>
      </c>
      <c r="F91" s="118">
        <f>SUMIF(B:B,A91,F:F)</f>
        <v>9200096.5800000001</v>
      </c>
      <c r="G91" s="180"/>
      <c r="H91" s="131">
        <f>E91/$E$90</f>
        <v>-0.99027190665664444</v>
      </c>
      <c r="I91" s="113">
        <f>F91/E91</f>
        <v>160.16624698908026</v>
      </c>
      <c r="J91" s="112">
        <v>95</v>
      </c>
      <c r="K91" s="112">
        <f>+F90*J91/100</f>
        <v>-8572788.9419999998</v>
      </c>
      <c r="L91" s="44">
        <f>K91/E91</f>
        <v>-149.2453279299844</v>
      </c>
      <c r="M91" s="105">
        <f>ROUND(H91,2)</f>
        <v>-0.99</v>
      </c>
      <c r="N91" s="10"/>
      <c r="O91" s="10"/>
      <c r="P91" s="97"/>
    </row>
    <row r="92" spans="1:17" s="121" customFormat="1" ht="15" x14ac:dyDescent="0.3">
      <c r="A92" s="285" t="s">
        <v>21</v>
      </c>
      <c r="B92" s="286" t="s">
        <v>234</v>
      </c>
      <c r="C92" s="286"/>
      <c r="D92" s="286" t="s">
        <v>80</v>
      </c>
      <c r="E92" s="287">
        <f>SUMIF(B:B,A92,E:E)</f>
        <v>399.29999999999995</v>
      </c>
      <c r="F92" s="287">
        <f>SUMIF(B:B,A92,F:F)</f>
        <v>64058</v>
      </c>
      <c r="G92" s="288"/>
      <c r="H92" s="289">
        <f>E92/$E$90</f>
        <v>-6.8838655844648397E-3</v>
      </c>
      <c r="I92" s="290">
        <f>F92/E92</f>
        <v>160.42574505384425</v>
      </c>
      <c r="J92" s="291">
        <v>3</v>
      </c>
      <c r="K92" s="291">
        <f>+F90*J92/100</f>
        <v>-270719.6508</v>
      </c>
      <c r="L92" s="173">
        <f>K92/E92</f>
        <v>-677.98560180315565</v>
      </c>
      <c r="M92" s="105">
        <f>ROUND(H92,2)</f>
        <v>-0.01</v>
      </c>
      <c r="N92" s="120">
        <f>SUM(H91:H92)</f>
        <v>-0.99715577224110929</v>
      </c>
      <c r="O92" s="120">
        <f>-100%-N92</f>
        <v>-2.844227758890705E-3</v>
      </c>
      <c r="P92" s="97"/>
    </row>
    <row r="93" spans="1:17" ht="15" x14ac:dyDescent="0.3">
      <c r="A93" s="110"/>
      <c r="B93" s="6"/>
      <c r="C93" s="6"/>
      <c r="D93" s="6"/>
      <c r="E93" s="178">
        <f>SUM(E90:E92)</f>
        <v>-164.98000000000616</v>
      </c>
      <c r="F93" s="178">
        <f>SUM(F90:F92)</f>
        <v>240166.22000000067</v>
      </c>
      <c r="G93" s="163"/>
      <c r="H93" s="96">
        <f>SUM(H90:H92)</f>
        <v>2.8442277588907197E-3</v>
      </c>
      <c r="I93" s="104"/>
      <c r="J93" s="13"/>
      <c r="K93" s="13"/>
      <c r="L93" s="129"/>
      <c r="M93" s="315">
        <f>SUM(M91:M92)</f>
        <v>-1</v>
      </c>
      <c r="N93" s="95"/>
      <c r="O93" s="95"/>
      <c r="P93" s="189"/>
    </row>
    <row r="94" spans="1:17" ht="17.5" x14ac:dyDescent="0.35">
      <c r="A94" s="71" t="s">
        <v>269</v>
      </c>
      <c r="B94" s="110"/>
      <c r="C94" s="6"/>
      <c r="D94" s="6"/>
      <c r="E94" s="108"/>
      <c r="F94" s="13"/>
      <c r="G94" s="163"/>
      <c r="H94" s="95"/>
      <c r="I94" s="104"/>
      <c r="J94" s="13"/>
      <c r="K94" s="13"/>
      <c r="L94" s="13"/>
      <c r="N94" s="95"/>
      <c r="O94" s="95"/>
      <c r="P94" s="97"/>
    </row>
    <row r="95" spans="1:17" ht="15" x14ac:dyDescent="0.3">
      <c r="A95" s="111">
        <v>54002340</v>
      </c>
      <c r="B95" s="107" t="s">
        <v>10</v>
      </c>
      <c r="C95" s="107"/>
      <c r="D95" s="107" t="s">
        <v>80</v>
      </c>
      <c r="E95" s="118">
        <f>SUMIF(B:B,A95,E:E)</f>
        <v>-211394.09999999998</v>
      </c>
      <c r="F95" s="118">
        <f>SUMIF(B:B,A95,F:F)</f>
        <v>-55835618.829999998</v>
      </c>
      <c r="G95" s="180"/>
      <c r="H95" s="131">
        <f>E95/$E$95</f>
        <v>1</v>
      </c>
      <c r="I95" s="113">
        <f>F95/E95</f>
        <v>264.13045032950305</v>
      </c>
      <c r="J95" s="112"/>
      <c r="K95" s="112"/>
      <c r="L95" s="13"/>
      <c r="N95" s="95"/>
      <c r="O95" s="95"/>
      <c r="P95" s="97"/>
    </row>
    <row r="96" spans="1:17" ht="15" x14ac:dyDescent="0.3">
      <c r="A96" s="111">
        <v>57000000</v>
      </c>
      <c r="B96" s="107" t="s">
        <v>12</v>
      </c>
      <c r="C96" s="107"/>
      <c r="D96" s="107" t="s">
        <v>80</v>
      </c>
      <c r="E96" s="118">
        <f>SUMIF(B:B,A96,E:E)</f>
        <v>0</v>
      </c>
      <c r="F96" s="118">
        <f>SUMIF(B:B,A96,F:F)</f>
        <v>0</v>
      </c>
      <c r="G96" s="180"/>
      <c r="H96" s="131">
        <f>E96/$E$95</f>
        <v>0</v>
      </c>
      <c r="I96" s="113" t="e">
        <f>F96/E96</f>
        <v>#DIV/0!</v>
      </c>
      <c r="J96" s="112">
        <v>15</v>
      </c>
      <c r="K96" s="112">
        <f>+F95*J96/100</f>
        <v>-8375342.8244999992</v>
      </c>
      <c r="L96" s="44" t="e">
        <f>K96/E96</f>
        <v>#DIV/0!</v>
      </c>
      <c r="M96" s="105">
        <f t="shared" ref="M96:M98" si="9">ROUND(H96,2)</f>
        <v>0</v>
      </c>
      <c r="N96" s="95"/>
      <c r="O96" s="95"/>
      <c r="P96" s="97"/>
    </row>
    <row r="97" spans="1:16" ht="15" x14ac:dyDescent="0.3">
      <c r="A97" s="111">
        <v>57000001</v>
      </c>
      <c r="B97" s="107" t="s">
        <v>14</v>
      </c>
      <c r="C97" s="107"/>
      <c r="D97" s="107" t="s">
        <v>80</v>
      </c>
      <c r="E97" s="118">
        <f>SUMIF(B:B,A97,E:E)</f>
        <v>208695.08000000002</v>
      </c>
      <c r="F97" s="118">
        <f>SUMIF(B:B,A97,F:F)</f>
        <v>56477437.839999996</v>
      </c>
      <c r="G97" s="180"/>
      <c r="H97" s="131">
        <f>E97/$E$95</f>
        <v>-0.98723228320941803</v>
      </c>
      <c r="I97" s="113">
        <f>F97/E97</f>
        <v>270.62179827143024</v>
      </c>
      <c r="J97" s="112">
        <v>80</v>
      </c>
      <c r="K97" s="112">
        <f>+F95*J97/100</f>
        <v>-44668495.063999996</v>
      </c>
      <c r="L97" s="44">
        <f>K97/E97</f>
        <v>-214.03712566678615</v>
      </c>
      <c r="M97" s="105">
        <f t="shared" si="9"/>
        <v>-0.99</v>
      </c>
      <c r="N97" s="95"/>
      <c r="O97" s="95"/>
      <c r="P97" s="97"/>
    </row>
    <row r="98" spans="1:16" ht="15" x14ac:dyDescent="0.3">
      <c r="A98" s="111" t="s">
        <v>15</v>
      </c>
      <c r="B98" s="107" t="s">
        <v>233</v>
      </c>
      <c r="C98" s="107"/>
      <c r="D98" s="107" t="s">
        <v>80</v>
      </c>
      <c r="E98" s="118">
        <f>SUMIF(B:B,A98,E:E)</f>
        <v>2111.0000000000005</v>
      </c>
      <c r="F98" s="118">
        <f>SUMIF(B:B,A98,F:F)</f>
        <v>571153.56000000006</v>
      </c>
      <c r="G98" s="180"/>
      <c r="H98" s="131">
        <f>E98/$E$95</f>
        <v>-9.9860875965790945E-3</v>
      </c>
      <c r="I98" s="113">
        <f t="shared" ref="I98" si="10">F98/E98</f>
        <v>270.56066319279961</v>
      </c>
      <c r="J98" s="112">
        <v>3</v>
      </c>
      <c r="K98" s="112">
        <f>+F95*J98/100</f>
        <v>-1675068.5649000001</v>
      </c>
      <c r="L98" s="44">
        <f>K98/E98</f>
        <v>-793.49529365229739</v>
      </c>
      <c r="M98" s="105">
        <f t="shared" si="9"/>
        <v>-0.01</v>
      </c>
      <c r="N98" s="292">
        <f>SUM(H96:H98)</f>
        <v>-0.99721837080599707</v>
      </c>
      <c r="O98" s="120">
        <f>-100%-N98</f>
        <v>-2.7816291940029325E-3</v>
      </c>
      <c r="P98" s="97"/>
    </row>
    <row r="99" spans="1:16" ht="15" x14ac:dyDescent="0.3">
      <c r="A99" s="16"/>
      <c r="B99" s="110"/>
      <c r="C99" s="6"/>
      <c r="D99" s="6"/>
      <c r="E99" s="178">
        <f>SUM(E95:E98)</f>
        <v>-588.01999999995996</v>
      </c>
      <c r="F99" s="178">
        <f>SUM(F95:F98)</f>
        <v>1212972.569999998</v>
      </c>
      <c r="G99" s="163"/>
      <c r="H99" s="96">
        <f>SUM(H95:H98)</f>
        <v>2.7816291940028787E-3</v>
      </c>
      <c r="I99" s="104"/>
      <c r="J99" s="13"/>
      <c r="K99" s="13"/>
      <c r="L99" s="13"/>
      <c r="M99" s="315">
        <f>SUM(M96:M98)</f>
        <v>-1</v>
      </c>
      <c r="N99" s="96"/>
      <c r="O99" s="96"/>
      <c r="P99" s="97"/>
    </row>
    <row r="100" spans="1:16" ht="15" x14ac:dyDescent="0.3">
      <c r="A100" s="16"/>
      <c r="E100" s="179">
        <f>E93+E99</f>
        <v>-752.99999999996612</v>
      </c>
      <c r="F100" s="179">
        <f>F93+F99</f>
        <v>1453138.7899999986</v>
      </c>
      <c r="G100" s="163"/>
      <c r="H100" s="95"/>
      <c r="I100" s="104"/>
      <c r="J100" s="13"/>
      <c r="K100" s="13"/>
      <c r="L100" s="13"/>
      <c r="M100" s="13"/>
      <c r="N100" s="96"/>
      <c r="O100" s="96"/>
      <c r="P100" s="97"/>
    </row>
    <row r="101" spans="1:16" s="281" customFormat="1" ht="15" x14ac:dyDescent="0.3">
      <c r="A101" s="280"/>
      <c r="E101" s="60">
        <f>E100-E79</f>
        <v>9253.0000000000346</v>
      </c>
      <c r="F101" s="60">
        <f>F100-F79</f>
        <v>4098969.2699999986</v>
      </c>
      <c r="G101" s="60" t="s">
        <v>156</v>
      </c>
      <c r="H101" s="282"/>
      <c r="I101" s="283"/>
      <c r="J101" s="284"/>
      <c r="K101" s="284"/>
      <c r="L101" s="284"/>
      <c r="M101" s="284"/>
      <c r="N101" s="275"/>
      <c r="O101" s="275"/>
      <c r="P101" s="275"/>
    </row>
    <row r="102" spans="1:16" s="270" customFormat="1" ht="15" x14ac:dyDescent="0.3">
      <c r="A102" s="41"/>
      <c r="E102" s="273"/>
      <c r="F102" s="276"/>
      <c r="G102" s="62"/>
      <c r="H102" s="271"/>
      <c r="I102" s="272"/>
      <c r="J102" s="273"/>
      <c r="K102" s="273"/>
      <c r="L102" s="273"/>
      <c r="M102" s="273"/>
      <c r="N102" s="274"/>
      <c r="O102" s="274"/>
      <c r="P102" s="275"/>
    </row>
    <row r="103" spans="1:16" s="270" customFormat="1" ht="15" x14ac:dyDescent="0.3">
      <c r="A103" s="41"/>
      <c r="E103" s="273"/>
      <c r="F103" s="273"/>
      <c r="G103" s="62"/>
      <c r="H103" s="271"/>
      <c r="I103" s="272"/>
      <c r="J103" s="273"/>
      <c r="K103" s="273"/>
      <c r="L103" s="273"/>
      <c r="M103" s="273"/>
      <c r="N103" s="274"/>
      <c r="O103" s="274"/>
      <c r="P103" s="275"/>
    </row>
    <row r="104" spans="1:16" s="270" customFormat="1" ht="15" x14ac:dyDescent="0.3">
      <c r="A104" s="41"/>
      <c r="E104" s="273"/>
      <c r="F104" s="273"/>
      <c r="G104" s="62"/>
      <c r="H104" s="271"/>
      <c r="I104" s="272"/>
      <c r="J104" s="273"/>
      <c r="K104" s="273"/>
      <c r="L104" s="273"/>
      <c r="M104" s="273"/>
      <c r="N104" s="274"/>
      <c r="O104" s="274"/>
      <c r="P104" s="275"/>
    </row>
    <row r="105" spans="1:16" s="270" customFormat="1" ht="15" x14ac:dyDescent="0.3">
      <c r="B105" s="41" t="s">
        <v>202</v>
      </c>
      <c r="E105" s="273"/>
      <c r="F105" s="273"/>
      <c r="G105" s="62"/>
      <c r="H105" s="277"/>
      <c r="I105" s="278"/>
      <c r="J105" s="276"/>
      <c r="K105" s="276"/>
      <c r="L105" s="276"/>
      <c r="M105" s="276"/>
      <c r="N105" s="277"/>
      <c r="O105" s="277"/>
      <c r="P105" s="279"/>
    </row>
    <row r="106" spans="1:16" x14ac:dyDescent="0.3">
      <c r="E106" s="13"/>
      <c r="F106" s="13"/>
      <c r="G106" s="163"/>
      <c r="H106" s="93"/>
      <c r="I106" s="76"/>
      <c r="N106" s="93"/>
      <c r="O106" s="93"/>
      <c r="P106" s="186"/>
    </row>
    <row r="107" spans="1:16" x14ac:dyDescent="0.3">
      <c r="H107" s="93"/>
      <c r="I107" s="76"/>
      <c r="N107" s="93"/>
      <c r="O107" s="93"/>
      <c r="P107" s="186"/>
    </row>
    <row r="108" spans="1:16" x14ac:dyDescent="0.3">
      <c r="H108" s="93"/>
      <c r="I108" s="76"/>
      <c r="N108" s="93"/>
      <c r="O108" s="93"/>
      <c r="P108" s="186"/>
    </row>
    <row r="109" spans="1:16" x14ac:dyDescent="0.3">
      <c r="H109" s="93"/>
      <c r="I109" s="76"/>
      <c r="N109" s="93"/>
      <c r="O109" s="93"/>
      <c r="P109" s="186"/>
    </row>
    <row r="110" spans="1:16" x14ac:dyDescent="0.3">
      <c r="H110" s="93"/>
      <c r="I110" s="76"/>
      <c r="N110" s="93"/>
      <c r="O110" s="93"/>
      <c r="P110" s="186"/>
    </row>
    <row r="111" spans="1:16" x14ac:dyDescent="0.3">
      <c r="H111" s="93"/>
      <c r="I111" s="76"/>
      <c r="N111" s="93"/>
      <c r="O111" s="93"/>
      <c r="P111" s="186"/>
    </row>
    <row r="112" spans="1:16" x14ac:dyDescent="0.3">
      <c r="H112" s="93"/>
      <c r="I112" s="76"/>
      <c r="N112" s="93"/>
      <c r="O112" s="93"/>
      <c r="P112" s="186"/>
    </row>
    <row r="113" spans="8:16" x14ac:dyDescent="0.3">
      <c r="H113" s="93"/>
      <c r="I113" s="76"/>
      <c r="N113" s="93"/>
      <c r="O113" s="93"/>
      <c r="P113" s="186"/>
    </row>
    <row r="114" spans="8:16" x14ac:dyDescent="0.3">
      <c r="H114" s="93"/>
      <c r="I114" s="76"/>
      <c r="N114" s="93"/>
      <c r="O114" s="93"/>
      <c r="P114" s="186"/>
    </row>
    <row r="115" spans="8:16" x14ac:dyDescent="0.3">
      <c r="H115" s="93"/>
      <c r="I115" s="76"/>
      <c r="N115" s="93"/>
      <c r="O115" s="93"/>
      <c r="P115" s="186"/>
    </row>
    <row r="116" spans="8:16" x14ac:dyDescent="0.3">
      <c r="H116" s="93"/>
      <c r="I116" s="76"/>
      <c r="N116" s="93"/>
      <c r="O116" s="93"/>
      <c r="P116" s="186"/>
    </row>
    <row r="117" spans="8:16" x14ac:dyDescent="0.3">
      <c r="H117" s="93"/>
      <c r="I117" s="76"/>
      <c r="N117" s="93"/>
      <c r="O117" s="93"/>
      <c r="P117" s="186"/>
    </row>
    <row r="118" spans="8:16" x14ac:dyDescent="0.3">
      <c r="H118" s="93"/>
      <c r="I118" s="76"/>
      <c r="N118" s="93"/>
      <c r="O118" s="93"/>
      <c r="P118" s="186"/>
    </row>
    <row r="119" spans="8:16" x14ac:dyDescent="0.3">
      <c r="H119" s="93"/>
      <c r="I119" s="76"/>
      <c r="N119" s="93"/>
      <c r="O119" s="93"/>
      <c r="P119" s="186"/>
    </row>
    <row r="120" spans="8:16" x14ac:dyDescent="0.3">
      <c r="H120" s="93"/>
      <c r="I120" s="76"/>
      <c r="N120" s="93"/>
      <c r="O120" s="93"/>
      <c r="P120" s="186"/>
    </row>
    <row r="121" spans="8:16" x14ac:dyDescent="0.3">
      <c r="H121" s="93"/>
      <c r="I121" s="76"/>
      <c r="N121" s="93"/>
      <c r="O121" s="93"/>
      <c r="P121" s="186"/>
    </row>
    <row r="122" spans="8:16" x14ac:dyDescent="0.3">
      <c r="H122" s="93"/>
      <c r="I122" s="76"/>
      <c r="N122" s="93"/>
      <c r="O122" s="93"/>
      <c r="P122" s="186"/>
    </row>
    <row r="123" spans="8:16" x14ac:dyDescent="0.3">
      <c r="H123" s="93"/>
      <c r="I123" s="76"/>
      <c r="N123" s="93"/>
      <c r="O123" s="93"/>
      <c r="P123" s="186"/>
    </row>
    <row r="124" spans="8:16" x14ac:dyDescent="0.3">
      <c r="H124" s="93"/>
      <c r="I124" s="76"/>
      <c r="N124" s="93"/>
      <c r="O124" s="93"/>
      <c r="P124" s="186"/>
    </row>
    <row r="125" spans="8:16" x14ac:dyDescent="0.3">
      <c r="H125" s="93"/>
      <c r="I125" s="76"/>
      <c r="N125" s="93"/>
      <c r="O125" s="93"/>
      <c r="P125" s="186"/>
    </row>
    <row r="126" spans="8:16" x14ac:dyDescent="0.3">
      <c r="H126" s="93"/>
      <c r="I126" s="76"/>
      <c r="N126" s="93"/>
      <c r="O126" s="93"/>
      <c r="P126" s="186"/>
    </row>
    <row r="127" spans="8:16" x14ac:dyDescent="0.3">
      <c r="H127" s="93"/>
      <c r="I127" s="76"/>
      <c r="N127" s="93"/>
      <c r="O127" s="93"/>
      <c r="P127" s="186"/>
    </row>
    <row r="128" spans="8:16" x14ac:dyDescent="0.3">
      <c r="H128" s="93"/>
      <c r="I128" s="76"/>
      <c r="N128" s="93"/>
      <c r="O128" s="93"/>
      <c r="P128" s="186"/>
    </row>
    <row r="129" spans="8:16" x14ac:dyDescent="0.3">
      <c r="H129" s="93"/>
      <c r="I129" s="76"/>
      <c r="N129" s="93"/>
      <c r="O129" s="93"/>
      <c r="P129" s="186"/>
    </row>
    <row r="130" spans="8:16" x14ac:dyDescent="0.3">
      <c r="H130" s="93"/>
      <c r="I130" s="76"/>
      <c r="N130" s="93"/>
      <c r="O130" s="93"/>
      <c r="P130" s="186"/>
    </row>
    <row r="131" spans="8:16" x14ac:dyDescent="0.3">
      <c r="H131" s="93"/>
      <c r="I131" s="76"/>
      <c r="N131" s="93"/>
      <c r="O131" s="93"/>
      <c r="P131" s="186"/>
    </row>
    <row r="132" spans="8:16" x14ac:dyDescent="0.3">
      <c r="H132" s="93"/>
      <c r="I132" s="76"/>
      <c r="N132" s="93"/>
      <c r="O132" s="93"/>
      <c r="P132" s="186"/>
    </row>
    <row r="133" spans="8:16" x14ac:dyDescent="0.3">
      <c r="H133" s="93"/>
      <c r="I133" s="76"/>
      <c r="N133" s="93"/>
      <c r="O133" s="93"/>
      <c r="P133" s="186"/>
    </row>
    <row r="134" spans="8:16" x14ac:dyDescent="0.3">
      <c r="H134" s="93"/>
      <c r="I134" s="76"/>
      <c r="N134" s="93"/>
      <c r="O134" s="93"/>
      <c r="P134" s="186"/>
    </row>
    <row r="135" spans="8:16" x14ac:dyDescent="0.3">
      <c r="H135" s="93"/>
      <c r="I135" s="76"/>
      <c r="N135" s="93"/>
      <c r="O135" s="93"/>
      <c r="P135" s="186"/>
    </row>
    <row r="136" spans="8:16" x14ac:dyDescent="0.3">
      <c r="H136" s="93"/>
      <c r="I136" s="76"/>
      <c r="N136" s="93"/>
      <c r="O136" s="93"/>
      <c r="P136" s="186"/>
    </row>
    <row r="137" spans="8:16" x14ac:dyDescent="0.3">
      <c r="H137" s="93"/>
      <c r="I137" s="76"/>
      <c r="N137" s="93"/>
      <c r="O137" s="93"/>
      <c r="P137" s="186"/>
    </row>
    <row r="138" spans="8:16" x14ac:dyDescent="0.3">
      <c r="H138" s="93"/>
      <c r="I138" s="76"/>
      <c r="N138" s="93"/>
      <c r="O138" s="93"/>
      <c r="P138" s="186"/>
    </row>
    <row r="139" spans="8:16" x14ac:dyDescent="0.3">
      <c r="H139" s="93"/>
      <c r="I139" s="76"/>
      <c r="N139" s="93"/>
      <c r="O139" s="93"/>
      <c r="P139" s="186"/>
    </row>
    <row r="140" spans="8:16" x14ac:dyDescent="0.3">
      <c r="H140" s="93"/>
      <c r="I140" s="76"/>
      <c r="N140" s="93"/>
      <c r="O140" s="93"/>
      <c r="P140" s="186"/>
    </row>
    <row r="141" spans="8:16" x14ac:dyDescent="0.3">
      <c r="H141" s="93"/>
      <c r="I141" s="76"/>
      <c r="N141" s="93"/>
      <c r="O141" s="93"/>
      <c r="P141" s="186"/>
    </row>
    <row r="142" spans="8:16" x14ac:dyDescent="0.3">
      <c r="H142" s="93"/>
      <c r="I142" s="76"/>
      <c r="N142" s="93"/>
      <c r="O142" s="93"/>
      <c r="P142" s="186"/>
    </row>
    <row r="143" spans="8:16" x14ac:dyDescent="0.3">
      <c r="H143" s="93"/>
      <c r="I143" s="76"/>
      <c r="N143" s="93"/>
      <c r="O143" s="93"/>
      <c r="P143" s="186"/>
    </row>
    <row r="144" spans="8:16" x14ac:dyDescent="0.3">
      <c r="H144" s="93"/>
      <c r="I144" s="76"/>
      <c r="N144" s="93"/>
      <c r="O144" s="93"/>
      <c r="P144" s="186"/>
    </row>
    <row r="145" spans="8:16" x14ac:dyDescent="0.3">
      <c r="H145" s="93"/>
      <c r="I145" s="76"/>
      <c r="N145" s="93"/>
      <c r="O145" s="93"/>
      <c r="P145" s="186"/>
    </row>
  </sheetData>
  <pageMargins left="0.7" right="0.7" top="0.75" bottom="0.75" header="0.3" footer="0.3"/>
  <pageSetup paperSize="9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45F4-C27A-46B1-8C40-3C41FCEFEE02}">
  <sheetPr codeName="Sheet10">
    <tabColor rgb="FFFF0000"/>
  </sheetPr>
  <dimension ref="A1:O165"/>
  <sheetViews>
    <sheetView showGridLines="0" zoomScale="60" zoomScaleNormal="60" workbookViewId="0">
      <selection activeCell="T17" sqref="T17"/>
    </sheetView>
  </sheetViews>
  <sheetFormatPr defaultColWidth="8.6640625" defaultRowHeight="14" x14ac:dyDescent="0.3"/>
  <cols>
    <col min="1" max="1" width="19.6640625" style="192" bestFit="1" customWidth="1"/>
    <col min="2" max="2" width="12.1640625" style="192" bestFit="1" customWidth="1"/>
    <col min="3" max="3" width="30.6640625" style="192" bestFit="1" customWidth="1"/>
    <col min="4" max="4" width="7.58203125" style="192" bestFit="1" customWidth="1"/>
    <col min="5" max="5" width="22.5" style="194" bestFit="1" customWidth="1"/>
    <col min="6" max="6" width="22.33203125" style="194" bestFit="1" customWidth="1"/>
    <col min="7" max="7" width="13" style="195" bestFit="1" customWidth="1"/>
    <col min="8" max="8" width="10.33203125" style="230" bestFit="1" customWidth="1"/>
    <col min="9" max="9" width="8.58203125" style="306" customWidth="1"/>
    <col min="10" max="10" width="2.5" style="192" customWidth="1"/>
    <col min="11" max="11" width="12.33203125" style="192" bestFit="1" customWidth="1"/>
    <col min="12" max="12" width="10.83203125" style="197" customWidth="1"/>
    <col min="13" max="13" width="10.75" style="192" customWidth="1"/>
    <col min="14" max="14" width="35.5" style="192" customWidth="1"/>
    <col min="15" max="15" width="15.33203125" style="327" customWidth="1"/>
    <col min="16" max="16384" width="8.6640625" style="192"/>
  </cols>
  <sheetData>
    <row r="1" spans="1:15" s="197" customFormat="1" x14ac:dyDescent="0.3">
      <c r="A1" s="191" t="s">
        <v>58</v>
      </c>
      <c r="B1" s="192" t="s">
        <v>288</v>
      </c>
      <c r="C1" s="193" t="s">
        <v>146</v>
      </c>
      <c r="E1" s="195"/>
      <c r="F1" s="195"/>
      <c r="G1" s="195"/>
      <c r="H1" s="196"/>
      <c r="I1" s="305" t="s">
        <v>147</v>
      </c>
      <c r="O1" s="193"/>
    </row>
    <row r="2" spans="1:15" ht="12.5" customHeight="1" x14ac:dyDescent="0.3"/>
    <row r="3" spans="1:15" ht="28" x14ac:dyDescent="0.3">
      <c r="A3" s="198" t="s">
        <v>135</v>
      </c>
      <c r="B3" s="198" t="s">
        <v>25</v>
      </c>
      <c r="C3" s="198" t="s">
        <v>26</v>
      </c>
      <c r="D3" s="198" t="s">
        <v>50</v>
      </c>
      <c r="E3" s="198" t="s">
        <v>211</v>
      </c>
      <c r="F3" s="198" t="s">
        <v>213</v>
      </c>
      <c r="G3" s="199" t="s">
        <v>148</v>
      </c>
      <c r="H3" s="200" t="s">
        <v>149</v>
      </c>
      <c r="I3" s="201" t="s">
        <v>137</v>
      </c>
      <c r="J3" s="202"/>
      <c r="K3" s="203" t="s">
        <v>150</v>
      </c>
      <c r="L3" s="203" t="s">
        <v>151</v>
      </c>
      <c r="M3" s="203" t="s">
        <v>221</v>
      </c>
      <c r="N3" s="203" t="s">
        <v>204</v>
      </c>
      <c r="O3" s="203" t="s">
        <v>1162</v>
      </c>
    </row>
    <row r="4" spans="1:15" x14ac:dyDescent="0.3">
      <c r="A4" s="204" t="s">
        <v>599</v>
      </c>
      <c r="B4" s="204" t="s">
        <v>13</v>
      </c>
      <c r="C4" s="204" t="s">
        <v>14</v>
      </c>
      <c r="D4" s="204" t="s">
        <v>80</v>
      </c>
      <c r="E4" s="205">
        <v>-2244.1999999999998</v>
      </c>
      <c r="F4" s="192">
        <v>-605462.72</v>
      </c>
      <c r="G4" s="206">
        <f>SUM(E4:E6)</f>
        <v>-2885.08</v>
      </c>
      <c r="H4" s="227">
        <f>E4/G4</f>
        <v>0.77786404536442655</v>
      </c>
      <c r="I4" s="307">
        <f>E4/E7</f>
        <v>-0.95512097546443075</v>
      </c>
      <c r="K4" s="208">
        <f t="shared" ref="K4:K12" si="0">F4/E4</f>
        <v>269.7900008911862</v>
      </c>
      <c r="L4" s="209"/>
      <c r="N4" s="208"/>
    </row>
    <row r="5" spans="1:15" x14ac:dyDescent="0.3">
      <c r="B5" s="204" t="s">
        <v>15</v>
      </c>
      <c r="C5" s="204" t="s">
        <v>233</v>
      </c>
      <c r="D5" s="204" t="s">
        <v>80</v>
      </c>
      <c r="E5" s="205">
        <v>-60.04</v>
      </c>
      <c r="F5" s="192">
        <v>-16198.19</v>
      </c>
      <c r="G5" s="210"/>
      <c r="H5" s="227">
        <f>E5/G4</f>
        <v>2.0810514786418401E-2</v>
      </c>
      <c r="I5" s="307">
        <f>E5/E7</f>
        <v>-2.5552741897729447E-2</v>
      </c>
      <c r="J5" s="207"/>
      <c r="K5" s="208">
        <f t="shared" si="0"/>
        <v>269.78997335109926</v>
      </c>
      <c r="L5" s="209"/>
    </row>
    <row r="6" spans="1:15" x14ac:dyDescent="0.3">
      <c r="B6" s="204" t="s">
        <v>19</v>
      </c>
      <c r="C6" s="204" t="s">
        <v>20</v>
      </c>
      <c r="D6" s="204" t="s">
        <v>80</v>
      </c>
      <c r="E6" s="205">
        <v>-580.84</v>
      </c>
      <c r="F6" s="192">
        <v>-93294.52</v>
      </c>
      <c r="G6" s="211"/>
      <c r="H6" s="227">
        <f>E6/G4</f>
        <v>0.20132543984915499</v>
      </c>
      <c r="I6" s="307">
        <f>E6/E7</f>
        <v>-0.2472027748813653</v>
      </c>
      <c r="J6" s="207"/>
      <c r="K6" s="208">
        <f t="shared" si="0"/>
        <v>160.61999862268439</v>
      </c>
      <c r="L6" s="209"/>
    </row>
    <row r="7" spans="1:15" x14ac:dyDescent="0.3">
      <c r="B7" s="204" t="s">
        <v>207</v>
      </c>
      <c r="C7" s="204" t="s">
        <v>208</v>
      </c>
      <c r="D7" s="204" t="s">
        <v>80</v>
      </c>
      <c r="E7" s="205">
        <v>2349.65</v>
      </c>
      <c r="F7" s="192">
        <v>761921.01</v>
      </c>
      <c r="H7" s="227">
        <f>E7/G4</f>
        <v>-0.81441415835956033</v>
      </c>
      <c r="I7" s="307">
        <f>E7/E7</f>
        <v>1</v>
      </c>
      <c r="K7" s="208">
        <f t="shared" si="0"/>
        <v>324.27000191517885</v>
      </c>
    </row>
    <row r="8" spans="1:15" x14ac:dyDescent="0.3">
      <c r="A8" s="204" t="s">
        <v>748</v>
      </c>
      <c r="E8" s="192">
        <v>-535.42999999999984</v>
      </c>
      <c r="F8" s="192">
        <v>46965.580000000075</v>
      </c>
      <c r="G8" s="212"/>
      <c r="H8" s="213"/>
      <c r="I8" s="308">
        <f>E8/G4</f>
        <v>0.18558584164043973</v>
      </c>
      <c r="J8" s="214"/>
      <c r="K8" s="215">
        <f t="shared" si="0"/>
        <v>-87.715630427880555</v>
      </c>
      <c r="L8" s="216">
        <f>E7/G4</f>
        <v>-0.81441415835956033</v>
      </c>
      <c r="M8" s="216">
        <f>100%+L8</f>
        <v>0.18558584164043967</v>
      </c>
      <c r="N8" s="356" t="str">
        <f>'303 '!AM15</f>
        <v>เมล็ดกาแฟ CPR Coffee Bean  MF. 500 G.</v>
      </c>
      <c r="O8" s="372">
        <v>301</v>
      </c>
    </row>
    <row r="9" spans="1:15" x14ac:dyDescent="0.3">
      <c r="A9" s="204" t="s">
        <v>614</v>
      </c>
      <c r="B9" s="204" t="s">
        <v>13</v>
      </c>
      <c r="C9" s="204" t="s">
        <v>14</v>
      </c>
      <c r="D9" s="204" t="s">
        <v>80</v>
      </c>
      <c r="E9" s="205">
        <v>-5184.8</v>
      </c>
      <c r="F9" s="192">
        <v>-1398807.19</v>
      </c>
      <c r="G9" s="206">
        <f>SUM(E9:E10)</f>
        <v>-6482.07</v>
      </c>
      <c r="H9" s="227">
        <f>E9/G9</f>
        <v>0.799867943419309</v>
      </c>
      <c r="I9" s="307">
        <f>E9/E11</f>
        <v>-0.99478509127049619</v>
      </c>
      <c r="K9" s="208">
        <f t="shared" si="0"/>
        <v>269.78999961425706</v>
      </c>
      <c r="L9" s="217"/>
    </row>
    <row r="10" spans="1:15" x14ac:dyDescent="0.3">
      <c r="B10" s="204" t="s">
        <v>19</v>
      </c>
      <c r="C10" s="204" t="s">
        <v>20</v>
      </c>
      <c r="D10" s="204" t="s">
        <v>80</v>
      </c>
      <c r="E10" s="205">
        <v>-1297.27</v>
      </c>
      <c r="F10" s="192">
        <v>-208367.51</v>
      </c>
      <c r="H10" s="227">
        <f>E10/G9</f>
        <v>0.20013205658069105</v>
      </c>
      <c r="I10" s="307">
        <f>E10/E11</f>
        <v>-0.2489015690773948</v>
      </c>
      <c r="J10" s="207"/>
      <c r="K10" s="208">
        <f t="shared" si="0"/>
        <v>160.62000200420886</v>
      </c>
      <c r="L10" s="217"/>
    </row>
    <row r="11" spans="1:15" x14ac:dyDescent="0.3">
      <c r="B11" s="204" t="s">
        <v>23</v>
      </c>
      <c r="C11" s="204" t="s">
        <v>24</v>
      </c>
      <c r="D11" s="204" t="s">
        <v>80</v>
      </c>
      <c r="E11" s="205">
        <v>5211.9799999999996</v>
      </c>
      <c r="F11" s="192">
        <v>1690088.75</v>
      </c>
      <c r="G11" s="210"/>
      <c r="H11" s="227">
        <f>E11/G9</f>
        <v>-0.80406104839966241</v>
      </c>
      <c r="I11" s="307">
        <f>E11/E11</f>
        <v>1</v>
      </c>
      <c r="J11" s="207"/>
      <c r="K11" s="208">
        <f t="shared" si="0"/>
        <v>324.26999911741797</v>
      </c>
      <c r="L11" s="217"/>
    </row>
    <row r="12" spans="1:15" x14ac:dyDescent="0.3">
      <c r="A12" s="204" t="s">
        <v>751</v>
      </c>
      <c r="E12" s="192">
        <v>-1270.0900000000001</v>
      </c>
      <c r="F12" s="192">
        <v>82914.050000000047</v>
      </c>
      <c r="G12" s="218"/>
      <c r="H12" s="216"/>
      <c r="I12" s="308">
        <f>E12/G9</f>
        <v>0.19593895160033759</v>
      </c>
      <c r="J12" s="219"/>
      <c r="K12" s="215">
        <f t="shared" si="0"/>
        <v>-65.282027257910883</v>
      </c>
      <c r="L12" s="216">
        <f>E11/G9</f>
        <v>-0.80406104839966241</v>
      </c>
      <c r="M12" s="216">
        <f>100%+L12</f>
        <v>0.19593895160033759</v>
      </c>
      <c r="N12" s="321" t="str">
        <f>'303 '!AM21</f>
        <v>GOLD BLEND ALL CAFE'  ขนาด 500 G.</v>
      </c>
      <c r="O12" s="365">
        <v>401</v>
      </c>
    </row>
    <row r="13" spans="1:15" x14ac:dyDescent="0.3">
      <c r="A13" s="204" t="s">
        <v>633</v>
      </c>
      <c r="B13" s="204" t="s">
        <v>13</v>
      </c>
      <c r="C13" s="204" t="s">
        <v>14</v>
      </c>
      <c r="D13" s="204" t="s">
        <v>80</v>
      </c>
      <c r="E13" s="205">
        <v>-120</v>
      </c>
      <c r="F13" s="192">
        <v>-32374.799999999999</v>
      </c>
      <c r="G13" s="206">
        <f>SUM(E13:E14)</f>
        <v>-240</v>
      </c>
      <c r="H13" s="227">
        <f>E13/$G$13</f>
        <v>0.5</v>
      </c>
      <c r="I13" s="307">
        <f>E13/E15</f>
        <v>-0.58252427184466016</v>
      </c>
      <c r="J13" s="207"/>
      <c r="K13" s="208">
        <f>F16/E16</f>
        <v>-225.70058823529391</v>
      </c>
      <c r="L13" s="217"/>
    </row>
    <row r="14" spans="1:15" x14ac:dyDescent="0.3">
      <c r="B14" s="204" t="s">
        <v>15</v>
      </c>
      <c r="C14" s="204" t="s">
        <v>233</v>
      </c>
      <c r="D14" s="204" t="s">
        <v>80</v>
      </c>
      <c r="E14" s="205">
        <v>-120</v>
      </c>
      <c r="F14" s="192">
        <v>-32374.800000000003</v>
      </c>
      <c r="G14" s="210"/>
      <c r="H14" s="227">
        <f>E14/$G$13</f>
        <v>0.5</v>
      </c>
      <c r="I14" s="307">
        <f>E14/E15</f>
        <v>-0.58252427184466016</v>
      </c>
      <c r="J14" s="207"/>
      <c r="K14" s="208">
        <f>F17/E17</f>
        <v>269.79000019653699</v>
      </c>
      <c r="L14" s="217"/>
      <c r="M14" s="197"/>
      <c r="N14" s="197"/>
      <c r="O14" s="193"/>
    </row>
    <row r="15" spans="1:15" x14ac:dyDescent="0.3">
      <c r="B15" s="204" t="s">
        <v>637</v>
      </c>
      <c r="C15" s="204" t="s">
        <v>259</v>
      </c>
      <c r="D15" s="204" t="s">
        <v>80</v>
      </c>
      <c r="E15" s="205">
        <v>206</v>
      </c>
      <c r="F15" s="192">
        <v>72423.42</v>
      </c>
      <c r="G15" s="210"/>
      <c r="H15" s="227">
        <f>E15/$G$13</f>
        <v>-0.85833333333333328</v>
      </c>
      <c r="I15" s="307">
        <f>E15/E15</f>
        <v>1</v>
      </c>
      <c r="J15" s="207"/>
      <c r="K15" s="208">
        <f>F18/E18</f>
        <v>160.62000078480614</v>
      </c>
      <c r="L15" s="217"/>
    </row>
    <row r="16" spans="1:15" x14ac:dyDescent="0.3">
      <c r="A16" s="204" t="s">
        <v>754</v>
      </c>
      <c r="E16" s="192">
        <v>-34</v>
      </c>
      <c r="F16" s="192">
        <v>7673.8199999999924</v>
      </c>
      <c r="G16" s="218"/>
      <c r="H16" s="216"/>
      <c r="I16" s="308">
        <f>E16/G13</f>
        <v>0.14166666666666666</v>
      </c>
      <c r="J16" s="220"/>
      <c r="K16" s="215">
        <f>F20/E20</f>
        <v>-66.391016902122232</v>
      </c>
      <c r="L16" s="216">
        <f>E15/G13</f>
        <v>-0.85833333333333328</v>
      </c>
      <c r="M16" s="216">
        <f>100%+L16</f>
        <v>0.14166666666666672</v>
      </c>
      <c r="N16" s="356" t="str">
        <f>'303 '!AM28</f>
        <v>เมล็ดกาแฟคั่ว Classic 1 bag ขนาด 500 G.</v>
      </c>
      <c r="O16" s="372">
        <v>201</v>
      </c>
    </row>
    <row r="17" spans="1:15" x14ac:dyDescent="0.3">
      <c r="A17" s="204" t="s">
        <v>647</v>
      </c>
      <c r="B17" s="204" t="s">
        <v>13</v>
      </c>
      <c r="C17" s="204" t="s">
        <v>14</v>
      </c>
      <c r="D17" s="204" t="s">
        <v>80</v>
      </c>
      <c r="E17" s="205">
        <v>-10176.200000000001</v>
      </c>
      <c r="F17" s="192">
        <v>-2745437</v>
      </c>
      <c r="G17" s="221">
        <f>SUM(E17:E18)</f>
        <v>-12724.6</v>
      </c>
      <c r="H17" s="269">
        <f>E17/$G$17</f>
        <v>0.79972651399651074</v>
      </c>
      <c r="I17" s="309">
        <f>E17/E19</f>
        <v>-0.99397046082557705</v>
      </c>
      <c r="J17" s="222"/>
      <c r="K17" s="223">
        <f t="shared" ref="K17:K22" si="1">F17/E17</f>
        <v>269.79000019653699</v>
      </c>
      <c r="L17" s="224"/>
      <c r="M17" s="222"/>
      <c r="N17" s="222"/>
      <c r="O17" s="366"/>
    </row>
    <row r="18" spans="1:15" x14ac:dyDescent="0.3">
      <c r="B18" s="204" t="s">
        <v>19</v>
      </c>
      <c r="C18" s="204" t="s">
        <v>20</v>
      </c>
      <c r="D18" s="204" t="s">
        <v>80</v>
      </c>
      <c r="E18" s="205">
        <v>-2548.4</v>
      </c>
      <c r="F18" s="192">
        <v>-409324.01</v>
      </c>
      <c r="G18" s="225"/>
      <c r="H18" s="269">
        <f>E18/$G$17</f>
        <v>0.20027348600348929</v>
      </c>
      <c r="I18" s="309">
        <f>E18/E19</f>
        <v>-0.2489175057848608</v>
      </c>
      <c r="J18" s="222"/>
      <c r="K18" s="223">
        <f t="shared" si="1"/>
        <v>160.62000078480614</v>
      </c>
      <c r="L18" s="224"/>
      <c r="M18" s="222"/>
      <c r="N18" s="222"/>
      <c r="O18" s="366"/>
    </row>
    <row r="19" spans="1:15" x14ac:dyDescent="0.3">
      <c r="B19" s="204" t="s">
        <v>23</v>
      </c>
      <c r="C19" s="204" t="s">
        <v>24</v>
      </c>
      <c r="D19" s="204" t="s">
        <v>80</v>
      </c>
      <c r="E19" s="205">
        <v>10237.93</v>
      </c>
      <c r="F19" s="192">
        <v>3319853.56</v>
      </c>
      <c r="G19" s="225"/>
      <c r="H19" s="269">
        <f>E19/$G$17</f>
        <v>-0.80457774704116436</v>
      </c>
      <c r="I19" s="309">
        <f>E19/E19</f>
        <v>1</v>
      </c>
      <c r="J19" s="222"/>
      <c r="K19" s="223">
        <f t="shared" si="1"/>
        <v>324.26999989255643</v>
      </c>
      <c r="L19" s="224"/>
      <c r="M19" s="222"/>
      <c r="N19" s="222"/>
      <c r="O19" s="366"/>
    </row>
    <row r="20" spans="1:15" x14ac:dyDescent="0.3">
      <c r="A20" s="204" t="s">
        <v>756</v>
      </c>
      <c r="E20" s="192">
        <v>-2486.67</v>
      </c>
      <c r="F20" s="192">
        <v>165092.55000000028</v>
      </c>
      <c r="G20" s="218"/>
      <c r="H20" s="216"/>
      <c r="I20" s="308">
        <f>E20/G17</f>
        <v>0.19542225295883564</v>
      </c>
      <c r="J20" s="226"/>
      <c r="K20" s="215">
        <f t="shared" si="1"/>
        <v>-66.391016902122232</v>
      </c>
      <c r="L20" s="216">
        <f>E19/G17</f>
        <v>-0.80457774704116436</v>
      </c>
      <c r="M20" s="216">
        <f>100%+L20</f>
        <v>0.19542225295883564</v>
      </c>
      <c r="N20" s="321" t="str">
        <f>'303 '!AM34</f>
        <v>GOLD BLEND ALL CAFE'  ขนาด 500 G.</v>
      </c>
      <c r="O20" s="365">
        <v>401</v>
      </c>
    </row>
    <row r="21" spans="1:15" x14ac:dyDescent="0.3">
      <c r="A21" s="204" t="s">
        <v>657</v>
      </c>
      <c r="B21" s="204" t="s">
        <v>13</v>
      </c>
      <c r="C21" s="204" t="s">
        <v>14</v>
      </c>
      <c r="D21" s="204" t="s">
        <v>80</v>
      </c>
      <c r="E21" s="205">
        <v>-8599.2000000000007</v>
      </c>
      <c r="F21" s="192">
        <v>-2319978.17</v>
      </c>
      <c r="G21" s="206">
        <f>SUM(E21:E23)</f>
        <v>-12004.980000000001</v>
      </c>
      <c r="H21" s="227">
        <f>E21/$G$21</f>
        <v>0.71630273436523839</v>
      </c>
      <c r="I21" s="307">
        <f>E21/E24</f>
        <v>-0.89148202978241686</v>
      </c>
      <c r="K21" s="208">
        <f t="shared" si="1"/>
        <v>269.79000023257976</v>
      </c>
      <c r="L21" s="217"/>
    </row>
    <row r="22" spans="1:15" x14ac:dyDescent="0.3">
      <c r="B22" s="204" t="s">
        <v>15</v>
      </c>
      <c r="C22" s="204" t="s">
        <v>233</v>
      </c>
      <c r="D22" s="204" t="s">
        <v>80</v>
      </c>
      <c r="E22" s="205">
        <v>-1001.7</v>
      </c>
      <c r="F22" s="192">
        <v>-270248.64</v>
      </c>
      <c r="G22" s="210"/>
      <c r="H22" s="227">
        <f>E22/$G$21</f>
        <v>8.3440372245518105E-2</v>
      </c>
      <c r="I22" s="307">
        <f>E22/E24</f>
        <v>-0.10384658447681726</v>
      </c>
      <c r="K22" s="208">
        <f t="shared" si="1"/>
        <v>269.78999700509132</v>
      </c>
      <c r="L22" s="217"/>
    </row>
    <row r="23" spans="1:15" x14ac:dyDescent="0.3">
      <c r="B23" s="204" t="s">
        <v>19</v>
      </c>
      <c r="C23" s="204" t="s">
        <v>20</v>
      </c>
      <c r="D23" s="204" t="s">
        <v>80</v>
      </c>
      <c r="E23" s="205">
        <v>-2404.08</v>
      </c>
      <c r="F23" s="192">
        <v>-386143.33</v>
      </c>
      <c r="G23" s="210"/>
      <c r="H23" s="227">
        <f>E23/$G$21</f>
        <v>0.20025689338924343</v>
      </c>
      <c r="I23" s="307">
        <f>E23/E24</f>
        <v>-0.24923180274436138</v>
      </c>
      <c r="K23" s="208">
        <f t="shared" ref="K23:K24" si="2">F23/E23</f>
        <v>160.62000016638382</v>
      </c>
      <c r="L23" s="217"/>
    </row>
    <row r="24" spans="1:15" x14ac:dyDescent="0.3">
      <c r="B24" s="204" t="s">
        <v>23</v>
      </c>
      <c r="C24" s="204" t="s">
        <v>24</v>
      </c>
      <c r="D24" s="204" t="s">
        <v>80</v>
      </c>
      <c r="E24" s="205">
        <v>9645.9599999999991</v>
      </c>
      <c r="F24" s="192">
        <v>3127895.45</v>
      </c>
      <c r="H24" s="227">
        <f>E24/$G$21</f>
        <v>-0.80349654893219302</v>
      </c>
      <c r="I24" s="307">
        <f>E24/E24</f>
        <v>1</v>
      </c>
      <c r="K24" s="208">
        <f t="shared" si="2"/>
        <v>324.27000008293635</v>
      </c>
    </row>
    <row r="25" spans="1:15" x14ac:dyDescent="0.3">
      <c r="A25" s="204" t="s">
        <v>758</v>
      </c>
      <c r="E25" s="192">
        <v>-2359.0200000000023</v>
      </c>
      <c r="F25" s="192">
        <v>151525.31000000006</v>
      </c>
      <c r="G25" s="218"/>
      <c r="H25" s="216"/>
      <c r="I25" s="308">
        <f>E25/G21</f>
        <v>0.19650345106780703</v>
      </c>
      <c r="J25" s="226"/>
      <c r="K25" s="215">
        <f t="shared" ref="K25:K30" si="3">F25/E25</f>
        <v>-64.232312570474136</v>
      </c>
      <c r="L25" s="216">
        <f>E24/G21</f>
        <v>-0.80349654893219302</v>
      </c>
      <c r="M25" s="216">
        <f>100%+L25</f>
        <v>0.19650345106780698</v>
      </c>
      <c r="N25" s="321" t="str">
        <f>'303 '!AM40</f>
        <v>GOLD BLEND ALL CAFE'  ขนาด 500 G.</v>
      </c>
      <c r="O25" s="365">
        <v>401</v>
      </c>
    </row>
    <row r="26" spans="1:15" x14ac:dyDescent="0.3">
      <c r="A26" s="204" t="s">
        <v>663</v>
      </c>
      <c r="B26" s="204" t="s">
        <v>13</v>
      </c>
      <c r="C26" s="204" t="s">
        <v>14</v>
      </c>
      <c r="D26" s="204" t="s">
        <v>80</v>
      </c>
      <c r="E26" s="205">
        <v>-7681.9000000000005</v>
      </c>
      <c r="F26" s="192">
        <v>-2072499.8</v>
      </c>
      <c r="G26" s="206">
        <f>SUM(E26:E27)</f>
        <v>-9605.34</v>
      </c>
      <c r="H26" s="227">
        <f>E26/$G$26</f>
        <v>0.79975305403036234</v>
      </c>
      <c r="I26" s="307">
        <f>E26/E28</f>
        <v>-0.99080763094321422</v>
      </c>
      <c r="K26" s="208">
        <f t="shared" si="3"/>
        <v>269.78999986982387</v>
      </c>
      <c r="L26" s="217"/>
    </row>
    <row r="27" spans="1:15" x14ac:dyDescent="0.3">
      <c r="B27" s="204" t="s">
        <v>19</v>
      </c>
      <c r="C27" s="204" t="s">
        <v>20</v>
      </c>
      <c r="D27" s="204" t="s">
        <v>80</v>
      </c>
      <c r="E27" s="205">
        <v>-1923.44</v>
      </c>
      <c r="F27" s="192">
        <v>-308942.93</v>
      </c>
      <c r="G27" s="210"/>
      <c r="H27" s="227">
        <f>E27/$G$26</f>
        <v>0.20024694596963771</v>
      </c>
      <c r="I27" s="307">
        <f>E27/E28</f>
        <v>-0.24808433195712207</v>
      </c>
      <c r="K27" s="208">
        <f t="shared" si="3"/>
        <v>160.61999854427484</v>
      </c>
      <c r="L27" s="217"/>
    </row>
    <row r="28" spans="1:15" x14ac:dyDescent="0.3">
      <c r="B28" s="204" t="s">
        <v>23</v>
      </c>
      <c r="C28" s="204" t="s">
        <v>24</v>
      </c>
      <c r="D28" s="204" t="s">
        <v>80</v>
      </c>
      <c r="E28" s="205">
        <v>7753.17</v>
      </c>
      <c r="F28" s="192">
        <v>2514120.44</v>
      </c>
      <c r="H28" s="227">
        <f>E28/$G$26</f>
        <v>-0.80717288508267271</v>
      </c>
      <c r="I28" s="307">
        <f>E28/E28</f>
        <v>1</v>
      </c>
      <c r="K28" s="208">
        <f t="shared" si="3"/>
        <v>324.27000052881596</v>
      </c>
    </row>
    <row r="29" spans="1:15" x14ac:dyDescent="0.3">
      <c r="A29" s="204" t="s">
        <v>759</v>
      </c>
      <c r="E29" s="192">
        <v>-1852.17</v>
      </c>
      <c r="F29" s="192">
        <v>132677.70999999996</v>
      </c>
      <c r="G29" s="218"/>
      <c r="H29" s="216"/>
      <c r="I29" s="308">
        <f>E29/G26</f>
        <v>0.19282711491732724</v>
      </c>
      <c r="J29" s="226"/>
      <c r="K29" s="215">
        <f t="shared" si="3"/>
        <v>-71.633656737772426</v>
      </c>
      <c r="L29" s="216">
        <f>E28/G26</f>
        <v>-0.80717288508267271</v>
      </c>
      <c r="M29" s="216">
        <f>100%+L29</f>
        <v>0.19282711491732729</v>
      </c>
      <c r="N29" s="321" t="str">
        <f>'303 '!AM46</f>
        <v>GOLD BLEND ALL CAFE'  ขนาด 500 G.</v>
      </c>
      <c r="O29" s="365">
        <v>401</v>
      </c>
    </row>
    <row r="30" spans="1:15" x14ac:dyDescent="0.3">
      <c r="A30" s="204" t="s">
        <v>996</v>
      </c>
      <c r="B30" s="204" t="s">
        <v>13</v>
      </c>
      <c r="C30" s="204" t="s">
        <v>14</v>
      </c>
      <c r="D30" s="204" t="s">
        <v>80</v>
      </c>
      <c r="E30" s="371">
        <v>-9299.5</v>
      </c>
      <c r="F30" s="192">
        <v>-2518676.58</v>
      </c>
      <c r="G30" s="206">
        <f>SUM(E30:E32)</f>
        <v>-12003.64</v>
      </c>
      <c r="H30" s="227">
        <f>E30/$G$30</f>
        <v>0.77472333392204373</v>
      </c>
      <c r="I30" s="307">
        <f>E30/E33</f>
        <v>-0.96106346873688797</v>
      </c>
      <c r="K30" s="208">
        <f t="shared" si="3"/>
        <v>270.84000000000003</v>
      </c>
      <c r="L30" s="217"/>
    </row>
    <row r="31" spans="1:15" x14ac:dyDescent="0.3">
      <c r="B31" s="204" t="s">
        <v>15</v>
      </c>
      <c r="C31" s="204" t="s">
        <v>233</v>
      </c>
      <c r="D31" s="204" t="s">
        <v>80</v>
      </c>
      <c r="E31" s="371">
        <v>-300.56</v>
      </c>
      <c r="F31" s="192">
        <v>-81400.66</v>
      </c>
      <c r="G31" s="210"/>
      <c r="H31" s="227">
        <f>E31/$G$30</f>
        <v>2.5039071481650566E-2</v>
      </c>
      <c r="I31" s="307">
        <f>E31/E33</f>
        <v>-3.1061587844890486E-2</v>
      </c>
      <c r="K31" s="208">
        <f t="shared" ref="K31:K33" si="4">F31/E31</f>
        <v>270.82998402981104</v>
      </c>
      <c r="L31" s="217"/>
    </row>
    <row r="32" spans="1:15" x14ac:dyDescent="0.3">
      <c r="B32" s="204" t="s">
        <v>19</v>
      </c>
      <c r="C32" s="204" t="s">
        <v>20</v>
      </c>
      <c r="D32" s="204" t="s">
        <v>80</v>
      </c>
      <c r="E32" s="205">
        <v>-2403.58</v>
      </c>
      <c r="F32" s="192">
        <v>-384404.55</v>
      </c>
      <c r="G32" s="210"/>
      <c r="H32" s="227">
        <f>E32/$G$30</f>
        <v>0.2002375945963058</v>
      </c>
      <c r="I32" s="307">
        <f>E32/E33</f>
        <v>-0.24839969161638897</v>
      </c>
      <c r="K32" s="208">
        <f t="shared" si="4"/>
        <v>159.93000024962762</v>
      </c>
      <c r="L32" s="217"/>
    </row>
    <row r="33" spans="1:15" x14ac:dyDescent="0.3">
      <c r="B33" s="204" t="s">
        <v>23</v>
      </c>
      <c r="C33" s="204" t="s">
        <v>24</v>
      </c>
      <c r="D33" s="204" t="s">
        <v>80</v>
      </c>
      <c r="E33" s="205">
        <v>9676.26</v>
      </c>
      <c r="F33" s="192">
        <v>3146139.18</v>
      </c>
      <c r="H33" s="227">
        <f>E33/$G$30</f>
        <v>-0.80611047982112094</v>
      </c>
      <c r="I33" s="307">
        <f>E33/E33</f>
        <v>1</v>
      </c>
      <c r="K33" s="208">
        <f t="shared" si="4"/>
        <v>325.1400003720446</v>
      </c>
    </row>
    <row r="34" spans="1:15" x14ac:dyDescent="0.3">
      <c r="A34" s="204" t="s">
        <v>1115</v>
      </c>
      <c r="E34" s="192">
        <v>-2327.3799999999992</v>
      </c>
      <c r="F34" s="192">
        <v>161657.39000000013</v>
      </c>
      <c r="G34" s="218"/>
      <c r="H34" s="216"/>
      <c r="I34" s="308">
        <f>E34/G30</f>
        <v>0.193889520178879</v>
      </c>
      <c r="J34" s="226"/>
      <c r="K34" s="215">
        <f>F34/E34</f>
        <v>-69.458958141773238</v>
      </c>
      <c r="L34" s="216">
        <f>E33/G30</f>
        <v>-0.80611047982112094</v>
      </c>
      <c r="M34" s="216">
        <f>100%+L34</f>
        <v>0.19388952017887906</v>
      </c>
      <c r="N34" s="321" t="str">
        <f>'303 '!AM52</f>
        <v>GOLD BLEND ALL CAFE'  ขนาด 500 G.</v>
      </c>
      <c r="O34" s="365">
        <v>401</v>
      </c>
    </row>
    <row r="35" spans="1:15" x14ac:dyDescent="0.3">
      <c r="A35" s="204" t="s">
        <v>1007</v>
      </c>
      <c r="B35" s="204" t="s">
        <v>13</v>
      </c>
      <c r="C35" s="204" t="s">
        <v>14</v>
      </c>
      <c r="D35" s="204" t="s">
        <v>80</v>
      </c>
      <c r="E35" s="205">
        <v>-8942.2000000000007</v>
      </c>
      <c r="F35" s="192">
        <v>-2421905.4500000002</v>
      </c>
      <c r="G35" s="206">
        <f>SUM(E35:E37)</f>
        <v>-12483.42</v>
      </c>
      <c r="H35" s="227">
        <f>E35/$G$35</f>
        <v>0.71632613498544473</v>
      </c>
      <c r="I35" s="307">
        <f>E35/E38</f>
        <v>-0.88883455145274781</v>
      </c>
      <c r="K35" s="208">
        <f>F35/E35</f>
        <v>270.84000022365859</v>
      </c>
      <c r="L35" s="217"/>
    </row>
    <row r="36" spans="1:15" x14ac:dyDescent="0.3">
      <c r="B36" s="204" t="s">
        <v>15</v>
      </c>
      <c r="C36" s="204" t="s">
        <v>233</v>
      </c>
      <c r="D36" s="204" t="s">
        <v>80</v>
      </c>
      <c r="E36" s="205">
        <v>-1043.58</v>
      </c>
      <c r="F36" s="192">
        <v>-282632.77</v>
      </c>
      <c r="G36" s="210"/>
      <c r="H36" s="227">
        <f>E36/$G$35</f>
        <v>8.3597283436750505E-2</v>
      </c>
      <c r="I36" s="307">
        <f>E36/E38</f>
        <v>-0.10372950294167638</v>
      </c>
      <c r="K36" s="208">
        <f t="shared" ref="K36:K38" si="5">F36/E36</f>
        <v>270.82999865846415</v>
      </c>
      <c r="L36" s="217"/>
    </row>
    <row r="37" spans="1:15" x14ac:dyDescent="0.3">
      <c r="B37" s="204" t="s">
        <v>19</v>
      </c>
      <c r="C37" s="204" t="s">
        <v>20</v>
      </c>
      <c r="D37" s="204" t="s">
        <v>80</v>
      </c>
      <c r="E37" s="205">
        <v>-2497.64</v>
      </c>
      <c r="F37" s="192">
        <v>-399447.57</v>
      </c>
      <c r="G37" s="210"/>
      <c r="H37" s="227">
        <f>E37/$G$35</f>
        <v>0.20007658157780478</v>
      </c>
      <c r="I37" s="307">
        <f>E37/E38</f>
        <v>-0.24825979390870712</v>
      </c>
      <c r="K37" s="208">
        <f t="shared" si="5"/>
        <v>159.93000192181421</v>
      </c>
      <c r="L37" s="217"/>
    </row>
    <row r="38" spans="1:15" x14ac:dyDescent="0.3">
      <c r="B38" s="204" t="s">
        <v>23</v>
      </c>
      <c r="C38" s="204" t="s">
        <v>24</v>
      </c>
      <c r="D38" s="204" t="s">
        <v>80</v>
      </c>
      <c r="E38" s="205">
        <v>10060.59</v>
      </c>
      <c r="F38" s="192">
        <v>3271100.23</v>
      </c>
      <c r="H38" s="227">
        <f>E38/$G$35</f>
        <v>-0.80591616720417958</v>
      </c>
      <c r="I38" s="307">
        <f>E38/E38</f>
        <v>1</v>
      </c>
      <c r="K38" s="208">
        <f t="shared" si="5"/>
        <v>325.13999974156587</v>
      </c>
    </row>
    <row r="39" spans="1:15" x14ac:dyDescent="0.3">
      <c r="A39" s="204" t="s">
        <v>1117</v>
      </c>
      <c r="E39" s="192">
        <v>-2422.83</v>
      </c>
      <c r="F39" s="192">
        <v>167114.43999999994</v>
      </c>
      <c r="G39" s="218"/>
      <c r="H39" s="216"/>
      <c r="I39" s="308">
        <f>E39/G35</f>
        <v>0.19408383279582037</v>
      </c>
      <c r="J39" s="226"/>
      <c r="K39" s="215">
        <f>F39/E39</f>
        <v>-68.97489299703237</v>
      </c>
      <c r="L39" s="216">
        <f>E38/G35</f>
        <v>-0.80591616720417958</v>
      </c>
      <c r="M39" s="216">
        <f>100%+L39</f>
        <v>0.19408383279582042</v>
      </c>
      <c r="N39" s="321" t="str">
        <f>'303 '!AM58</f>
        <v>GOLD BLEND ALL CAFE'  ขนาด 500 G.</v>
      </c>
      <c r="O39" s="365">
        <v>401</v>
      </c>
    </row>
    <row r="40" spans="1:15" x14ac:dyDescent="0.3">
      <c r="A40" s="204" t="s">
        <v>1013</v>
      </c>
      <c r="B40" s="204" t="s">
        <v>13</v>
      </c>
      <c r="C40" s="204" t="s">
        <v>14</v>
      </c>
      <c r="D40" s="204" t="s">
        <v>80</v>
      </c>
      <c r="E40" s="205">
        <v>-8601</v>
      </c>
      <c r="F40" s="192">
        <v>-2329494.84</v>
      </c>
      <c r="G40" s="206">
        <f>SUM(E40:E42)</f>
        <v>-12006.8</v>
      </c>
      <c r="H40" s="227">
        <f>E40/$G$40</f>
        <v>0.71634407169270753</v>
      </c>
      <c r="I40" s="307">
        <f>E40/$E$43</f>
        <v>-0.89169452024118567</v>
      </c>
      <c r="K40" s="208">
        <f>F40/E40</f>
        <v>270.83999999999997</v>
      </c>
      <c r="L40" s="217"/>
    </row>
    <row r="41" spans="1:15" x14ac:dyDescent="0.3">
      <c r="B41" s="204" t="s">
        <v>15</v>
      </c>
      <c r="C41" s="204" t="s">
        <v>233</v>
      </c>
      <c r="D41" s="204" t="s">
        <v>80</v>
      </c>
      <c r="E41" s="205">
        <v>-1003.08</v>
      </c>
      <c r="F41" s="192">
        <v>-271664.15999999997</v>
      </c>
      <c r="G41" s="210"/>
      <c r="H41" s="227">
        <f>E41/$G$40</f>
        <v>8.3542659159809449E-2</v>
      </c>
      <c r="I41" s="307">
        <f>E41/$E$43</f>
        <v>-0.10399266822038467</v>
      </c>
      <c r="K41" s="208">
        <f t="shared" ref="K41:K43" si="6">F41/E41</f>
        <v>270.830003588946</v>
      </c>
      <c r="L41" s="207"/>
    </row>
    <row r="42" spans="1:15" x14ac:dyDescent="0.3">
      <c r="B42" s="204" t="s">
        <v>19</v>
      </c>
      <c r="C42" s="204" t="s">
        <v>20</v>
      </c>
      <c r="D42" s="204" t="s">
        <v>80</v>
      </c>
      <c r="E42" s="205">
        <v>-2402.7199999999998</v>
      </c>
      <c r="F42" s="192">
        <v>-384267.01</v>
      </c>
      <c r="G42" s="210"/>
      <c r="H42" s="227">
        <f>E42/$G$40</f>
        <v>0.20011326914748309</v>
      </c>
      <c r="I42" s="307">
        <f>E42/$E$43</f>
        <v>-0.24909804181768416</v>
      </c>
      <c r="K42" s="208">
        <f t="shared" si="6"/>
        <v>159.93000016647801</v>
      </c>
      <c r="L42" s="207"/>
    </row>
    <row r="43" spans="1:15" x14ac:dyDescent="0.3">
      <c r="B43" s="204" t="s">
        <v>23</v>
      </c>
      <c r="C43" s="204" t="s">
        <v>24</v>
      </c>
      <c r="D43" s="204" t="s">
        <v>80</v>
      </c>
      <c r="E43" s="205">
        <v>9645.68</v>
      </c>
      <c r="F43" s="192">
        <v>3136196.4</v>
      </c>
      <c r="H43" s="227">
        <f>E43/$G$40</f>
        <v>-0.80335143418729393</v>
      </c>
      <c r="I43" s="307">
        <f>E43/$E$43</f>
        <v>1</v>
      </c>
      <c r="K43" s="208">
        <f t="shared" si="6"/>
        <v>325.14000049763206</v>
      </c>
    </row>
    <row r="44" spans="1:15" x14ac:dyDescent="0.3">
      <c r="A44" s="204" t="s">
        <v>1118</v>
      </c>
      <c r="E44" s="192">
        <v>-2361.119999999999</v>
      </c>
      <c r="F44" s="192">
        <v>150770.39000000013</v>
      </c>
      <c r="G44" s="218"/>
      <c r="H44" s="216"/>
      <c r="I44" s="308">
        <f>E44/G40</f>
        <v>0.19664856581270607</v>
      </c>
      <c r="J44" s="226"/>
      <c r="K44" s="215">
        <f>F44/E44</f>
        <v>-63.85545419123136</v>
      </c>
      <c r="L44" s="216">
        <f>E43/G40</f>
        <v>-0.80335143418729393</v>
      </c>
      <c r="M44" s="216">
        <f>100%+L44</f>
        <v>0.19664856581270607</v>
      </c>
      <c r="N44" s="321" t="str">
        <f>'303 '!AM64</f>
        <v>GOLD BLEND ALL CAFE'  ขนาด 500 G.</v>
      </c>
      <c r="O44" s="365">
        <v>401</v>
      </c>
    </row>
    <row r="45" spans="1:15" x14ac:dyDescent="0.3">
      <c r="A45" s="204" t="s">
        <v>1018</v>
      </c>
      <c r="B45" s="204" t="s">
        <v>13</v>
      </c>
      <c r="C45" s="204" t="s">
        <v>14</v>
      </c>
      <c r="D45" s="204" t="s">
        <v>80</v>
      </c>
      <c r="E45" s="205">
        <v>-9409.2999999999993</v>
      </c>
      <c r="F45" s="192">
        <v>-2548414.81</v>
      </c>
      <c r="G45" s="206">
        <f>SUM(E45:E46)</f>
        <v>-11768.419999999998</v>
      </c>
      <c r="H45" s="227">
        <f>E45/$G$45</f>
        <v>0.7995380858263047</v>
      </c>
      <c r="I45" s="307">
        <f>E45/E47</f>
        <v>-0.99405739761556378</v>
      </c>
      <c r="K45" s="208">
        <f>F45/E45</f>
        <v>270.83999978744436</v>
      </c>
      <c r="L45" s="217"/>
    </row>
    <row r="46" spans="1:15" x14ac:dyDescent="0.3">
      <c r="B46" s="204" t="s">
        <v>19</v>
      </c>
      <c r="C46" s="204" t="s">
        <v>20</v>
      </c>
      <c r="D46" s="204" t="s">
        <v>80</v>
      </c>
      <c r="E46" s="205">
        <v>-2359.12</v>
      </c>
      <c r="F46" s="192">
        <v>-377294.06</v>
      </c>
      <c r="G46" s="210"/>
      <c r="H46" s="227">
        <f>E46/$G$45</f>
        <v>0.20046191417369538</v>
      </c>
      <c r="I46" s="307">
        <f>E46/E47</f>
        <v>-0.24923221577193086</v>
      </c>
      <c r="K46" s="208">
        <f t="shared" ref="K46:K47" si="7">F46/E46</f>
        <v>159.929999321781</v>
      </c>
      <c r="L46" s="207"/>
    </row>
    <row r="47" spans="1:15" x14ac:dyDescent="0.3">
      <c r="B47" s="204" t="s">
        <v>23</v>
      </c>
      <c r="C47" s="204" t="s">
        <v>24</v>
      </c>
      <c r="D47" s="204" t="s">
        <v>80</v>
      </c>
      <c r="E47" s="205">
        <v>9465.5499999999993</v>
      </c>
      <c r="F47" s="192">
        <v>3077628.93</v>
      </c>
      <c r="G47" s="210"/>
      <c r="H47" s="227">
        <f>E47/$G$45</f>
        <v>-0.80431782686205966</v>
      </c>
      <c r="I47" s="307">
        <f>E47/E47</f>
        <v>1</v>
      </c>
      <c r="K47" s="208">
        <f t="shared" si="7"/>
        <v>325.14000031693882</v>
      </c>
      <c r="L47" s="207"/>
    </row>
    <row r="48" spans="1:15" x14ac:dyDescent="0.3">
      <c r="A48" s="204" t="s">
        <v>1119</v>
      </c>
      <c r="E48" s="192">
        <v>-2302.869999999999</v>
      </c>
      <c r="F48" s="192">
        <v>151920.06000000006</v>
      </c>
      <c r="G48" s="218"/>
      <c r="H48" s="216"/>
      <c r="I48" s="308">
        <f>E48/G45</f>
        <v>0.19568217313794029</v>
      </c>
      <c r="J48" s="226"/>
      <c r="K48" s="215">
        <f t="shared" ref="K48:K55" si="8">F48/E48</f>
        <v>-65.969881061458153</v>
      </c>
      <c r="L48" s="216">
        <f>E47/G45</f>
        <v>-0.80431782686205966</v>
      </c>
      <c r="M48" s="216">
        <f>100%+L48</f>
        <v>0.19568217313794034</v>
      </c>
      <c r="N48" s="321" t="str">
        <f>'303 '!AM64</f>
        <v>GOLD BLEND ALL CAFE'  ขนาด 500 G.</v>
      </c>
      <c r="O48" s="365">
        <v>401</v>
      </c>
    </row>
    <row r="49" spans="1:15" x14ac:dyDescent="0.3">
      <c r="A49" s="204" t="s">
        <v>1206</v>
      </c>
      <c r="B49" s="204" t="s">
        <v>13</v>
      </c>
      <c r="C49" s="204" t="s">
        <v>14</v>
      </c>
      <c r="D49" s="204" t="s">
        <v>80</v>
      </c>
      <c r="E49" s="205">
        <v>-200.04</v>
      </c>
      <c r="F49" s="192">
        <v>-54178.83</v>
      </c>
      <c r="G49" s="206">
        <f>SUM(E49:E52)</f>
        <v>-961.24</v>
      </c>
      <c r="H49" s="227">
        <f>E49/$G$49</f>
        <v>0.20810619616328907</v>
      </c>
      <c r="I49" s="307">
        <f>E49/E53</f>
        <v>-0.26321052631578945</v>
      </c>
      <c r="K49" s="208">
        <f t="shared" si="8"/>
        <v>270.83998200359929</v>
      </c>
      <c r="L49" s="217"/>
    </row>
    <row r="50" spans="1:15" x14ac:dyDescent="0.3">
      <c r="B50" s="204" t="s">
        <v>15</v>
      </c>
      <c r="C50" s="204" t="s">
        <v>233</v>
      </c>
      <c r="D50" s="204" t="s">
        <v>80</v>
      </c>
      <c r="E50" s="205">
        <v>-184.94000000000003</v>
      </c>
      <c r="F50" s="192">
        <v>-50087.3</v>
      </c>
      <c r="G50" s="210"/>
      <c r="H50" s="227">
        <f>E50/$G$49</f>
        <v>0.19239732012816782</v>
      </c>
      <c r="I50" s="307">
        <f>E50/E53</f>
        <v>-0.24334210526315794</v>
      </c>
      <c r="K50" s="208">
        <f t="shared" si="8"/>
        <v>270.82999891856815</v>
      </c>
      <c r="L50" s="217"/>
    </row>
    <row r="51" spans="1:15" x14ac:dyDescent="0.3">
      <c r="B51" s="204" t="s">
        <v>19</v>
      </c>
      <c r="C51" s="204" t="s">
        <v>20</v>
      </c>
      <c r="D51" s="204" t="s">
        <v>80</v>
      </c>
      <c r="E51" s="205">
        <v>-287.26</v>
      </c>
      <c r="F51" s="192">
        <v>-45941.49</v>
      </c>
      <c r="G51" s="210"/>
      <c r="H51" s="227">
        <f>E51/$G$49</f>
        <v>0.29884316091714869</v>
      </c>
      <c r="I51" s="307">
        <f>E51/E53</f>
        <v>-0.3779736842105263</v>
      </c>
      <c r="K51" s="208">
        <f t="shared" si="8"/>
        <v>159.92999373389961</v>
      </c>
      <c r="L51" s="217"/>
    </row>
    <row r="52" spans="1:15" x14ac:dyDescent="0.3">
      <c r="B52" s="204" t="s">
        <v>21</v>
      </c>
      <c r="C52" s="204" t="s">
        <v>234</v>
      </c>
      <c r="D52" s="204" t="s">
        <v>80</v>
      </c>
      <c r="E52" s="205">
        <v>-289</v>
      </c>
      <c r="F52" s="192">
        <v>-46219.770000000004</v>
      </c>
      <c r="H52" s="227">
        <f>E52/$G$49</f>
        <v>0.30065332279139445</v>
      </c>
      <c r="I52" s="307">
        <f>E52/E53</f>
        <v>-0.38026315789473686</v>
      </c>
      <c r="K52" s="208">
        <f t="shared" si="8"/>
        <v>159.93</v>
      </c>
    </row>
    <row r="53" spans="1:15" x14ac:dyDescent="0.3">
      <c r="B53" s="204" t="s">
        <v>205</v>
      </c>
      <c r="C53" s="204" t="s">
        <v>206</v>
      </c>
      <c r="D53" s="204" t="s">
        <v>80</v>
      </c>
      <c r="E53" s="205">
        <v>760</v>
      </c>
      <c r="F53" s="192">
        <v>204956.79999999999</v>
      </c>
      <c r="H53" s="227">
        <f>E53/$G$49</f>
        <v>-0.79064541633723107</v>
      </c>
      <c r="I53" s="307">
        <f>E53/E53</f>
        <v>1</v>
      </c>
      <c r="K53" s="208">
        <f t="shared" si="8"/>
        <v>269.68</v>
      </c>
    </row>
    <row r="54" spans="1:15" x14ac:dyDescent="0.3">
      <c r="A54" s="204" t="s">
        <v>1297</v>
      </c>
      <c r="E54" s="192">
        <v>-201.24</v>
      </c>
      <c r="F54" s="192">
        <v>8529.4099999999744</v>
      </c>
      <c r="G54" s="218"/>
      <c r="H54" s="227"/>
      <c r="I54" s="310">
        <f>E54/G49</f>
        <v>0.20935458366276893</v>
      </c>
      <c r="J54" s="205"/>
      <c r="K54" s="215">
        <f t="shared" si="8"/>
        <v>-42.384267541244157</v>
      </c>
      <c r="L54" s="216">
        <f>E53/G49</f>
        <v>-0.79064541633723107</v>
      </c>
      <c r="M54" s="216">
        <f>100%+L54</f>
        <v>0.20935458366276893</v>
      </c>
      <c r="N54" s="356" t="str">
        <f>'303 '!AM9</f>
        <v>Super  Blend  500 G.</v>
      </c>
      <c r="O54" s="372">
        <v>301</v>
      </c>
    </row>
    <row r="55" spans="1:15" x14ac:dyDescent="0.3">
      <c r="A55" s="204" t="s">
        <v>1243</v>
      </c>
      <c r="B55" s="204" t="s">
        <v>13</v>
      </c>
      <c r="C55" s="204" t="s">
        <v>14</v>
      </c>
      <c r="D55" s="204" t="s">
        <v>80</v>
      </c>
      <c r="E55" s="205">
        <v>-9220.6</v>
      </c>
      <c r="F55" s="192">
        <v>-2497307.2999999998</v>
      </c>
      <c r="G55" s="206">
        <f>SUM(E55:E57)</f>
        <v>-12480.74</v>
      </c>
      <c r="H55" s="227">
        <f>E55/$G$55</f>
        <v>0.73878632196488359</v>
      </c>
      <c r="I55" s="307">
        <f>E55/E58</f>
        <v>-0.91820445947466589</v>
      </c>
      <c r="J55" s="228"/>
      <c r="K55" s="208">
        <f t="shared" si="8"/>
        <v>270.83999956618874</v>
      </c>
      <c r="L55" s="217"/>
    </row>
    <row r="56" spans="1:15" x14ac:dyDescent="0.3">
      <c r="B56" s="204" t="s">
        <v>15</v>
      </c>
      <c r="C56" s="204" t="s">
        <v>233</v>
      </c>
      <c r="D56" s="204" t="s">
        <v>80</v>
      </c>
      <c r="E56" s="205">
        <v>-763.8</v>
      </c>
      <c r="F56" s="192">
        <v>-206859.96000000002</v>
      </c>
      <c r="G56" s="210"/>
      <c r="H56" s="227">
        <f>E56/$G$55</f>
        <v>6.11982943319066E-2</v>
      </c>
      <c r="I56" s="307">
        <f>E56/E58</f>
        <v>-7.606062145052922E-2</v>
      </c>
      <c r="J56" s="207"/>
      <c r="K56" s="208">
        <f t="shared" ref="K56:K58" si="9">F56/E56</f>
        <v>270.8300078554596</v>
      </c>
      <c r="L56" s="217"/>
    </row>
    <row r="57" spans="1:15" x14ac:dyDescent="0.3">
      <c r="B57" s="204" t="s">
        <v>19</v>
      </c>
      <c r="C57" s="204" t="s">
        <v>20</v>
      </c>
      <c r="D57" s="204" t="s">
        <v>80</v>
      </c>
      <c r="E57" s="205">
        <v>-2496.34</v>
      </c>
      <c r="F57" s="192">
        <v>-399239.66</v>
      </c>
      <c r="G57" s="210"/>
      <c r="H57" s="227">
        <f>E57/$G$55</f>
        <v>0.20001538370320993</v>
      </c>
      <c r="I57" s="307">
        <f>E57/E58</f>
        <v>-0.24859016987668781</v>
      </c>
      <c r="J57" s="207"/>
      <c r="K57" s="208">
        <f t="shared" si="9"/>
        <v>159.93000152222854</v>
      </c>
      <c r="L57" s="217"/>
    </row>
    <row r="58" spans="1:15" x14ac:dyDescent="0.3">
      <c r="B58" s="204" t="s">
        <v>23</v>
      </c>
      <c r="C58" s="204" t="s">
        <v>24</v>
      </c>
      <c r="D58" s="204" t="s">
        <v>80</v>
      </c>
      <c r="E58" s="205">
        <v>10041.99</v>
      </c>
      <c r="F58" s="192">
        <v>3265052.63</v>
      </c>
      <c r="H58" s="227">
        <f>E58/$G$55</f>
        <v>-0.80459892602521965</v>
      </c>
      <c r="I58" s="307">
        <f>E58/E58</f>
        <v>1</v>
      </c>
      <c r="K58" s="208">
        <f t="shared" si="9"/>
        <v>325.14000013941461</v>
      </c>
    </row>
    <row r="59" spans="1:15" x14ac:dyDescent="0.3">
      <c r="A59" s="204" t="s">
        <v>1298</v>
      </c>
      <c r="E59" s="192">
        <v>-2438.75</v>
      </c>
      <c r="F59" s="192">
        <v>161645.70999999996</v>
      </c>
      <c r="G59" s="218"/>
      <c r="H59" s="227"/>
      <c r="I59" s="308">
        <f>E59/G55</f>
        <v>0.19540107397478035</v>
      </c>
      <c r="J59" s="205"/>
      <c r="K59" s="215">
        <f>F59/E59</f>
        <v>-66.282197847257805</v>
      </c>
      <c r="L59" s="216">
        <f>E58/G55</f>
        <v>-0.80459892602521965</v>
      </c>
      <c r="M59" s="216">
        <f>100%+L59</f>
        <v>0.19540107397478035</v>
      </c>
      <c r="N59" s="321" t="str">
        <f>'303 '!AM76</f>
        <v>GOLD BLEND ALL CAFE'  ขนาด 500 G.</v>
      </c>
      <c r="O59" s="365">
        <v>401</v>
      </c>
    </row>
    <row r="60" spans="1:15" x14ac:dyDescent="0.3">
      <c r="A60" s="204" t="s">
        <v>1249</v>
      </c>
      <c r="B60" s="204" t="s">
        <v>13</v>
      </c>
      <c r="C60" s="204" t="s">
        <v>14</v>
      </c>
      <c r="D60" s="204" t="s">
        <v>80</v>
      </c>
      <c r="E60" s="205">
        <v>-7740.2</v>
      </c>
      <c r="F60" s="192">
        <v>-2096355.77</v>
      </c>
      <c r="G60" s="206">
        <f>SUM(E60:E62)</f>
        <v>-10801.740000000002</v>
      </c>
      <c r="H60" s="227">
        <f>E60/$G$60</f>
        <v>0.71656973783853328</v>
      </c>
      <c r="I60" s="307">
        <f>E60/E63</f>
        <v>-0.88950026086736678</v>
      </c>
      <c r="K60" s="208">
        <f>F60/E60</f>
        <v>270.84000025839129</v>
      </c>
      <c r="L60" s="207"/>
    </row>
    <row r="61" spans="1:15" x14ac:dyDescent="0.3">
      <c r="B61" s="204" t="s">
        <v>15</v>
      </c>
      <c r="C61" s="204" t="s">
        <v>233</v>
      </c>
      <c r="D61" s="204" t="s">
        <v>80</v>
      </c>
      <c r="E61" s="205">
        <v>-901.5</v>
      </c>
      <c r="F61" s="192">
        <v>-244153.24</v>
      </c>
      <c r="G61" s="210"/>
      <c r="H61" s="227">
        <f>E61/$G$60</f>
        <v>8.3458776086075007E-2</v>
      </c>
      <c r="I61" s="307">
        <f>E61/E63</f>
        <v>-0.10359996966124017</v>
      </c>
      <c r="J61" s="207"/>
      <c r="K61" s="208">
        <f t="shared" ref="K61:K63" si="10">F61/E61</f>
        <v>270.8299944536883</v>
      </c>
      <c r="L61" s="217"/>
    </row>
    <row r="62" spans="1:15" x14ac:dyDescent="0.3">
      <c r="B62" s="204" t="s">
        <v>19</v>
      </c>
      <c r="C62" s="204" t="s">
        <v>20</v>
      </c>
      <c r="D62" s="204" t="s">
        <v>80</v>
      </c>
      <c r="E62" s="205">
        <v>-2160.04</v>
      </c>
      <c r="F62" s="192">
        <v>-345455.2</v>
      </c>
      <c r="G62" s="210"/>
      <c r="H62" s="227">
        <f>E62/$G$60</f>
        <v>0.19997148607539153</v>
      </c>
      <c r="I62" s="307">
        <f>E62/E63</f>
        <v>-0.24823081360739346</v>
      </c>
      <c r="J62" s="207"/>
      <c r="K62" s="208">
        <f t="shared" si="10"/>
        <v>159.93000129627231</v>
      </c>
      <c r="L62" s="217"/>
    </row>
    <row r="63" spans="1:15" x14ac:dyDescent="0.3">
      <c r="B63" s="204" t="s">
        <v>23</v>
      </c>
      <c r="C63" s="204" t="s">
        <v>24</v>
      </c>
      <c r="D63" s="204" t="s">
        <v>80</v>
      </c>
      <c r="E63" s="205">
        <v>8701.74</v>
      </c>
      <c r="F63" s="192">
        <v>2829283.74</v>
      </c>
      <c r="H63" s="227">
        <f>E63/$G$60</f>
        <v>-0.8055868776697086</v>
      </c>
      <c r="I63" s="307">
        <f>E63/E63</f>
        <v>1</v>
      </c>
      <c r="K63" s="208">
        <f t="shared" si="10"/>
        <v>325.13999958628966</v>
      </c>
    </row>
    <row r="64" spans="1:15" x14ac:dyDescent="0.3">
      <c r="A64" s="204" t="s">
        <v>1299</v>
      </c>
      <c r="E64" s="192">
        <v>-2100.0000000000018</v>
      </c>
      <c r="F64" s="192">
        <v>143319.53000000026</v>
      </c>
      <c r="G64" s="218"/>
      <c r="H64" s="216"/>
      <c r="I64" s="308">
        <f>E64/G60</f>
        <v>0.19441312233029137</v>
      </c>
      <c r="J64" s="226"/>
      <c r="K64" s="215">
        <f>F64/E64</f>
        <v>-68.247395238095308</v>
      </c>
      <c r="L64" s="216">
        <f>E63/G60</f>
        <v>-0.8055868776697086</v>
      </c>
      <c r="M64" s="216">
        <f>100%+L64</f>
        <v>0.1944131223302914</v>
      </c>
      <c r="N64" s="321" t="str">
        <f>'303 '!AM82</f>
        <v>GOLD BLEND ALL CAFE'  ขนาด 500 G.</v>
      </c>
      <c r="O64" s="365">
        <v>401</v>
      </c>
    </row>
    <row r="65" spans="1:15" x14ac:dyDescent="0.3">
      <c r="A65" s="204" t="s">
        <v>1387</v>
      </c>
      <c r="B65" s="204" t="s">
        <v>13</v>
      </c>
      <c r="C65" s="204" t="s">
        <v>14</v>
      </c>
      <c r="D65" s="204" t="s">
        <v>80</v>
      </c>
      <c r="E65" s="205">
        <v>-8255.5</v>
      </c>
      <c r="F65" s="192">
        <v>-2235919.62</v>
      </c>
      <c r="G65" s="206">
        <f>SUM(E65:E67)</f>
        <v>-11534.4</v>
      </c>
      <c r="H65" s="227">
        <f>E65/$G$65</f>
        <v>0.71572860313497022</v>
      </c>
      <c r="I65" s="307">
        <f>E65/E68</f>
        <v>-0.88666231328054845</v>
      </c>
      <c r="J65" s="207"/>
      <c r="K65" s="208">
        <f>F65/E65</f>
        <v>270.84000000000003</v>
      </c>
      <c r="L65" s="207"/>
    </row>
    <row r="66" spans="1:15" x14ac:dyDescent="0.3">
      <c r="B66" s="204" t="s">
        <v>15</v>
      </c>
      <c r="C66" s="204" t="s">
        <v>233</v>
      </c>
      <c r="D66" s="204" t="s">
        <v>80</v>
      </c>
      <c r="E66" s="205">
        <v>-962.08</v>
      </c>
      <c r="F66" s="192">
        <v>-260560.13</v>
      </c>
      <c r="G66" s="210"/>
      <c r="H66" s="227">
        <f t="shared" ref="H66:H68" si="11">E66/$G$65</f>
        <v>8.3409626855319746E-2</v>
      </c>
      <c r="I66" s="307">
        <f t="shared" ref="I66:I68" si="12">E66/E69</f>
        <v>0.43265996294364206</v>
      </c>
      <c r="K66" s="208">
        <f t="shared" ref="K66:K68" si="13">F66/E66</f>
        <v>270.83000374189254</v>
      </c>
      <c r="L66" s="207"/>
    </row>
    <row r="67" spans="1:15" x14ac:dyDescent="0.3">
      <c r="B67" s="204" t="s">
        <v>19</v>
      </c>
      <c r="C67" s="204" t="s">
        <v>20</v>
      </c>
      <c r="D67" s="204" t="s">
        <v>80</v>
      </c>
      <c r="E67" s="205">
        <v>-2316.8200000000002</v>
      </c>
      <c r="F67" s="192">
        <v>-370529.02</v>
      </c>
      <c r="G67" s="210"/>
      <c r="H67" s="227">
        <f t="shared" si="11"/>
        <v>0.20086177000971012</v>
      </c>
      <c r="I67" s="307">
        <f t="shared" si="12"/>
        <v>0.28060898212295921</v>
      </c>
      <c r="J67" s="228"/>
      <c r="K67" s="208">
        <f t="shared" si="13"/>
        <v>159.92999887777211</v>
      </c>
      <c r="L67" s="207"/>
    </row>
    <row r="68" spans="1:15" x14ac:dyDescent="0.3">
      <c r="B68" s="204" t="s">
        <v>23</v>
      </c>
      <c r="C68" s="204" t="s">
        <v>24</v>
      </c>
      <c r="D68" s="204" t="s">
        <v>80</v>
      </c>
      <c r="E68" s="205">
        <v>9310.76</v>
      </c>
      <c r="F68" s="192">
        <v>3027300.51</v>
      </c>
      <c r="H68" s="227">
        <f t="shared" si="11"/>
        <v>-0.80721667360244143</v>
      </c>
      <c r="I68" s="307">
        <f t="shared" si="12"/>
        <v>-4.5094103858112895</v>
      </c>
      <c r="K68" s="208">
        <f t="shared" si="13"/>
        <v>325.14000038664938</v>
      </c>
    </row>
    <row r="69" spans="1:15" x14ac:dyDescent="0.3">
      <c r="A69" s="204" t="s">
        <v>1453</v>
      </c>
      <c r="E69" s="192">
        <v>-2223.6399999999994</v>
      </c>
      <c r="F69" s="192">
        <v>160291.73999999976</v>
      </c>
      <c r="G69" s="218"/>
      <c r="H69" s="216"/>
      <c r="I69" s="308">
        <f>E69/G65</f>
        <v>0.19278332639755857</v>
      </c>
      <c r="J69" s="216"/>
      <c r="K69" s="215">
        <f t="shared" ref="K69:K74" si="14">F69/E69</f>
        <v>-72.08529258333175</v>
      </c>
      <c r="L69" s="216">
        <f>E68/G65</f>
        <v>-0.80721667360244143</v>
      </c>
      <c r="M69" s="216">
        <f>100%+L69</f>
        <v>0.19278332639755857</v>
      </c>
      <c r="N69" s="321" t="str">
        <f>'303 '!AM88</f>
        <v>GOLD BLEND ALL CAFE'  ขนาด 500 G.</v>
      </c>
      <c r="O69" s="365">
        <v>401</v>
      </c>
    </row>
    <row r="70" spans="1:15" x14ac:dyDescent="0.3">
      <c r="A70" s="204" t="s">
        <v>1398</v>
      </c>
      <c r="B70" s="204" t="s">
        <v>13</v>
      </c>
      <c r="C70" s="204" t="s">
        <v>14</v>
      </c>
      <c r="D70" s="204" t="s">
        <v>80</v>
      </c>
      <c r="E70" s="205">
        <v>-8256.4</v>
      </c>
      <c r="F70" s="192">
        <v>-2236163.38</v>
      </c>
      <c r="G70" s="206">
        <f>SUM(E70:E71)</f>
        <v>-10321.14</v>
      </c>
      <c r="H70" s="227">
        <f>E70/$G$70</f>
        <v>0.79995039307673377</v>
      </c>
      <c r="I70" s="307">
        <f>E70/E72</f>
        <v>-0.99104906151384531</v>
      </c>
      <c r="J70" s="207"/>
      <c r="K70" s="208">
        <f t="shared" si="14"/>
        <v>270.84000048447263</v>
      </c>
      <c r="L70" s="207"/>
    </row>
    <row r="71" spans="1:15" x14ac:dyDescent="0.3">
      <c r="B71" s="204" t="s">
        <v>19</v>
      </c>
      <c r="C71" s="204" t="s">
        <v>20</v>
      </c>
      <c r="D71" s="204" t="s">
        <v>80</v>
      </c>
      <c r="E71" s="205">
        <v>-2064.7399999999998</v>
      </c>
      <c r="F71" s="192">
        <v>-330213.87</v>
      </c>
      <c r="H71" s="227">
        <f t="shared" ref="H71:H72" si="15">E71/$G$70</f>
        <v>0.20004960692326623</v>
      </c>
      <c r="I71" s="307">
        <f>E71/E72</f>
        <v>-0.24783908716512001</v>
      </c>
      <c r="K71" s="208">
        <f t="shared" si="14"/>
        <v>159.93000087178049</v>
      </c>
    </row>
    <row r="72" spans="1:15" x14ac:dyDescent="0.3">
      <c r="B72" s="204" t="s">
        <v>23</v>
      </c>
      <c r="C72" s="204" t="s">
        <v>24</v>
      </c>
      <c r="D72" s="204" t="s">
        <v>80</v>
      </c>
      <c r="E72" s="205">
        <v>8330.9699999999993</v>
      </c>
      <c r="F72" s="192">
        <v>2708731.59</v>
      </c>
      <c r="H72" s="227">
        <f t="shared" si="15"/>
        <v>-0.80717537016259833</v>
      </c>
      <c r="I72" s="307">
        <f>E72/E72</f>
        <v>1</v>
      </c>
      <c r="K72" s="208">
        <f t="shared" si="14"/>
        <v>325.14000050414296</v>
      </c>
    </row>
    <row r="73" spans="1:15" x14ac:dyDescent="0.3">
      <c r="A73" s="204" t="s">
        <v>1455</v>
      </c>
      <c r="E73" s="192">
        <v>-1990.17</v>
      </c>
      <c r="F73" s="192">
        <v>142354.33999999985</v>
      </c>
      <c r="G73" s="218"/>
      <c r="H73" s="216"/>
      <c r="I73" s="308">
        <f>E73/G70</f>
        <v>0.1928246298374017</v>
      </c>
      <c r="J73" s="216"/>
      <c r="K73" s="215">
        <f t="shared" si="14"/>
        <v>-71.52873372626452</v>
      </c>
      <c r="L73" s="216">
        <f>E72/G70</f>
        <v>-0.80717537016259833</v>
      </c>
      <c r="M73" s="216">
        <f>100%+L73</f>
        <v>0.19282462983740167</v>
      </c>
      <c r="N73" s="321" t="str">
        <f>'303 '!AM94</f>
        <v>GOLD BLEND ALL CAFE'  ขนาด 500 G.</v>
      </c>
      <c r="O73" s="365">
        <v>401</v>
      </c>
    </row>
    <row r="74" spans="1:15" x14ac:dyDescent="0.3">
      <c r="A74" s="204" t="s">
        <v>1463</v>
      </c>
      <c r="B74" s="204" t="s">
        <v>13</v>
      </c>
      <c r="C74" s="204" t="s">
        <v>14</v>
      </c>
      <c r="D74" s="204" t="s">
        <v>80</v>
      </c>
      <c r="E74" s="205">
        <v>-7571.4</v>
      </c>
      <c r="F74" s="192">
        <v>-2050637.97</v>
      </c>
      <c r="G74" s="206">
        <f>SUM(E74:E76)</f>
        <v>-9840.92</v>
      </c>
      <c r="H74" s="227">
        <f>E74/$G$74</f>
        <v>0.76937928567654235</v>
      </c>
      <c r="I74" s="307">
        <f>E74/E77</f>
        <v>-0.95663951845833883</v>
      </c>
      <c r="J74" s="207"/>
      <c r="K74" s="208">
        <f t="shared" si="14"/>
        <v>270.83999920754417</v>
      </c>
      <c r="L74" s="217"/>
    </row>
    <row r="75" spans="1:15" x14ac:dyDescent="0.3">
      <c r="B75" s="204" t="s">
        <v>15</v>
      </c>
      <c r="C75" s="204" t="s">
        <v>233</v>
      </c>
      <c r="D75" s="204" t="s">
        <v>80</v>
      </c>
      <c r="E75" s="205">
        <v>-300.88</v>
      </c>
      <c r="F75" s="192">
        <v>-81487.33</v>
      </c>
      <c r="G75" s="210"/>
      <c r="H75" s="227">
        <f>E75/$G$74</f>
        <v>3.0574377192376323E-2</v>
      </c>
      <c r="I75" s="307">
        <f>E75/E77</f>
        <v>-3.8015914931683048E-2</v>
      </c>
      <c r="J75" s="228"/>
      <c r="K75" s="208">
        <f t="shared" ref="K75:K77" si="16">F75/E75</f>
        <v>270.82999867056634</v>
      </c>
      <c r="L75" s="217"/>
    </row>
    <row r="76" spans="1:15" x14ac:dyDescent="0.3">
      <c r="B76" s="204" t="s">
        <v>19</v>
      </c>
      <c r="C76" s="204" t="s">
        <v>20</v>
      </c>
      <c r="D76" s="204" t="s">
        <v>80</v>
      </c>
      <c r="E76" s="205">
        <v>-1968.64</v>
      </c>
      <c r="F76" s="192">
        <v>-314844.59999999998</v>
      </c>
      <c r="H76" s="227">
        <f>E76/$G$74</f>
        <v>0.20004633713108125</v>
      </c>
      <c r="I76" s="307">
        <f>E76/E77</f>
        <v>-0.24873587733019314</v>
      </c>
      <c r="K76" s="208">
        <f t="shared" si="16"/>
        <v>159.93000243823144</v>
      </c>
    </row>
    <row r="77" spans="1:15" x14ac:dyDescent="0.3">
      <c r="B77" s="204" t="s">
        <v>23</v>
      </c>
      <c r="C77" s="204" t="s">
        <v>24</v>
      </c>
      <c r="D77" s="204" t="s">
        <v>80</v>
      </c>
      <c r="E77" s="205">
        <v>7914.58</v>
      </c>
      <c r="F77" s="192">
        <v>2573346.54</v>
      </c>
      <c r="H77" s="227">
        <f>E77/$G$74</f>
        <v>-0.80425204147579699</v>
      </c>
      <c r="I77" s="307">
        <f>E77/E77</f>
        <v>1</v>
      </c>
      <c r="K77" s="208">
        <f t="shared" si="16"/>
        <v>325.13999984838108</v>
      </c>
    </row>
    <row r="78" spans="1:15" x14ac:dyDescent="0.3">
      <c r="A78" s="204" t="s">
        <v>1474</v>
      </c>
      <c r="E78" s="192">
        <v>-1926.3400000000001</v>
      </c>
      <c r="F78" s="192">
        <v>126376.64000000013</v>
      </c>
      <c r="G78" s="218"/>
      <c r="H78" s="216"/>
      <c r="I78" s="308">
        <f>E78/G74</f>
        <v>0.19574795852420304</v>
      </c>
      <c r="J78" s="219"/>
      <c r="K78" s="215">
        <f>F78/E78</f>
        <v>-65.604535024969692</v>
      </c>
      <c r="L78" s="216">
        <f>E77/G74</f>
        <v>-0.80425204147579699</v>
      </c>
      <c r="M78" s="216">
        <f>100%+L78</f>
        <v>0.19574795852420301</v>
      </c>
      <c r="N78" s="321" t="str">
        <f>'303 '!AM100</f>
        <v>GOLD BLEND ALL CAFE'  ขนาด 500 G.</v>
      </c>
      <c r="O78" s="365">
        <v>401</v>
      </c>
    </row>
    <row r="79" spans="1:15" x14ac:dyDescent="0.3">
      <c r="A79" s="204" t="s">
        <v>1481</v>
      </c>
      <c r="B79" s="204" t="s">
        <v>13</v>
      </c>
      <c r="C79" s="204" t="s">
        <v>14</v>
      </c>
      <c r="D79" s="204" t="s">
        <v>80</v>
      </c>
      <c r="E79" s="205">
        <v>-8183.1</v>
      </c>
      <c r="F79" s="192">
        <v>-2216310.7999999998</v>
      </c>
      <c r="G79" s="206">
        <f>SUM(E79:E81)</f>
        <v>-11282.7</v>
      </c>
      <c r="H79" s="227">
        <f>E79/$G$79</f>
        <v>0.72527852375761115</v>
      </c>
      <c r="I79" s="307">
        <f>E79/E82</f>
        <v>-0.90059363836264106</v>
      </c>
      <c r="J79" s="207"/>
      <c r="K79" s="208">
        <f>F79/E79</f>
        <v>270.83999951118767</v>
      </c>
      <c r="L79" s="217"/>
    </row>
    <row r="80" spans="1:15" x14ac:dyDescent="0.3">
      <c r="B80" s="204" t="s">
        <v>15</v>
      </c>
      <c r="C80" s="204" t="s">
        <v>233</v>
      </c>
      <c r="D80" s="204" t="s">
        <v>80</v>
      </c>
      <c r="E80" s="205">
        <v>-841.34</v>
      </c>
      <c r="F80" s="192">
        <v>-227860.11</v>
      </c>
      <c r="G80" s="210"/>
      <c r="H80" s="227">
        <f>E80/$G$79</f>
        <v>7.4569030462566577E-2</v>
      </c>
      <c r="I80" s="307">
        <f>E80/E82</f>
        <v>-9.2593937713094598E-2</v>
      </c>
      <c r="J80" s="228"/>
      <c r="K80" s="208">
        <f t="shared" ref="K80:K82" si="17">F80/E80</f>
        <v>270.8299973851237</v>
      </c>
      <c r="L80" s="217"/>
    </row>
    <row r="81" spans="1:15" x14ac:dyDescent="0.3">
      <c r="B81" s="204" t="s">
        <v>19</v>
      </c>
      <c r="C81" s="204" t="s">
        <v>20</v>
      </c>
      <c r="D81" s="204" t="s">
        <v>80</v>
      </c>
      <c r="E81" s="205">
        <v>-2258.2600000000002</v>
      </c>
      <c r="F81" s="192">
        <v>-361163.52000000002</v>
      </c>
      <c r="G81" s="210"/>
      <c r="H81" s="227">
        <f>E81/$G$79</f>
        <v>0.20015244577982222</v>
      </c>
      <c r="I81" s="307">
        <f>E81/E82</f>
        <v>-0.24853351294360548</v>
      </c>
      <c r="J81" s="228"/>
      <c r="K81" s="208">
        <f t="shared" si="17"/>
        <v>159.92999920292613</v>
      </c>
      <c r="L81" s="217"/>
    </row>
    <row r="82" spans="1:15" x14ac:dyDescent="0.3">
      <c r="B82" s="204" t="s">
        <v>23</v>
      </c>
      <c r="C82" s="204" t="s">
        <v>24</v>
      </c>
      <c r="D82" s="204" t="s">
        <v>80</v>
      </c>
      <c r="E82" s="205">
        <v>9086.34</v>
      </c>
      <c r="F82" s="192">
        <v>2954332.59</v>
      </c>
      <c r="H82" s="227">
        <f>E82/$G$79</f>
        <v>-0.80533382966843037</v>
      </c>
      <c r="I82" s="307">
        <f>E82/E82</f>
        <v>1</v>
      </c>
      <c r="K82" s="208">
        <f t="shared" si="17"/>
        <v>325.14000026413271</v>
      </c>
    </row>
    <row r="83" spans="1:15" x14ac:dyDescent="0.3">
      <c r="A83" s="204" t="s">
        <v>1518</v>
      </c>
      <c r="E83" s="192">
        <v>-2196.3600000000006</v>
      </c>
      <c r="F83" s="192">
        <v>148998.16000000015</v>
      </c>
      <c r="G83" s="218"/>
      <c r="H83" s="216"/>
      <c r="I83" s="311">
        <f>E83/G79</f>
        <v>0.1946661703315696</v>
      </c>
      <c r="J83" s="219"/>
      <c r="K83" s="215">
        <f>F83/E83</f>
        <v>-67.838678540858567</v>
      </c>
      <c r="L83" s="216">
        <f>E82/G79</f>
        <v>-0.80533382966843037</v>
      </c>
      <c r="M83" s="216">
        <f>100%+L83</f>
        <v>0.19466617033156963</v>
      </c>
      <c r="N83" s="321" t="str">
        <f>'303 '!AM106</f>
        <v>GOLD BLEND ALL CAFE'  ขนาด 500 G.</v>
      </c>
      <c r="O83" s="365">
        <v>401</v>
      </c>
    </row>
    <row r="84" spans="1:15" x14ac:dyDescent="0.3">
      <c r="A84" s="204" t="s">
        <v>1486</v>
      </c>
      <c r="B84" s="204" t="s">
        <v>13</v>
      </c>
      <c r="C84" s="204" t="s">
        <v>14</v>
      </c>
      <c r="D84" s="204" t="s">
        <v>80</v>
      </c>
      <c r="E84" s="205">
        <v>-7297.0999999999995</v>
      </c>
      <c r="F84" s="192">
        <v>-1976346.56</v>
      </c>
      <c r="G84" s="206">
        <f>SUM(E84:E85)</f>
        <v>-9123.06</v>
      </c>
      <c r="H84" s="227">
        <f>E84/$G$84</f>
        <v>0.79985224255896592</v>
      </c>
      <c r="I84" s="307">
        <f>E84/E86</f>
        <v>-0.99390751352183304</v>
      </c>
      <c r="J84" s="207"/>
      <c r="K84" s="208">
        <f>F84/E84</f>
        <v>270.83999945183706</v>
      </c>
      <c r="L84" s="217"/>
    </row>
    <row r="85" spans="1:15" x14ac:dyDescent="0.3">
      <c r="B85" s="204" t="s">
        <v>19</v>
      </c>
      <c r="C85" s="204" t="s">
        <v>20</v>
      </c>
      <c r="D85" s="204" t="s">
        <v>80</v>
      </c>
      <c r="E85" s="205">
        <v>-1825.96</v>
      </c>
      <c r="F85" s="192">
        <v>-292025.78000000003</v>
      </c>
      <c r="G85" s="210"/>
      <c r="H85" s="227">
        <f>E85/$G$84</f>
        <v>0.20014775744103405</v>
      </c>
      <c r="I85" s="307">
        <f>E85/E86</f>
        <v>-0.24870638519279253</v>
      </c>
      <c r="J85" s="207"/>
      <c r="K85" s="208">
        <f t="shared" ref="K85:K86" si="18">F85/E85</f>
        <v>159.92999846656008</v>
      </c>
      <c r="L85" s="217"/>
    </row>
    <row r="86" spans="1:15" x14ac:dyDescent="0.3">
      <c r="B86" s="204" t="s">
        <v>23</v>
      </c>
      <c r="C86" s="204" t="s">
        <v>24</v>
      </c>
      <c r="D86" s="204" t="s">
        <v>80</v>
      </c>
      <c r="E86" s="205">
        <v>7341.83</v>
      </c>
      <c r="F86" s="192">
        <v>2387122.61</v>
      </c>
      <c r="G86" s="210"/>
      <c r="H86" s="227">
        <f>E86/$G$84</f>
        <v>-0.8047552027499546</v>
      </c>
      <c r="I86" s="307">
        <f>E86/E86</f>
        <v>1</v>
      </c>
      <c r="J86" s="228"/>
      <c r="K86" s="208">
        <f t="shared" si="18"/>
        <v>325.14000051758211</v>
      </c>
      <c r="L86" s="207"/>
    </row>
    <row r="87" spans="1:15" x14ac:dyDescent="0.3">
      <c r="A87" s="204" t="s">
        <v>1519</v>
      </c>
      <c r="E87" s="192">
        <v>-1781.2299999999996</v>
      </c>
      <c r="F87" s="192">
        <v>118750.27000000002</v>
      </c>
      <c r="G87" s="218"/>
      <c r="H87" s="216"/>
      <c r="I87" s="308">
        <f>E87/G84</f>
        <v>0.19524479725004545</v>
      </c>
      <c r="J87" s="226"/>
      <c r="K87" s="215">
        <f>F87/E87</f>
        <v>-66.667566793732448</v>
      </c>
      <c r="L87" s="216">
        <f>E86/G84</f>
        <v>-0.8047552027499546</v>
      </c>
      <c r="M87" s="216">
        <f>100%+L87</f>
        <v>0.1952447972500454</v>
      </c>
      <c r="N87" s="321" t="str">
        <f>'303 '!AM112</f>
        <v>GOLD BLEND ALL CAFE'  ขนาด 500 G.</v>
      </c>
      <c r="O87" s="365">
        <v>401</v>
      </c>
    </row>
    <row r="88" spans="1:15" x14ac:dyDescent="0.3">
      <c r="A88" s="204" t="s">
        <v>1491</v>
      </c>
      <c r="B88" s="204" t="s">
        <v>15</v>
      </c>
      <c r="C88" s="204" t="s">
        <v>233</v>
      </c>
      <c r="D88" s="204" t="s">
        <v>80</v>
      </c>
      <c r="E88" s="205">
        <v>-192</v>
      </c>
      <c r="F88" s="192">
        <v>-51999.360000000001</v>
      </c>
      <c r="G88" s="206">
        <f>SUM(E88:E89)</f>
        <v>-480.3</v>
      </c>
      <c r="H88" s="227">
        <f>E88/$G$88</f>
        <v>0.39975015615240472</v>
      </c>
      <c r="I88" s="307">
        <f>E88/E90</f>
        <v>-0.50526315789473686</v>
      </c>
      <c r="J88" s="228"/>
      <c r="K88" s="208">
        <f>F88/E88</f>
        <v>270.83</v>
      </c>
      <c r="L88" s="217"/>
    </row>
    <row r="89" spans="1:15" x14ac:dyDescent="0.3">
      <c r="B89" s="204" t="s">
        <v>21</v>
      </c>
      <c r="C89" s="204" t="s">
        <v>234</v>
      </c>
      <c r="D89" s="204" t="s">
        <v>80</v>
      </c>
      <c r="E89" s="205">
        <v>-288.3</v>
      </c>
      <c r="F89" s="192">
        <v>-46107.82</v>
      </c>
      <c r="G89" s="210"/>
      <c r="H89" s="227">
        <f>E89/$G$88</f>
        <v>0.60024984384759528</v>
      </c>
      <c r="I89" s="307">
        <f>E89/E90</f>
        <v>-0.75868421052631585</v>
      </c>
      <c r="J89" s="207"/>
      <c r="K89" s="208">
        <f t="shared" ref="K89:K90" si="19">F89/E89</f>
        <v>159.93000346860907</v>
      </c>
      <c r="L89" s="217"/>
    </row>
    <row r="90" spans="1:15" x14ac:dyDescent="0.3">
      <c r="B90" s="204" t="s">
        <v>205</v>
      </c>
      <c r="C90" s="204" t="s">
        <v>206</v>
      </c>
      <c r="D90" s="204" t="s">
        <v>80</v>
      </c>
      <c r="E90" s="205">
        <v>380</v>
      </c>
      <c r="F90" s="192">
        <v>102478.39999999999</v>
      </c>
      <c r="G90" s="210"/>
      <c r="H90" s="227">
        <f>E90/$G$88</f>
        <v>-0.79117218405163436</v>
      </c>
      <c r="I90" s="307">
        <f>E90/E90</f>
        <v>1</v>
      </c>
      <c r="J90" s="207"/>
      <c r="K90" s="208">
        <f t="shared" si="19"/>
        <v>269.68</v>
      </c>
      <c r="L90" s="217"/>
    </row>
    <row r="91" spans="1:15" x14ac:dyDescent="0.3">
      <c r="A91" s="204" t="s">
        <v>1520</v>
      </c>
      <c r="E91" s="192">
        <v>-100.30000000000001</v>
      </c>
      <c r="F91" s="192">
        <v>4371.2200000000012</v>
      </c>
      <c r="G91" s="218"/>
      <c r="H91" s="216"/>
      <c r="I91" s="308">
        <f>E91/G88</f>
        <v>0.20882781594836564</v>
      </c>
      <c r="J91" s="219"/>
      <c r="K91" s="215">
        <f>F91/E91</f>
        <v>-43.581455633100703</v>
      </c>
      <c r="L91" s="216">
        <f>E90/G88</f>
        <v>-0.79117218405163436</v>
      </c>
      <c r="M91" s="216">
        <f>100%+L91</f>
        <v>0.20882781594836564</v>
      </c>
      <c r="N91" s="356" t="str">
        <f>'303 '!AM118</f>
        <v>เมล็ดกาแฟ True Tower ขนาด 500 G.</v>
      </c>
      <c r="O91" s="365">
        <v>301</v>
      </c>
    </row>
    <row r="92" spans="1:15" x14ac:dyDescent="0.3">
      <c r="A92" s="204" t="s">
        <v>1794</v>
      </c>
      <c r="B92" s="204" t="s">
        <v>13</v>
      </c>
      <c r="C92" s="204" t="s">
        <v>14</v>
      </c>
      <c r="D92" s="204" t="s">
        <v>80</v>
      </c>
      <c r="E92" s="205">
        <v>-8064.3</v>
      </c>
      <c r="F92" s="192">
        <v>-2184135.0099999998</v>
      </c>
      <c r="G92" s="206">
        <f>SUM(E92:E93)</f>
        <v>-10080.86</v>
      </c>
      <c r="H92" s="227">
        <f>E92/$G$92</f>
        <v>0.79996151122027281</v>
      </c>
      <c r="I92" s="307">
        <f>E92/E94</f>
        <v>-0.99509872877905037</v>
      </c>
      <c r="J92" s="228"/>
      <c r="K92" s="208">
        <f>F92/E92</f>
        <v>270.83999975199333</v>
      </c>
      <c r="L92" s="217"/>
    </row>
    <row r="93" spans="1:15" x14ac:dyDescent="0.3">
      <c r="B93" s="204" t="s">
        <v>19</v>
      </c>
      <c r="C93" s="204" t="s">
        <v>20</v>
      </c>
      <c r="D93" s="204" t="s">
        <v>80</v>
      </c>
      <c r="E93" s="205">
        <v>-2016.56</v>
      </c>
      <c r="F93" s="192">
        <v>-322508.44</v>
      </c>
      <c r="G93" s="210"/>
      <c r="H93" s="227">
        <f>E93/$G$92</f>
        <v>0.2000384887797271</v>
      </c>
      <c r="I93" s="307">
        <f>E93/E94</f>
        <v>-0.2488345290362067</v>
      </c>
      <c r="J93" s="207"/>
      <c r="K93" s="208">
        <f t="shared" ref="K93:K94" si="20">F93/E93</f>
        <v>159.92999960328481</v>
      </c>
      <c r="L93" s="217"/>
    </row>
    <row r="94" spans="1:15" x14ac:dyDescent="0.3">
      <c r="B94" s="204" t="s">
        <v>23</v>
      </c>
      <c r="C94" s="204" t="s">
        <v>24</v>
      </c>
      <c r="D94" s="204" t="s">
        <v>80</v>
      </c>
      <c r="E94" s="205">
        <v>8104.02</v>
      </c>
      <c r="F94" s="192">
        <v>2634941.06</v>
      </c>
      <c r="G94" s="210"/>
      <c r="H94" s="227">
        <f>E94/$G$92</f>
        <v>-0.80390165124800861</v>
      </c>
      <c r="I94" s="307">
        <f>E94/E94</f>
        <v>1</v>
      </c>
      <c r="J94" s="207"/>
      <c r="K94" s="208">
        <f t="shared" si="20"/>
        <v>325.13999965449244</v>
      </c>
      <c r="L94" s="217"/>
    </row>
    <row r="95" spans="1:15" x14ac:dyDescent="0.3">
      <c r="A95" s="204" t="s">
        <v>1924</v>
      </c>
      <c r="E95" s="192">
        <v>-1976.8400000000001</v>
      </c>
      <c r="F95" s="192">
        <v>128297.61000000034</v>
      </c>
      <c r="G95" s="218"/>
      <c r="H95" s="216"/>
      <c r="I95" s="308">
        <f>E95/E94</f>
        <v>-0.24393325781525713</v>
      </c>
      <c r="J95" s="219"/>
      <c r="K95" s="215">
        <f t="shared" ref="K95:K100" si="21">F95/E95</f>
        <v>-64.900351065336764</v>
      </c>
      <c r="L95" s="216">
        <f>E94/G92</f>
        <v>-0.80390165124800861</v>
      </c>
      <c r="M95" s="216">
        <f>100%+L95</f>
        <v>0.19609834875199139</v>
      </c>
      <c r="N95" s="321" t="str">
        <f>'303 '!AM124</f>
        <v>GOLD BLEND ALL CAFE'  ขนาด 500 G.</v>
      </c>
      <c r="O95" s="365">
        <v>401</v>
      </c>
    </row>
    <row r="96" spans="1:15" x14ac:dyDescent="0.3">
      <c r="A96" s="204" t="s">
        <v>1799</v>
      </c>
      <c r="B96" s="204" t="s">
        <v>13</v>
      </c>
      <c r="C96" s="204" t="s">
        <v>14</v>
      </c>
      <c r="D96" s="204" t="s">
        <v>80</v>
      </c>
      <c r="E96" s="205">
        <v>-8834</v>
      </c>
      <c r="F96" s="192">
        <v>-2392600.56</v>
      </c>
      <c r="G96" s="206">
        <f>SUM(E96:E97)</f>
        <v>-11045.72</v>
      </c>
      <c r="H96" s="227">
        <f>E96/$G$96</f>
        <v>0.79976678749778196</v>
      </c>
      <c r="I96" s="307">
        <f>E96/E98</f>
        <v>-0.99459581175410938</v>
      </c>
      <c r="J96" s="228"/>
      <c r="K96" s="208">
        <f t="shared" si="21"/>
        <v>270.84000000000003</v>
      </c>
      <c r="L96" s="196"/>
    </row>
    <row r="97" spans="1:15" x14ac:dyDescent="0.3">
      <c r="B97" s="204" t="s">
        <v>19</v>
      </c>
      <c r="C97" s="204" t="s">
        <v>20</v>
      </c>
      <c r="D97" s="204" t="s">
        <v>80</v>
      </c>
      <c r="E97" s="205">
        <v>-2211.7199999999998</v>
      </c>
      <c r="F97" s="192">
        <v>-353720.38</v>
      </c>
      <c r="H97" s="227">
        <f>E97/$G$96</f>
        <v>0.20023321250221804</v>
      </c>
      <c r="I97" s="307">
        <f>E97/E98</f>
        <v>-0.24901148390002251</v>
      </c>
      <c r="J97" s="230"/>
      <c r="K97" s="208">
        <f t="shared" si="21"/>
        <v>159.93000018085473</v>
      </c>
      <c r="L97" s="196"/>
    </row>
    <row r="98" spans="1:15" x14ac:dyDescent="0.3">
      <c r="B98" s="204" t="s">
        <v>23</v>
      </c>
      <c r="C98" s="204" t="s">
        <v>24</v>
      </c>
      <c r="D98" s="204" t="s">
        <v>80</v>
      </c>
      <c r="E98" s="205">
        <v>8882</v>
      </c>
      <c r="F98" s="192">
        <v>2887893.48</v>
      </c>
      <c r="H98" s="227">
        <f>E98/$G$96</f>
        <v>-0.80411236207327363</v>
      </c>
      <c r="I98" s="307">
        <f>E98/E98</f>
        <v>1</v>
      </c>
      <c r="J98" s="230"/>
      <c r="K98" s="208">
        <f t="shared" si="21"/>
        <v>325.14</v>
      </c>
      <c r="L98" s="196"/>
    </row>
    <row r="99" spans="1:15" s="293" customFormat="1" x14ac:dyDescent="0.3">
      <c r="A99" s="204" t="s">
        <v>1925</v>
      </c>
      <c r="B99" s="192"/>
      <c r="C99" s="192"/>
      <c r="D99" s="192"/>
      <c r="E99" s="192">
        <v>-2163.7199999999993</v>
      </c>
      <c r="F99" s="192">
        <v>141572.54000000004</v>
      </c>
      <c r="G99" s="218"/>
      <c r="H99" s="216"/>
      <c r="I99" s="308">
        <f>E99/G96</f>
        <v>0.19588763792672631</v>
      </c>
      <c r="J99" s="219"/>
      <c r="K99" s="215">
        <f t="shared" si="21"/>
        <v>-65.430157321649787</v>
      </c>
      <c r="L99" s="216">
        <f>E98/G96</f>
        <v>-0.80411236207327363</v>
      </c>
      <c r="M99" s="216">
        <f>100%+L99</f>
        <v>0.19588763792672637</v>
      </c>
      <c r="N99" s="321" t="str">
        <f>'303 '!AM130</f>
        <v>GOLD BLEND ALL CAFE'  ขนาด 500 G.</v>
      </c>
      <c r="O99" s="365">
        <v>401</v>
      </c>
    </row>
    <row r="100" spans="1:15" x14ac:dyDescent="0.3">
      <c r="A100" s="204" t="s">
        <v>1804</v>
      </c>
      <c r="B100" s="204" t="s">
        <v>13</v>
      </c>
      <c r="C100" s="204" t="s">
        <v>14</v>
      </c>
      <c r="D100" s="204" t="s">
        <v>80</v>
      </c>
      <c r="E100" s="205">
        <v>-10368.1</v>
      </c>
      <c r="F100" s="192">
        <v>-2808096.21</v>
      </c>
      <c r="G100" s="206">
        <f>SUM(E100:E101)</f>
        <v>-12962.64</v>
      </c>
      <c r="H100" s="227">
        <f>E100/$G$100</f>
        <v>0.79984478470435039</v>
      </c>
      <c r="I100" s="307">
        <f>E100/E102</f>
        <v>-0.99441033225338049</v>
      </c>
      <c r="J100" s="228"/>
      <c r="K100" s="208">
        <f t="shared" si="21"/>
        <v>270.8400005786981</v>
      </c>
      <c r="L100" s="196"/>
    </row>
    <row r="101" spans="1:15" x14ac:dyDescent="0.3">
      <c r="B101" s="204" t="s">
        <v>19</v>
      </c>
      <c r="C101" s="204" t="s">
        <v>20</v>
      </c>
      <c r="D101" s="204" t="s">
        <v>80</v>
      </c>
      <c r="E101" s="205">
        <v>-2594.54</v>
      </c>
      <c r="F101" s="192">
        <v>-414944.78</v>
      </c>
      <c r="H101" s="227">
        <f>E101/$G$100</f>
        <v>0.20015521529564967</v>
      </c>
      <c r="I101" s="307">
        <f>E101/E102</f>
        <v>-0.24884379813511498</v>
      </c>
      <c r="J101" s="228"/>
      <c r="K101" s="208">
        <f t="shared" ref="K101:K102" si="22">F101/E101</f>
        <v>159.92999915206551</v>
      </c>
      <c r="L101" s="196"/>
    </row>
    <row r="102" spans="1:15" x14ac:dyDescent="0.3">
      <c r="B102" s="204" t="s">
        <v>23</v>
      </c>
      <c r="C102" s="204" t="s">
        <v>24</v>
      </c>
      <c r="D102" s="204" t="s">
        <v>80</v>
      </c>
      <c r="E102" s="205">
        <v>10426.379999999999</v>
      </c>
      <c r="F102" s="192">
        <v>3390033.19</v>
      </c>
      <c r="H102" s="227">
        <f>E102/$G$100</f>
        <v>-0.80434078243320806</v>
      </c>
      <c r="I102" s="307">
        <f>E102/E102</f>
        <v>1</v>
      </c>
      <c r="J102" s="228"/>
      <c r="K102" s="208">
        <f t="shared" si="22"/>
        <v>325.13999969308622</v>
      </c>
      <c r="L102" s="196"/>
    </row>
    <row r="103" spans="1:15" x14ac:dyDescent="0.3">
      <c r="A103" s="204" t="s">
        <v>1926</v>
      </c>
      <c r="E103" s="192">
        <v>-2536.2600000000002</v>
      </c>
      <c r="F103" s="192">
        <v>166992.19999999972</v>
      </c>
      <c r="G103" s="218"/>
      <c r="H103" s="216"/>
      <c r="I103" s="308">
        <f>E97/E96</f>
        <v>0.25036450079239303</v>
      </c>
      <c r="J103" s="219"/>
      <c r="K103" s="215">
        <f>F103/E103</f>
        <v>-65.84190895255206</v>
      </c>
      <c r="L103" s="216">
        <f>E102/G100</f>
        <v>-0.80434078243320806</v>
      </c>
      <c r="M103" s="216">
        <f>100%+L103</f>
        <v>0.19565921756679194</v>
      </c>
      <c r="N103" s="321" t="str">
        <f>'303 '!AM136</f>
        <v>GOLD BLEND ALL CAFE'  ขนาด 500 G.</v>
      </c>
      <c r="O103" s="365">
        <v>401</v>
      </c>
    </row>
    <row r="104" spans="1:15" x14ac:dyDescent="0.3">
      <c r="A104" s="204" t="s">
        <v>1809</v>
      </c>
      <c r="B104" s="204" t="s">
        <v>13</v>
      </c>
      <c r="C104" s="204" t="s">
        <v>14</v>
      </c>
      <c r="D104" s="204" t="s">
        <v>80</v>
      </c>
      <c r="E104" s="205">
        <v>-10560.5</v>
      </c>
      <c r="F104" s="192">
        <v>-2860205.8200000003</v>
      </c>
      <c r="G104" s="206">
        <f>SUM(E104:E105)</f>
        <v>-13202.9</v>
      </c>
      <c r="H104" s="227">
        <f>E104/$G$104</f>
        <v>0.79986215149701967</v>
      </c>
      <c r="I104" s="307">
        <f>E104/E106</f>
        <v>-0.99385645100877296</v>
      </c>
      <c r="J104" s="228"/>
      <c r="K104" s="208">
        <f>F104/E104</f>
        <v>270.84000000000003</v>
      </c>
      <c r="L104" s="196"/>
    </row>
    <row r="105" spans="1:15" x14ac:dyDescent="0.3">
      <c r="B105" s="204" t="s">
        <v>19</v>
      </c>
      <c r="C105" s="204" t="s">
        <v>20</v>
      </c>
      <c r="D105" s="204" t="s">
        <v>80</v>
      </c>
      <c r="E105" s="205">
        <v>-2642.4</v>
      </c>
      <c r="F105" s="192">
        <v>-422599.03</v>
      </c>
      <c r="H105" s="227">
        <f t="shared" ref="H105:H106" si="23">E105/$G$104</f>
        <v>0.20013784850298041</v>
      </c>
      <c r="I105" s="307">
        <f>E105/E106</f>
        <v>-0.2486782146816516</v>
      </c>
      <c r="J105" s="228"/>
      <c r="K105" s="208">
        <f t="shared" ref="K105:K106" si="24">F105/E105</f>
        <v>159.92999924311232</v>
      </c>
      <c r="L105" s="196"/>
    </row>
    <row r="106" spans="1:15" x14ac:dyDescent="0.3">
      <c r="B106" s="204" t="s">
        <v>23</v>
      </c>
      <c r="C106" s="204" t="s">
        <v>24</v>
      </c>
      <c r="D106" s="204" t="s">
        <v>80</v>
      </c>
      <c r="E106" s="205">
        <v>10625.78</v>
      </c>
      <c r="F106" s="192">
        <v>3454866.11</v>
      </c>
      <c r="H106" s="227">
        <f t="shared" si="23"/>
        <v>-0.80480651977974538</v>
      </c>
      <c r="I106" s="307">
        <f>E106/E106</f>
        <v>1</v>
      </c>
      <c r="J106" s="228"/>
      <c r="K106" s="208">
        <f t="shared" si="24"/>
        <v>325.14000007528858</v>
      </c>
      <c r="L106" s="196"/>
    </row>
    <row r="107" spans="1:15" x14ac:dyDescent="0.3">
      <c r="A107" s="204" t="s">
        <v>1927</v>
      </c>
      <c r="E107" s="192">
        <v>-2577.119999999999</v>
      </c>
      <c r="F107" s="192">
        <v>172061.25999999931</v>
      </c>
      <c r="G107" s="218"/>
      <c r="H107" s="216"/>
      <c r="I107" s="308">
        <f>E107/E106</f>
        <v>-0.24253466569042451</v>
      </c>
      <c r="J107" s="219"/>
      <c r="K107" s="215">
        <f>F107/E107</f>
        <v>-66.764939156888062</v>
      </c>
      <c r="L107" s="216">
        <f>E106/G104</f>
        <v>-0.80480651977974538</v>
      </c>
      <c r="M107" s="216">
        <f>100%+L107</f>
        <v>0.19519348022025462</v>
      </c>
      <c r="N107" s="321" t="str">
        <f>'303 '!AM142</f>
        <v>GOLD BLEND ALL CAFE'  ขนาด 500 G.</v>
      </c>
      <c r="O107" s="365">
        <v>401</v>
      </c>
    </row>
    <row r="108" spans="1:15" x14ac:dyDescent="0.3">
      <c r="A108" s="204" t="s">
        <v>1814</v>
      </c>
      <c r="B108" s="204" t="s">
        <v>13</v>
      </c>
      <c r="C108" s="204" t="s">
        <v>14</v>
      </c>
      <c r="D108" s="204" t="s">
        <v>80</v>
      </c>
      <c r="E108" s="205">
        <v>-9792.7999999999993</v>
      </c>
      <c r="F108" s="192">
        <v>-2652281.9500000002</v>
      </c>
      <c r="G108" s="206">
        <f>SUM(E108:E109)</f>
        <v>-12253.4</v>
      </c>
      <c r="H108" s="227">
        <f>E108/$G$108</f>
        <v>0.79919042877895108</v>
      </c>
      <c r="I108" s="307">
        <f>E108/E110</f>
        <v>-0.99559177565228696</v>
      </c>
      <c r="J108" s="228"/>
      <c r="K108" s="208">
        <f>F108/E108</f>
        <v>270.83999979576834</v>
      </c>
      <c r="L108" s="196"/>
    </row>
    <row r="109" spans="1:15" x14ac:dyDescent="0.3">
      <c r="B109" s="204" t="s">
        <v>19</v>
      </c>
      <c r="C109" s="204" t="s">
        <v>20</v>
      </c>
      <c r="D109" s="204" t="s">
        <v>80</v>
      </c>
      <c r="E109" s="205">
        <v>-2460.6</v>
      </c>
      <c r="F109" s="192">
        <v>-393523.76</v>
      </c>
      <c r="H109" s="227">
        <f>E109/$G$108</f>
        <v>0.20080957122104884</v>
      </c>
      <c r="I109" s="307">
        <f>E109/E110</f>
        <v>-0.25015859847745459</v>
      </c>
      <c r="J109" s="228"/>
      <c r="K109" s="208">
        <f t="shared" ref="K109:K110" si="25">F109/E109</f>
        <v>159.93000081280988</v>
      </c>
      <c r="L109" s="196"/>
    </row>
    <row r="110" spans="1:15" x14ac:dyDescent="0.3">
      <c r="B110" s="204" t="s">
        <v>23</v>
      </c>
      <c r="C110" s="204" t="s">
        <v>24</v>
      </c>
      <c r="D110" s="204" t="s">
        <v>80</v>
      </c>
      <c r="E110" s="205">
        <v>9836.16</v>
      </c>
      <c r="F110" s="192">
        <v>3198129.06</v>
      </c>
      <c r="H110" s="227">
        <f>E110/$G$108</f>
        <v>-0.802729038470955</v>
      </c>
      <c r="I110" s="307">
        <f>E110/E110</f>
        <v>1</v>
      </c>
      <c r="J110" s="228"/>
      <c r="K110" s="208">
        <f t="shared" si="25"/>
        <v>325.13999975600234</v>
      </c>
      <c r="L110" s="196"/>
    </row>
    <row r="111" spans="1:15" x14ac:dyDescent="0.3">
      <c r="A111" s="204" t="s">
        <v>1928</v>
      </c>
      <c r="E111" s="192">
        <v>-2417.2399999999998</v>
      </c>
      <c r="F111" s="192">
        <v>152323.35000000009</v>
      </c>
      <c r="G111" s="218"/>
      <c r="H111" s="216"/>
      <c r="I111" s="308">
        <f>E111/E110</f>
        <v>-0.24575037412974166</v>
      </c>
      <c r="J111" s="219"/>
      <c r="K111" s="215">
        <f>F111/E111</f>
        <v>-63.015401863282136</v>
      </c>
      <c r="L111" s="216">
        <f>E110/G108</f>
        <v>-0.802729038470955</v>
      </c>
      <c r="M111" s="216">
        <f>100%+L111</f>
        <v>0.197270961529045</v>
      </c>
      <c r="N111" s="321" t="str">
        <f>'303 '!AM148</f>
        <v>GOLD BLEND ALL CAFE'  ขนาด 500 G.</v>
      </c>
      <c r="O111" s="365">
        <v>401</v>
      </c>
    </row>
    <row r="112" spans="1:15" x14ac:dyDescent="0.3">
      <c r="A112" s="204" t="s">
        <v>1824</v>
      </c>
      <c r="B112" s="204" t="s">
        <v>13</v>
      </c>
      <c r="C112" s="204" t="s">
        <v>14</v>
      </c>
      <c r="D112" s="204" t="s">
        <v>80</v>
      </c>
      <c r="E112" s="205">
        <v>-10176.799999999999</v>
      </c>
      <c r="F112" s="192">
        <v>-2756284.51</v>
      </c>
      <c r="G112" s="206">
        <f>SUM(E112:E113)</f>
        <v>-12743.439999999999</v>
      </c>
      <c r="H112" s="227">
        <f>E112/$G$112</f>
        <v>0.79859127519727802</v>
      </c>
      <c r="I112" s="307">
        <f>E112/E114</f>
        <v>-0.99568433730460393</v>
      </c>
      <c r="J112" s="228"/>
      <c r="K112" s="208">
        <f>F112/E112</f>
        <v>270.83999980347454</v>
      </c>
      <c r="L112" s="196"/>
    </row>
    <row r="113" spans="1:15" x14ac:dyDescent="0.3">
      <c r="B113" s="204" t="s">
        <v>19</v>
      </c>
      <c r="C113" s="204" t="s">
        <v>20</v>
      </c>
      <c r="D113" s="204" t="s">
        <v>80</v>
      </c>
      <c r="E113" s="205">
        <v>-2566.64</v>
      </c>
      <c r="F113" s="192">
        <v>-410482.74</v>
      </c>
      <c r="H113" s="227">
        <f t="shared" ref="H113:H114" si="26">E113/$G$112</f>
        <v>0.20140872480272204</v>
      </c>
      <c r="I113" s="307">
        <f>E113/E114</f>
        <v>-0.25111658355273647</v>
      </c>
      <c r="J113" s="228"/>
      <c r="K113" s="208">
        <f t="shared" ref="K113:K114" si="27">F113/E113</f>
        <v>159.93000187014931</v>
      </c>
      <c r="L113" s="196"/>
    </row>
    <row r="114" spans="1:15" x14ac:dyDescent="0.3">
      <c r="B114" s="204" t="s">
        <v>23</v>
      </c>
      <c r="C114" s="204" t="s">
        <v>24</v>
      </c>
      <c r="D114" s="204" t="s">
        <v>80</v>
      </c>
      <c r="E114" s="205">
        <v>10220.91</v>
      </c>
      <c r="F114" s="192">
        <v>3323226.68</v>
      </c>
      <c r="H114" s="227">
        <f t="shared" si="26"/>
        <v>-0.80205266395886832</v>
      </c>
      <c r="I114" s="307">
        <f>E114/E114</f>
        <v>1</v>
      </c>
      <c r="J114" s="228"/>
      <c r="K114" s="208">
        <f t="shared" si="27"/>
        <v>325.14000025438048</v>
      </c>
      <c r="L114" s="196"/>
    </row>
    <row r="115" spans="1:15" x14ac:dyDescent="0.3">
      <c r="A115" s="204" t="s">
        <v>1929</v>
      </c>
      <c r="E115" s="192">
        <v>-2522.5299999999988</v>
      </c>
      <c r="F115" s="192">
        <v>156459.43000000017</v>
      </c>
      <c r="G115" s="218"/>
      <c r="H115" s="216"/>
      <c r="I115" s="308">
        <f>E115/E114</f>
        <v>-0.24680092085734037</v>
      </c>
      <c r="J115" s="219"/>
      <c r="K115" s="215">
        <f t="shared" ref="K115:K123" si="28">F115/E115</f>
        <v>-62.024804462186864</v>
      </c>
      <c r="L115" s="216">
        <f>E114/G112</f>
        <v>-0.80205266395886832</v>
      </c>
      <c r="M115" s="216">
        <f>100%+L115</f>
        <v>0.19794733604113168</v>
      </c>
      <c r="N115" s="321" t="str">
        <f>'303 '!AM154</f>
        <v>GOLD BLEND ALL CAFE'  ขนาด 500 G.</v>
      </c>
      <c r="O115" s="365">
        <v>401</v>
      </c>
    </row>
    <row r="116" spans="1:15" x14ac:dyDescent="0.3">
      <c r="A116" s="204" t="s">
        <v>1974</v>
      </c>
      <c r="B116" s="204" t="s">
        <v>13</v>
      </c>
      <c r="C116" s="204" t="s">
        <v>14</v>
      </c>
      <c r="D116" s="204" t="s">
        <v>80</v>
      </c>
      <c r="E116" s="205">
        <v>-8832.42</v>
      </c>
      <c r="F116" s="192">
        <v>-2392172.63</v>
      </c>
      <c r="G116" s="206">
        <f>SUM(E116:E117)</f>
        <v>-11042.58</v>
      </c>
      <c r="H116" s="227">
        <f>E116/$G$116</f>
        <v>0.79985112174872175</v>
      </c>
      <c r="I116" s="307">
        <f>E116/E118</f>
        <v>-0.99810039969579278</v>
      </c>
      <c r="J116" s="228"/>
      <c r="K116" s="208">
        <f t="shared" si="28"/>
        <v>270.83999968298605</v>
      </c>
      <c r="L116" s="196"/>
    </row>
    <row r="117" spans="1:15" x14ac:dyDescent="0.3">
      <c r="B117" s="204" t="s">
        <v>19</v>
      </c>
      <c r="C117" s="204" t="s">
        <v>20</v>
      </c>
      <c r="D117" s="204" t="s">
        <v>80</v>
      </c>
      <c r="E117" s="205">
        <v>-2210.1600000000003</v>
      </c>
      <c r="F117" s="192">
        <v>-353470.89</v>
      </c>
      <c r="H117" s="227">
        <f>E117/$G$116</f>
        <v>0.20014887825127825</v>
      </c>
      <c r="I117" s="307">
        <f>E117/E118</f>
        <v>-0.24975732351854346</v>
      </c>
      <c r="J117" s="228"/>
      <c r="K117" s="208">
        <f t="shared" si="28"/>
        <v>159.93000054294711</v>
      </c>
      <c r="L117" s="196"/>
    </row>
    <row r="118" spans="1:15" x14ac:dyDescent="0.3">
      <c r="B118" s="204" t="s">
        <v>23</v>
      </c>
      <c r="C118" s="204" t="s">
        <v>24</v>
      </c>
      <c r="D118" s="204" t="s">
        <v>80</v>
      </c>
      <c r="E118" s="205">
        <v>8849.23</v>
      </c>
      <c r="F118" s="192">
        <v>2877238.64</v>
      </c>
      <c r="H118" s="227">
        <f>E118/$G$116</f>
        <v>-0.80137341092389636</v>
      </c>
      <c r="I118" s="307">
        <f>E118/E118</f>
        <v>1</v>
      </c>
      <c r="J118" s="228"/>
      <c r="K118" s="208">
        <f t="shared" si="28"/>
        <v>325.1399997513908</v>
      </c>
      <c r="L118" s="196"/>
    </row>
    <row r="119" spans="1:15" x14ac:dyDescent="0.3">
      <c r="A119" s="204" t="s">
        <v>2016</v>
      </c>
      <c r="E119" s="192">
        <v>-2193.3500000000004</v>
      </c>
      <c r="F119" s="192">
        <v>131595.12000000011</v>
      </c>
      <c r="G119" s="218"/>
      <c r="H119" s="216"/>
      <c r="I119" s="308">
        <f>E119/E118</f>
        <v>-0.24785772321433622</v>
      </c>
      <c r="J119" s="219"/>
      <c r="K119" s="215">
        <f t="shared" si="28"/>
        <v>-59.997319169307268</v>
      </c>
      <c r="L119" s="216">
        <f>E118/G116</f>
        <v>-0.80137341092389636</v>
      </c>
      <c r="M119" s="216">
        <f>100%+L119</f>
        <v>0.19862658907610364</v>
      </c>
      <c r="N119" s="321" t="str">
        <f>'303 '!AM160</f>
        <v>GOLD BLEND ALL CAFE'  ขนาด 500 G.</v>
      </c>
      <c r="O119" s="365">
        <v>401</v>
      </c>
    </row>
    <row r="120" spans="1:15" x14ac:dyDescent="0.3">
      <c r="A120" s="204" t="s">
        <v>2024</v>
      </c>
      <c r="B120" s="204" t="s">
        <v>13</v>
      </c>
      <c r="C120" s="204" t="s">
        <v>14</v>
      </c>
      <c r="D120" s="204" t="s">
        <v>80</v>
      </c>
      <c r="E120" s="205">
        <v>-8640.06</v>
      </c>
      <c r="F120" s="192">
        <v>-2340073.85</v>
      </c>
      <c r="G120" s="206">
        <f>SUM(E120:E121)</f>
        <v>-10800.98</v>
      </c>
      <c r="H120" s="227">
        <f>E120/$G$120</f>
        <v>0.79993296904540145</v>
      </c>
      <c r="I120" s="307">
        <f>E120/E122</f>
        <v>-0.99911075135150751</v>
      </c>
      <c r="J120" s="228"/>
      <c r="K120" s="208">
        <f t="shared" si="28"/>
        <v>270.83999995370408</v>
      </c>
      <c r="L120" s="196"/>
    </row>
    <row r="121" spans="1:15" x14ac:dyDescent="0.3">
      <c r="B121" s="204" t="s">
        <v>19</v>
      </c>
      <c r="C121" s="204" t="s">
        <v>20</v>
      </c>
      <c r="D121" s="204" t="s">
        <v>80</v>
      </c>
      <c r="E121" s="205">
        <v>-2160.92</v>
      </c>
      <c r="F121" s="192">
        <v>-345595.93</v>
      </c>
      <c r="H121" s="227">
        <f>E121/$G$120</f>
        <v>0.20006703095459857</v>
      </c>
      <c r="I121" s="307">
        <f>E121/E122</f>
        <v>-0.24988233933682172</v>
      </c>
      <c r="J121" s="228"/>
      <c r="K121" s="208">
        <f t="shared" si="28"/>
        <v>159.92999740851118</v>
      </c>
      <c r="L121" s="196"/>
    </row>
    <row r="122" spans="1:15" x14ac:dyDescent="0.3">
      <c r="B122" s="204" t="s">
        <v>23</v>
      </c>
      <c r="C122" s="204" t="s">
        <v>24</v>
      </c>
      <c r="D122" s="204" t="s">
        <v>80</v>
      </c>
      <c r="E122" s="205">
        <v>8647.75</v>
      </c>
      <c r="F122" s="192">
        <v>2811729.44</v>
      </c>
      <c r="H122" s="227">
        <f>E122/$G$120</f>
        <v>-0.80064494147753262</v>
      </c>
      <c r="I122" s="307">
        <f>E122/E122</f>
        <v>1</v>
      </c>
      <c r="J122" s="228"/>
      <c r="K122" s="208">
        <f t="shared" si="28"/>
        <v>325.1400005781851</v>
      </c>
      <c r="L122" s="196"/>
    </row>
    <row r="123" spans="1:15" x14ac:dyDescent="0.3">
      <c r="A123" s="204" t="s">
        <v>2060</v>
      </c>
      <c r="E123" s="192">
        <v>-2153.2299999999996</v>
      </c>
      <c r="F123" s="192">
        <v>126059.65999999968</v>
      </c>
      <c r="G123" s="218"/>
      <c r="H123" s="216"/>
      <c r="I123" s="308">
        <f>E123/E122</f>
        <v>-0.24899309068832928</v>
      </c>
      <c r="J123" s="219"/>
      <c r="K123" s="215">
        <f t="shared" si="28"/>
        <v>-58.544447179353675</v>
      </c>
      <c r="L123" s="216">
        <f>E122/G120</f>
        <v>-0.80064494147753262</v>
      </c>
      <c r="M123" s="216">
        <f>100%+L123</f>
        <v>0.19935505852246738</v>
      </c>
      <c r="N123" s="321" t="str">
        <f>'303 '!AM166</f>
        <v>GOLD BLEND ALL CAFE'  ขนาด 500 G.</v>
      </c>
      <c r="O123" s="365">
        <v>401</v>
      </c>
    </row>
    <row r="124" spans="1:15" x14ac:dyDescent="0.3">
      <c r="A124" s="204" t="s">
        <v>145</v>
      </c>
      <c r="E124" s="192">
        <v>-51449.900000000009</v>
      </c>
      <c r="F124" s="192">
        <v>3408309.4900000012</v>
      </c>
      <c r="G124" s="210"/>
      <c r="H124" s="217"/>
      <c r="I124" s="259"/>
      <c r="J124" s="236"/>
      <c r="K124" s="209"/>
      <c r="L124" s="217"/>
      <c r="M124" s="217"/>
      <c r="N124" s="209"/>
      <c r="O124" s="193"/>
    </row>
    <row r="125" spans="1:15" x14ac:dyDescent="0.3">
      <c r="E125" s="258"/>
      <c r="F125" s="258"/>
      <c r="G125" s="210"/>
      <c r="H125" s="217"/>
      <c r="I125" s="259"/>
      <c r="J125" s="236"/>
      <c r="K125" s="209"/>
      <c r="L125" s="217"/>
      <c r="M125" s="217"/>
      <c r="N125" s="209"/>
      <c r="O125" s="193"/>
    </row>
    <row r="126" spans="1:15" x14ac:dyDescent="0.3">
      <c r="A126" s="231" t="s">
        <v>200</v>
      </c>
      <c r="B126" s="232"/>
      <c r="C126" s="232"/>
      <c r="D126" s="232"/>
      <c r="E126" s="233"/>
      <c r="F126" s="233"/>
      <c r="G126" s="234"/>
      <c r="H126" s="235"/>
      <c r="I126" s="312"/>
      <c r="J126" s="235"/>
      <c r="K126" s="267"/>
      <c r="L126" s="268">
        <f>AVERAGE(L4:L123)</f>
        <v>-0.80579442671599044</v>
      </c>
      <c r="M126" s="268">
        <f>AVERAGE(M4:M123)</f>
        <v>0.19420557328400953</v>
      </c>
      <c r="N126" s="232"/>
      <c r="O126" s="314"/>
    </row>
    <row r="127" spans="1:15" ht="31" customHeight="1" x14ac:dyDescent="0.3">
      <c r="G127" s="210"/>
      <c r="H127" s="217"/>
      <c r="I127" s="259"/>
      <c r="J127" s="236"/>
      <c r="K127" s="209"/>
      <c r="L127" s="217"/>
      <c r="M127" s="217"/>
      <c r="N127" s="197"/>
      <c r="O127" s="193"/>
    </row>
    <row r="128" spans="1:15" s="244" customFormat="1" ht="28" x14ac:dyDescent="0.3">
      <c r="A128" s="237" t="s">
        <v>81</v>
      </c>
      <c r="B128" s="237" t="s">
        <v>82</v>
      </c>
      <c r="C128" s="238"/>
      <c r="D128" s="239"/>
      <c r="E128" s="239"/>
      <c r="F128" s="239"/>
      <c r="G128" s="240" t="s">
        <v>148</v>
      </c>
      <c r="H128" s="241" t="s">
        <v>149</v>
      </c>
      <c r="I128" s="243" t="s">
        <v>137</v>
      </c>
      <c r="J128" s="242"/>
      <c r="K128" s="242" t="s">
        <v>150</v>
      </c>
      <c r="L128" s="243" t="s">
        <v>151</v>
      </c>
      <c r="M128" s="243" t="s">
        <v>221</v>
      </c>
      <c r="N128" s="242" t="s">
        <v>204</v>
      </c>
      <c r="O128" s="243"/>
    </row>
    <row r="129" spans="1:15" ht="15" x14ac:dyDescent="0.3">
      <c r="B129" s="245" t="s">
        <v>11</v>
      </c>
      <c r="C129" s="204" t="s">
        <v>12</v>
      </c>
      <c r="D129" s="204" t="s">
        <v>80</v>
      </c>
      <c r="E129" s="246"/>
      <c r="F129" s="246"/>
      <c r="G129" s="206">
        <f>SUM(E129:E132)</f>
        <v>-258596.49</v>
      </c>
      <c r="H129" s="207">
        <f>E129/G129</f>
        <v>0</v>
      </c>
      <c r="I129" s="313">
        <f>E129/E133</f>
        <v>0</v>
      </c>
      <c r="K129" s="208" t="e">
        <f>F129/E129</f>
        <v>#DIV/0!</v>
      </c>
      <c r="L129" s="209"/>
      <c r="N129" s="208"/>
    </row>
    <row r="130" spans="1:15" ht="15" x14ac:dyDescent="0.3">
      <c r="B130" s="245" t="s">
        <v>13</v>
      </c>
      <c r="C130" s="204" t="s">
        <v>14</v>
      </c>
      <c r="D130" s="204" t="s">
        <v>80</v>
      </c>
      <c r="E130" s="246">
        <f>E9+E17+E21+E26+E30+E35+E40+E45+E55+E60+E65+E70+E74+E79+E84+E92+E96+E100+E104+E108+E112+E116+E120</f>
        <v>-199687.38</v>
      </c>
      <c r="F130" s="246">
        <f>F9+F17+F21+F26+F30+F35+F40+F45+F55+F60+F65+F70+F74+F79+F84+F92+F96+F100+F104+F108+F112+F116+F120</f>
        <v>-54050105.780000009</v>
      </c>
      <c r="H130" s="207">
        <f>E130/G129</f>
        <v>0.77219679199822089</v>
      </c>
      <c r="I130" s="313">
        <f>E130/E133</f>
        <v>-0.95995443846182993</v>
      </c>
      <c r="J130" s="207"/>
      <c r="K130" s="208">
        <f>F130/E130</f>
        <v>270.67361883359882</v>
      </c>
      <c r="L130" s="209"/>
    </row>
    <row r="131" spans="1:15" ht="15" x14ac:dyDescent="0.3">
      <c r="B131" s="245" t="s">
        <v>15</v>
      </c>
      <c r="C131" s="204" t="s">
        <v>233</v>
      </c>
      <c r="D131" s="204" t="s">
        <v>80</v>
      </c>
      <c r="E131" s="246">
        <f>+E22+E31+E36+E41+E56+E61+E66+E75+E80</f>
        <v>-7118.52</v>
      </c>
      <c r="F131" s="246">
        <f>+F22+F31+F36+F41+F56+F61+F66+F75+F80</f>
        <v>-1926867</v>
      </c>
      <c r="G131" s="210"/>
      <c r="H131" s="207">
        <f>E131/G129</f>
        <v>2.7527519805083205E-2</v>
      </c>
      <c r="I131" s="313">
        <f>E131/E134</f>
        <v>0.14074081836053079</v>
      </c>
      <c r="J131" s="207"/>
      <c r="K131" s="208">
        <f>F131/E131</f>
        <v>270.68365334367252</v>
      </c>
      <c r="L131" s="209"/>
    </row>
    <row r="132" spans="1:15" ht="15" x14ac:dyDescent="0.3">
      <c r="B132" s="245" t="s">
        <v>19</v>
      </c>
      <c r="C132" s="204" t="s">
        <v>20</v>
      </c>
      <c r="D132" s="204" t="s">
        <v>80</v>
      </c>
      <c r="E132" s="246">
        <f>+E10+E18+E23+E27+E32+E37+E42+E46+E57+E62+E67+E71+E76+E81+E85+E93+E97+E101+E105+E109+E113+E117+E121</f>
        <v>-51790.590000000004</v>
      </c>
      <c r="F132" s="246">
        <f>+F10+F18+F23+F27+F32+F37+F42+F46+F57+F62+F67+F71+F76+F81+F85+F93+F97+F101+F105+F109+F113+F117+F121</f>
        <v>-8288508.5700000003</v>
      </c>
      <c r="H132" s="207">
        <f>E132/G129</f>
        <v>0.20027568819669597</v>
      </c>
      <c r="I132" s="313">
        <f>E132/E133</f>
        <v>-0.24897220215447197</v>
      </c>
      <c r="J132" s="207"/>
      <c r="K132" s="208">
        <f>F132/E132</f>
        <v>160.0388906556191</v>
      </c>
      <c r="L132" s="209"/>
    </row>
    <row r="133" spans="1:15" ht="15" x14ac:dyDescent="0.3">
      <c r="B133" s="245" t="s">
        <v>23</v>
      </c>
      <c r="C133" s="204" t="s">
        <v>24</v>
      </c>
      <c r="D133" s="204" t="s">
        <v>80</v>
      </c>
      <c r="E133" s="246">
        <f>+E11+E19+E24+E28+E33+E38+E43+E47+E58+E63+E68+E72+E77+E82+E86+E94+E98+E102+E106+E110+E114+E118+E122</f>
        <v>208017.56</v>
      </c>
      <c r="F133" s="246">
        <f>+F11+F19+F24+F28+F33+F38+F43+F47+F58+F63+F68+F72+F77+F82+F86+F94+F98+F102+F106+F110+F114+F118+F122</f>
        <v>67606250.809999987</v>
      </c>
      <c r="H133" s="207">
        <f>E133/G129</f>
        <v>-0.8044098355704673</v>
      </c>
      <c r="I133" s="313">
        <f>E133/E133</f>
        <v>1</v>
      </c>
      <c r="K133" s="208">
        <f>F133/E133</f>
        <v>325.00261425045073</v>
      </c>
    </row>
    <row r="134" spans="1:15" x14ac:dyDescent="0.3">
      <c r="A134" s="232"/>
      <c r="B134" s="232"/>
      <c r="C134" s="232"/>
      <c r="D134" s="232"/>
      <c r="E134" s="234">
        <f>SUM(E129:E133)</f>
        <v>-50578.929999999993</v>
      </c>
      <c r="F134" s="234">
        <f>SUM(F129:F133)</f>
        <v>3340769.4599999785</v>
      </c>
      <c r="G134" s="234"/>
      <c r="H134" s="235"/>
      <c r="I134" s="314"/>
      <c r="J134" s="232"/>
      <c r="K134" s="232"/>
      <c r="L134" s="247">
        <f>-E133/G129</f>
        <v>0.8044098355704673</v>
      </c>
      <c r="M134" s="247">
        <f>E134/G129</f>
        <v>0.19559016442953264</v>
      </c>
      <c r="N134" s="232"/>
      <c r="O134" s="314"/>
    </row>
    <row r="135" spans="1:15" x14ac:dyDescent="0.3">
      <c r="E135" s="210"/>
      <c r="F135" s="210"/>
      <c r="G135" s="210"/>
      <c r="H135" s="207"/>
      <c r="I135" s="327"/>
      <c r="L135" s="259"/>
      <c r="M135" s="259"/>
    </row>
    <row r="136" spans="1:15" x14ac:dyDescent="0.3">
      <c r="A136" s="329" t="s">
        <v>75</v>
      </c>
      <c r="B136" s="329" t="s">
        <v>76</v>
      </c>
      <c r="C136" s="328"/>
      <c r="E136" s="210"/>
      <c r="F136" s="210"/>
      <c r="G136" s="210"/>
      <c r="H136" s="207"/>
      <c r="I136" s="327"/>
      <c r="L136" s="259"/>
      <c r="M136" s="259"/>
    </row>
    <row r="137" spans="1:15" x14ac:dyDescent="0.3">
      <c r="B137" s="245" t="s">
        <v>11</v>
      </c>
      <c r="C137" s="204" t="s">
        <v>12</v>
      </c>
      <c r="D137" s="204" t="s">
        <v>80</v>
      </c>
      <c r="E137" s="258">
        <v>0</v>
      </c>
      <c r="F137" s="258">
        <v>0</v>
      </c>
      <c r="G137" s="206">
        <f>SUM(E137:E141)</f>
        <v>-961.24</v>
      </c>
      <c r="H137" s="207">
        <f>E137/G137</f>
        <v>0</v>
      </c>
      <c r="I137" s="313">
        <f>E137/E142</f>
        <v>0</v>
      </c>
      <c r="K137" s="208" t="e">
        <f>F137/E137</f>
        <v>#DIV/0!</v>
      </c>
      <c r="L137" s="209"/>
    </row>
    <row r="138" spans="1:15" x14ac:dyDescent="0.3">
      <c r="B138" s="245" t="s">
        <v>13</v>
      </c>
      <c r="C138" s="204" t="s">
        <v>14</v>
      </c>
      <c r="D138" s="204" t="s">
        <v>80</v>
      </c>
      <c r="E138" s="258">
        <f t="shared" ref="E138:F142" si="29">+E49</f>
        <v>-200.04</v>
      </c>
      <c r="F138" s="258">
        <f t="shared" si="29"/>
        <v>-54178.83</v>
      </c>
      <c r="H138" s="207">
        <f>E138/G137</f>
        <v>0.20810619616328907</v>
      </c>
      <c r="I138" s="313">
        <f>E138/E142</f>
        <v>-0.26321052631578945</v>
      </c>
      <c r="J138" s="207"/>
      <c r="K138" s="208">
        <f t="shared" ref="K138:K142" si="30">F138/E138</f>
        <v>270.83998200359929</v>
      </c>
      <c r="L138" s="209"/>
    </row>
    <row r="139" spans="1:15" x14ac:dyDescent="0.3">
      <c r="B139" s="245" t="s">
        <v>15</v>
      </c>
      <c r="C139" s="204" t="s">
        <v>233</v>
      </c>
      <c r="D139" s="204" t="s">
        <v>80</v>
      </c>
      <c r="E139" s="258">
        <f t="shared" si="29"/>
        <v>-184.94000000000003</v>
      </c>
      <c r="F139" s="258">
        <f t="shared" si="29"/>
        <v>-50087.3</v>
      </c>
      <c r="H139" s="207">
        <f>E139/G137</f>
        <v>0.19239732012816782</v>
      </c>
      <c r="I139" s="313">
        <f>E139/E142</f>
        <v>-0.24334210526315794</v>
      </c>
      <c r="J139" s="207"/>
      <c r="K139" s="208">
        <f t="shared" si="30"/>
        <v>270.82999891856815</v>
      </c>
      <c r="L139" s="209"/>
    </row>
    <row r="140" spans="1:15" x14ac:dyDescent="0.3">
      <c r="B140" s="245" t="s">
        <v>19</v>
      </c>
      <c r="C140" s="204" t="s">
        <v>20</v>
      </c>
      <c r="D140" s="204" t="s">
        <v>80</v>
      </c>
      <c r="E140" s="258">
        <f t="shared" si="29"/>
        <v>-287.26</v>
      </c>
      <c r="F140" s="258">
        <f t="shared" si="29"/>
        <v>-45941.49</v>
      </c>
      <c r="G140" s="210"/>
      <c r="H140" s="207">
        <f>E140/G137</f>
        <v>0.29884316091714869</v>
      </c>
      <c r="I140" s="313">
        <f>E140/E142</f>
        <v>-0.3779736842105263</v>
      </c>
      <c r="J140" s="207"/>
      <c r="K140" s="208">
        <f t="shared" si="30"/>
        <v>159.92999373389961</v>
      </c>
      <c r="L140" s="209"/>
    </row>
    <row r="141" spans="1:15" x14ac:dyDescent="0.3">
      <c r="B141" s="245" t="s">
        <v>21</v>
      </c>
      <c r="C141" s="204" t="s">
        <v>234</v>
      </c>
      <c r="D141" s="204" t="s">
        <v>80</v>
      </c>
      <c r="E141" s="258">
        <f t="shared" si="29"/>
        <v>-289</v>
      </c>
      <c r="F141" s="258">
        <f t="shared" si="29"/>
        <v>-46219.770000000004</v>
      </c>
      <c r="H141" s="207">
        <f>E141/G137</f>
        <v>0.30065332279139445</v>
      </c>
      <c r="I141" s="313">
        <f>E141/E142</f>
        <v>-0.38026315789473686</v>
      </c>
      <c r="K141" s="208">
        <f t="shared" si="30"/>
        <v>159.93</v>
      </c>
    </row>
    <row r="142" spans="1:15" x14ac:dyDescent="0.3">
      <c r="B142" s="245" t="s">
        <v>205</v>
      </c>
      <c r="C142" s="204" t="s">
        <v>206</v>
      </c>
      <c r="D142" s="204" t="s">
        <v>80</v>
      </c>
      <c r="E142" s="258">
        <f t="shared" si="29"/>
        <v>760</v>
      </c>
      <c r="F142" s="258">
        <f t="shared" si="29"/>
        <v>204956.79999999999</v>
      </c>
      <c r="G142" s="192"/>
      <c r="H142" s="207">
        <f>E142/G137</f>
        <v>-0.79064541633723107</v>
      </c>
      <c r="I142" s="313">
        <f>E142/E142</f>
        <v>1</v>
      </c>
      <c r="K142" s="208">
        <f t="shared" si="30"/>
        <v>269.68</v>
      </c>
      <c r="L142" s="192"/>
    </row>
    <row r="143" spans="1:15" x14ac:dyDescent="0.3">
      <c r="A143" s="232"/>
      <c r="B143" s="232"/>
      <c r="C143" s="232"/>
      <c r="D143" s="232"/>
      <c r="E143" s="234">
        <f>SUM(E137:E142)</f>
        <v>-201.24</v>
      </c>
      <c r="F143" s="234">
        <f>SUM(F137:F142)</f>
        <v>8529.4099999999744</v>
      </c>
      <c r="G143" s="234"/>
      <c r="H143" s="235"/>
      <c r="I143" s="314"/>
      <c r="J143" s="232"/>
      <c r="K143" s="232"/>
      <c r="L143" s="247">
        <f>-E142/G137</f>
        <v>0.79064541633723107</v>
      </c>
      <c r="M143" s="247">
        <f>E143/G137</f>
        <v>0.20935458366276893</v>
      </c>
      <c r="N143" s="232"/>
      <c r="O143" s="314"/>
    </row>
    <row r="145" spans="1:15" x14ac:dyDescent="0.3">
      <c r="A145" s="358" t="s">
        <v>62</v>
      </c>
      <c r="B145" s="356" t="s">
        <v>63</v>
      </c>
      <c r="C145" s="357"/>
      <c r="H145" s="207"/>
      <c r="I145" s="313"/>
      <c r="K145" s="208"/>
      <c r="L145" s="209"/>
    </row>
    <row r="146" spans="1:15" x14ac:dyDescent="0.3">
      <c r="B146" s="245" t="s">
        <v>13</v>
      </c>
      <c r="C146" s="204" t="s">
        <v>14</v>
      </c>
      <c r="D146" s="204" t="s">
        <v>80</v>
      </c>
      <c r="E146" s="194">
        <f t="shared" ref="E146:F149" si="31">E4</f>
        <v>-2244.1999999999998</v>
      </c>
      <c r="F146" s="194">
        <f t="shared" si="31"/>
        <v>-605462.72</v>
      </c>
      <c r="G146" s="206">
        <f>SUM(E146:E148)</f>
        <v>-2885.08</v>
      </c>
      <c r="H146" s="207">
        <f>E146/G146</f>
        <v>0.77786404536442655</v>
      </c>
      <c r="I146" s="313">
        <f>E146/E149</f>
        <v>-0.95512097546443075</v>
      </c>
      <c r="J146" s="207"/>
      <c r="K146" s="208">
        <f>F146/E146</f>
        <v>269.7900008911862</v>
      </c>
      <c r="L146" s="209"/>
    </row>
    <row r="147" spans="1:15" x14ac:dyDescent="0.3">
      <c r="B147" s="245" t="s">
        <v>15</v>
      </c>
      <c r="C147" s="204" t="s">
        <v>233</v>
      </c>
      <c r="D147" s="204" t="s">
        <v>80</v>
      </c>
      <c r="E147" s="194">
        <f t="shared" si="31"/>
        <v>-60.04</v>
      </c>
      <c r="F147" s="194">
        <f t="shared" si="31"/>
        <v>-16198.19</v>
      </c>
      <c r="G147" s="210"/>
      <c r="H147" s="207">
        <f>E147/G146</f>
        <v>2.0810514786418401E-2</v>
      </c>
      <c r="I147" s="313">
        <f>E147/E150</f>
        <v>0.11213417253422486</v>
      </c>
      <c r="J147" s="207"/>
      <c r="K147" s="208">
        <f>F147/E147</f>
        <v>269.78997335109926</v>
      </c>
      <c r="L147" s="209"/>
    </row>
    <row r="148" spans="1:15" x14ac:dyDescent="0.3">
      <c r="B148" s="245" t="s">
        <v>19</v>
      </c>
      <c r="C148" s="204" t="s">
        <v>20</v>
      </c>
      <c r="D148" s="204" t="s">
        <v>80</v>
      </c>
      <c r="E148" s="194">
        <f t="shared" si="31"/>
        <v>-580.84</v>
      </c>
      <c r="F148" s="194">
        <f t="shared" si="31"/>
        <v>-93294.52</v>
      </c>
      <c r="H148" s="207">
        <f>E148/G146</f>
        <v>0.20132543984915499</v>
      </c>
      <c r="I148" s="313">
        <f>E148/E149</f>
        <v>-0.2472027748813653</v>
      </c>
      <c r="J148" s="207"/>
      <c r="K148" s="208">
        <f>F148/E148</f>
        <v>160.61999862268439</v>
      </c>
      <c r="L148" s="209"/>
    </row>
    <row r="149" spans="1:15" x14ac:dyDescent="0.3">
      <c r="B149" s="245" t="s">
        <v>207</v>
      </c>
      <c r="C149" s="204" t="s">
        <v>208</v>
      </c>
      <c r="D149" s="204" t="s">
        <v>80</v>
      </c>
      <c r="E149" s="194">
        <f t="shared" si="31"/>
        <v>2349.65</v>
      </c>
      <c r="F149" s="194">
        <f t="shared" si="31"/>
        <v>761921.01</v>
      </c>
      <c r="H149" s="207">
        <f>E149/G146</f>
        <v>-0.81441415835956033</v>
      </c>
      <c r="I149" s="313">
        <f>E149/E149</f>
        <v>1</v>
      </c>
      <c r="K149" s="208">
        <f>F149/E149</f>
        <v>324.27000191517885</v>
      </c>
    </row>
    <row r="150" spans="1:15" x14ac:dyDescent="0.3">
      <c r="A150" s="232"/>
      <c r="B150" s="232"/>
      <c r="C150" s="232"/>
      <c r="D150" s="232"/>
      <c r="E150" s="234">
        <f>SUM(E146:E149)</f>
        <v>-535.42999999999984</v>
      </c>
      <c r="F150" s="234">
        <f>SUM(F146:F149)</f>
        <v>46965.580000000075</v>
      </c>
      <c r="G150" s="234"/>
      <c r="H150" s="235"/>
      <c r="I150" s="314"/>
      <c r="J150" s="232"/>
      <c r="K150" s="232"/>
      <c r="L150" s="247">
        <f>-E149/G146</f>
        <v>0.81441415835956033</v>
      </c>
      <c r="M150" s="247">
        <f>E150/G146</f>
        <v>0.18558584164043973</v>
      </c>
      <c r="N150" s="232"/>
      <c r="O150" s="314"/>
    </row>
    <row r="152" spans="1:15" x14ac:dyDescent="0.3">
      <c r="A152" s="359" t="s">
        <v>644</v>
      </c>
      <c r="B152" s="356" t="s">
        <v>645</v>
      </c>
      <c r="C152" s="357"/>
    </row>
    <row r="153" spans="1:15" x14ac:dyDescent="0.3">
      <c r="B153" s="245" t="s">
        <v>13</v>
      </c>
      <c r="C153" s="204" t="s">
        <v>14</v>
      </c>
      <c r="D153" s="204" t="s">
        <v>80</v>
      </c>
      <c r="E153" s="194">
        <f t="shared" ref="E153:F155" si="32">E13</f>
        <v>-120</v>
      </c>
      <c r="F153" s="194">
        <f t="shared" si="32"/>
        <v>-32374.799999999999</v>
      </c>
      <c r="G153" s="206">
        <f>SUM(E153:E154)</f>
        <v>-240</v>
      </c>
      <c r="H153" s="207">
        <f>E153/G153</f>
        <v>0.5</v>
      </c>
      <c r="I153" s="313">
        <f>E153/E155</f>
        <v>-0.58252427184466016</v>
      </c>
      <c r="K153" s="208">
        <f>F153/E153</f>
        <v>269.79000000000002</v>
      </c>
    </row>
    <row r="154" spans="1:15" x14ac:dyDescent="0.3">
      <c r="B154" s="245" t="s">
        <v>15</v>
      </c>
      <c r="C154" s="204" t="s">
        <v>233</v>
      </c>
      <c r="D154" s="204" t="s">
        <v>80</v>
      </c>
      <c r="E154" s="194">
        <f t="shared" si="32"/>
        <v>-120</v>
      </c>
      <c r="F154" s="194">
        <f t="shared" si="32"/>
        <v>-32374.800000000003</v>
      </c>
      <c r="G154" s="210"/>
      <c r="H154" s="207">
        <f>E154/G153</f>
        <v>0.5</v>
      </c>
      <c r="I154" s="313">
        <f>E154/E155</f>
        <v>-0.58252427184466016</v>
      </c>
      <c r="K154" s="208">
        <f>F154/E154</f>
        <v>269.79000000000002</v>
      </c>
    </row>
    <row r="155" spans="1:15" x14ac:dyDescent="0.3">
      <c r="B155" s="245" t="s">
        <v>637</v>
      </c>
      <c r="C155" s="204" t="s">
        <v>259</v>
      </c>
      <c r="D155" s="204" t="s">
        <v>80</v>
      </c>
      <c r="E155" s="194">
        <f t="shared" si="32"/>
        <v>206</v>
      </c>
      <c r="F155" s="194">
        <f t="shared" si="32"/>
        <v>72423.42</v>
      </c>
      <c r="H155" s="207">
        <f>E155/G153</f>
        <v>-0.85833333333333328</v>
      </c>
      <c r="I155" s="313">
        <f>E155/E155</f>
        <v>1</v>
      </c>
      <c r="K155" s="208">
        <f>F155/E155</f>
        <v>351.57</v>
      </c>
    </row>
    <row r="156" spans="1:15" x14ac:dyDescent="0.3">
      <c r="A156" s="232"/>
      <c r="B156" s="232"/>
      <c r="C156" s="232"/>
      <c r="D156" s="232"/>
      <c r="E156" s="234">
        <f>SUM(E153:E155)</f>
        <v>-34</v>
      </c>
      <c r="F156" s="234">
        <f>SUM(F153:F155)</f>
        <v>7673.8199999999924</v>
      </c>
      <c r="G156" s="234"/>
      <c r="H156" s="235"/>
      <c r="I156" s="314"/>
      <c r="J156" s="232"/>
      <c r="K156" s="232"/>
      <c r="L156" s="247">
        <f>-E155/G153</f>
        <v>0.85833333333333328</v>
      </c>
      <c r="M156" s="247">
        <f>E156/G153</f>
        <v>0.14166666666666666</v>
      </c>
      <c r="N156" s="232"/>
      <c r="O156" s="314"/>
    </row>
    <row r="158" spans="1:15" x14ac:dyDescent="0.3">
      <c r="A158" s="359" t="s">
        <v>239</v>
      </c>
      <c r="B158" s="356" t="s">
        <v>240</v>
      </c>
      <c r="C158" s="357"/>
    </row>
    <row r="159" spans="1:15" x14ac:dyDescent="0.3">
      <c r="B159" s="245" t="s">
        <v>15</v>
      </c>
      <c r="C159" s="204" t="s">
        <v>233</v>
      </c>
      <c r="D159" s="204" t="s">
        <v>80</v>
      </c>
      <c r="E159" s="194">
        <f>+E88</f>
        <v>-192</v>
      </c>
      <c r="F159" s="194">
        <f>+F88</f>
        <v>-51999.360000000001</v>
      </c>
      <c r="G159" s="206">
        <f>SUM(E159:E160)</f>
        <v>-480.3</v>
      </c>
      <c r="H159" s="207">
        <f>E159/G159</f>
        <v>0.39975015615240472</v>
      </c>
      <c r="I159" s="313">
        <f>E159/E161</f>
        <v>-0.50526315789473686</v>
      </c>
      <c r="K159" s="208">
        <f>F159/E159</f>
        <v>270.83</v>
      </c>
    </row>
    <row r="160" spans="1:15" x14ac:dyDescent="0.3">
      <c r="B160" s="245" t="s">
        <v>21</v>
      </c>
      <c r="C160" s="204" t="s">
        <v>234</v>
      </c>
      <c r="D160" s="204" t="s">
        <v>80</v>
      </c>
      <c r="E160" s="194">
        <f t="shared" ref="E160:F160" si="33">+E89</f>
        <v>-288.3</v>
      </c>
      <c r="F160" s="194">
        <f t="shared" si="33"/>
        <v>-46107.82</v>
      </c>
      <c r="G160" s="210"/>
      <c r="H160" s="207">
        <f>E160/G159</f>
        <v>0.60024984384759528</v>
      </c>
      <c r="I160" s="313">
        <f>E160/E161</f>
        <v>-0.75868421052631585</v>
      </c>
      <c r="K160" s="208">
        <f>F160/E160</f>
        <v>159.93000346860907</v>
      </c>
    </row>
    <row r="161" spans="1:15" x14ac:dyDescent="0.3">
      <c r="B161" s="245" t="s">
        <v>205</v>
      </c>
      <c r="C161" s="204" t="s">
        <v>206</v>
      </c>
      <c r="D161" s="204" t="s">
        <v>80</v>
      </c>
      <c r="E161" s="194">
        <f t="shared" ref="E161:F161" si="34">+E90</f>
        <v>380</v>
      </c>
      <c r="F161" s="194">
        <f t="shared" si="34"/>
        <v>102478.39999999999</v>
      </c>
      <c r="H161" s="207">
        <f>E161/G159</f>
        <v>-0.79117218405163436</v>
      </c>
      <c r="I161" s="313">
        <f>E161/E161</f>
        <v>1</v>
      </c>
      <c r="K161" s="208">
        <f>F161/E161</f>
        <v>269.68</v>
      </c>
    </row>
    <row r="162" spans="1:15" x14ac:dyDescent="0.3">
      <c r="A162" s="232"/>
      <c r="B162" s="232"/>
      <c r="C162" s="232"/>
      <c r="D162" s="232"/>
      <c r="E162" s="234">
        <f>SUM(E159:E161)</f>
        <v>-100.30000000000001</v>
      </c>
      <c r="F162" s="234">
        <f>SUM(F159:F161)</f>
        <v>4371.2200000000012</v>
      </c>
      <c r="G162" s="234"/>
      <c r="H162" s="235"/>
      <c r="I162" s="314"/>
      <c r="J162" s="232"/>
      <c r="K162" s="232"/>
      <c r="L162" s="247">
        <f>-E161/G159</f>
        <v>0.79117218405163436</v>
      </c>
      <c r="M162" s="247">
        <f>E162/G159</f>
        <v>0.20882781594836564</v>
      </c>
      <c r="N162" s="232"/>
      <c r="O162" s="314"/>
    </row>
    <row r="164" spans="1:15" x14ac:dyDescent="0.3">
      <c r="E164" s="229">
        <f>E134+E143+E150+E156+E162</f>
        <v>-51449.899999999994</v>
      </c>
      <c r="F164" s="229">
        <f>F134+F143+F150+F156+F162</f>
        <v>3408309.4899999788</v>
      </c>
    </row>
    <row r="165" spans="1:15" x14ac:dyDescent="0.3">
      <c r="E165" s="248">
        <f>E164-E124</f>
        <v>0</v>
      </c>
      <c r="F165" s="248">
        <f>F164-F124</f>
        <v>-2.2351741790771484E-8</v>
      </c>
    </row>
  </sheetData>
  <pageMargins left="0.7" right="0.7" top="0.75" bottom="0.75" header="0.3" footer="0.3"/>
  <pageSetup paperSize="9" orientation="portrait"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B3072-D4A8-48D1-982B-4AA02D042678}">
  <sheetPr codeName="Sheet11">
    <tabColor rgb="FFFF0000"/>
  </sheetPr>
  <dimension ref="A1:AQ221"/>
  <sheetViews>
    <sheetView showGridLines="0" zoomScale="60" zoomScaleNormal="60" workbookViewId="0">
      <pane ySplit="3" topLeftCell="A4" activePane="bottomLeft" state="frozen"/>
      <selection pane="bottomLeft" activeCell="BI14" sqref="BI14"/>
    </sheetView>
  </sheetViews>
  <sheetFormatPr defaultRowHeight="15" outlineLevelCol="1" x14ac:dyDescent="0.3"/>
  <cols>
    <col min="1" max="1" width="19.6640625" bestFit="1" customWidth="1"/>
    <col min="2" max="2" width="12.1640625" bestFit="1" customWidth="1"/>
    <col min="3" max="3" width="40" bestFit="1" customWidth="1"/>
    <col min="4" max="4" width="7.58203125" bestFit="1" customWidth="1"/>
    <col min="5" max="5" width="22.5" style="7" bestFit="1" customWidth="1"/>
    <col min="6" max="6" width="22.33203125" style="7" bestFit="1" customWidth="1"/>
    <col min="7" max="7" width="11.75" style="7" bestFit="1" customWidth="1"/>
    <col min="8" max="8" width="11.25" style="7" bestFit="1" customWidth="1"/>
    <col min="9" max="9" width="10.75" style="55" customWidth="1" outlineLevel="1"/>
    <col min="10" max="10" width="10.25" style="55" customWidth="1" outlineLevel="1"/>
    <col min="11" max="11" width="10.25" style="367" customWidth="1" outlineLevel="1"/>
    <col min="12" max="12" width="11.4140625" style="76" customWidth="1" outlineLevel="1" collapsed="1"/>
    <col min="13" max="13" width="8.83203125" style="7" customWidth="1" outlineLevel="1"/>
    <col min="14" max="14" width="11.75" style="7" customWidth="1" outlineLevel="1"/>
    <col min="15" max="15" width="13" style="7" customWidth="1" outlineLevel="1"/>
    <col min="16" max="16" width="9.58203125" style="7" customWidth="1" outlineLevel="1"/>
    <col min="17" max="17" width="13" style="55" customWidth="1" outlineLevel="1"/>
    <col min="18" max="18" width="10.9140625" style="13" customWidth="1" outlineLevel="1"/>
    <col min="19" max="19" width="8.83203125" style="13" customWidth="1" outlineLevel="1"/>
    <col min="20" max="20" width="8.58203125" style="7" customWidth="1" outlineLevel="1"/>
    <col min="21" max="21" width="12" style="7" customWidth="1" outlineLevel="1"/>
    <col min="22" max="22" width="9.6640625" style="7" customWidth="1" outlineLevel="1"/>
    <col min="23" max="23" width="14.1640625" style="7" customWidth="1" outlineLevel="1"/>
    <col min="24" max="26" width="10.58203125" style="7" customWidth="1" outlineLevel="1"/>
    <col min="27" max="27" width="8.6640625" style="7" customWidth="1" outlineLevel="1"/>
    <col min="28" max="29" width="10.58203125" style="7" customWidth="1" outlineLevel="1"/>
    <col min="30" max="30" width="5.6640625" style="7" customWidth="1" outlineLevel="1"/>
    <col min="31" max="31" width="12.33203125" style="117" customWidth="1" outlineLevel="1"/>
    <col min="32" max="32" width="8.83203125" style="7" customWidth="1" outlineLevel="1"/>
    <col min="33" max="33" width="12.6640625" style="7" customWidth="1" outlineLevel="1"/>
    <col min="34" max="34" width="12.83203125" style="7" customWidth="1"/>
    <col min="35" max="35" width="9.33203125" style="7" customWidth="1"/>
    <col min="36" max="36" width="12.9140625" style="12" bestFit="1" customWidth="1"/>
    <col min="37" max="37" width="13.1640625" style="322" bestFit="1" customWidth="1"/>
    <col min="38" max="38" width="9.33203125" style="12" customWidth="1"/>
    <col min="39" max="39" width="35.33203125" style="117" customWidth="1"/>
    <col min="40" max="40" width="16.25" style="7" bestFit="1" customWidth="1"/>
    <col min="41" max="41" width="11.9140625" bestFit="1" customWidth="1"/>
    <col min="42" max="42" width="15.5" customWidth="1"/>
    <col min="43" max="43" width="17.1640625" customWidth="1"/>
  </cols>
  <sheetData>
    <row r="1" spans="1:43" s="16" customFormat="1" ht="17.5" x14ac:dyDescent="0.35">
      <c r="A1" s="5" t="s">
        <v>58</v>
      </c>
      <c r="B1" t="s">
        <v>218</v>
      </c>
      <c r="C1" s="138" t="s">
        <v>1132</v>
      </c>
      <c r="D1" s="83"/>
      <c r="E1" s="139" t="s">
        <v>152</v>
      </c>
      <c r="F1" s="190"/>
      <c r="G1" s="62"/>
      <c r="H1" s="59"/>
      <c r="I1" s="176" t="s">
        <v>272</v>
      </c>
      <c r="J1" s="60"/>
      <c r="K1" s="367"/>
      <c r="L1" s="250"/>
      <c r="M1" s="59"/>
      <c r="N1" s="59"/>
      <c r="O1" s="59"/>
      <c r="P1" s="59"/>
      <c r="Q1" s="60"/>
      <c r="R1" s="62"/>
      <c r="S1" s="62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61"/>
      <c r="AL1" s="59"/>
      <c r="AM1" s="59"/>
      <c r="AN1" s="59"/>
      <c r="AO1" s="41"/>
      <c r="AP1" s="41"/>
      <c r="AQ1" s="41"/>
    </row>
    <row r="2" spans="1:43" x14ac:dyDescent="0.3">
      <c r="I2" s="177" t="s">
        <v>273</v>
      </c>
      <c r="T2" s="28" t="s">
        <v>153</v>
      </c>
      <c r="U2" s="28"/>
      <c r="V2" s="28"/>
      <c r="W2" s="28"/>
      <c r="X2" s="28"/>
      <c r="Y2" s="28"/>
      <c r="Z2" s="28"/>
      <c r="AA2" s="28"/>
      <c r="AI2" s="114" t="s">
        <v>154</v>
      </c>
      <c r="AJ2" s="16"/>
    </row>
    <row r="3" spans="1:43" ht="42" x14ac:dyDescent="0.3">
      <c r="A3" s="181" t="s">
        <v>135</v>
      </c>
      <c r="B3" s="181" t="s">
        <v>25</v>
      </c>
      <c r="C3" s="181" t="s">
        <v>26</v>
      </c>
      <c r="D3" s="181" t="s">
        <v>50</v>
      </c>
      <c r="E3" s="181" t="s">
        <v>211</v>
      </c>
      <c r="F3" s="181" t="s">
        <v>213</v>
      </c>
      <c r="G3" s="182" t="s">
        <v>155</v>
      </c>
      <c r="H3" s="63" t="s">
        <v>156</v>
      </c>
      <c r="I3" s="175" t="s">
        <v>274</v>
      </c>
      <c r="J3" s="172" t="s">
        <v>156</v>
      </c>
      <c r="K3" s="368" t="s">
        <v>1162</v>
      </c>
      <c r="L3" s="249" t="s">
        <v>157</v>
      </c>
      <c r="M3" s="20" t="s">
        <v>158</v>
      </c>
      <c r="N3" s="17" t="s">
        <v>159</v>
      </c>
      <c r="O3" s="17" t="s">
        <v>160</v>
      </c>
      <c r="P3" s="17" t="s">
        <v>161</v>
      </c>
      <c r="Q3" s="63" t="s">
        <v>156</v>
      </c>
      <c r="R3" s="17" t="s">
        <v>162</v>
      </c>
      <c r="S3" s="17" t="s">
        <v>199</v>
      </c>
      <c r="T3" s="20" t="s">
        <v>163</v>
      </c>
      <c r="U3" s="162" t="s">
        <v>164</v>
      </c>
      <c r="V3" s="162" t="s">
        <v>266</v>
      </c>
      <c r="W3" s="18" t="s">
        <v>165</v>
      </c>
      <c r="X3" s="162" t="s">
        <v>270</v>
      </c>
      <c r="Y3" s="18" t="s">
        <v>166</v>
      </c>
      <c r="Z3" s="18" t="s">
        <v>167</v>
      </c>
      <c r="AA3" s="87" t="s">
        <v>168</v>
      </c>
      <c r="AB3" s="19" t="s">
        <v>169</v>
      </c>
      <c r="AC3" s="183" t="s">
        <v>276</v>
      </c>
      <c r="AD3" s="19"/>
      <c r="AE3" s="18" t="s">
        <v>170</v>
      </c>
      <c r="AF3" s="18" t="s">
        <v>156</v>
      </c>
      <c r="AG3" s="18"/>
      <c r="AH3" s="43"/>
      <c r="AI3" s="43" t="s">
        <v>171</v>
      </c>
      <c r="AJ3" s="43" t="s">
        <v>221</v>
      </c>
      <c r="AK3" s="43" t="s">
        <v>275</v>
      </c>
      <c r="AL3" s="65" t="s">
        <v>191</v>
      </c>
      <c r="AM3" s="115" t="s">
        <v>204</v>
      </c>
      <c r="AN3" s="336" t="s">
        <v>265</v>
      </c>
      <c r="AO3" s="304" t="s">
        <v>325</v>
      </c>
      <c r="AP3" s="14"/>
      <c r="AQ3" s="14"/>
    </row>
    <row r="4" spans="1:43" x14ac:dyDescent="0.3">
      <c r="A4" s="6" t="s">
        <v>384</v>
      </c>
      <c r="B4" s="6" t="s">
        <v>106</v>
      </c>
      <c r="C4" s="6" t="s">
        <v>107</v>
      </c>
      <c r="D4" s="6" t="s">
        <v>102</v>
      </c>
      <c r="E4" s="343">
        <v>-1617</v>
      </c>
      <c r="F4">
        <v>-1367.61</v>
      </c>
      <c r="G4" s="33">
        <f>E4+E7</f>
        <v>-97</v>
      </c>
      <c r="H4" s="123">
        <f>G4+P4</f>
        <v>-97</v>
      </c>
      <c r="I4" s="123"/>
      <c r="J4" s="123"/>
      <c r="K4" s="369">
        <v>101</v>
      </c>
      <c r="L4" s="102" t="s">
        <v>1124</v>
      </c>
      <c r="M4" s="33">
        <v>0</v>
      </c>
      <c r="N4" s="33">
        <v>0</v>
      </c>
      <c r="O4" s="33">
        <v>0</v>
      </c>
      <c r="P4" s="33">
        <f>SUM(N4:O4)/1000</f>
        <v>0</v>
      </c>
      <c r="Q4" s="55">
        <f>G8+P4</f>
        <v>0</v>
      </c>
      <c r="R4" s="36">
        <v>0</v>
      </c>
      <c r="S4" s="36">
        <v>0</v>
      </c>
      <c r="T4" s="36">
        <v>0</v>
      </c>
      <c r="U4" s="36">
        <v>97</v>
      </c>
      <c r="V4" s="36"/>
      <c r="W4" s="33">
        <v>42</v>
      </c>
      <c r="X4" s="33">
        <v>0</v>
      </c>
      <c r="Y4" s="33">
        <v>10</v>
      </c>
      <c r="Z4" s="33">
        <v>20</v>
      </c>
      <c r="AA4" s="33"/>
      <c r="AB4" s="33">
        <v>25</v>
      </c>
      <c r="AC4" s="33"/>
      <c r="AD4" s="33"/>
      <c r="AE4" s="166">
        <f>SUM(W4:AC4)</f>
        <v>97</v>
      </c>
      <c r="AF4" s="33">
        <f>U4-AE4</f>
        <v>0</v>
      </c>
      <c r="AG4" s="33"/>
      <c r="AH4" s="7">
        <f>G4/E4</f>
        <v>5.9987631416202843E-2</v>
      </c>
      <c r="AI4" s="13">
        <f>F4/E4</f>
        <v>0.84576994434137287</v>
      </c>
      <c r="AJ4" s="323">
        <f>100%+AK4</f>
        <v>0</v>
      </c>
      <c r="AK4" s="324">
        <f>(E7*500/1000)/E8</f>
        <v>-1</v>
      </c>
      <c r="AL4" s="13"/>
      <c r="AM4" s="13"/>
    </row>
    <row r="5" spans="1:43" x14ac:dyDescent="0.3">
      <c r="B5" s="6" t="s">
        <v>126</v>
      </c>
      <c r="C5" s="6" t="s">
        <v>127</v>
      </c>
      <c r="D5" s="6" t="s">
        <v>102</v>
      </c>
      <c r="E5" s="343">
        <v>-76</v>
      </c>
      <c r="F5">
        <v>-1672</v>
      </c>
      <c r="G5" s="33">
        <f>(E7/6)+E5</f>
        <v>177.33333333333334</v>
      </c>
      <c r="H5" s="123"/>
      <c r="I5" s="123"/>
      <c r="J5" s="123"/>
      <c r="K5" s="369"/>
      <c r="L5" s="102"/>
      <c r="M5" s="48"/>
      <c r="N5" s="13"/>
      <c r="O5" s="13"/>
      <c r="P5" s="13"/>
      <c r="AF5" s="13"/>
      <c r="AG5" s="13"/>
      <c r="AH5" s="7">
        <f t="shared" ref="AH5:AH8" si="0">G5/E5</f>
        <v>-2.3333333333333335</v>
      </c>
      <c r="AI5" s="13">
        <f t="shared" ref="AI5:AI8" si="1">F5/E5</f>
        <v>22</v>
      </c>
      <c r="AJ5" s="163"/>
      <c r="AK5" s="325"/>
      <c r="AL5" s="13"/>
      <c r="AM5" s="13"/>
    </row>
    <row r="6" spans="1:43" x14ac:dyDescent="0.3">
      <c r="B6" s="6" t="s">
        <v>237</v>
      </c>
      <c r="C6" s="6" t="s">
        <v>238</v>
      </c>
      <c r="D6" s="6" t="s">
        <v>102</v>
      </c>
      <c r="E6" s="343">
        <v>-1617</v>
      </c>
      <c r="F6">
        <v>-2775.85</v>
      </c>
      <c r="G6" s="33">
        <f>E6+E7</f>
        <v>-97</v>
      </c>
      <c r="H6" s="123"/>
      <c r="I6" s="123"/>
      <c r="J6" s="123"/>
      <c r="K6" s="369"/>
      <c r="L6" s="102"/>
      <c r="AH6" s="7">
        <f t="shared" si="0"/>
        <v>5.9987631416202843E-2</v>
      </c>
      <c r="AI6" s="13">
        <f t="shared" si="1"/>
        <v>1.7166666666666666</v>
      </c>
      <c r="AJ6" s="163"/>
      <c r="AK6" s="325"/>
      <c r="AL6" s="13"/>
      <c r="AM6" s="13"/>
    </row>
    <row r="7" spans="1:43" x14ac:dyDescent="0.3">
      <c r="B7" s="6" t="s">
        <v>75</v>
      </c>
      <c r="C7" s="6" t="s">
        <v>76</v>
      </c>
      <c r="D7" s="6" t="s">
        <v>74</v>
      </c>
      <c r="E7" s="343">
        <v>1520</v>
      </c>
      <c r="F7">
        <v>217466.4</v>
      </c>
      <c r="G7" s="33">
        <f>(E7*500)/1000000</f>
        <v>0.76</v>
      </c>
      <c r="I7" s="123">
        <f>(E7/20)+R4+S4+T4</f>
        <v>76</v>
      </c>
      <c r="J7" s="123">
        <f>E5+I7</f>
        <v>0</v>
      </c>
      <c r="K7" s="369"/>
      <c r="L7" s="102"/>
      <c r="M7" s="13"/>
      <c r="N7" s="13"/>
      <c r="O7" s="13"/>
      <c r="P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06"/>
      <c r="AF7" s="13"/>
      <c r="AG7" s="13"/>
      <c r="AH7" s="7">
        <f t="shared" si="0"/>
        <v>5.0000000000000001E-4</v>
      </c>
      <c r="AI7" s="345">
        <f t="shared" si="1"/>
        <v>143.07</v>
      </c>
      <c r="AJ7" s="323"/>
      <c r="AK7" s="163"/>
      <c r="AL7" s="145">
        <f>AI7*2</f>
        <v>286.14</v>
      </c>
      <c r="AM7" s="13"/>
      <c r="AN7" s="12">
        <f>E7*500</f>
        <v>760000</v>
      </c>
      <c r="AO7" s="47">
        <f>AN7/1000</f>
        <v>760</v>
      </c>
    </row>
    <row r="8" spans="1:43" x14ac:dyDescent="0.3">
      <c r="B8" s="6" t="s">
        <v>205</v>
      </c>
      <c r="C8" s="6" t="s">
        <v>206</v>
      </c>
      <c r="D8" s="6" t="s">
        <v>80</v>
      </c>
      <c r="E8" s="343">
        <v>-760</v>
      </c>
      <c r="F8">
        <v>-204956.79999999999</v>
      </c>
      <c r="G8" s="33">
        <f>((E8*2)+E7)/2</f>
        <v>0</v>
      </c>
      <c r="L8" s="102"/>
      <c r="AH8" s="7">
        <f t="shared" si="0"/>
        <v>0</v>
      </c>
      <c r="AI8" s="13">
        <f t="shared" si="1"/>
        <v>269.68</v>
      </c>
    </row>
    <row r="9" spans="1:43" x14ac:dyDescent="0.3">
      <c r="A9" s="6" t="s">
        <v>742</v>
      </c>
      <c r="E9">
        <v>-2550</v>
      </c>
      <c r="F9">
        <v>6694.140000000014</v>
      </c>
      <c r="G9" s="123"/>
      <c r="H9" s="123"/>
      <c r="I9" s="123"/>
      <c r="J9" s="123"/>
      <c r="K9" s="369"/>
      <c r="L9" s="251"/>
      <c r="M9" s="37"/>
      <c r="N9" s="37"/>
      <c r="O9" s="37"/>
      <c r="P9" s="37"/>
      <c r="Q9" s="56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116"/>
      <c r="AF9" s="37"/>
      <c r="AG9" s="37"/>
      <c r="AH9" s="37"/>
      <c r="AI9" s="37"/>
      <c r="AJ9" s="265"/>
      <c r="AK9" s="326"/>
      <c r="AL9" s="265"/>
      <c r="AM9" s="360" t="str">
        <f>C7</f>
        <v>Super  Blend  500 G.</v>
      </c>
    </row>
    <row r="10" spans="1:43" x14ac:dyDescent="0.3">
      <c r="A10" s="6" t="s">
        <v>604</v>
      </c>
      <c r="B10" s="6" t="s">
        <v>207</v>
      </c>
      <c r="C10" s="6" t="s">
        <v>208</v>
      </c>
      <c r="D10" s="6" t="s">
        <v>80</v>
      </c>
      <c r="E10" s="343">
        <v>-2349.65</v>
      </c>
      <c r="F10">
        <v>-761921.01</v>
      </c>
      <c r="G10" s="33">
        <f>((E10*2)+E14)/2</f>
        <v>-1.1500000000000909</v>
      </c>
      <c r="H10" s="123">
        <f>G10+P10</f>
        <v>-9.1038288019262836E-14</v>
      </c>
      <c r="I10" s="123"/>
      <c r="J10" s="123"/>
      <c r="K10" s="369">
        <v>101</v>
      </c>
      <c r="L10" s="102" t="s">
        <v>1124</v>
      </c>
      <c r="M10" s="33">
        <v>2</v>
      </c>
      <c r="N10" s="33">
        <v>0</v>
      </c>
      <c r="O10" s="33">
        <v>1150</v>
      </c>
      <c r="P10" s="33">
        <f>SUM(N10:O10)/1000</f>
        <v>1.1499999999999999</v>
      </c>
      <c r="Q10" s="55">
        <f>G10+P10</f>
        <v>-9.1038288019262836E-14</v>
      </c>
      <c r="R10" s="36">
        <v>1</v>
      </c>
      <c r="S10" s="36">
        <v>0</v>
      </c>
      <c r="T10" s="36">
        <v>0</v>
      </c>
      <c r="U10" s="36">
        <v>297</v>
      </c>
      <c r="V10" s="36">
        <v>0</v>
      </c>
      <c r="W10" s="33">
        <v>173</v>
      </c>
      <c r="X10" s="33">
        <v>0</v>
      </c>
      <c r="Y10" s="33">
        <v>13</v>
      </c>
      <c r="Z10" s="33">
        <v>30</v>
      </c>
      <c r="AA10" s="33"/>
      <c r="AB10" s="33">
        <v>81</v>
      </c>
      <c r="AC10" s="33"/>
      <c r="AD10" s="33"/>
      <c r="AE10" s="166">
        <f>SUM(W10:AC10)</f>
        <v>297</v>
      </c>
      <c r="AF10" s="33">
        <f>U10-AE10</f>
        <v>0</v>
      </c>
      <c r="AG10" s="33"/>
      <c r="AH10" s="7">
        <f>G10/E10</f>
        <v>4.8943459664209171E-4</v>
      </c>
      <c r="AI10" s="13">
        <f>F10/E10</f>
        <v>324.27000191517885</v>
      </c>
      <c r="AJ10" s="323">
        <f>100%+AK10</f>
        <v>4.8943459664207989E-4</v>
      </c>
      <c r="AK10" s="324">
        <f>(E14*500/1000)/E10</f>
        <v>-0.99951056540335792</v>
      </c>
      <c r="AL10" s="13"/>
      <c r="AM10" s="13"/>
    </row>
    <row r="11" spans="1:43" x14ac:dyDescent="0.3">
      <c r="B11" s="6" t="s">
        <v>106</v>
      </c>
      <c r="C11" s="6" t="s">
        <v>107</v>
      </c>
      <c r="D11" s="6" t="s">
        <v>102</v>
      </c>
      <c r="E11" s="343">
        <v>-4994</v>
      </c>
      <c r="F11">
        <v>-4223.76</v>
      </c>
      <c r="G11" s="33">
        <f>E11+E14</f>
        <v>-297</v>
      </c>
      <c r="H11" s="123"/>
      <c r="I11" s="123"/>
      <c r="J11" s="123"/>
      <c r="K11" s="369"/>
      <c r="L11" s="102"/>
      <c r="M11" s="48"/>
      <c r="N11" s="13"/>
      <c r="O11" s="13"/>
      <c r="P11" s="13"/>
      <c r="AF11" s="13"/>
      <c r="AG11" s="13"/>
      <c r="AH11" s="7">
        <f t="shared" ref="AH11:AH14" si="2">G11/E11</f>
        <v>5.9471365638766517E-2</v>
      </c>
      <c r="AI11" s="13">
        <f t="shared" ref="AI11:AI14" si="3">F11/E11</f>
        <v>0.84576692030436529</v>
      </c>
      <c r="AJ11" s="163"/>
      <c r="AK11" s="325"/>
      <c r="AL11" s="13"/>
      <c r="AM11" s="13"/>
      <c r="AN11" s="123"/>
      <c r="AO11" s="121"/>
    </row>
    <row r="12" spans="1:43" x14ac:dyDescent="0.3">
      <c r="B12" s="6" t="s">
        <v>196</v>
      </c>
      <c r="C12" s="6" t="s">
        <v>197</v>
      </c>
      <c r="D12" s="6" t="s">
        <v>102</v>
      </c>
      <c r="E12" s="343">
        <v>-4994</v>
      </c>
      <c r="F12">
        <v>-10280.880000000001</v>
      </c>
      <c r="G12" s="33">
        <f>E12+E14</f>
        <v>-297</v>
      </c>
      <c r="H12" s="123"/>
      <c r="I12" s="123"/>
      <c r="J12" s="123"/>
      <c r="K12" s="369"/>
      <c r="L12" s="102"/>
      <c r="AH12" s="7">
        <f t="shared" si="2"/>
        <v>5.9471365638766517E-2</v>
      </c>
      <c r="AI12" s="13">
        <f t="shared" si="3"/>
        <v>2.0586463756507811</v>
      </c>
      <c r="AJ12" s="163"/>
      <c r="AK12" s="325"/>
      <c r="AL12" s="13"/>
      <c r="AM12" s="13"/>
    </row>
    <row r="13" spans="1:43" x14ac:dyDescent="0.3">
      <c r="B13" s="6" t="s">
        <v>104</v>
      </c>
      <c r="C13" s="6" t="s">
        <v>105</v>
      </c>
      <c r="D13" s="6" t="s">
        <v>102</v>
      </c>
      <c r="E13" s="343">
        <v>-784</v>
      </c>
      <c r="F13">
        <v>-3920</v>
      </c>
      <c r="G13" s="33">
        <f>(E14/6)+E13</f>
        <v>-1.1666666666666288</v>
      </c>
      <c r="I13" s="123">
        <f>(E14/6)+R10+S10+T10</f>
        <v>783.83333333333337</v>
      </c>
      <c r="J13" s="123">
        <f>E13+I13</f>
        <v>-0.16666666666662877</v>
      </c>
      <c r="K13" s="369"/>
      <c r="L13" s="102"/>
      <c r="M13" s="13"/>
      <c r="N13" s="13"/>
      <c r="O13" s="13"/>
      <c r="P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06"/>
      <c r="AF13" s="13"/>
      <c r="AG13" s="13"/>
      <c r="AH13" s="7">
        <f t="shared" si="2"/>
        <v>1.4880952380951897E-3</v>
      </c>
      <c r="AI13" s="13">
        <f t="shared" si="3"/>
        <v>5</v>
      </c>
      <c r="AJ13" s="323"/>
      <c r="AK13" s="163"/>
      <c r="AL13" s="145">
        <f>AI14*2</f>
        <v>338.72</v>
      </c>
      <c r="AM13" s="13"/>
      <c r="AN13" s="12">
        <f>E14*500</f>
        <v>2348500</v>
      </c>
      <c r="AO13" s="47">
        <f>AN13/1000</f>
        <v>2348.5</v>
      </c>
    </row>
    <row r="14" spans="1:43" x14ac:dyDescent="0.3">
      <c r="B14" s="6" t="s">
        <v>62</v>
      </c>
      <c r="C14" s="6" t="s">
        <v>63</v>
      </c>
      <c r="D14" s="6" t="s">
        <v>74</v>
      </c>
      <c r="E14" s="343">
        <v>4697</v>
      </c>
      <c r="F14">
        <v>795483.92</v>
      </c>
      <c r="G14" s="33">
        <f>(E14*500)/1000000</f>
        <v>2.3485</v>
      </c>
      <c r="AH14" s="7">
        <f t="shared" si="2"/>
        <v>5.0000000000000001E-4</v>
      </c>
      <c r="AI14" s="345">
        <f t="shared" si="3"/>
        <v>169.36</v>
      </c>
    </row>
    <row r="15" spans="1:43" x14ac:dyDescent="0.3">
      <c r="A15" s="6" t="s">
        <v>749</v>
      </c>
      <c r="E15">
        <v>-8424.65</v>
      </c>
      <c r="F15">
        <v>15138.270000000019</v>
      </c>
      <c r="G15" s="13"/>
      <c r="H15" s="123"/>
      <c r="I15" s="123"/>
      <c r="J15" s="123"/>
      <c r="K15" s="369"/>
      <c r="L15" s="251"/>
      <c r="M15" s="37"/>
      <c r="N15" s="37"/>
      <c r="O15" s="37"/>
      <c r="P15" s="37"/>
      <c r="Q15" s="56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116"/>
      <c r="AF15" s="37"/>
      <c r="AG15" s="37"/>
      <c r="AH15" s="37"/>
      <c r="AI15" s="37"/>
      <c r="AJ15" s="265"/>
      <c r="AK15" s="326"/>
      <c r="AL15" s="265"/>
      <c r="AM15" s="361" t="str">
        <f>C14</f>
        <v>เมล็ดกาแฟ CPR Coffee Bean  MF. 500 G.</v>
      </c>
    </row>
    <row r="16" spans="1:43" x14ac:dyDescent="0.3">
      <c r="A16" s="6" t="s">
        <v>625</v>
      </c>
      <c r="B16" s="6" t="s">
        <v>23</v>
      </c>
      <c r="C16" s="6" t="s">
        <v>24</v>
      </c>
      <c r="D16" s="6" t="s">
        <v>80</v>
      </c>
      <c r="E16" s="343">
        <v>-5211.9799999999996</v>
      </c>
      <c r="F16">
        <v>-1690088.75</v>
      </c>
      <c r="G16" s="33">
        <f>((E16*2)+E20)/2</f>
        <v>-2.9799999999995634</v>
      </c>
      <c r="H16" s="123">
        <f>G16+P16</f>
        <v>4.3653969328261155E-13</v>
      </c>
      <c r="I16" s="123"/>
      <c r="J16" s="123"/>
      <c r="K16" s="369">
        <v>101</v>
      </c>
      <c r="L16" s="102" t="s">
        <v>1124</v>
      </c>
      <c r="M16" s="33">
        <v>4</v>
      </c>
      <c r="N16" s="33">
        <v>950</v>
      </c>
      <c r="O16" s="33">
        <v>2030</v>
      </c>
      <c r="P16" s="33">
        <f>SUM(N16:O16)/1000</f>
        <v>2.98</v>
      </c>
      <c r="Q16" s="55">
        <f>G16+P16</f>
        <v>4.3653969328261155E-13</v>
      </c>
      <c r="R16" s="36">
        <v>9</v>
      </c>
      <c r="S16" s="36">
        <v>0</v>
      </c>
      <c r="T16" s="36">
        <v>0</v>
      </c>
      <c r="U16" s="36">
        <v>155</v>
      </c>
      <c r="V16" s="36">
        <v>0</v>
      </c>
      <c r="W16" s="33">
        <v>141</v>
      </c>
      <c r="X16" s="33">
        <v>0</v>
      </c>
      <c r="Y16" s="33">
        <v>2</v>
      </c>
      <c r="Z16" s="33">
        <v>12</v>
      </c>
      <c r="AA16" s="33"/>
      <c r="AB16" s="33">
        <v>0</v>
      </c>
      <c r="AC16" s="33"/>
      <c r="AD16" s="33"/>
      <c r="AE16" s="166">
        <f>SUM(W16:AC16)</f>
        <v>155</v>
      </c>
      <c r="AF16" s="33">
        <f>U16-AE16</f>
        <v>0</v>
      </c>
      <c r="AG16" s="33"/>
      <c r="AH16" s="7">
        <f>G16/E16</f>
        <v>5.7175967674464668E-4</v>
      </c>
      <c r="AI16" s="13">
        <f>F16/E16</f>
        <v>324.26999911741797</v>
      </c>
      <c r="AJ16" s="323">
        <f>100%+AK16</f>
        <v>5.7175967674460981E-4</v>
      </c>
      <c r="AK16" s="324">
        <f>(E20*500/1000)/E16</f>
        <v>-0.99942824032325539</v>
      </c>
    </row>
    <row r="17" spans="1:41" x14ac:dyDescent="0.3">
      <c r="B17" s="6" t="s">
        <v>106</v>
      </c>
      <c r="C17" s="6" t="s">
        <v>107</v>
      </c>
      <c r="D17" s="6" t="s">
        <v>102</v>
      </c>
      <c r="E17" s="343">
        <v>-10573</v>
      </c>
      <c r="F17">
        <v>-8942.2999999999993</v>
      </c>
      <c r="G17" s="33">
        <f>E17+E20</f>
        <v>-155</v>
      </c>
      <c r="H17" s="123"/>
      <c r="I17" s="123"/>
      <c r="J17" s="123"/>
      <c r="K17" s="369"/>
      <c r="L17" s="102"/>
      <c r="M17" s="13"/>
      <c r="N17" s="13"/>
      <c r="O17" s="13"/>
      <c r="P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06"/>
      <c r="AF17" s="13"/>
      <c r="AG17" s="13"/>
      <c r="AH17" s="7">
        <f t="shared" ref="AH17:AH20" si="4">G17/E17</f>
        <v>1.4659982975503642E-2</v>
      </c>
      <c r="AI17" s="13">
        <f t="shared" ref="AI17:AI20" si="5">F17/E17</f>
        <v>0.84576752104416908</v>
      </c>
      <c r="AJ17" s="163"/>
      <c r="AK17" s="325"/>
    </row>
    <row r="18" spans="1:41" x14ac:dyDescent="0.3">
      <c r="B18" s="6" t="s">
        <v>119</v>
      </c>
      <c r="C18" s="6" t="s">
        <v>120</v>
      </c>
      <c r="D18" s="6" t="s">
        <v>102</v>
      </c>
      <c r="E18" s="343">
        <v>-10573</v>
      </c>
      <c r="F18">
        <v>-22029.68</v>
      </c>
      <c r="G18" s="33">
        <f>E18+E20</f>
        <v>-155</v>
      </c>
      <c r="H18" s="123"/>
      <c r="I18" s="123"/>
      <c r="J18" s="123"/>
      <c r="K18" s="369"/>
      <c r="L18" s="102"/>
      <c r="M18" s="13"/>
      <c r="N18" s="13"/>
      <c r="O18" s="13"/>
      <c r="P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06"/>
      <c r="AF18" s="13"/>
      <c r="AG18" s="13"/>
      <c r="AH18" s="7">
        <f t="shared" si="4"/>
        <v>1.4659982975503642E-2</v>
      </c>
      <c r="AI18" s="13">
        <f t="shared" si="5"/>
        <v>2.0835789274567293</v>
      </c>
      <c r="AJ18" s="163"/>
      <c r="AK18" s="325"/>
    </row>
    <row r="19" spans="1:41" x14ac:dyDescent="0.3">
      <c r="B19" s="6" t="s">
        <v>121</v>
      </c>
      <c r="C19" s="6" t="s">
        <v>122</v>
      </c>
      <c r="D19" s="6" t="s">
        <v>102</v>
      </c>
      <c r="E19" s="343">
        <v>-1744</v>
      </c>
      <c r="F19">
        <v>-8720</v>
      </c>
      <c r="G19" s="33">
        <f>(E20/6)+E19</f>
        <v>-7.6666666666667425</v>
      </c>
      <c r="I19" s="123">
        <f>(E20/6)+R16+S16+T16</f>
        <v>1745.3333333333333</v>
      </c>
      <c r="J19" s="123">
        <f>E19+I19</f>
        <v>1.3333333333332575</v>
      </c>
      <c r="K19" s="369"/>
      <c r="L19" s="102"/>
      <c r="M19" s="48"/>
      <c r="N19" s="13"/>
      <c r="O19" s="13"/>
      <c r="P19" s="13"/>
      <c r="AF19" s="13"/>
      <c r="AG19" s="13"/>
      <c r="AH19" s="7">
        <f t="shared" si="4"/>
        <v>4.3960244648318476E-3</v>
      </c>
      <c r="AI19" s="13">
        <f t="shared" si="5"/>
        <v>5</v>
      </c>
      <c r="AJ19" s="163"/>
      <c r="AK19" s="325"/>
      <c r="AN19" s="12">
        <f>E20*500</f>
        <v>5209000</v>
      </c>
      <c r="AO19" s="47">
        <f>AN19/1000</f>
        <v>5209</v>
      </c>
    </row>
    <row r="20" spans="1:41" x14ac:dyDescent="0.3">
      <c r="B20" s="6" t="s">
        <v>81</v>
      </c>
      <c r="C20" s="6" t="s">
        <v>82</v>
      </c>
      <c r="D20" s="6" t="s">
        <v>74</v>
      </c>
      <c r="E20" s="343">
        <v>10418</v>
      </c>
      <c r="F20">
        <v>1764600.84</v>
      </c>
      <c r="G20" s="33">
        <f>(E20*500)/1000000</f>
        <v>5.2089999999999996</v>
      </c>
      <c r="L20" s="102"/>
      <c r="AH20" s="7">
        <f t="shared" si="4"/>
        <v>5.0000000000000001E-4</v>
      </c>
      <c r="AI20" s="345">
        <f t="shared" si="5"/>
        <v>169.38</v>
      </c>
      <c r="AJ20" s="163"/>
      <c r="AK20" s="325"/>
      <c r="AL20" s="133">
        <f>AI20*2</f>
        <v>338.76</v>
      </c>
      <c r="AM20" s="106"/>
    </row>
    <row r="21" spans="1:41" x14ac:dyDescent="0.3">
      <c r="A21" s="6" t="s">
        <v>752</v>
      </c>
      <c r="E21">
        <v>-17683.98</v>
      </c>
      <c r="F21">
        <v>34820.110000000102</v>
      </c>
      <c r="L21" s="251"/>
      <c r="M21" s="37"/>
      <c r="N21" s="37"/>
      <c r="O21" s="37"/>
      <c r="P21" s="37"/>
      <c r="Q21" s="56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116"/>
      <c r="AF21" s="37"/>
      <c r="AG21" s="37"/>
      <c r="AH21" s="37"/>
      <c r="AI21" s="37"/>
      <c r="AJ21" s="265"/>
      <c r="AK21" s="326"/>
      <c r="AL21" s="265"/>
      <c r="AM21" s="116" t="str">
        <f>C20</f>
        <v>GOLD BLEND ALL CAFE'  ขนาด 500 G.</v>
      </c>
    </row>
    <row r="22" spans="1:41" x14ac:dyDescent="0.3">
      <c r="A22" s="6" t="s">
        <v>640</v>
      </c>
      <c r="B22" s="6" t="s">
        <v>106</v>
      </c>
      <c r="C22" s="6" t="s">
        <v>107</v>
      </c>
      <c r="D22" s="6" t="s">
        <v>102</v>
      </c>
      <c r="E22" s="343">
        <v>-495</v>
      </c>
      <c r="F22">
        <v>-418.66</v>
      </c>
      <c r="G22" s="33">
        <f>E22+E25</f>
        <v>-83</v>
      </c>
      <c r="H22" s="123">
        <f>G26+P22</f>
        <v>0</v>
      </c>
      <c r="I22" s="123"/>
      <c r="J22" s="123"/>
      <c r="K22" s="369">
        <v>101</v>
      </c>
      <c r="L22" s="102" t="s">
        <v>1124</v>
      </c>
      <c r="M22" s="33">
        <v>0</v>
      </c>
      <c r="N22" s="33">
        <v>0</v>
      </c>
      <c r="O22" s="33">
        <v>0</v>
      </c>
      <c r="P22" s="33">
        <f>SUM(N22:O22)/1000</f>
        <v>0</v>
      </c>
      <c r="Q22" s="55">
        <f>G26+P22</f>
        <v>0</v>
      </c>
      <c r="R22" s="36">
        <v>0</v>
      </c>
      <c r="S22" s="36">
        <v>0</v>
      </c>
      <c r="T22" s="36"/>
      <c r="U22" s="36">
        <v>83</v>
      </c>
      <c r="V22" s="36">
        <v>0</v>
      </c>
      <c r="W22" s="33">
        <v>83</v>
      </c>
      <c r="X22" s="33"/>
      <c r="Y22" s="33"/>
      <c r="Z22" s="33"/>
      <c r="AA22" s="33"/>
      <c r="AB22" s="33"/>
      <c r="AC22" s="33"/>
      <c r="AD22" s="33"/>
      <c r="AE22" s="166">
        <f>SUM(W22:AC22)</f>
        <v>83</v>
      </c>
      <c r="AF22" s="33">
        <f>U22-AE22</f>
        <v>0</v>
      </c>
      <c r="AG22" s="33"/>
      <c r="AH22" s="7">
        <f>G22/E22</f>
        <v>0.16767676767676767</v>
      </c>
      <c r="AI22" s="13">
        <f>F22/E22</f>
        <v>0.84577777777777785</v>
      </c>
      <c r="AJ22" s="323">
        <f>100%+AK22</f>
        <v>0</v>
      </c>
      <c r="AK22" s="324">
        <f>(E25*500/1000)/E26</f>
        <v>-1</v>
      </c>
    </row>
    <row r="23" spans="1:41" x14ac:dyDescent="0.3">
      <c r="B23" s="6" t="s">
        <v>126</v>
      </c>
      <c r="C23" s="6" t="s">
        <v>127</v>
      </c>
      <c r="D23" s="6" t="s">
        <v>102</v>
      </c>
      <c r="E23" s="343">
        <v>-21</v>
      </c>
      <c r="F23">
        <v>-462</v>
      </c>
      <c r="G23" s="33">
        <f>(E25/20)+E23</f>
        <v>-0.39999999999999858</v>
      </c>
      <c r="H23" s="123"/>
      <c r="I23" s="123"/>
      <c r="J23" s="123"/>
      <c r="K23" s="369"/>
      <c r="L23" s="102"/>
      <c r="AH23" s="7">
        <f t="shared" ref="AH23:AH27" si="6">G23/E23</f>
        <v>1.904761904761898E-2</v>
      </c>
      <c r="AI23" s="13">
        <f t="shared" ref="AI23:AI27" si="7">F23/E23</f>
        <v>22</v>
      </c>
      <c r="AJ23" s="163"/>
      <c r="AK23" s="325"/>
    </row>
    <row r="24" spans="1:41" x14ac:dyDescent="0.3">
      <c r="B24" s="6" t="s">
        <v>237</v>
      </c>
      <c r="C24" s="6" t="s">
        <v>238</v>
      </c>
      <c r="D24" s="6" t="s">
        <v>102</v>
      </c>
      <c r="E24" s="343">
        <v>-495</v>
      </c>
      <c r="F24">
        <v>-849.75</v>
      </c>
      <c r="G24" s="33">
        <f>E24+E25</f>
        <v>-83</v>
      </c>
      <c r="H24" s="123"/>
      <c r="I24" s="123"/>
      <c r="J24" s="123"/>
      <c r="K24" s="369"/>
      <c r="L24" s="102"/>
      <c r="T24" s="13"/>
      <c r="U24" s="13"/>
      <c r="V24" s="13"/>
      <c r="W24" s="119"/>
      <c r="X24" s="119"/>
      <c r="Y24" s="119"/>
      <c r="Z24" s="119"/>
      <c r="AA24" s="119"/>
      <c r="AB24" s="119"/>
      <c r="AC24" s="119"/>
      <c r="AD24" s="119"/>
      <c r="AE24" s="168"/>
      <c r="AH24" s="7">
        <f t="shared" si="6"/>
        <v>0.16767676767676767</v>
      </c>
      <c r="AI24" s="13">
        <f t="shared" si="7"/>
        <v>1.7166666666666666</v>
      </c>
      <c r="AJ24" s="163"/>
      <c r="AK24" s="325"/>
    </row>
    <row r="25" spans="1:41" x14ac:dyDescent="0.3">
      <c r="B25" s="6" t="s">
        <v>644</v>
      </c>
      <c r="C25" s="6" t="s">
        <v>645</v>
      </c>
      <c r="D25" s="6" t="s">
        <v>74</v>
      </c>
      <c r="E25" s="343">
        <v>412</v>
      </c>
      <c r="F25">
        <v>75948.08</v>
      </c>
      <c r="G25" s="33">
        <f>(E25*500)/1000000</f>
        <v>0.20599999999999999</v>
      </c>
      <c r="I25" s="123">
        <f>(E25/20)+R22+S22+T22</f>
        <v>20.6</v>
      </c>
      <c r="J25" s="123">
        <f>E23+I25</f>
        <v>-0.39999999999999858</v>
      </c>
      <c r="K25" s="369"/>
      <c r="L25" s="102"/>
      <c r="AH25" s="7">
        <f t="shared" si="6"/>
        <v>5.0000000000000001E-4</v>
      </c>
      <c r="AI25" s="345">
        <f t="shared" si="7"/>
        <v>184.34</v>
      </c>
      <c r="AJ25" s="163"/>
      <c r="AK25" s="325"/>
      <c r="AN25" s="12">
        <f>E25*500</f>
        <v>206000</v>
      </c>
      <c r="AO25" s="47">
        <f>AN25/1000</f>
        <v>206</v>
      </c>
    </row>
    <row r="26" spans="1:41" x14ac:dyDescent="0.3">
      <c r="B26" s="6" t="s">
        <v>637</v>
      </c>
      <c r="C26" s="6" t="s">
        <v>259</v>
      </c>
      <c r="D26" s="6" t="s">
        <v>80</v>
      </c>
      <c r="E26" s="343">
        <v>-206</v>
      </c>
      <c r="F26">
        <v>-72423.42</v>
      </c>
      <c r="G26" s="33">
        <f>((E26*2)+E25)/2</f>
        <v>0</v>
      </c>
      <c r="L26" s="102"/>
      <c r="O26" s="7">
        <v>0</v>
      </c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06"/>
      <c r="AH26" s="7">
        <f t="shared" si="6"/>
        <v>0</v>
      </c>
      <c r="AI26" s="13">
        <f t="shared" si="7"/>
        <v>351.57</v>
      </c>
      <c r="AJ26" s="163"/>
      <c r="AK26" s="325"/>
      <c r="AL26" s="133">
        <f>AI25*2</f>
        <v>368.68</v>
      </c>
      <c r="AM26" s="106"/>
    </row>
    <row r="27" spans="1:41" x14ac:dyDescent="0.3">
      <c r="B27" s="6" t="s">
        <v>333</v>
      </c>
      <c r="C27" s="6" t="s">
        <v>334</v>
      </c>
      <c r="D27" s="6" t="s">
        <v>241</v>
      </c>
      <c r="E27" s="343">
        <v>-412</v>
      </c>
      <c r="F27">
        <v>-477.92</v>
      </c>
      <c r="G27" s="33">
        <f>E25+E27</f>
        <v>0</v>
      </c>
      <c r="L27" s="102"/>
      <c r="AH27" s="7">
        <f t="shared" si="6"/>
        <v>0</v>
      </c>
      <c r="AI27" s="13">
        <f t="shared" si="7"/>
        <v>1.1600000000000001</v>
      </c>
    </row>
    <row r="28" spans="1:41" x14ac:dyDescent="0.3">
      <c r="A28" s="6" t="s">
        <v>755</v>
      </c>
      <c r="E28">
        <v>-1217</v>
      </c>
      <c r="F28">
        <v>1316.33</v>
      </c>
      <c r="L28" s="251"/>
      <c r="M28" s="37"/>
      <c r="N28" s="37"/>
      <c r="O28" s="37"/>
      <c r="P28" s="37"/>
      <c r="Q28" s="56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116"/>
      <c r="AF28" s="37"/>
      <c r="AG28" s="37"/>
      <c r="AH28" s="37"/>
      <c r="AI28" s="37"/>
      <c r="AJ28" s="265"/>
      <c r="AK28" s="326"/>
      <c r="AL28" s="265"/>
      <c r="AM28" s="361" t="str">
        <f>C25</f>
        <v>เมล็ดกาแฟคั่ว Classic 1 bag ขนาด 500 G.</v>
      </c>
    </row>
    <row r="29" spans="1:41" x14ac:dyDescent="0.3">
      <c r="A29" s="6" t="s">
        <v>652</v>
      </c>
      <c r="B29" s="6" t="s">
        <v>23</v>
      </c>
      <c r="C29" s="6" t="s">
        <v>24</v>
      </c>
      <c r="D29" s="344" t="s">
        <v>80</v>
      </c>
      <c r="E29" s="343">
        <v>-10237.93</v>
      </c>
      <c r="F29">
        <v>-3319853.56</v>
      </c>
      <c r="G29" s="33">
        <f>((E29*2)+E33)/2</f>
        <v>-4.930000000000291</v>
      </c>
      <c r="H29" s="123">
        <f>G29+P29</f>
        <v>-2.9132252166164108E-13</v>
      </c>
      <c r="I29" s="123"/>
      <c r="J29" s="123"/>
      <c r="K29" s="369">
        <v>101</v>
      </c>
      <c r="L29" s="102" t="s">
        <v>1125</v>
      </c>
      <c r="M29" s="33">
        <v>6</v>
      </c>
      <c r="N29" s="33">
        <v>2030</v>
      </c>
      <c r="O29" s="33">
        <v>2900</v>
      </c>
      <c r="P29" s="33">
        <f>SUM(N29:O29)/1000</f>
        <v>4.93</v>
      </c>
      <c r="Q29" s="55">
        <f>G29+P29</f>
        <v>-2.9132252166164108E-13</v>
      </c>
      <c r="R29" s="36">
        <v>22</v>
      </c>
      <c r="S29" s="36">
        <v>0</v>
      </c>
      <c r="T29" s="36">
        <v>0</v>
      </c>
      <c r="U29" s="36">
        <v>231</v>
      </c>
      <c r="V29" s="36">
        <v>0</v>
      </c>
      <c r="W29" s="33">
        <v>163</v>
      </c>
      <c r="X29" s="33">
        <v>0</v>
      </c>
      <c r="Y29" s="33">
        <v>33</v>
      </c>
      <c r="Z29" s="33">
        <v>18</v>
      </c>
      <c r="AA29" s="33">
        <v>0</v>
      </c>
      <c r="AB29" s="33">
        <v>17</v>
      </c>
      <c r="AC29" s="33">
        <v>0</v>
      </c>
      <c r="AD29" s="33"/>
      <c r="AE29" s="166">
        <f>SUM(W29:AC29)</f>
        <v>231</v>
      </c>
      <c r="AF29" s="33">
        <f>U29-AE29</f>
        <v>0</v>
      </c>
      <c r="AG29" s="33"/>
      <c r="AH29" s="7">
        <f>G29/E29</f>
        <v>4.8154265559544664E-4</v>
      </c>
      <c r="AI29" s="13">
        <f>F29/E29</f>
        <v>324.26999989255643</v>
      </c>
      <c r="AJ29" s="323">
        <f>100%+AK29</f>
        <v>4.8154265559541276E-4</v>
      </c>
      <c r="AK29" s="324">
        <f>(E33*500/1000)/E29</f>
        <v>-0.99951845734440459</v>
      </c>
    </row>
    <row r="30" spans="1:41" x14ac:dyDescent="0.3">
      <c r="B30" s="6" t="s">
        <v>106</v>
      </c>
      <c r="C30" s="6" t="s">
        <v>107</v>
      </c>
      <c r="D30" s="344" t="s">
        <v>102</v>
      </c>
      <c r="E30" s="343">
        <v>-20697</v>
      </c>
      <c r="F30">
        <v>-17504.86</v>
      </c>
      <c r="G30" s="33">
        <f>E30+E33</f>
        <v>-231</v>
      </c>
      <c r="H30" s="123"/>
      <c r="I30" s="123"/>
      <c r="J30" s="123"/>
      <c r="K30" s="369"/>
      <c r="L30" s="102"/>
      <c r="AH30" s="7">
        <f t="shared" ref="AH30:AH33" si="8">G30/E30</f>
        <v>1.1161037831569793E-2</v>
      </c>
      <c r="AI30" s="13">
        <f t="shared" ref="AI30:AI33" si="9">F30/E30</f>
        <v>0.84576798569841038</v>
      </c>
      <c r="AJ30" s="163"/>
      <c r="AK30" s="325"/>
    </row>
    <row r="31" spans="1:41" x14ac:dyDescent="0.3">
      <c r="B31" s="6" t="s">
        <v>119</v>
      </c>
      <c r="C31" s="6" t="s">
        <v>120</v>
      </c>
      <c r="D31" s="344" t="s">
        <v>102</v>
      </c>
      <c r="E31" s="343">
        <v>-20697</v>
      </c>
      <c r="F31">
        <v>-43123.82</v>
      </c>
      <c r="G31" s="33">
        <f>E31+E33</f>
        <v>-231</v>
      </c>
      <c r="H31" s="123"/>
      <c r="I31" s="123"/>
      <c r="J31" s="123"/>
      <c r="K31" s="369"/>
      <c r="L31" s="102"/>
      <c r="T31" s="13"/>
      <c r="U31" s="13"/>
      <c r="V31" s="13"/>
      <c r="W31" s="119"/>
      <c r="X31" s="119"/>
      <c r="Y31" s="119"/>
      <c r="Z31" s="119"/>
      <c r="AA31" s="119"/>
      <c r="AB31" s="119"/>
      <c r="AC31" s="119"/>
      <c r="AD31" s="119"/>
      <c r="AE31" s="168"/>
      <c r="AH31" s="7">
        <f t="shared" si="8"/>
        <v>1.1161037831569793E-2</v>
      </c>
      <c r="AI31" s="13">
        <f t="shared" si="9"/>
        <v>2.0835782963714546</v>
      </c>
      <c r="AJ31" s="163"/>
      <c r="AK31" s="325"/>
    </row>
    <row r="32" spans="1:41" x14ac:dyDescent="0.3">
      <c r="B32" s="6" t="s">
        <v>121</v>
      </c>
      <c r="C32" s="6" t="s">
        <v>122</v>
      </c>
      <c r="D32" s="344" t="s">
        <v>102</v>
      </c>
      <c r="E32" s="343">
        <v>-3432</v>
      </c>
      <c r="F32">
        <v>-17160</v>
      </c>
      <c r="G32" s="33">
        <f>(E33/6)+E32</f>
        <v>-21</v>
      </c>
      <c r="I32" s="123">
        <f>(E33/6)+R29+S29+T29</f>
        <v>3433</v>
      </c>
      <c r="J32" s="123">
        <f>E32+I32</f>
        <v>1</v>
      </c>
      <c r="K32" s="369"/>
      <c r="L32" s="102"/>
      <c r="AH32" s="7">
        <f t="shared" si="8"/>
        <v>6.118881118881119E-3</v>
      </c>
      <c r="AI32" s="13">
        <f t="shared" si="9"/>
        <v>5</v>
      </c>
      <c r="AJ32" s="163"/>
      <c r="AK32" s="325"/>
      <c r="AN32" s="12">
        <f>E33*500</f>
        <v>10233000</v>
      </c>
      <c r="AO32" s="47">
        <f>AN32/1000</f>
        <v>10233</v>
      </c>
    </row>
    <row r="33" spans="1:41" x14ac:dyDescent="0.3">
      <c r="B33" s="6" t="s">
        <v>81</v>
      </c>
      <c r="C33" s="6" t="s">
        <v>82</v>
      </c>
      <c r="D33" s="344" t="s">
        <v>74</v>
      </c>
      <c r="E33" s="343">
        <v>20466</v>
      </c>
      <c r="F33">
        <v>3466531.08</v>
      </c>
      <c r="G33" s="33">
        <f>(E33*500)/1000000</f>
        <v>10.233000000000001</v>
      </c>
      <c r="L33" s="102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06"/>
      <c r="AH33" s="7">
        <f t="shared" si="8"/>
        <v>5.0000000000000001E-4</v>
      </c>
      <c r="AI33" s="345">
        <f t="shared" si="9"/>
        <v>169.38</v>
      </c>
      <c r="AJ33" s="163"/>
      <c r="AK33" s="325"/>
      <c r="AL33" s="133">
        <f>AI33*2</f>
        <v>338.76</v>
      </c>
      <c r="AM33" s="106"/>
    </row>
    <row r="34" spans="1:41" x14ac:dyDescent="0.3">
      <c r="A34" s="6" t="s">
        <v>757</v>
      </c>
      <c r="E34">
        <v>-34597.93</v>
      </c>
      <c r="F34">
        <v>68888.840000000317</v>
      </c>
      <c r="G34" s="13"/>
      <c r="H34" s="123"/>
      <c r="I34" s="123"/>
      <c r="J34" s="123"/>
      <c r="K34" s="369"/>
      <c r="L34" s="251"/>
      <c r="M34" s="37"/>
      <c r="N34" s="37"/>
      <c r="O34" s="37"/>
      <c r="P34" s="37"/>
      <c r="Q34" s="56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116"/>
      <c r="AF34" s="37"/>
      <c r="AG34" s="37"/>
      <c r="AH34" s="37"/>
      <c r="AI34" s="37"/>
      <c r="AJ34" s="265"/>
      <c r="AK34" s="326"/>
      <c r="AL34" s="265"/>
      <c r="AM34" s="116" t="str">
        <f>C33</f>
        <v>GOLD BLEND ALL CAFE'  ขนาด 500 G.</v>
      </c>
    </row>
    <row r="35" spans="1:41" x14ac:dyDescent="0.3">
      <c r="A35" s="6" t="s">
        <v>986</v>
      </c>
      <c r="B35" s="6" t="s">
        <v>23</v>
      </c>
      <c r="C35" s="6" t="s">
        <v>24</v>
      </c>
      <c r="D35" s="6" t="s">
        <v>80</v>
      </c>
      <c r="E35" s="343">
        <v>-9645.9599999999991</v>
      </c>
      <c r="F35">
        <v>-3136287.44</v>
      </c>
      <c r="G35" s="33">
        <f>((E35*2)+E39)/2</f>
        <v>-3.9599999999991269</v>
      </c>
      <c r="H35" s="123">
        <f>G35+P35</f>
        <v>8.730793865652231E-13</v>
      </c>
      <c r="I35" s="123"/>
      <c r="J35" s="123"/>
      <c r="K35" s="369">
        <v>101</v>
      </c>
      <c r="L35" s="102" t="s">
        <v>1126</v>
      </c>
      <c r="M35" s="33">
        <v>6</v>
      </c>
      <c r="N35" s="33">
        <v>1210</v>
      </c>
      <c r="O35" s="33">
        <v>2750</v>
      </c>
      <c r="P35" s="33">
        <f>SUM(N35:O35)/1000</f>
        <v>3.96</v>
      </c>
      <c r="Q35" s="55">
        <f>G35+P35</f>
        <v>8.730793865652231E-13</v>
      </c>
      <c r="R35" s="36">
        <v>31</v>
      </c>
      <c r="S35" s="36">
        <v>0</v>
      </c>
      <c r="T35" s="36">
        <v>0</v>
      </c>
      <c r="U35" s="36">
        <v>352</v>
      </c>
      <c r="V35" s="36">
        <v>0</v>
      </c>
      <c r="W35" s="33">
        <v>134</v>
      </c>
      <c r="X35" s="33">
        <v>130</v>
      </c>
      <c r="Y35" s="33">
        <v>59</v>
      </c>
      <c r="Z35" s="33">
        <v>29</v>
      </c>
      <c r="AA35" s="33"/>
      <c r="AB35" s="33"/>
      <c r="AC35" s="33"/>
      <c r="AD35" s="33"/>
      <c r="AE35" s="166">
        <f>SUM(W35:AC35)</f>
        <v>352</v>
      </c>
      <c r="AF35" s="33">
        <f>U35-AE35</f>
        <v>0</v>
      </c>
      <c r="AG35" s="33"/>
      <c r="AH35" s="7">
        <f>G35/E35</f>
        <v>4.1053456576630289E-4</v>
      </c>
      <c r="AI35" s="13">
        <f>F35/E35</f>
        <v>325.14000058055393</v>
      </c>
      <c r="AJ35" s="323">
        <f>100%+AK35</f>
        <v>4.1053456576634062E-4</v>
      </c>
      <c r="AK35" s="324">
        <f>(E39*500/1000)/E35</f>
        <v>-0.99958946543423366</v>
      </c>
    </row>
    <row r="36" spans="1:41" x14ac:dyDescent="0.3">
      <c r="B36" s="6" t="s">
        <v>106</v>
      </c>
      <c r="C36" s="6" t="s">
        <v>107</v>
      </c>
      <c r="D36" s="6" t="s">
        <v>102</v>
      </c>
      <c r="E36" s="343">
        <v>-19639</v>
      </c>
      <c r="F36">
        <v>-16610.03</v>
      </c>
      <c r="G36" s="33">
        <f>E36+E39</f>
        <v>-355</v>
      </c>
      <c r="H36" s="123"/>
      <c r="I36" s="123"/>
      <c r="J36" s="123"/>
      <c r="K36" s="369"/>
      <c r="L36" s="102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06"/>
      <c r="AH36" s="7">
        <f t="shared" ref="AH36:AH39" si="10">G36/E36</f>
        <v>1.8076276796170885E-2</v>
      </c>
      <c r="AI36" s="13">
        <f t="shared" ref="AI36:AI39" si="11">F36/E36</f>
        <v>0.84576760527521766</v>
      </c>
      <c r="AJ36" s="163"/>
      <c r="AK36" s="325"/>
    </row>
    <row r="37" spans="1:41" x14ac:dyDescent="0.3">
      <c r="B37" s="6" t="s">
        <v>119</v>
      </c>
      <c r="C37" s="6" t="s">
        <v>120</v>
      </c>
      <c r="D37" s="6" t="s">
        <v>102</v>
      </c>
      <c r="E37" s="343">
        <v>-19639</v>
      </c>
      <c r="F37">
        <v>-40917.599999999999</v>
      </c>
      <c r="G37" s="33">
        <f>E37+E39</f>
        <v>-355</v>
      </c>
      <c r="H37" s="123"/>
      <c r="I37" s="123"/>
      <c r="J37" s="123"/>
      <c r="K37" s="369"/>
      <c r="L37" s="102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06"/>
      <c r="AH37" s="7">
        <f t="shared" si="10"/>
        <v>1.8076276796170885E-2</v>
      </c>
      <c r="AI37" s="13">
        <f t="shared" si="11"/>
        <v>2.0834869392535262</v>
      </c>
      <c r="AJ37" s="163"/>
      <c r="AK37" s="325"/>
    </row>
    <row r="38" spans="1:41" x14ac:dyDescent="0.3">
      <c r="B38" s="6" t="s">
        <v>121</v>
      </c>
      <c r="C38" s="6" t="s">
        <v>122</v>
      </c>
      <c r="D38" s="6" t="s">
        <v>102</v>
      </c>
      <c r="E38" s="343">
        <v>-3244</v>
      </c>
      <c r="F38">
        <v>-16220</v>
      </c>
      <c r="G38" s="33">
        <f>(E39/6)+E38</f>
        <v>-30</v>
      </c>
      <c r="I38" s="123">
        <f>(E39/6)+R35+S35+T35</f>
        <v>3245</v>
      </c>
      <c r="J38" s="123">
        <f>E38+I38</f>
        <v>1</v>
      </c>
      <c r="K38" s="369"/>
      <c r="L38" s="102"/>
      <c r="AH38" s="7">
        <f t="shared" si="10"/>
        <v>9.2478421701602965E-3</v>
      </c>
      <c r="AI38" s="13">
        <f t="shared" si="11"/>
        <v>5</v>
      </c>
      <c r="AJ38" s="163"/>
      <c r="AK38" s="325"/>
      <c r="AN38" s="12">
        <f>E39*500</f>
        <v>9642000</v>
      </c>
      <c r="AO38" s="47">
        <f>AN38/1000</f>
        <v>9642</v>
      </c>
    </row>
    <row r="39" spans="1:41" x14ac:dyDescent="0.3">
      <c r="B39" s="6" t="s">
        <v>81</v>
      </c>
      <c r="C39" s="6" t="s">
        <v>82</v>
      </c>
      <c r="D39" s="6" t="s">
        <v>74</v>
      </c>
      <c r="E39" s="343">
        <v>19284</v>
      </c>
      <c r="F39">
        <v>3275580.24</v>
      </c>
      <c r="G39" s="33">
        <f>(E39*500)/1000000</f>
        <v>9.6419999999999995</v>
      </c>
      <c r="L39" s="102"/>
      <c r="AH39" s="7">
        <f t="shared" si="10"/>
        <v>5.0000000000000001E-4</v>
      </c>
      <c r="AI39" s="345">
        <f t="shared" si="11"/>
        <v>169.86</v>
      </c>
      <c r="AJ39" s="163"/>
      <c r="AK39" s="325"/>
      <c r="AL39" s="133">
        <f>AI39*2</f>
        <v>339.72</v>
      </c>
      <c r="AM39" s="106"/>
    </row>
    <row r="40" spans="1:41" x14ac:dyDescent="0.3">
      <c r="A40" s="6" t="s">
        <v>1113</v>
      </c>
      <c r="E40">
        <v>-32883.96</v>
      </c>
      <c r="F40">
        <v>65545.170000000391</v>
      </c>
      <c r="G40" s="13"/>
      <c r="H40" s="123"/>
      <c r="I40" s="123"/>
      <c r="J40" s="123"/>
      <c r="K40" s="369"/>
      <c r="L40" s="251"/>
      <c r="M40" s="37"/>
      <c r="N40" s="37"/>
      <c r="O40" s="37"/>
      <c r="P40" s="37"/>
      <c r="Q40" s="56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116"/>
      <c r="AF40" s="37"/>
      <c r="AG40" s="37"/>
      <c r="AH40" s="37"/>
      <c r="AI40" s="37"/>
      <c r="AJ40" s="265"/>
      <c r="AK40" s="326"/>
      <c r="AL40" s="265"/>
      <c r="AM40" s="116" t="str">
        <f>C39</f>
        <v>GOLD BLEND ALL CAFE'  ขนาด 500 G.</v>
      </c>
    </row>
    <row r="41" spans="1:41" x14ac:dyDescent="0.3">
      <c r="A41" s="6" t="s">
        <v>991</v>
      </c>
      <c r="B41" s="6" t="s">
        <v>23</v>
      </c>
      <c r="C41" s="6" t="s">
        <v>24</v>
      </c>
      <c r="D41" s="6" t="s">
        <v>80</v>
      </c>
      <c r="E41" s="343">
        <v>-7753.17</v>
      </c>
      <c r="F41">
        <v>-2520865.69</v>
      </c>
      <c r="G41" s="33">
        <f>((E41*2)+E45)/2</f>
        <v>-9.6700000000000728</v>
      </c>
      <c r="H41" s="123">
        <f>G41+P41</f>
        <v>-7.2830630415410269E-14</v>
      </c>
      <c r="I41" s="123"/>
      <c r="J41" s="123"/>
      <c r="K41" s="369">
        <v>101</v>
      </c>
      <c r="L41" s="102" t="s">
        <v>1127</v>
      </c>
      <c r="M41" s="33">
        <v>11</v>
      </c>
      <c r="N41" s="33">
        <v>1730</v>
      </c>
      <c r="O41" s="33">
        <v>7940</v>
      </c>
      <c r="P41" s="33">
        <f>SUM(N41:O41)/1000</f>
        <v>9.67</v>
      </c>
      <c r="Q41" s="55">
        <f>G41+P41</f>
        <v>-7.2830630415410269E-14</v>
      </c>
      <c r="R41" s="36">
        <v>16</v>
      </c>
      <c r="S41" s="36">
        <v>0</v>
      </c>
      <c r="T41" s="36">
        <v>0</v>
      </c>
      <c r="U41" s="36">
        <v>214</v>
      </c>
      <c r="V41" s="36">
        <v>0</v>
      </c>
      <c r="W41" s="33">
        <v>113</v>
      </c>
      <c r="X41" s="33">
        <v>0</v>
      </c>
      <c r="Y41" s="33">
        <v>18</v>
      </c>
      <c r="Z41" s="33">
        <v>42</v>
      </c>
      <c r="AA41" s="33"/>
      <c r="AB41" s="33">
        <v>41</v>
      </c>
      <c r="AC41" s="33"/>
      <c r="AD41" s="33"/>
      <c r="AE41" s="166">
        <f>SUM(W41:AC41)</f>
        <v>214</v>
      </c>
      <c r="AF41" s="33">
        <f>U41-AE41</f>
        <v>0</v>
      </c>
      <c r="AG41" s="33"/>
      <c r="AH41" s="7">
        <f>G41/E41</f>
        <v>1.2472317774536187E-3</v>
      </c>
      <c r="AI41" s="13">
        <f>F41/E41</f>
        <v>325.1399995098779</v>
      </c>
      <c r="AJ41" s="323">
        <f>100%+AK41</f>
        <v>1.2472317774536723E-3</v>
      </c>
      <c r="AK41" s="324">
        <f>(E45*500/1000)/E41</f>
        <v>-0.99875276822254633</v>
      </c>
    </row>
    <row r="42" spans="1:41" x14ac:dyDescent="0.3">
      <c r="B42" s="6" t="s">
        <v>106</v>
      </c>
      <c r="C42" s="6" t="s">
        <v>107</v>
      </c>
      <c r="D42" s="6" t="s">
        <v>102</v>
      </c>
      <c r="E42" s="343">
        <v>-15701</v>
      </c>
      <c r="F42">
        <v>-13279.4</v>
      </c>
      <c r="G42" s="33">
        <f>E42+E45</f>
        <v>-214</v>
      </c>
      <c r="H42" s="123"/>
      <c r="I42" s="123"/>
      <c r="J42" s="123"/>
      <c r="K42" s="369"/>
      <c r="L42" s="102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06"/>
      <c r="AF42" s="13"/>
      <c r="AG42" s="13"/>
      <c r="AH42" s="7">
        <f t="shared" ref="AH42:AH45" si="12">G42/E42</f>
        <v>1.3629705114323928E-2</v>
      </c>
      <c r="AI42" s="13">
        <f t="shared" ref="AI42:AI45" si="13">F42/E42</f>
        <v>0.84576778549136999</v>
      </c>
      <c r="AJ42" s="163"/>
      <c r="AK42" s="325"/>
    </row>
    <row r="43" spans="1:41" x14ac:dyDescent="0.3">
      <c r="B43" s="6" t="s">
        <v>119</v>
      </c>
      <c r="C43" s="6" t="s">
        <v>120</v>
      </c>
      <c r="D43" s="6" t="s">
        <v>102</v>
      </c>
      <c r="E43" s="343">
        <v>-15701</v>
      </c>
      <c r="F43">
        <v>-32712.83</v>
      </c>
      <c r="G43" s="33">
        <f>E43+E45</f>
        <v>-214</v>
      </c>
      <c r="H43" s="123"/>
      <c r="I43" s="123"/>
      <c r="J43" s="123"/>
      <c r="K43" s="369"/>
      <c r="L43" s="102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06"/>
      <c r="AF43" s="13"/>
      <c r="AG43" s="13"/>
      <c r="AH43" s="7">
        <f t="shared" si="12"/>
        <v>1.3629705114323928E-2</v>
      </c>
      <c r="AI43" s="13">
        <f t="shared" si="13"/>
        <v>2.0834870390420992</v>
      </c>
      <c r="AJ43" s="163"/>
      <c r="AK43" s="325"/>
    </row>
    <row r="44" spans="1:41" x14ac:dyDescent="0.3">
      <c r="B44" s="6" t="s">
        <v>121</v>
      </c>
      <c r="C44" s="6" t="s">
        <v>122</v>
      </c>
      <c r="D44" s="6" t="s">
        <v>102</v>
      </c>
      <c r="E44" s="343">
        <v>-2595</v>
      </c>
      <c r="F44">
        <v>-12975</v>
      </c>
      <c r="G44" s="33">
        <f>(E45/6)+E44</f>
        <v>-13.833333333333485</v>
      </c>
      <c r="I44" s="123">
        <f>(E45/6)+R41+S41+T41</f>
        <v>2597.1666666666665</v>
      </c>
      <c r="J44" s="123">
        <f>E44+I44</f>
        <v>2.1666666666665151</v>
      </c>
      <c r="K44" s="369"/>
      <c r="L44" s="102"/>
      <c r="AH44" s="7">
        <f t="shared" si="12"/>
        <v>5.3307642903019214E-3</v>
      </c>
      <c r="AI44" s="13">
        <f t="shared" si="13"/>
        <v>5</v>
      </c>
      <c r="AJ44" s="163"/>
      <c r="AK44" s="325"/>
      <c r="AN44" s="12">
        <f>E45*500</f>
        <v>7743500</v>
      </c>
      <c r="AO44" s="47">
        <f>AN44/1000</f>
        <v>7743.5</v>
      </c>
    </row>
    <row r="45" spans="1:41" x14ac:dyDescent="0.3">
      <c r="B45" s="6" t="s">
        <v>81</v>
      </c>
      <c r="C45" s="6" t="s">
        <v>82</v>
      </c>
      <c r="D45" s="6" t="s">
        <v>74</v>
      </c>
      <c r="E45" s="343">
        <v>15487</v>
      </c>
      <c r="F45">
        <v>2630621.8199999998</v>
      </c>
      <c r="G45" s="33">
        <f>(E45*500)/1000000</f>
        <v>7.7435</v>
      </c>
      <c r="L45" s="102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06"/>
      <c r="AH45" s="7">
        <f t="shared" si="12"/>
        <v>5.0000000000000001E-4</v>
      </c>
      <c r="AI45" s="345">
        <f t="shared" si="13"/>
        <v>169.85999999999999</v>
      </c>
      <c r="AJ45" s="163"/>
      <c r="AK45" s="325"/>
      <c r="AL45" s="133">
        <f>AI45*2</f>
        <v>339.71999999999997</v>
      </c>
      <c r="AM45" s="106"/>
    </row>
    <row r="46" spans="1:41" x14ac:dyDescent="0.3">
      <c r="A46" s="6" t="s">
        <v>1114</v>
      </c>
      <c r="E46">
        <v>-26263.17</v>
      </c>
      <c r="F46">
        <v>50788.899999999907</v>
      </c>
      <c r="G46" s="13"/>
      <c r="H46" s="123"/>
      <c r="I46" s="123"/>
      <c r="J46" s="123"/>
      <c r="K46" s="369"/>
      <c r="L46" s="251"/>
      <c r="M46" s="37"/>
      <c r="N46" s="37"/>
      <c r="O46" s="37"/>
      <c r="P46" s="37"/>
      <c r="Q46" s="56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116"/>
      <c r="AF46" s="37"/>
      <c r="AG46" s="37"/>
      <c r="AH46" s="37"/>
      <c r="AI46" s="37"/>
      <c r="AJ46" s="265"/>
      <c r="AK46" s="326"/>
      <c r="AL46" s="265"/>
      <c r="AM46" s="116" t="str">
        <f>C45</f>
        <v>GOLD BLEND ALL CAFE'  ขนาด 500 G.</v>
      </c>
    </row>
    <row r="47" spans="1:41" x14ac:dyDescent="0.3">
      <c r="A47" s="6" t="s">
        <v>1002</v>
      </c>
      <c r="B47" s="6" t="s">
        <v>23</v>
      </c>
      <c r="C47" s="6" t="s">
        <v>24</v>
      </c>
      <c r="D47" s="6" t="s">
        <v>80</v>
      </c>
      <c r="E47" s="343">
        <v>-9676.26</v>
      </c>
      <c r="F47">
        <v>-3146139.18</v>
      </c>
      <c r="G47" s="33">
        <f>((E47*2)+E51)/2</f>
        <v>-4.2600000000002183</v>
      </c>
      <c r="H47" s="123">
        <f>G47+P47</f>
        <v>-2.1849189124623081E-13</v>
      </c>
      <c r="I47" s="123"/>
      <c r="J47" s="123"/>
      <c r="K47" s="369">
        <v>101</v>
      </c>
      <c r="L47" s="102" t="s">
        <v>1128</v>
      </c>
      <c r="M47" s="33">
        <v>12</v>
      </c>
      <c r="N47" s="33">
        <v>300</v>
      </c>
      <c r="O47" s="33">
        <v>3960</v>
      </c>
      <c r="P47" s="33">
        <f>SUM(N47:O47)/1000</f>
        <v>4.26</v>
      </c>
      <c r="Q47" s="55">
        <f>G47+P47</f>
        <v>-2.1849189124623081E-13</v>
      </c>
      <c r="R47" s="36">
        <v>13</v>
      </c>
      <c r="S47" s="36">
        <v>0</v>
      </c>
      <c r="T47" s="36">
        <v>0</v>
      </c>
      <c r="U47" s="36">
        <v>265</v>
      </c>
      <c r="V47" s="36">
        <v>0</v>
      </c>
      <c r="W47" s="33">
        <v>198</v>
      </c>
      <c r="X47" s="33">
        <v>0</v>
      </c>
      <c r="Y47" s="33">
        <v>27</v>
      </c>
      <c r="Z47" s="33">
        <v>33</v>
      </c>
      <c r="AA47" s="33"/>
      <c r="AB47" s="33">
        <v>7</v>
      </c>
      <c r="AC47" s="33"/>
      <c r="AD47" s="33"/>
      <c r="AE47" s="166">
        <f>SUM(W47:AC47)</f>
        <v>265</v>
      </c>
      <c r="AF47" s="33">
        <f>U47-AE47</f>
        <v>0</v>
      </c>
      <c r="AG47" s="33"/>
      <c r="AH47" s="7">
        <f>G47/E47</f>
        <v>4.4025274227854752E-4</v>
      </c>
      <c r="AI47" s="13">
        <f>F47/E47</f>
        <v>325.1400003720446</v>
      </c>
      <c r="AJ47" s="323">
        <f>100%+AK47</f>
        <v>4.4025274227854627E-4</v>
      </c>
      <c r="AK47" s="324">
        <f>(E51*500/1000)/E47</f>
        <v>-0.99955974725772145</v>
      </c>
    </row>
    <row r="48" spans="1:41" x14ac:dyDescent="0.3">
      <c r="B48" s="6" t="s">
        <v>106</v>
      </c>
      <c r="C48" s="6" t="s">
        <v>107</v>
      </c>
      <c r="D48" s="6" t="s">
        <v>102</v>
      </c>
      <c r="E48" s="343">
        <v>-19609</v>
      </c>
      <c r="F48">
        <v>-16584.66</v>
      </c>
      <c r="G48" s="33">
        <f>E48+E51</f>
        <v>-265</v>
      </c>
      <c r="H48" s="123"/>
      <c r="I48" s="123"/>
      <c r="J48" s="123"/>
      <c r="K48" s="369"/>
      <c r="L48" s="102"/>
      <c r="AH48" s="13">
        <f t="shared" ref="AH48:AH51" si="14">G48/E48</f>
        <v>1.3514202662042939E-2</v>
      </c>
      <c r="AI48" s="13">
        <f t="shared" ref="AI48:AI51" si="15">F48/E48</f>
        <v>0.84576775970217755</v>
      </c>
      <c r="AJ48" s="163"/>
      <c r="AK48" s="325"/>
    </row>
    <row r="49" spans="1:41" x14ac:dyDescent="0.3">
      <c r="B49" s="6" t="s">
        <v>119</v>
      </c>
      <c r="C49" s="6" t="s">
        <v>120</v>
      </c>
      <c r="D49" s="6" t="s">
        <v>102</v>
      </c>
      <c r="E49" s="343">
        <v>-19609</v>
      </c>
      <c r="F49">
        <v>-40855.1</v>
      </c>
      <c r="G49" s="33">
        <f>E49+E51</f>
        <v>-265</v>
      </c>
      <c r="H49" s="123"/>
      <c r="I49" s="123"/>
      <c r="J49" s="123"/>
      <c r="K49" s="369"/>
      <c r="L49" s="102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06"/>
      <c r="AH49" s="13">
        <f t="shared" si="14"/>
        <v>1.3514202662042939E-2</v>
      </c>
      <c r="AI49" s="13">
        <f t="shared" si="15"/>
        <v>2.0834871742567187</v>
      </c>
      <c r="AJ49" s="163"/>
      <c r="AK49" s="325"/>
    </row>
    <row r="50" spans="1:41" x14ac:dyDescent="0.3">
      <c r="B50" s="6" t="s">
        <v>121</v>
      </c>
      <c r="C50" s="6" t="s">
        <v>122</v>
      </c>
      <c r="D50" s="6" t="s">
        <v>102</v>
      </c>
      <c r="E50" s="343">
        <v>-3235</v>
      </c>
      <c r="F50">
        <v>-16175</v>
      </c>
      <c r="G50" s="33">
        <f>(E51/6)+E50</f>
        <v>-11</v>
      </c>
      <c r="I50" s="123">
        <f>(E51/6)+R47+S47+T47</f>
        <v>3237</v>
      </c>
      <c r="J50" s="123">
        <f>E50+I50</f>
        <v>2</v>
      </c>
      <c r="K50" s="369"/>
      <c r="L50" s="102"/>
      <c r="AH50" s="13">
        <f t="shared" si="14"/>
        <v>3.4003091190108192E-3</v>
      </c>
      <c r="AI50" s="13">
        <f t="shared" si="15"/>
        <v>5</v>
      </c>
      <c r="AJ50" s="163"/>
      <c r="AK50" s="325"/>
      <c r="AN50" s="12">
        <f>E51*500</f>
        <v>9672000</v>
      </c>
      <c r="AO50" s="47">
        <f>AN50/1000</f>
        <v>9672</v>
      </c>
    </row>
    <row r="51" spans="1:41" x14ac:dyDescent="0.3">
      <c r="B51" s="6" t="s">
        <v>81</v>
      </c>
      <c r="C51" s="6" t="s">
        <v>82</v>
      </c>
      <c r="D51" s="6" t="s">
        <v>74</v>
      </c>
      <c r="E51" s="343">
        <v>19344</v>
      </c>
      <c r="F51">
        <v>3285771.84</v>
      </c>
      <c r="G51" s="33">
        <f>(E51*500)/1000000</f>
        <v>9.6720000000000006</v>
      </c>
      <c r="L51" s="102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06"/>
      <c r="AH51" s="13">
        <f t="shared" si="14"/>
        <v>5.0000000000000001E-4</v>
      </c>
      <c r="AI51" s="345">
        <f t="shared" si="15"/>
        <v>169.85999999999999</v>
      </c>
      <c r="AJ51" s="163"/>
      <c r="AK51" s="325"/>
      <c r="AL51" s="133">
        <f>AI51*2</f>
        <v>339.71999999999997</v>
      </c>
      <c r="AM51" s="106"/>
    </row>
    <row r="52" spans="1:41" x14ac:dyDescent="0.3">
      <c r="A52" s="6" t="s">
        <v>1116</v>
      </c>
      <c r="E52">
        <v>-32785.26</v>
      </c>
      <c r="F52">
        <v>66017.899999999441</v>
      </c>
      <c r="G52" s="13"/>
      <c r="H52" s="123"/>
      <c r="I52" s="123"/>
      <c r="J52" s="123"/>
      <c r="K52" s="369"/>
      <c r="L52" s="251"/>
      <c r="M52" s="37"/>
      <c r="N52" s="37"/>
      <c r="O52" s="37"/>
      <c r="P52" s="37"/>
      <c r="Q52" s="56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116"/>
      <c r="AF52" s="37"/>
      <c r="AG52" s="37"/>
      <c r="AH52" s="37"/>
      <c r="AI52" s="37"/>
      <c r="AJ52" s="265"/>
      <c r="AK52" s="326"/>
      <c r="AL52" s="265"/>
      <c r="AM52" s="116" t="str">
        <f>C51</f>
        <v>GOLD BLEND ALL CAFE'  ขนาด 500 G.</v>
      </c>
    </row>
    <row r="53" spans="1:41" x14ac:dyDescent="0.3">
      <c r="A53" s="350" t="s">
        <v>1023</v>
      </c>
      <c r="B53" s="6" t="s">
        <v>23</v>
      </c>
      <c r="C53" s="6" t="s">
        <v>24</v>
      </c>
      <c r="D53" s="6" t="s">
        <v>80</v>
      </c>
      <c r="E53" s="343">
        <v>-10060.59</v>
      </c>
      <c r="F53">
        <v>-3271100.23</v>
      </c>
      <c r="G53" s="33">
        <f>((E53*2)+E57)/2</f>
        <v>-7.5900000000001455</v>
      </c>
      <c r="H53" s="123">
        <f>G53+P53</f>
        <v>-1.4566126083082054E-13</v>
      </c>
      <c r="I53" s="123"/>
      <c r="J53" s="123"/>
      <c r="K53" s="369">
        <v>101</v>
      </c>
      <c r="L53" s="102" t="s">
        <v>1129</v>
      </c>
      <c r="M53" s="33">
        <v>6</v>
      </c>
      <c r="N53" s="33">
        <v>460</v>
      </c>
      <c r="O53" s="33">
        <v>7130</v>
      </c>
      <c r="P53" s="33">
        <f>SUM(N53:O53)/1000</f>
        <v>7.59</v>
      </c>
      <c r="Q53" s="55">
        <f>G53+P53</f>
        <v>-1.4566126083082054E-13</v>
      </c>
      <c r="R53" s="36">
        <v>13</v>
      </c>
      <c r="S53" s="36">
        <v>0</v>
      </c>
      <c r="T53" s="36">
        <v>0</v>
      </c>
      <c r="U53" s="36">
        <v>348</v>
      </c>
      <c r="V53" s="36">
        <v>0</v>
      </c>
      <c r="W53" s="33">
        <v>157</v>
      </c>
      <c r="X53" s="33">
        <v>134</v>
      </c>
      <c r="Y53" s="33">
        <v>17</v>
      </c>
      <c r="Z53" s="33">
        <v>40</v>
      </c>
      <c r="AA53" s="33">
        <v>0</v>
      </c>
      <c r="AB53" s="33">
        <v>0</v>
      </c>
      <c r="AC53" s="33"/>
      <c r="AD53" s="33"/>
      <c r="AE53" s="166">
        <f>SUM(W53:AC53)</f>
        <v>348</v>
      </c>
      <c r="AF53" s="33">
        <f>U53-AE53</f>
        <v>0</v>
      </c>
      <c r="AG53" s="33"/>
      <c r="AH53" s="7">
        <f>G53/E53</f>
        <v>7.5442891520280072E-4</v>
      </c>
      <c r="AI53" s="13">
        <f>F53/E53</f>
        <v>325.13999974156587</v>
      </c>
      <c r="AJ53" s="323">
        <f>100%+AK53</f>
        <v>7.5442891520283162E-4</v>
      </c>
      <c r="AK53" s="324">
        <f>(E57*500/1000)/E53</f>
        <v>-0.99924557108479717</v>
      </c>
    </row>
    <row r="54" spans="1:41" x14ac:dyDescent="0.3">
      <c r="B54" s="6" t="s">
        <v>106</v>
      </c>
      <c r="C54" s="6" t="s">
        <v>107</v>
      </c>
      <c r="D54" s="6" t="s">
        <v>102</v>
      </c>
      <c r="E54" s="343">
        <v>-20454</v>
      </c>
      <c r="F54">
        <v>-17299.330000000002</v>
      </c>
      <c r="G54" s="33">
        <f>E54+E57</f>
        <v>-348</v>
      </c>
      <c r="H54" s="123"/>
      <c r="I54" s="123"/>
      <c r="J54" s="123"/>
      <c r="K54" s="369"/>
      <c r="L54" s="102"/>
      <c r="AH54" s="7">
        <f t="shared" ref="AH54:AH57" si="16">G54/E54</f>
        <v>1.7013787034320917E-2</v>
      </c>
      <c r="AI54" s="13">
        <f t="shared" ref="AI54:AI57" si="17">F54/E54</f>
        <v>0.84576757602424957</v>
      </c>
      <c r="AJ54" s="163"/>
      <c r="AK54" s="325"/>
    </row>
    <row r="55" spans="1:41" x14ac:dyDescent="0.3">
      <c r="B55" s="6" t="s">
        <v>119</v>
      </c>
      <c r="C55" s="6" t="s">
        <v>120</v>
      </c>
      <c r="D55" s="6" t="s">
        <v>102</v>
      </c>
      <c r="E55" s="343">
        <v>-20454</v>
      </c>
      <c r="F55">
        <v>-42615.64</v>
      </c>
      <c r="G55" s="33">
        <f>E55+E57</f>
        <v>-348</v>
      </c>
      <c r="H55" s="123"/>
      <c r="I55" s="123"/>
      <c r="J55" s="123"/>
      <c r="K55" s="369"/>
      <c r="L55" s="102"/>
      <c r="T55" s="13"/>
      <c r="U55" s="13"/>
      <c r="V55" s="13"/>
      <c r="AH55" s="7">
        <f t="shared" si="16"/>
        <v>1.7013787034320917E-2</v>
      </c>
      <c r="AI55" s="13">
        <f t="shared" si="17"/>
        <v>2.083486848538183</v>
      </c>
      <c r="AJ55" s="163"/>
      <c r="AK55" s="325"/>
      <c r="AM55" s="106"/>
    </row>
    <row r="56" spans="1:41" x14ac:dyDescent="0.3">
      <c r="B56" s="6" t="s">
        <v>121</v>
      </c>
      <c r="C56" s="6" t="s">
        <v>122</v>
      </c>
      <c r="D56" s="6" t="s">
        <v>102</v>
      </c>
      <c r="E56" s="343">
        <v>-3363</v>
      </c>
      <c r="F56">
        <v>-16815</v>
      </c>
      <c r="G56" s="33">
        <f>(E57/6)+E56</f>
        <v>-12</v>
      </c>
      <c r="I56" s="123">
        <f>(E57/6)+R53+S53+T53</f>
        <v>3364</v>
      </c>
      <c r="J56" s="123">
        <f>E56+I56</f>
        <v>1</v>
      </c>
      <c r="K56" s="369"/>
      <c r="L56" s="102"/>
      <c r="AH56" s="7">
        <f t="shared" si="16"/>
        <v>3.5682426404995541E-3</v>
      </c>
      <c r="AI56" s="13">
        <f t="shared" si="17"/>
        <v>5</v>
      </c>
      <c r="AJ56" s="163"/>
      <c r="AK56" s="325"/>
      <c r="AL56" s="163"/>
      <c r="AM56" s="106"/>
      <c r="AN56" s="12">
        <f>E57*500</f>
        <v>10053000</v>
      </c>
      <c r="AO56" s="47">
        <f>AN56/1000</f>
        <v>10053</v>
      </c>
    </row>
    <row r="57" spans="1:41" x14ac:dyDescent="0.3">
      <c r="B57" s="6" t="s">
        <v>81</v>
      </c>
      <c r="C57" s="6" t="s">
        <v>82</v>
      </c>
      <c r="D57" s="6" t="s">
        <v>74</v>
      </c>
      <c r="E57" s="343">
        <v>20106</v>
      </c>
      <c r="F57">
        <v>3415205.16</v>
      </c>
      <c r="G57" s="33">
        <f>(E57*500)/1000000</f>
        <v>10.053000000000001</v>
      </c>
      <c r="L57" s="102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06"/>
      <c r="AF57" s="13"/>
      <c r="AG57" s="13"/>
      <c r="AH57" s="7">
        <f t="shared" si="16"/>
        <v>5.0000000000000001E-4</v>
      </c>
      <c r="AI57" s="345">
        <f t="shared" si="17"/>
        <v>169.86</v>
      </c>
      <c r="AJ57" s="163"/>
      <c r="AK57" s="325"/>
      <c r="AL57" s="133">
        <f>AI57*2</f>
        <v>339.72</v>
      </c>
      <c r="AM57" s="106"/>
    </row>
    <row r="58" spans="1:41" x14ac:dyDescent="0.3">
      <c r="A58" s="6" t="s">
        <v>1120</v>
      </c>
      <c r="E58">
        <v>-34225.589999999997</v>
      </c>
      <c r="F58">
        <v>67374.959999999963</v>
      </c>
      <c r="G58" s="13"/>
      <c r="H58" s="123"/>
      <c r="I58" s="123"/>
      <c r="J58" s="123"/>
      <c r="K58" s="369"/>
      <c r="L58" s="251"/>
      <c r="M58" s="37"/>
      <c r="N58" s="37"/>
      <c r="O58" s="37"/>
      <c r="P58" s="37"/>
      <c r="Q58" s="56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116"/>
      <c r="AF58" s="37"/>
      <c r="AG58" s="37"/>
      <c r="AH58" s="37"/>
      <c r="AI58" s="37"/>
      <c r="AJ58" s="265"/>
      <c r="AK58" s="326"/>
      <c r="AL58" s="265"/>
      <c r="AM58" s="116" t="str">
        <f>C57</f>
        <v>GOLD BLEND ALL CAFE'  ขนาด 500 G.</v>
      </c>
    </row>
    <row r="59" spans="1:41" x14ac:dyDescent="0.3">
      <c r="A59" s="6" t="s">
        <v>1028</v>
      </c>
      <c r="B59" s="6" t="s">
        <v>23</v>
      </c>
      <c r="C59" s="6" t="s">
        <v>24</v>
      </c>
      <c r="D59" s="6" t="s">
        <v>80</v>
      </c>
      <c r="E59" s="343">
        <v>-9645.68</v>
      </c>
      <c r="F59">
        <v>-3136196.4</v>
      </c>
      <c r="G59" s="33">
        <f>((E59*2)+E63)/2</f>
        <v>-3.680000000000291</v>
      </c>
      <c r="H59" s="123">
        <f>G59+P59</f>
        <v>-2.9087843245179101E-13</v>
      </c>
      <c r="I59" s="123"/>
      <c r="J59" s="123"/>
      <c r="K59" s="369">
        <v>101</v>
      </c>
      <c r="L59" s="102" t="s">
        <v>1130</v>
      </c>
      <c r="M59" s="33">
        <v>6</v>
      </c>
      <c r="N59" s="33">
        <v>950</v>
      </c>
      <c r="O59" s="33">
        <v>2730</v>
      </c>
      <c r="P59" s="33">
        <f>SUM(N59:O59)/1000</f>
        <v>3.68</v>
      </c>
      <c r="Q59" s="55">
        <f>G59+P59</f>
        <v>-2.9087843245179101E-13</v>
      </c>
      <c r="R59" s="36">
        <v>12</v>
      </c>
      <c r="S59" s="36">
        <v>0</v>
      </c>
      <c r="T59" s="36">
        <v>0</v>
      </c>
      <c r="U59" s="36">
        <v>271</v>
      </c>
      <c r="V59" s="36">
        <v>0</v>
      </c>
      <c r="W59" s="33">
        <v>203</v>
      </c>
      <c r="X59" s="33">
        <v>0</v>
      </c>
      <c r="Y59" s="33">
        <v>13</v>
      </c>
      <c r="Z59" s="33">
        <v>21</v>
      </c>
      <c r="AA59" s="33">
        <v>0</v>
      </c>
      <c r="AB59" s="33">
        <v>34</v>
      </c>
      <c r="AC59" s="33"/>
      <c r="AD59" s="33"/>
      <c r="AE59" s="166">
        <f>SUM(W59:AC59)</f>
        <v>271</v>
      </c>
      <c r="AF59" s="33">
        <f>U59-AE59</f>
        <v>0</v>
      </c>
      <c r="AG59" s="33"/>
      <c r="AH59" s="7">
        <f>G59/E59</f>
        <v>3.8151794378419056E-4</v>
      </c>
      <c r="AI59" s="13">
        <f>F59/E59</f>
        <v>325.14000049763206</v>
      </c>
      <c r="AJ59" s="323">
        <f>100%+AK59</f>
        <v>3.8151794378415982E-4</v>
      </c>
      <c r="AK59" s="324">
        <f>(E63*500/1000)/E59</f>
        <v>-0.99961848205621584</v>
      </c>
    </row>
    <row r="60" spans="1:41" x14ac:dyDescent="0.3">
      <c r="B60" s="6" t="s">
        <v>106</v>
      </c>
      <c r="C60" s="6" t="s">
        <v>107</v>
      </c>
      <c r="D60" s="6" t="s">
        <v>102</v>
      </c>
      <c r="E60" s="343">
        <v>-19555</v>
      </c>
      <c r="F60">
        <v>-16538.990000000002</v>
      </c>
      <c r="G60" s="33">
        <f>E60+E63</f>
        <v>-271</v>
      </c>
      <c r="H60" s="123"/>
      <c r="I60" s="123"/>
      <c r="J60" s="123"/>
      <c r="K60" s="369"/>
      <c r="L60" s="102"/>
      <c r="N60" s="143"/>
      <c r="O60" s="143"/>
      <c r="AH60" s="13">
        <f t="shared" ref="AH60:AH63" si="18">G60/E60</f>
        <v>1.3858348248529788E-2</v>
      </c>
      <c r="AI60" s="13">
        <f t="shared" ref="AI60:AI63" si="19">F60/E60</f>
        <v>0.84576783431347491</v>
      </c>
      <c r="AJ60" s="163"/>
      <c r="AK60" s="325"/>
    </row>
    <row r="61" spans="1:41" x14ac:dyDescent="0.3">
      <c r="B61" s="6" t="s">
        <v>119</v>
      </c>
      <c r="C61" s="6" t="s">
        <v>120</v>
      </c>
      <c r="D61" s="6" t="s">
        <v>102</v>
      </c>
      <c r="E61" s="343">
        <v>-19555</v>
      </c>
      <c r="F61">
        <v>-40742.590000000004</v>
      </c>
      <c r="G61" s="33">
        <f>E61+E63</f>
        <v>-271</v>
      </c>
      <c r="H61" s="123"/>
      <c r="I61" s="123"/>
      <c r="J61" s="123"/>
      <c r="K61" s="369"/>
      <c r="L61" s="102"/>
      <c r="N61" s="143"/>
      <c r="O61" s="143"/>
      <c r="T61" s="13"/>
      <c r="U61" s="13"/>
      <c r="V61" s="13"/>
      <c r="AH61" s="13">
        <f t="shared" si="18"/>
        <v>1.3858348248529788E-2</v>
      </c>
      <c r="AI61" s="13">
        <f t="shared" si="19"/>
        <v>2.0834870877013554</v>
      </c>
      <c r="AJ61" s="163"/>
      <c r="AK61" s="325"/>
    </row>
    <row r="62" spans="1:41" x14ac:dyDescent="0.3">
      <c r="B62" s="6" t="s">
        <v>121</v>
      </c>
      <c r="C62" s="6" t="s">
        <v>122</v>
      </c>
      <c r="D62" s="6" t="s">
        <v>102</v>
      </c>
      <c r="E62" s="343">
        <v>-3225</v>
      </c>
      <c r="F62">
        <v>-16125</v>
      </c>
      <c r="G62" s="33">
        <f>(E63/6)+E62</f>
        <v>-11</v>
      </c>
      <c r="I62" s="123">
        <f>(E63/6)+R59+S59+T59</f>
        <v>3226</v>
      </c>
      <c r="J62" s="123">
        <f>E62+I62</f>
        <v>1</v>
      </c>
      <c r="K62" s="369"/>
      <c r="L62" s="102"/>
      <c r="N62" s="143"/>
      <c r="O62" s="143"/>
      <c r="AH62" s="13">
        <f t="shared" si="18"/>
        <v>3.4108527131782944E-3</v>
      </c>
      <c r="AI62" s="13">
        <f t="shared" si="19"/>
        <v>5</v>
      </c>
      <c r="AJ62" s="163"/>
      <c r="AK62" s="325"/>
      <c r="AN62" s="12">
        <f>E63*500</f>
        <v>9642000</v>
      </c>
      <c r="AO62" s="47">
        <f>AN62/1000</f>
        <v>9642</v>
      </c>
    </row>
    <row r="63" spans="1:41" x14ac:dyDescent="0.3">
      <c r="B63" s="6" t="s">
        <v>81</v>
      </c>
      <c r="C63" s="6" t="s">
        <v>82</v>
      </c>
      <c r="D63" s="6" t="s">
        <v>74</v>
      </c>
      <c r="E63" s="343">
        <v>19284</v>
      </c>
      <c r="F63">
        <v>3275580.24</v>
      </c>
      <c r="G63" s="33">
        <f>(E63*500)/1000000</f>
        <v>9.6419999999999995</v>
      </c>
      <c r="L63" s="102"/>
      <c r="N63" s="144"/>
      <c r="O63" s="14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06"/>
      <c r="AH63" s="13">
        <f t="shared" si="18"/>
        <v>5.0000000000000001E-4</v>
      </c>
      <c r="AI63" s="345">
        <f t="shared" si="19"/>
        <v>169.86</v>
      </c>
      <c r="AJ63" s="163"/>
      <c r="AK63" s="325"/>
      <c r="AL63" s="133">
        <f>AI63*2</f>
        <v>339.72</v>
      </c>
      <c r="AM63" s="106"/>
    </row>
    <row r="64" spans="1:41" x14ac:dyDescent="0.3">
      <c r="A64" s="6" t="s">
        <v>1121</v>
      </c>
      <c r="E64">
        <v>-32696.68</v>
      </c>
      <c r="F64">
        <v>65977.260000000242</v>
      </c>
      <c r="G64" s="13"/>
      <c r="H64" s="123"/>
      <c r="I64" s="123"/>
      <c r="J64" s="123"/>
      <c r="K64" s="369"/>
      <c r="L64" s="251"/>
      <c r="M64" s="37"/>
      <c r="N64" s="37"/>
      <c r="O64" s="37"/>
      <c r="P64" s="37"/>
      <c r="Q64" s="56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116"/>
      <c r="AF64" s="37"/>
      <c r="AG64" s="37"/>
      <c r="AH64" s="37"/>
      <c r="AI64" s="37"/>
      <c r="AJ64" s="265"/>
      <c r="AK64" s="326"/>
      <c r="AL64" s="265"/>
      <c r="AM64" s="116" t="str">
        <f>C63</f>
        <v>GOLD BLEND ALL CAFE'  ขนาด 500 G.</v>
      </c>
    </row>
    <row r="65" spans="1:43" x14ac:dyDescent="0.3">
      <c r="A65" s="6" t="s">
        <v>1033</v>
      </c>
      <c r="B65" s="6" t="s">
        <v>23</v>
      </c>
      <c r="C65" s="6" t="s">
        <v>24</v>
      </c>
      <c r="D65" s="6" t="s">
        <v>80</v>
      </c>
      <c r="E65" s="343">
        <v>-9465.5499999999993</v>
      </c>
      <c r="F65">
        <v>-3077628.93</v>
      </c>
      <c r="G65" s="33">
        <f>((E65*2)+E69)/2</f>
        <v>-3.0499999999992724</v>
      </c>
      <c r="H65" s="123">
        <f>G65+P65</f>
        <v>7.2741812573440257E-13</v>
      </c>
      <c r="I65" s="123"/>
      <c r="J65" s="123"/>
      <c r="K65" s="369">
        <v>101</v>
      </c>
      <c r="L65" s="102" t="s">
        <v>1131</v>
      </c>
      <c r="M65" s="33">
        <v>19</v>
      </c>
      <c r="N65" s="33">
        <v>260</v>
      </c>
      <c r="O65" s="33">
        <v>2790</v>
      </c>
      <c r="P65" s="33">
        <f>SUM(N65:O65)/1000</f>
        <v>3.05</v>
      </c>
      <c r="Q65" s="55">
        <f>G65+P65</f>
        <v>7.2741812573440257E-13</v>
      </c>
      <c r="R65" s="36">
        <v>37</v>
      </c>
      <c r="S65" s="36">
        <v>0</v>
      </c>
      <c r="T65" s="36">
        <v>0</v>
      </c>
      <c r="U65" s="36">
        <v>283</v>
      </c>
      <c r="V65" s="36">
        <v>0</v>
      </c>
      <c r="W65" s="33">
        <v>139</v>
      </c>
      <c r="X65" s="33">
        <v>62</v>
      </c>
      <c r="Y65" s="33">
        <v>17</v>
      </c>
      <c r="Z65" s="33">
        <v>22</v>
      </c>
      <c r="AA65" s="33"/>
      <c r="AB65" s="33">
        <v>43</v>
      </c>
      <c r="AC65" s="33"/>
      <c r="AD65" s="33"/>
      <c r="AE65" s="166">
        <f>SUM(W65:AC65)</f>
        <v>283</v>
      </c>
      <c r="AF65" s="33">
        <f>U65-AE65</f>
        <v>0</v>
      </c>
      <c r="AG65" s="33"/>
      <c r="AH65" s="7">
        <f>G65/E65</f>
        <v>3.2222110706713004E-4</v>
      </c>
      <c r="AI65" s="13">
        <f>F65/E65</f>
        <v>325.14000031693882</v>
      </c>
      <c r="AJ65" s="323">
        <f>100%+AK65</f>
        <v>3.2222110706714435E-4</v>
      </c>
      <c r="AK65" s="324">
        <f>(E69*500/1000)/E65</f>
        <v>-0.99967777889293286</v>
      </c>
    </row>
    <row r="66" spans="1:43" x14ac:dyDescent="0.3">
      <c r="B66" s="6" t="s">
        <v>106</v>
      </c>
      <c r="C66" s="6" t="s">
        <v>107</v>
      </c>
      <c r="D66" s="6" t="s">
        <v>102</v>
      </c>
      <c r="E66" s="343">
        <v>-19208</v>
      </c>
      <c r="F66">
        <v>-16245.5</v>
      </c>
      <c r="G66" s="33">
        <f>E66+E69</f>
        <v>-283</v>
      </c>
      <c r="H66" s="123"/>
      <c r="I66" s="123"/>
      <c r="J66" s="123"/>
      <c r="K66" s="369"/>
      <c r="L66" s="102"/>
      <c r="AH66" s="13">
        <f t="shared" ref="AH66:AH69" si="20">G66/E66</f>
        <v>1.473344439816743E-2</v>
      </c>
      <c r="AI66" s="13">
        <f t="shared" ref="AI66:AI69" si="21">F66/E66</f>
        <v>0.84576738858808831</v>
      </c>
      <c r="AJ66" s="163"/>
      <c r="AK66" s="325"/>
    </row>
    <row r="67" spans="1:43" x14ac:dyDescent="0.3">
      <c r="B67" s="6" t="s">
        <v>119</v>
      </c>
      <c r="C67" s="6" t="s">
        <v>120</v>
      </c>
      <c r="D67" s="6" t="s">
        <v>102</v>
      </c>
      <c r="E67" s="343">
        <v>-19208</v>
      </c>
      <c r="F67">
        <v>-40019.620000000003</v>
      </c>
      <c r="G67" s="33">
        <f>E67+E69</f>
        <v>-283</v>
      </c>
      <c r="H67" s="123"/>
      <c r="I67" s="123"/>
      <c r="J67" s="123"/>
      <c r="K67" s="369"/>
      <c r="L67" s="102"/>
      <c r="T67" s="13"/>
      <c r="U67" s="13"/>
      <c r="V67" s="13"/>
      <c r="AH67" s="13">
        <f t="shared" si="20"/>
        <v>1.473344439816743E-2</v>
      </c>
      <c r="AI67" s="13">
        <f t="shared" si="21"/>
        <v>2.0834870887130363</v>
      </c>
      <c r="AJ67" s="163"/>
      <c r="AK67" s="325"/>
      <c r="AP67" s="66"/>
      <c r="AQ67" s="66"/>
    </row>
    <row r="68" spans="1:43" x14ac:dyDescent="0.3">
      <c r="B68" s="6" t="s">
        <v>121</v>
      </c>
      <c r="C68" s="6" t="s">
        <v>122</v>
      </c>
      <c r="D68" s="6" t="s">
        <v>102</v>
      </c>
      <c r="E68" s="343">
        <v>-3188</v>
      </c>
      <c r="F68">
        <v>-15940</v>
      </c>
      <c r="G68" s="33">
        <f>(E69/6)+E68</f>
        <v>-33.833333333333485</v>
      </c>
      <c r="I68" s="123">
        <f>(E69/6)+R65+S65+T65</f>
        <v>3191.1666666666665</v>
      </c>
      <c r="J68" s="123">
        <f>E68+I68</f>
        <v>3.1666666666665151</v>
      </c>
      <c r="K68" s="369"/>
      <c r="L68" s="102"/>
      <c r="AH68" s="13">
        <f t="shared" si="20"/>
        <v>1.0612714345462198E-2</v>
      </c>
      <c r="AI68" s="13">
        <f t="shared" si="21"/>
        <v>5</v>
      </c>
      <c r="AJ68" s="163"/>
      <c r="AK68" s="325"/>
      <c r="AN68" s="12">
        <f>E69*500</f>
        <v>9462500</v>
      </c>
      <c r="AO68" s="47">
        <f>AN68/1000</f>
        <v>9462.5</v>
      </c>
    </row>
    <row r="69" spans="1:43" x14ac:dyDescent="0.3">
      <c r="B69" s="6" t="s">
        <v>81</v>
      </c>
      <c r="C69" s="6" t="s">
        <v>82</v>
      </c>
      <c r="D69" s="6" t="s">
        <v>74</v>
      </c>
      <c r="E69" s="343">
        <v>18925</v>
      </c>
      <c r="F69">
        <v>3214600.5</v>
      </c>
      <c r="G69" s="33">
        <f>(E69*500)/1000000</f>
        <v>9.4625000000000004</v>
      </c>
      <c r="L69" s="102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06"/>
      <c r="AF69" s="13"/>
      <c r="AG69" s="13"/>
      <c r="AH69" s="13">
        <f t="shared" si="20"/>
        <v>5.0000000000000001E-4</v>
      </c>
      <c r="AI69" s="345">
        <f t="shared" si="21"/>
        <v>169.86</v>
      </c>
      <c r="AJ69" s="163"/>
      <c r="AK69" s="325"/>
      <c r="AL69" s="133">
        <f>AI69*2</f>
        <v>339.72</v>
      </c>
      <c r="AM69" s="106"/>
    </row>
    <row r="70" spans="1:43" x14ac:dyDescent="0.3">
      <c r="A70" s="6" t="s">
        <v>1122</v>
      </c>
      <c r="E70">
        <v>-32144.550000000003</v>
      </c>
      <c r="F70">
        <v>64766.449999999721</v>
      </c>
      <c r="G70" s="13"/>
      <c r="H70" s="123"/>
      <c r="I70" s="123"/>
      <c r="J70" s="123"/>
      <c r="K70" s="369"/>
      <c r="L70" s="251"/>
      <c r="M70" s="37"/>
      <c r="N70" s="37"/>
      <c r="O70" s="37"/>
      <c r="P70" s="37"/>
      <c r="Q70" s="56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116"/>
      <c r="AF70" s="37"/>
      <c r="AG70" s="37"/>
      <c r="AH70" s="37"/>
      <c r="AI70" s="37"/>
      <c r="AJ70" s="265"/>
      <c r="AK70" s="326"/>
      <c r="AL70" s="265"/>
      <c r="AM70" s="116" t="str">
        <f>C69</f>
        <v>GOLD BLEND ALL CAFE'  ขนาด 500 G.</v>
      </c>
    </row>
    <row r="71" spans="1:43" x14ac:dyDescent="0.3">
      <c r="A71" s="6" t="s">
        <v>1259</v>
      </c>
      <c r="B71" s="6" t="s">
        <v>23</v>
      </c>
      <c r="C71" s="6" t="s">
        <v>24</v>
      </c>
      <c r="D71" s="6" t="s">
        <v>80</v>
      </c>
      <c r="E71" s="343">
        <v>-10041.99</v>
      </c>
      <c r="F71">
        <v>-3265052.63</v>
      </c>
      <c r="G71" s="33">
        <f>((E71*2)+E75)/2</f>
        <v>-3.4899999999997817</v>
      </c>
      <c r="H71" s="123">
        <f>G71+P71</f>
        <v>2.1849189124623081E-13</v>
      </c>
      <c r="I71" s="123"/>
      <c r="J71" s="123"/>
      <c r="K71" s="369">
        <v>101</v>
      </c>
      <c r="L71" s="102" t="s">
        <v>1305</v>
      </c>
      <c r="M71" s="33">
        <v>13</v>
      </c>
      <c r="N71" s="33">
        <v>230</v>
      </c>
      <c r="O71" s="33">
        <v>3260</v>
      </c>
      <c r="P71" s="33">
        <f>SUM(N71:O71)/1000</f>
        <v>3.49</v>
      </c>
      <c r="Q71" s="55">
        <f>G71+P71</f>
        <v>2.1849189124623081E-13</v>
      </c>
      <c r="R71" s="90">
        <v>14</v>
      </c>
      <c r="S71" s="90">
        <v>0</v>
      </c>
      <c r="T71" s="90">
        <v>0</v>
      </c>
      <c r="U71" s="90">
        <v>375</v>
      </c>
      <c r="V71" s="90">
        <v>0</v>
      </c>
      <c r="W71" s="33">
        <v>256</v>
      </c>
      <c r="X71" s="33">
        <v>0</v>
      </c>
      <c r="Y71" s="33">
        <v>56</v>
      </c>
      <c r="Z71" s="33">
        <v>38</v>
      </c>
      <c r="AA71" s="33"/>
      <c r="AB71" s="33">
        <v>25</v>
      </c>
      <c r="AC71" s="33"/>
      <c r="AD71" s="33"/>
      <c r="AE71" s="166">
        <f>SUM(W71:AC71)</f>
        <v>375</v>
      </c>
      <c r="AF71" s="33">
        <f>U71-AE71</f>
        <v>0</v>
      </c>
      <c r="AG71" s="33"/>
      <c r="AH71" s="7">
        <f>G71/E71</f>
        <v>3.4754067669852108E-4</v>
      </c>
      <c r="AI71" s="13">
        <f>F71/E71</f>
        <v>325.14000013941461</v>
      </c>
      <c r="AJ71" s="323">
        <f>100%+AK71</f>
        <v>3.4754067669851008E-4</v>
      </c>
      <c r="AK71" s="324">
        <f>(E75*500/1000)/E71</f>
        <v>-0.99965245932330149</v>
      </c>
    </row>
    <row r="72" spans="1:43" x14ac:dyDescent="0.3">
      <c r="B72" s="6" t="s">
        <v>106</v>
      </c>
      <c r="C72" s="6" t="s">
        <v>107</v>
      </c>
      <c r="D72" s="6" t="s">
        <v>102</v>
      </c>
      <c r="E72" s="343">
        <v>-20452</v>
      </c>
      <c r="F72">
        <v>-17297.64</v>
      </c>
      <c r="G72" s="33">
        <f>E72+E75</f>
        <v>-375</v>
      </c>
      <c r="H72" s="123"/>
      <c r="I72" s="123"/>
      <c r="J72" s="123"/>
      <c r="K72" s="369"/>
      <c r="L72" s="102"/>
      <c r="AH72" s="7">
        <f t="shared" ref="AH72:AH75" si="22">G72/E72</f>
        <v>1.8335615098767848E-2</v>
      </c>
      <c r="AI72" s="13">
        <f t="shared" ref="AI72:AI75" si="23">F72/E72</f>
        <v>0.84576765108546836</v>
      </c>
      <c r="AJ72" s="163"/>
      <c r="AK72" s="325"/>
    </row>
    <row r="73" spans="1:43" x14ac:dyDescent="0.3">
      <c r="B73" s="6" t="s">
        <v>119</v>
      </c>
      <c r="C73" s="6" t="s">
        <v>120</v>
      </c>
      <c r="D73" s="6" t="s">
        <v>102</v>
      </c>
      <c r="E73" s="343">
        <v>-20452</v>
      </c>
      <c r="F73">
        <v>-42611.48</v>
      </c>
      <c r="G73" s="33">
        <f>E73+E75</f>
        <v>-375</v>
      </c>
      <c r="H73" s="123"/>
      <c r="I73" s="123"/>
      <c r="J73" s="123"/>
      <c r="K73" s="369"/>
      <c r="L73" s="102"/>
      <c r="T73" s="13"/>
      <c r="U73" s="13"/>
      <c r="V73" s="13"/>
      <c r="AH73" s="7">
        <f t="shared" si="22"/>
        <v>1.8335615098767848E-2</v>
      </c>
      <c r="AI73" s="13">
        <f t="shared" si="23"/>
        <v>2.083487189516918</v>
      </c>
      <c r="AJ73" s="163"/>
      <c r="AK73" s="325"/>
      <c r="AN73" s="69"/>
      <c r="AO73" s="66"/>
    </row>
    <row r="74" spans="1:43" x14ac:dyDescent="0.3">
      <c r="B74" s="6" t="s">
        <v>121</v>
      </c>
      <c r="C74" s="6" t="s">
        <v>122</v>
      </c>
      <c r="D74" s="6" t="s">
        <v>102</v>
      </c>
      <c r="E74" s="343">
        <v>-3358</v>
      </c>
      <c r="F74">
        <v>-16790</v>
      </c>
      <c r="G74" s="33">
        <f>(E75/6)+E74</f>
        <v>-11.833333333333485</v>
      </c>
      <c r="I74" s="123">
        <f>(E75/6)+R71+S71+T71</f>
        <v>3360.1666666666665</v>
      </c>
      <c r="J74" s="123">
        <f>E74+I74</f>
        <v>2.1666666666665151</v>
      </c>
      <c r="K74" s="369"/>
      <c r="L74" s="252"/>
      <c r="M74" s="68"/>
      <c r="N74" s="68"/>
      <c r="O74" s="69"/>
      <c r="P74" s="69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58"/>
      <c r="AF74" s="69"/>
      <c r="AG74" s="69"/>
      <c r="AH74" s="7">
        <f t="shared" si="22"/>
        <v>3.5239229700218836E-3</v>
      </c>
      <c r="AI74" s="13">
        <f t="shared" si="23"/>
        <v>5</v>
      </c>
      <c r="AJ74" s="163"/>
      <c r="AK74" s="325"/>
      <c r="AN74" s="12">
        <f>E75*500</f>
        <v>10038500</v>
      </c>
      <c r="AO74" s="47">
        <f>AN74/1000</f>
        <v>10038.5</v>
      </c>
      <c r="AP74" s="66"/>
      <c r="AQ74" s="66"/>
    </row>
    <row r="75" spans="1:43" x14ac:dyDescent="0.3">
      <c r="B75" s="6" t="s">
        <v>81</v>
      </c>
      <c r="C75" s="6" t="s">
        <v>82</v>
      </c>
      <c r="D75" s="6" t="s">
        <v>74</v>
      </c>
      <c r="E75" s="343">
        <v>20077</v>
      </c>
      <c r="F75">
        <v>3410279.22</v>
      </c>
      <c r="G75" s="33">
        <f>(E75*500)/1000000</f>
        <v>10.038500000000001</v>
      </c>
      <c r="K75" s="369"/>
      <c r="L75" s="102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06"/>
      <c r="AH75" s="7">
        <f t="shared" si="22"/>
        <v>5.0000000000000001E-4</v>
      </c>
      <c r="AI75" s="345">
        <f t="shared" si="23"/>
        <v>169.86</v>
      </c>
      <c r="AJ75" s="163"/>
      <c r="AK75" s="325"/>
      <c r="AL75" s="133">
        <f>AI75*2</f>
        <v>339.72</v>
      </c>
      <c r="AM75" s="106"/>
    </row>
    <row r="76" spans="1:43" x14ac:dyDescent="0.3">
      <c r="A76" s="6" t="s">
        <v>1301</v>
      </c>
      <c r="E76">
        <v>-34226.99</v>
      </c>
      <c r="F76">
        <v>68527.470000000205</v>
      </c>
      <c r="G76" s="13"/>
      <c r="H76" s="123"/>
      <c r="I76" s="123"/>
      <c r="J76" s="123"/>
      <c r="K76" s="369"/>
      <c r="L76" s="251"/>
      <c r="M76" s="37"/>
      <c r="N76" s="37"/>
      <c r="O76" s="37"/>
      <c r="P76" s="37"/>
      <c r="Q76" s="56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116"/>
      <c r="AF76" s="37"/>
      <c r="AG76" s="37"/>
      <c r="AH76" s="37"/>
      <c r="AI76" s="37"/>
      <c r="AJ76" s="265"/>
      <c r="AK76" s="326"/>
      <c r="AL76" s="265"/>
      <c r="AM76" s="116" t="str">
        <f>C75</f>
        <v>GOLD BLEND ALL CAFE'  ขนาด 500 G.</v>
      </c>
    </row>
    <row r="77" spans="1:43" x14ac:dyDescent="0.3">
      <c r="A77" s="6" t="s">
        <v>1268</v>
      </c>
      <c r="B77" s="6" t="s">
        <v>23</v>
      </c>
      <c r="C77" s="6" t="s">
        <v>24</v>
      </c>
      <c r="D77" s="6" t="s">
        <v>80</v>
      </c>
      <c r="E77" s="343">
        <v>-8701.74</v>
      </c>
      <c r="F77">
        <v>-2829283.74</v>
      </c>
      <c r="G77" s="33">
        <f>((E77*2)+E81)/2</f>
        <v>-6.7399999999997817</v>
      </c>
      <c r="H77" s="123">
        <f>G77+P77</f>
        <v>2.1849189124623081E-13</v>
      </c>
      <c r="I77" s="123"/>
      <c r="J77" s="123"/>
      <c r="K77" s="369">
        <v>101</v>
      </c>
      <c r="L77" s="102" t="s">
        <v>1306</v>
      </c>
      <c r="M77" s="33">
        <v>8</v>
      </c>
      <c r="N77" s="33">
        <v>1650</v>
      </c>
      <c r="O77" s="33">
        <v>5090</v>
      </c>
      <c r="P77" s="33">
        <f>SUM(N77:O77)/1000</f>
        <v>6.74</v>
      </c>
      <c r="Q77" s="55">
        <f>P77+G77</f>
        <v>2.1849189124623081E-13</v>
      </c>
      <c r="R77" s="90">
        <v>18</v>
      </c>
      <c r="S77" s="90">
        <v>0</v>
      </c>
      <c r="T77" s="90">
        <v>0</v>
      </c>
      <c r="U77" s="90">
        <v>299</v>
      </c>
      <c r="V77" s="90">
        <v>0</v>
      </c>
      <c r="W77" s="33">
        <v>183</v>
      </c>
      <c r="X77" s="33">
        <v>0</v>
      </c>
      <c r="Y77" s="33">
        <v>61</v>
      </c>
      <c r="Z77" s="33">
        <v>30</v>
      </c>
      <c r="AA77" s="33"/>
      <c r="AB77" s="33">
        <v>25</v>
      </c>
      <c r="AC77" s="33"/>
      <c r="AD77" s="33"/>
      <c r="AE77" s="166">
        <f>SUM(W77:AC77)</f>
        <v>299</v>
      </c>
      <c r="AF77" s="33">
        <f>U77-AE77</f>
        <v>0</v>
      </c>
      <c r="AG77" s="33"/>
      <c r="AH77" s="7">
        <f>G77/E77</f>
        <v>7.7455773213170947E-4</v>
      </c>
      <c r="AI77" s="13">
        <f>F77/E77</f>
        <v>325.13999958628966</v>
      </c>
      <c r="AJ77" s="323">
        <f>100%+AK77</f>
        <v>7.7455773213175316E-4</v>
      </c>
      <c r="AK77" s="324">
        <f>(E81*500/1000)/E77</f>
        <v>-0.99922544226786825</v>
      </c>
    </row>
    <row r="78" spans="1:43" x14ac:dyDescent="0.3">
      <c r="B78" s="6" t="s">
        <v>106</v>
      </c>
      <c r="C78" s="6" t="s">
        <v>107</v>
      </c>
      <c r="D78" s="6" t="s">
        <v>102</v>
      </c>
      <c r="E78" s="343">
        <v>-17689</v>
      </c>
      <c r="F78">
        <v>-14960.79</v>
      </c>
      <c r="G78" s="33">
        <f>E78+E81</f>
        <v>-299</v>
      </c>
      <c r="H78" s="123"/>
      <c r="I78" s="123"/>
      <c r="J78" s="123"/>
      <c r="K78" s="369"/>
      <c r="L78" s="102"/>
      <c r="AH78" s="7">
        <f t="shared" ref="AH78:AH81" si="24">G78/E78</f>
        <v>1.6903160156029169E-2</v>
      </c>
      <c r="AI78" s="13">
        <f t="shared" ref="AI78:AI81" si="25">F78/E78</f>
        <v>0.84576799140708925</v>
      </c>
      <c r="AJ78" s="163"/>
      <c r="AK78" s="325"/>
    </row>
    <row r="79" spans="1:43" x14ac:dyDescent="0.3">
      <c r="B79" s="6" t="s">
        <v>119</v>
      </c>
      <c r="C79" s="6" t="s">
        <v>120</v>
      </c>
      <c r="D79" s="6" t="s">
        <v>102</v>
      </c>
      <c r="E79" s="343">
        <v>-17689</v>
      </c>
      <c r="F79">
        <v>-36854.800000000003</v>
      </c>
      <c r="G79" s="33">
        <f>E79+E81</f>
        <v>-299</v>
      </c>
      <c r="H79" s="123"/>
      <c r="I79" s="123"/>
      <c r="J79" s="123"/>
      <c r="K79" s="369"/>
      <c r="L79" s="102"/>
      <c r="M79" s="12"/>
      <c r="N79" s="12"/>
      <c r="T79" s="13"/>
      <c r="U79" s="13"/>
      <c r="V79" s="13"/>
      <c r="AH79" s="7">
        <f t="shared" si="24"/>
        <v>1.6903160156029169E-2</v>
      </c>
      <c r="AI79" s="13">
        <f t="shared" si="25"/>
        <v>2.0834869127706486</v>
      </c>
      <c r="AJ79" s="163"/>
      <c r="AK79" s="325"/>
    </row>
    <row r="80" spans="1:43" x14ac:dyDescent="0.3">
      <c r="B80" s="6" t="s">
        <v>121</v>
      </c>
      <c r="C80" s="6" t="s">
        <v>122</v>
      </c>
      <c r="D80" s="6" t="s">
        <v>102</v>
      </c>
      <c r="E80" s="343">
        <v>-2915</v>
      </c>
      <c r="F80">
        <v>-14575</v>
      </c>
      <c r="G80" s="33">
        <f>(E81/6)+E80</f>
        <v>-16.666666666666515</v>
      </c>
      <c r="I80" s="123">
        <f>(E81/6)+R77+S77+T77</f>
        <v>2916.3333333333335</v>
      </c>
      <c r="J80" s="123">
        <f>E80+I80</f>
        <v>1.3333333333334849</v>
      </c>
      <c r="K80" s="369"/>
      <c r="L80" s="252"/>
      <c r="M80" s="69"/>
      <c r="N80" s="69"/>
      <c r="O80" s="69"/>
      <c r="P80" s="69"/>
      <c r="AF80" s="69"/>
      <c r="AG80" s="69"/>
      <c r="AH80" s="7">
        <f t="shared" si="24"/>
        <v>5.717552887364156E-3</v>
      </c>
      <c r="AI80" s="13">
        <f t="shared" si="25"/>
        <v>5</v>
      </c>
      <c r="AJ80" s="163"/>
      <c r="AK80" s="325"/>
      <c r="AN80" s="12">
        <f>E81*500</f>
        <v>8695000</v>
      </c>
      <c r="AO80" s="47">
        <f>AN80/1000</f>
        <v>8695</v>
      </c>
    </row>
    <row r="81" spans="1:41" x14ac:dyDescent="0.3">
      <c r="B81" s="6" t="s">
        <v>81</v>
      </c>
      <c r="C81" s="6" t="s">
        <v>82</v>
      </c>
      <c r="D81" s="6" t="s">
        <v>74</v>
      </c>
      <c r="E81" s="343">
        <v>17390</v>
      </c>
      <c r="F81">
        <v>2953865.4</v>
      </c>
      <c r="G81" s="33">
        <f>(E81*500)/1000000</f>
        <v>8.6950000000000003</v>
      </c>
      <c r="K81" s="369"/>
      <c r="L81" s="102"/>
      <c r="AH81" s="7">
        <f t="shared" si="24"/>
        <v>5.0000000000000001E-4</v>
      </c>
      <c r="AI81" s="345">
        <f t="shared" si="25"/>
        <v>169.85999999999999</v>
      </c>
      <c r="AJ81" s="163"/>
      <c r="AK81" s="325"/>
      <c r="AL81" s="133">
        <f>AI81*2</f>
        <v>339.71999999999997</v>
      </c>
      <c r="AM81" s="106"/>
    </row>
    <row r="82" spans="1:41" x14ac:dyDescent="0.3">
      <c r="A82" s="6" t="s">
        <v>1303</v>
      </c>
      <c r="E82">
        <v>-29604.739999999998</v>
      </c>
      <c r="F82">
        <v>58191.069999999832</v>
      </c>
      <c r="G82" s="13"/>
      <c r="H82" s="123"/>
      <c r="I82" s="123"/>
      <c r="J82" s="123"/>
      <c r="K82" s="369"/>
      <c r="L82" s="251"/>
      <c r="M82" s="37"/>
      <c r="N82" s="37"/>
      <c r="O82" s="37"/>
      <c r="P82" s="37"/>
      <c r="Q82" s="56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116"/>
      <c r="AF82" s="37"/>
      <c r="AG82" s="37"/>
      <c r="AH82" s="37"/>
      <c r="AI82" s="37"/>
      <c r="AJ82" s="265"/>
      <c r="AK82" s="326"/>
      <c r="AL82" s="265"/>
      <c r="AM82" s="116" t="str">
        <f>C81</f>
        <v>GOLD BLEND ALL CAFE'  ขนาด 500 G.</v>
      </c>
    </row>
    <row r="83" spans="1:41" x14ac:dyDescent="0.3">
      <c r="A83" s="6" t="s">
        <v>1393</v>
      </c>
      <c r="B83" s="6" t="s">
        <v>23</v>
      </c>
      <c r="C83" s="6" t="s">
        <v>24</v>
      </c>
      <c r="D83" s="6" t="s">
        <v>80</v>
      </c>
      <c r="E83" s="343">
        <v>-9310.76</v>
      </c>
      <c r="F83">
        <v>-3027300.51</v>
      </c>
      <c r="G83" s="33">
        <f>((E83*2)+E87)/2</f>
        <v>-3.2600000000002183</v>
      </c>
      <c r="H83" s="123">
        <f>G83+P83</f>
        <v>-2.1849189124623081E-13</v>
      </c>
      <c r="I83" s="123"/>
      <c r="J83" s="123"/>
      <c r="K83" s="369">
        <v>101</v>
      </c>
      <c r="L83" s="102" t="s">
        <v>1548</v>
      </c>
      <c r="M83" s="33">
        <v>9</v>
      </c>
      <c r="N83" s="33">
        <v>290</v>
      </c>
      <c r="O83" s="33">
        <v>2970</v>
      </c>
      <c r="P83" s="33">
        <f>SUM(N83:O83)/1000</f>
        <v>3.26</v>
      </c>
      <c r="Q83" s="55">
        <f>G83+P83</f>
        <v>-2.1849189124623081E-13</v>
      </c>
      <c r="R83" s="36">
        <v>11</v>
      </c>
      <c r="S83" s="36">
        <v>0</v>
      </c>
      <c r="T83" s="36">
        <v>0</v>
      </c>
      <c r="U83" s="36">
        <v>152</v>
      </c>
      <c r="V83" s="36">
        <v>0</v>
      </c>
      <c r="W83" s="33">
        <v>44</v>
      </c>
      <c r="X83" s="33">
        <v>0</v>
      </c>
      <c r="Y83" s="33">
        <v>67</v>
      </c>
      <c r="Z83" s="33">
        <v>41</v>
      </c>
      <c r="AA83" s="33">
        <v>0</v>
      </c>
      <c r="AB83" s="33">
        <v>0</v>
      </c>
      <c r="AC83" s="33"/>
      <c r="AD83" s="33"/>
      <c r="AE83" s="166">
        <f>SUM(W83:AC83)</f>
        <v>152</v>
      </c>
      <c r="AF83" s="33">
        <f>U83-AE83</f>
        <v>0</v>
      </c>
      <c r="AG83" s="33"/>
      <c r="AH83" s="7">
        <f>G83/E83</f>
        <v>3.5013253483069244E-4</v>
      </c>
      <c r="AI83" s="13">
        <f>F83/E83</f>
        <v>325.14000038664938</v>
      </c>
      <c r="AJ83" s="323">
        <f>100%+AK83</f>
        <v>3.5013253483073825E-4</v>
      </c>
      <c r="AK83" s="324">
        <f>(E87*500/1000)/E83</f>
        <v>-0.99964986746516926</v>
      </c>
    </row>
    <row r="84" spans="1:41" x14ac:dyDescent="0.3">
      <c r="B84" s="6" t="s">
        <v>106</v>
      </c>
      <c r="C84" s="6" t="s">
        <v>107</v>
      </c>
      <c r="D84" s="6" t="s">
        <v>102</v>
      </c>
      <c r="E84" s="343">
        <v>-18767</v>
      </c>
      <c r="F84">
        <v>-15872.52</v>
      </c>
      <c r="G84" s="33">
        <f>E84+E87</f>
        <v>-152</v>
      </c>
      <c r="H84" s="123"/>
      <c r="I84" s="123"/>
      <c r="J84" s="123"/>
      <c r="K84" s="369"/>
      <c r="L84" s="102"/>
      <c r="N84" s="143"/>
      <c r="O84" s="143"/>
      <c r="AH84" s="7">
        <f>G84/E84</f>
        <v>8.0993232802259278E-3</v>
      </c>
      <c r="AI84" s="13">
        <f>F84/E84</f>
        <v>0.84576757073586617</v>
      </c>
      <c r="AJ84" s="163"/>
      <c r="AK84" s="325"/>
    </row>
    <row r="85" spans="1:41" x14ac:dyDescent="0.3">
      <c r="B85" s="6" t="s">
        <v>119</v>
      </c>
      <c r="C85" s="6" t="s">
        <v>120</v>
      </c>
      <c r="D85" s="6" t="s">
        <v>102</v>
      </c>
      <c r="E85" s="343">
        <v>-18767</v>
      </c>
      <c r="F85">
        <v>-39100.800000000003</v>
      </c>
      <c r="G85" s="33">
        <f>E85+E87</f>
        <v>-152</v>
      </c>
      <c r="H85" s="123"/>
      <c r="I85" s="123"/>
      <c r="J85" s="123"/>
      <c r="K85" s="369"/>
      <c r="L85" s="102"/>
      <c r="N85" s="143"/>
      <c r="O85" s="143"/>
      <c r="T85" s="13"/>
      <c r="U85" s="13"/>
      <c r="V85" s="13"/>
      <c r="AH85" s="7">
        <f>G85/E85</f>
        <v>8.0993232802259278E-3</v>
      </c>
      <c r="AI85" s="13">
        <f>F85/E85</f>
        <v>2.0834869718122238</v>
      </c>
      <c r="AJ85" s="163"/>
      <c r="AK85" s="325"/>
    </row>
    <row r="86" spans="1:41" x14ac:dyDescent="0.3">
      <c r="B86" s="6" t="s">
        <v>121</v>
      </c>
      <c r="C86" s="6" t="s">
        <v>122</v>
      </c>
      <c r="D86" s="6" t="s">
        <v>102</v>
      </c>
      <c r="E86" s="343">
        <v>-3112</v>
      </c>
      <c r="F86">
        <v>-15560</v>
      </c>
      <c r="G86" s="33">
        <f>(E87/6)+E86</f>
        <v>-9.5</v>
      </c>
      <c r="I86" s="123">
        <f>(E87/6)+R83+S83+T83</f>
        <v>3113.5</v>
      </c>
      <c r="J86" s="123">
        <f>E86+I86</f>
        <v>1.5</v>
      </c>
      <c r="K86" s="369"/>
      <c r="L86" s="102"/>
      <c r="N86" s="143"/>
      <c r="O86" s="143"/>
      <c r="AH86" s="7">
        <f>G86/E86</f>
        <v>3.0526992287917736E-3</v>
      </c>
      <c r="AI86" s="13">
        <f>F86/E86</f>
        <v>5</v>
      </c>
      <c r="AJ86" s="163"/>
      <c r="AK86" s="325"/>
      <c r="AN86" s="12">
        <f>E87*500</f>
        <v>9307500</v>
      </c>
      <c r="AO86" s="47">
        <f>AN86/1000</f>
        <v>9307.5</v>
      </c>
    </row>
    <row r="87" spans="1:41" x14ac:dyDescent="0.3">
      <c r="B87" s="6" t="s">
        <v>81</v>
      </c>
      <c r="C87" s="6" t="s">
        <v>82</v>
      </c>
      <c r="D87" s="6" t="s">
        <v>74</v>
      </c>
      <c r="E87" s="343">
        <v>18615</v>
      </c>
      <c r="F87">
        <v>3161943.9</v>
      </c>
      <c r="G87" s="33">
        <f>(E87*500)/1000000</f>
        <v>9.3074999999999992</v>
      </c>
      <c r="K87" s="369"/>
      <c r="L87" s="102"/>
      <c r="N87" s="144"/>
      <c r="O87" s="14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06"/>
      <c r="AH87" s="7">
        <f>G87/E87</f>
        <v>5.0000000000000001E-4</v>
      </c>
      <c r="AI87" s="345">
        <f>F87/E87</f>
        <v>169.85999999999999</v>
      </c>
      <c r="AJ87" s="163"/>
      <c r="AK87" s="325"/>
      <c r="AL87" s="133">
        <f>AI87*2</f>
        <v>339.71999999999997</v>
      </c>
      <c r="AM87" s="106"/>
    </row>
    <row r="88" spans="1:41" x14ac:dyDescent="0.3">
      <c r="A88" s="6" t="s">
        <v>1454</v>
      </c>
      <c r="E88">
        <v>-31341.760000000002</v>
      </c>
      <c r="F88">
        <v>64110.070000000298</v>
      </c>
      <c r="G88" s="184"/>
      <c r="H88" s="123"/>
      <c r="I88" s="123"/>
      <c r="J88" s="123"/>
      <c r="K88" s="369"/>
      <c r="L88" s="251"/>
      <c r="M88" s="37"/>
      <c r="N88" s="37"/>
      <c r="O88" s="37"/>
      <c r="P88" s="37"/>
      <c r="Q88" s="56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116"/>
      <c r="AF88" s="37"/>
      <c r="AG88" s="37"/>
      <c r="AH88" s="37"/>
      <c r="AI88" s="37"/>
      <c r="AJ88" s="265"/>
      <c r="AK88" s="326"/>
      <c r="AL88" s="265"/>
      <c r="AM88" s="116" t="str">
        <f>C87</f>
        <v>GOLD BLEND ALL CAFE'  ขนาด 500 G.</v>
      </c>
    </row>
    <row r="89" spans="1:41" x14ac:dyDescent="0.3">
      <c r="A89" s="6" t="s">
        <v>1403</v>
      </c>
      <c r="B89" s="6" t="s">
        <v>23</v>
      </c>
      <c r="C89" s="6" t="s">
        <v>24</v>
      </c>
      <c r="D89" s="6" t="s">
        <v>80</v>
      </c>
      <c r="E89" s="343">
        <v>-8330.9699999999993</v>
      </c>
      <c r="F89">
        <v>-2708731.59</v>
      </c>
      <c r="G89" s="33">
        <f>((E89*2)+E93)/2</f>
        <v>-4.4699999999993452</v>
      </c>
      <c r="H89" s="123">
        <f>G89+P89</f>
        <v>6.545874953189923E-13</v>
      </c>
      <c r="I89" s="123"/>
      <c r="J89" s="123"/>
      <c r="K89" s="369">
        <v>101</v>
      </c>
      <c r="L89" s="102" t="s">
        <v>1549</v>
      </c>
      <c r="M89" s="33">
        <v>15</v>
      </c>
      <c r="N89" s="33">
        <v>760</v>
      </c>
      <c r="O89" s="33">
        <v>3710</v>
      </c>
      <c r="P89" s="33">
        <f>SUM(N89:O89)/1000</f>
        <v>4.47</v>
      </c>
      <c r="Q89" s="55">
        <f>P89+G89</f>
        <v>6.545874953189923E-13</v>
      </c>
      <c r="R89" s="67">
        <v>29</v>
      </c>
      <c r="S89" s="67">
        <v>0</v>
      </c>
      <c r="T89" s="67">
        <v>0</v>
      </c>
      <c r="U89" s="67">
        <v>236</v>
      </c>
      <c r="V89" s="67">
        <v>0</v>
      </c>
      <c r="W89" s="33">
        <v>65</v>
      </c>
      <c r="X89" s="33">
        <v>0</v>
      </c>
      <c r="Y89" s="33">
        <v>133</v>
      </c>
      <c r="Z89" s="33">
        <v>0</v>
      </c>
      <c r="AA89" s="33"/>
      <c r="AB89" s="33">
        <v>38</v>
      </c>
      <c r="AC89" s="33"/>
      <c r="AD89" s="33"/>
      <c r="AE89" s="166">
        <f>SUM(W89:AC89)</f>
        <v>236</v>
      </c>
      <c r="AF89" s="33">
        <f>U89-AE89</f>
        <v>0</v>
      </c>
      <c r="AG89" s="33"/>
      <c r="AH89" s="7">
        <f>G89/E89</f>
        <v>5.3655216619425414E-4</v>
      </c>
      <c r="AI89" s="13">
        <f>F89/E89</f>
        <v>325.14000050414296</v>
      </c>
      <c r="AJ89" s="323">
        <f>100%+AK89</f>
        <v>5.3655216619430401E-4</v>
      </c>
      <c r="AK89" s="324">
        <f>(E93*500/1000)/E89</f>
        <v>-0.9994634478338057</v>
      </c>
    </row>
    <row r="90" spans="1:41" x14ac:dyDescent="0.3">
      <c r="B90" s="6" t="s">
        <v>106</v>
      </c>
      <c r="C90" s="6" t="s">
        <v>107</v>
      </c>
      <c r="D90" s="6" t="s">
        <v>102</v>
      </c>
      <c r="E90" s="343">
        <v>-16889</v>
      </c>
      <c r="F90">
        <v>-14284.17</v>
      </c>
      <c r="G90" s="33">
        <f>E90+E93</f>
        <v>-236</v>
      </c>
      <c r="H90" s="123"/>
      <c r="I90" s="123"/>
      <c r="J90" s="123"/>
      <c r="K90" s="369"/>
      <c r="L90" s="102"/>
      <c r="AH90" s="7">
        <f>G90/E90</f>
        <v>1.3973592278998165E-2</v>
      </c>
      <c r="AI90" s="13">
        <f>F90/E90</f>
        <v>0.84576765942329324</v>
      </c>
      <c r="AJ90" s="163"/>
      <c r="AK90" s="325"/>
    </row>
    <row r="91" spans="1:41" x14ac:dyDescent="0.3">
      <c r="B91" s="6" t="s">
        <v>119</v>
      </c>
      <c r="C91" s="6" t="s">
        <v>120</v>
      </c>
      <c r="D91" s="6" t="s">
        <v>102</v>
      </c>
      <c r="E91" s="343">
        <v>-16889</v>
      </c>
      <c r="F91">
        <v>-35188.01</v>
      </c>
      <c r="G91" s="33">
        <f>E91+E93</f>
        <v>-236</v>
      </c>
      <c r="H91" s="123"/>
      <c r="I91" s="123"/>
      <c r="J91" s="123"/>
      <c r="K91" s="369"/>
      <c r="L91" s="102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06"/>
      <c r="AH91" s="7">
        <f>G91/E91</f>
        <v>1.3973592278998165E-2</v>
      </c>
      <c r="AI91" s="13">
        <f>F91/E91</f>
        <v>2.0834868849547044</v>
      </c>
      <c r="AJ91" s="163"/>
      <c r="AK91" s="325"/>
    </row>
    <row r="92" spans="1:41" x14ac:dyDescent="0.3">
      <c r="B92" s="6" t="s">
        <v>121</v>
      </c>
      <c r="C92" s="6" t="s">
        <v>122</v>
      </c>
      <c r="D92" s="6" t="s">
        <v>102</v>
      </c>
      <c r="E92" s="343">
        <v>-2802</v>
      </c>
      <c r="F92">
        <v>-14010</v>
      </c>
      <c r="G92" s="33">
        <f>(E93/6)+E92</f>
        <v>-26.5</v>
      </c>
      <c r="I92" s="123">
        <f>(E93/6)+R89+S89+T89</f>
        <v>2804.5</v>
      </c>
      <c r="J92" s="123">
        <f>E92+I92</f>
        <v>2.5</v>
      </c>
      <c r="K92" s="369"/>
      <c r="L92" s="102"/>
      <c r="AH92" s="7">
        <f>G92/E92</f>
        <v>9.4575303354746607E-3</v>
      </c>
      <c r="AI92" s="13">
        <f>F92/E92</f>
        <v>5</v>
      </c>
      <c r="AJ92" s="163"/>
      <c r="AK92" s="325"/>
      <c r="AN92" s="12">
        <f>E93*500</f>
        <v>8326500</v>
      </c>
      <c r="AO92" s="47">
        <f>AN92/1000</f>
        <v>8326.5</v>
      </c>
    </row>
    <row r="93" spans="1:41" x14ac:dyDescent="0.3">
      <c r="B93" s="6" t="s">
        <v>81</v>
      </c>
      <c r="C93" s="6" t="s">
        <v>82</v>
      </c>
      <c r="D93" s="6" t="s">
        <v>74</v>
      </c>
      <c r="E93" s="343">
        <v>16653</v>
      </c>
      <c r="F93">
        <v>2828678.58</v>
      </c>
      <c r="G93" s="33">
        <f>(E93*500)/1000000</f>
        <v>8.3264999999999993</v>
      </c>
      <c r="K93" s="369"/>
      <c r="L93" s="102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06"/>
      <c r="AH93" s="7">
        <f>G93/E93</f>
        <v>5.0000000000000001E-4</v>
      </c>
      <c r="AI93" s="345">
        <f>F93/E93</f>
        <v>169.86</v>
      </c>
      <c r="AJ93" s="163"/>
      <c r="AK93" s="325"/>
      <c r="AL93" s="133">
        <f>AI93*2</f>
        <v>339.72</v>
      </c>
      <c r="AM93" s="106"/>
    </row>
    <row r="94" spans="1:41" x14ac:dyDescent="0.3">
      <c r="A94" s="6" t="s">
        <v>1456</v>
      </c>
      <c r="E94">
        <v>-28257.97</v>
      </c>
      <c r="F94">
        <v>56464.810000000522</v>
      </c>
      <c r="G94" s="184"/>
      <c r="H94" s="376"/>
      <c r="I94" s="376"/>
      <c r="J94" s="123"/>
      <c r="K94" s="369"/>
      <c r="L94" s="251"/>
      <c r="M94" s="37"/>
      <c r="N94" s="37"/>
      <c r="O94" s="37"/>
      <c r="P94" s="37"/>
      <c r="Q94" s="56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116"/>
      <c r="AF94" s="37"/>
      <c r="AG94" s="37"/>
      <c r="AH94" s="37"/>
      <c r="AI94" s="37"/>
      <c r="AJ94" s="265"/>
      <c r="AK94" s="326"/>
      <c r="AL94" s="265"/>
      <c r="AM94" s="116" t="str">
        <f>C93</f>
        <v>GOLD BLEND ALL CAFE'  ขนาด 500 G.</v>
      </c>
    </row>
    <row r="95" spans="1:41" x14ac:dyDescent="0.3">
      <c r="A95" s="6" t="s">
        <v>1476</v>
      </c>
      <c r="B95" s="6" t="s">
        <v>23</v>
      </c>
      <c r="C95" s="6" t="s">
        <v>24</v>
      </c>
      <c r="D95" s="6" t="s">
        <v>80</v>
      </c>
      <c r="E95" s="343">
        <v>-7914.58</v>
      </c>
      <c r="F95">
        <v>-2573346.54</v>
      </c>
      <c r="G95" s="33">
        <f>((E95*2)+E99)/2</f>
        <v>-6.0799999999999272</v>
      </c>
      <c r="H95" s="123">
        <f>G95+P95</f>
        <v>7.2830630415410269E-14</v>
      </c>
      <c r="I95" s="123"/>
      <c r="J95" s="123"/>
      <c r="K95" s="369">
        <v>101</v>
      </c>
      <c r="L95" s="102" t="s">
        <v>1550</v>
      </c>
      <c r="M95" s="33">
        <v>13</v>
      </c>
      <c r="N95" s="33">
        <v>410</v>
      </c>
      <c r="O95" s="33">
        <v>5670</v>
      </c>
      <c r="P95" s="33">
        <f>SUM(N95:O95)/1000</f>
        <v>6.08</v>
      </c>
      <c r="Q95" s="55">
        <f>P95+G95</f>
        <v>7.2830630415410269E-14</v>
      </c>
      <c r="R95" s="36">
        <v>19</v>
      </c>
      <c r="S95" s="90">
        <v>0</v>
      </c>
      <c r="T95" s="36">
        <v>0</v>
      </c>
      <c r="U95" s="36">
        <v>342</v>
      </c>
      <c r="V95" s="36">
        <v>0</v>
      </c>
      <c r="W95" s="33">
        <v>209</v>
      </c>
      <c r="X95" s="33">
        <v>0</v>
      </c>
      <c r="Y95" s="33">
        <v>108</v>
      </c>
      <c r="Z95" s="33">
        <v>25</v>
      </c>
      <c r="AA95" s="33"/>
      <c r="AB95" s="33"/>
      <c r="AC95" s="33"/>
      <c r="AD95" s="33"/>
      <c r="AE95" s="166">
        <f>SUM(W95:AC95)</f>
        <v>342</v>
      </c>
      <c r="AF95" s="33">
        <f>U95-AE95</f>
        <v>0</v>
      </c>
      <c r="AG95" s="33"/>
      <c r="AH95" s="7">
        <f>G95/E95</f>
        <v>7.6820248200156263E-4</v>
      </c>
      <c r="AI95" s="13">
        <f>F95/E95</f>
        <v>325.13999984838108</v>
      </c>
      <c r="AJ95" s="323">
        <f>100%+AK95</f>
        <v>7.6820248200160091E-4</v>
      </c>
      <c r="AK95" s="324">
        <f>(E99*500/1000)/E95</f>
        <v>-0.9992317975179984</v>
      </c>
    </row>
    <row r="96" spans="1:41" x14ac:dyDescent="0.3">
      <c r="B96" s="6" t="s">
        <v>106</v>
      </c>
      <c r="C96" s="6" t="s">
        <v>107</v>
      </c>
      <c r="D96" s="6" t="s">
        <v>102</v>
      </c>
      <c r="E96" s="343">
        <v>-16159</v>
      </c>
      <c r="F96">
        <v>-13666.76</v>
      </c>
      <c r="G96" s="33">
        <f>E96+E99</f>
        <v>-342</v>
      </c>
      <c r="H96" s="123"/>
      <c r="I96" s="123"/>
      <c r="J96" s="123"/>
      <c r="K96" s="369"/>
      <c r="L96" s="102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06"/>
      <c r="AF96" s="13"/>
      <c r="AG96" s="13"/>
      <c r="AH96" s="7">
        <f t="shared" ref="AH96:AH99" si="26">G96/E96</f>
        <v>2.1164676031932669E-2</v>
      </c>
      <c r="AI96" s="13">
        <f t="shared" ref="AI96:AI99" si="27">F96/E96</f>
        <v>0.84576768364378985</v>
      </c>
      <c r="AJ96" s="163"/>
      <c r="AK96" s="325"/>
    </row>
    <row r="97" spans="1:41" x14ac:dyDescent="0.3">
      <c r="B97" s="6" t="s">
        <v>119</v>
      </c>
      <c r="C97" s="6" t="s">
        <v>120</v>
      </c>
      <c r="D97" s="6" t="s">
        <v>102</v>
      </c>
      <c r="E97" s="343">
        <v>-16159</v>
      </c>
      <c r="F97">
        <v>-33667.06</v>
      </c>
      <c r="G97" s="33">
        <f>E97+E99</f>
        <v>-342</v>
      </c>
      <c r="H97" s="123"/>
      <c r="I97" s="123"/>
      <c r="J97" s="123"/>
      <c r="K97" s="369"/>
      <c r="L97" s="102"/>
      <c r="T97" s="13"/>
      <c r="U97" s="13"/>
      <c r="V97" s="13"/>
      <c r="AH97" s="7">
        <f t="shared" si="26"/>
        <v>2.1164676031932669E-2</v>
      </c>
      <c r="AI97" s="13">
        <f t="shared" si="27"/>
        <v>2.0834866018936813</v>
      </c>
      <c r="AJ97" s="163"/>
      <c r="AK97" s="325"/>
    </row>
    <row r="98" spans="1:41" x14ac:dyDescent="0.3">
      <c r="B98" s="6" t="s">
        <v>121</v>
      </c>
      <c r="C98" s="6" t="s">
        <v>122</v>
      </c>
      <c r="D98" s="6" t="s">
        <v>102</v>
      </c>
      <c r="E98" s="343">
        <v>-2653</v>
      </c>
      <c r="F98">
        <v>-13265</v>
      </c>
      <c r="G98" s="33">
        <f>(E99/6)+E98</f>
        <v>-16.833333333333485</v>
      </c>
      <c r="I98" s="123">
        <f>(E99/6)+R95+S95+T95</f>
        <v>2655.1666666666665</v>
      </c>
      <c r="J98" s="123">
        <f>E98+I98</f>
        <v>2.1666666666665151</v>
      </c>
      <c r="K98" s="369"/>
      <c r="L98" s="102"/>
      <c r="AH98" s="7">
        <f t="shared" si="26"/>
        <v>6.3450182183691986E-3</v>
      </c>
      <c r="AI98" s="13">
        <f t="shared" si="27"/>
        <v>5</v>
      </c>
      <c r="AJ98" s="163"/>
      <c r="AK98" s="325"/>
      <c r="AN98" s="12">
        <f>E99*500</f>
        <v>7908500</v>
      </c>
      <c r="AO98" s="47">
        <f>AN98/1000</f>
        <v>7908.5</v>
      </c>
    </row>
    <row r="99" spans="1:41" x14ac:dyDescent="0.3">
      <c r="B99" s="6" t="s">
        <v>81</v>
      </c>
      <c r="C99" s="6" t="s">
        <v>82</v>
      </c>
      <c r="D99" s="6" t="s">
        <v>74</v>
      </c>
      <c r="E99" s="343">
        <v>15817</v>
      </c>
      <c r="F99">
        <v>2686675.62</v>
      </c>
      <c r="G99" s="33">
        <f>(E99*500)/1000000</f>
        <v>7.9085000000000001</v>
      </c>
      <c r="L99" s="102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06"/>
      <c r="AH99" s="7">
        <f t="shared" si="26"/>
        <v>5.0000000000000001E-4</v>
      </c>
      <c r="AI99" s="345">
        <f t="shared" si="27"/>
        <v>169.86</v>
      </c>
      <c r="AJ99" s="163"/>
      <c r="AK99" s="325"/>
      <c r="AL99" s="133">
        <f>AI99*2</f>
        <v>339.72</v>
      </c>
      <c r="AM99" s="106"/>
    </row>
    <row r="100" spans="1:41" x14ac:dyDescent="0.3">
      <c r="A100" s="6" t="s">
        <v>1517</v>
      </c>
      <c r="E100">
        <v>-27068.58</v>
      </c>
      <c r="F100">
        <v>52730.260000000242</v>
      </c>
      <c r="G100" s="13"/>
      <c r="H100" s="123"/>
      <c r="I100" s="123"/>
      <c r="J100" s="123"/>
      <c r="K100" s="369"/>
      <c r="L100" s="251"/>
      <c r="M100" s="37"/>
      <c r="N100" s="37"/>
      <c r="O100" s="37"/>
      <c r="P100" s="37"/>
      <c r="Q100" s="56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116"/>
      <c r="AF100" s="37"/>
      <c r="AG100" s="37"/>
      <c r="AH100" s="37"/>
      <c r="AI100" s="37"/>
      <c r="AJ100" s="265"/>
      <c r="AK100" s="326"/>
      <c r="AL100" s="265"/>
      <c r="AM100" s="116" t="str">
        <f>C99</f>
        <v>GOLD BLEND ALL CAFE'  ขนาด 500 G.</v>
      </c>
    </row>
    <row r="101" spans="1:41" x14ac:dyDescent="0.3">
      <c r="A101" s="6" t="s">
        <v>1495</v>
      </c>
      <c r="B101" s="6" t="s">
        <v>23</v>
      </c>
      <c r="C101" s="6" t="s">
        <v>24</v>
      </c>
      <c r="D101" s="6" t="s">
        <v>80</v>
      </c>
      <c r="E101" s="343">
        <v>-9086.34</v>
      </c>
      <c r="F101">
        <v>-2954332.59</v>
      </c>
      <c r="G101" s="33">
        <f>((E101*2)+E105)/2</f>
        <v>-6.3400000000001455</v>
      </c>
      <c r="H101" s="123">
        <f>G101+P101</f>
        <v>-1.4566126083082054E-13</v>
      </c>
      <c r="I101" s="123"/>
      <c r="J101" s="123"/>
      <c r="K101" s="369">
        <v>101</v>
      </c>
      <c r="L101" s="102" t="s">
        <v>1551</v>
      </c>
      <c r="M101" s="33">
        <v>10</v>
      </c>
      <c r="N101" s="33">
        <v>1100</v>
      </c>
      <c r="O101" s="33">
        <v>5240</v>
      </c>
      <c r="P101" s="33">
        <f>SUM(N101:O101)/1000</f>
        <v>6.34</v>
      </c>
      <c r="Q101" s="55">
        <f>P101+G101</f>
        <v>-1.4566126083082054E-13</v>
      </c>
      <c r="R101" s="36">
        <v>12</v>
      </c>
      <c r="S101" s="90"/>
      <c r="T101" s="36"/>
      <c r="U101" s="36">
        <v>228</v>
      </c>
      <c r="V101" s="36"/>
      <c r="W101" s="33">
        <v>113</v>
      </c>
      <c r="X101" s="33"/>
      <c r="Y101" s="33">
        <v>76</v>
      </c>
      <c r="Z101" s="33">
        <v>24</v>
      </c>
      <c r="AA101" s="33"/>
      <c r="AB101" s="33">
        <v>15</v>
      </c>
      <c r="AC101" s="33"/>
      <c r="AD101" s="33"/>
      <c r="AE101" s="166">
        <f>SUM(W101:AC101)</f>
        <v>228</v>
      </c>
      <c r="AF101" s="33">
        <f>U101-AE101</f>
        <v>0</v>
      </c>
      <c r="AG101" s="33"/>
      <c r="AH101" s="7">
        <f>G101/E101</f>
        <v>6.9775068949655698E-4</v>
      </c>
      <c r="AI101" s="13">
        <f>F101/E101</f>
        <v>325.14000026413271</v>
      </c>
      <c r="AJ101" s="323">
        <f>100%+AK101</f>
        <v>6.9775068949651242E-4</v>
      </c>
      <c r="AK101" s="324">
        <f>(E105*500/1000)/E101</f>
        <v>-0.99930224931050349</v>
      </c>
    </row>
    <row r="102" spans="1:41" x14ac:dyDescent="0.3">
      <c r="B102" s="6" t="s">
        <v>106</v>
      </c>
      <c r="C102" s="6" t="s">
        <v>107</v>
      </c>
      <c r="D102" s="6" t="s">
        <v>102</v>
      </c>
      <c r="E102" s="343">
        <v>-18388</v>
      </c>
      <c r="F102">
        <v>-15551.98</v>
      </c>
      <c r="G102" s="33">
        <f>E102+E105</f>
        <v>-228</v>
      </c>
      <c r="H102" s="123"/>
      <c r="I102" s="123"/>
      <c r="J102" s="123"/>
      <c r="K102" s="369"/>
      <c r="L102" s="102"/>
      <c r="AH102" s="7">
        <f t="shared" ref="AH102:AH105" si="28">G102/E102</f>
        <v>1.2399390907113336E-2</v>
      </c>
      <c r="AI102" s="13">
        <f t="shared" ref="AI102:AI105" si="29">F102/E102</f>
        <v>0.84576789210354575</v>
      </c>
      <c r="AJ102" s="163"/>
      <c r="AK102" s="325"/>
    </row>
    <row r="103" spans="1:41" x14ac:dyDescent="0.3">
      <c r="B103" s="6" t="s">
        <v>119</v>
      </c>
      <c r="C103" s="6" t="s">
        <v>120</v>
      </c>
      <c r="D103" s="6" t="s">
        <v>102</v>
      </c>
      <c r="E103" s="343">
        <v>-18388</v>
      </c>
      <c r="F103">
        <v>-38311.160000000003</v>
      </c>
      <c r="G103" s="33">
        <f>E103+E105</f>
        <v>-228</v>
      </c>
      <c r="H103" s="123"/>
      <c r="I103" s="123"/>
      <c r="J103" s="123"/>
      <c r="K103" s="369"/>
      <c r="L103" s="102"/>
      <c r="T103" s="13"/>
      <c r="U103" s="13"/>
      <c r="V103" s="13"/>
      <c r="AH103" s="7">
        <f t="shared" si="28"/>
        <v>1.2399390907113336E-2</v>
      </c>
      <c r="AI103" s="13">
        <f t="shared" si="29"/>
        <v>2.0834870567761588</v>
      </c>
      <c r="AJ103" s="163"/>
      <c r="AK103" s="325"/>
    </row>
    <row r="104" spans="1:41" x14ac:dyDescent="0.3">
      <c r="B104" s="6" t="s">
        <v>121</v>
      </c>
      <c r="C104" s="6" t="s">
        <v>122</v>
      </c>
      <c r="D104" s="6" t="s">
        <v>102</v>
      </c>
      <c r="E104" s="343">
        <v>-3037</v>
      </c>
      <c r="F104">
        <v>-15185</v>
      </c>
      <c r="G104" s="33">
        <f>(E105/6)+E104</f>
        <v>-10.333333333333485</v>
      </c>
      <c r="I104" s="123">
        <f>(E105/6)+R101+S101+T101</f>
        <v>3038.6666666666665</v>
      </c>
      <c r="J104" s="123">
        <f>E104+I104</f>
        <v>1.6666666666665151</v>
      </c>
      <c r="K104" s="369"/>
      <c r="L104" s="102"/>
      <c r="AH104" s="7">
        <f t="shared" si="28"/>
        <v>3.4024805180551481E-3</v>
      </c>
      <c r="AI104" s="13">
        <f t="shared" si="29"/>
        <v>5</v>
      </c>
      <c r="AJ104" s="163"/>
      <c r="AK104" s="325"/>
      <c r="AN104" s="12">
        <f>E105*500</f>
        <v>9080000</v>
      </c>
      <c r="AO104" s="47">
        <f>AN104/1000</f>
        <v>9080</v>
      </c>
    </row>
    <row r="105" spans="1:41" x14ac:dyDescent="0.3">
      <c r="B105" s="6" t="s">
        <v>81</v>
      </c>
      <c r="C105" s="6" t="s">
        <v>82</v>
      </c>
      <c r="D105" s="6" t="s">
        <v>74</v>
      </c>
      <c r="E105" s="343">
        <v>18160</v>
      </c>
      <c r="F105">
        <v>3084657.6</v>
      </c>
      <c r="G105" s="33">
        <f>(E105*500)/1000000</f>
        <v>9.08</v>
      </c>
      <c r="L105" s="102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06"/>
      <c r="AH105" s="7">
        <f t="shared" si="28"/>
        <v>5.0000000000000001E-4</v>
      </c>
      <c r="AI105" s="345">
        <f t="shared" si="29"/>
        <v>169.86</v>
      </c>
      <c r="AJ105" s="163"/>
      <c r="AK105" s="325"/>
      <c r="AL105" s="133">
        <f>AI105*2</f>
        <v>339.72</v>
      </c>
      <c r="AM105" s="106"/>
    </row>
    <row r="106" spans="1:41" x14ac:dyDescent="0.3">
      <c r="A106" s="6" t="s">
        <v>1521</v>
      </c>
      <c r="E106">
        <v>-30739.339999999997</v>
      </c>
      <c r="F106">
        <v>61276.870000000112</v>
      </c>
      <c r="G106" s="13"/>
      <c r="H106" s="123"/>
      <c r="I106" s="123"/>
      <c r="J106" s="123"/>
      <c r="K106" s="369"/>
      <c r="L106" s="251"/>
      <c r="M106" s="37"/>
      <c r="N106" s="37"/>
      <c r="O106" s="37"/>
      <c r="P106" s="37"/>
      <c r="Q106" s="56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116"/>
      <c r="AF106" s="37"/>
      <c r="AG106" s="37"/>
      <c r="AH106" s="37"/>
      <c r="AI106" s="37"/>
      <c r="AJ106" s="265"/>
      <c r="AK106" s="326"/>
      <c r="AL106" s="265"/>
      <c r="AM106" s="116" t="str">
        <f>C105</f>
        <v>GOLD BLEND ALL CAFE'  ขนาด 500 G.</v>
      </c>
    </row>
    <row r="107" spans="1:41" x14ac:dyDescent="0.3">
      <c r="A107" s="6" t="s">
        <v>1500</v>
      </c>
      <c r="B107" s="6" t="s">
        <v>23</v>
      </c>
      <c r="C107" s="6" t="s">
        <v>24</v>
      </c>
      <c r="D107" s="6" t="s">
        <v>80</v>
      </c>
      <c r="E107" s="343">
        <v>-7341.83</v>
      </c>
      <c r="F107">
        <v>-2387122.61</v>
      </c>
      <c r="G107" s="33">
        <f>((E107*2)+E111)/2</f>
        <v>-4.8299999999999272</v>
      </c>
      <c r="H107" s="123">
        <f>G107+P107</f>
        <v>7.2830630415410269E-14</v>
      </c>
      <c r="I107" s="123"/>
      <c r="J107" s="123"/>
      <c r="K107" s="369">
        <v>101</v>
      </c>
      <c r="L107" s="102" t="s">
        <v>1596</v>
      </c>
      <c r="M107" s="33">
        <v>16</v>
      </c>
      <c r="N107" s="33">
        <v>150</v>
      </c>
      <c r="O107" s="33">
        <v>4680</v>
      </c>
      <c r="P107" s="33">
        <f>SUM(N107:O107)/1000</f>
        <v>4.83</v>
      </c>
      <c r="Q107" s="55">
        <f>P107+G107</f>
        <v>7.2830630415410269E-14</v>
      </c>
      <c r="R107" s="36">
        <v>30</v>
      </c>
      <c r="S107" s="90"/>
      <c r="T107" s="36"/>
      <c r="U107" s="36">
        <v>303</v>
      </c>
      <c r="V107" s="36"/>
      <c r="W107" s="33">
        <v>280</v>
      </c>
      <c r="X107" s="33"/>
      <c r="Y107" s="33">
        <v>23</v>
      </c>
      <c r="Z107" s="33"/>
      <c r="AA107" s="33"/>
      <c r="AB107" s="33"/>
      <c r="AC107" s="33"/>
      <c r="AD107" s="33"/>
      <c r="AE107" s="166">
        <f>SUM(W107:AC107)</f>
        <v>303</v>
      </c>
      <c r="AF107" s="33">
        <f>U107-AE107</f>
        <v>0</v>
      </c>
      <c r="AG107" s="33"/>
      <c r="AH107" s="7">
        <f>G107/E107</f>
        <v>6.5787412675040523E-4</v>
      </c>
      <c r="AI107" s="13">
        <f>F107/E107</f>
        <v>325.14000051758211</v>
      </c>
      <c r="AJ107" s="323">
        <f>100%+AK107</f>
        <v>6.5787412675044621E-4</v>
      </c>
      <c r="AK107" s="324">
        <f>(E111*500/1000)/E107</f>
        <v>-0.99934212587324955</v>
      </c>
    </row>
    <row r="108" spans="1:41" x14ac:dyDescent="0.3">
      <c r="B108" s="6" t="s">
        <v>106</v>
      </c>
      <c r="C108" s="6" t="s">
        <v>107</v>
      </c>
      <c r="D108" s="6" t="s">
        <v>102</v>
      </c>
      <c r="E108" s="343">
        <v>-14977</v>
      </c>
      <c r="F108">
        <v>-12667.06</v>
      </c>
      <c r="G108" s="33">
        <f>E108+E111</f>
        <v>-303</v>
      </c>
      <c r="H108" s="123"/>
      <c r="I108" s="123"/>
      <c r="J108" s="123"/>
      <c r="K108" s="369"/>
      <c r="L108" s="102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06"/>
      <c r="AH108" s="7">
        <f t="shared" ref="AH108:AH111" si="30">G108/E108</f>
        <v>2.0231020898711358E-2</v>
      </c>
      <c r="AI108" s="13">
        <f t="shared" ref="AI108:AI111" si="31">F108/E108</f>
        <v>0.84576751018227947</v>
      </c>
      <c r="AJ108" s="163"/>
      <c r="AK108" s="325"/>
    </row>
    <row r="109" spans="1:41" x14ac:dyDescent="0.3">
      <c r="B109" s="6" t="s">
        <v>119</v>
      </c>
      <c r="C109" s="6" t="s">
        <v>120</v>
      </c>
      <c r="D109" s="6" t="s">
        <v>102</v>
      </c>
      <c r="E109" s="343">
        <v>-14977</v>
      </c>
      <c r="F109">
        <v>-31204.39</v>
      </c>
      <c r="G109" s="33">
        <f>E109+E111</f>
        <v>-303</v>
      </c>
      <c r="H109" s="123"/>
      <c r="I109" s="123"/>
      <c r="J109" s="123"/>
      <c r="K109" s="369"/>
      <c r="L109" s="102"/>
      <c r="T109" s="13"/>
      <c r="U109" s="13"/>
      <c r="V109" s="13"/>
      <c r="AH109" s="7">
        <f t="shared" si="30"/>
        <v>2.0231020898711358E-2</v>
      </c>
      <c r="AI109" s="13">
        <f t="shared" si="31"/>
        <v>2.0834873472658075</v>
      </c>
      <c r="AJ109" s="163"/>
      <c r="AK109" s="325"/>
    </row>
    <row r="110" spans="1:41" x14ac:dyDescent="0.3">
      <c r="B110" s="6" t="s">
        <v>121</v>
      </c>
      <c r="C110" s="6" t="s">
        <v>122</v>
      </c>
      <c r="D110" s="6" t="s">
        <v>102</v>
      </c>
      <c r="E110" s="343">
        <v>-2473</v>
      </c>
      <c r="F110">
        <v>-12365</v>
      </c>
      <c r="G110" s="33">
        <f>(E111/6)+E110</f>
        <v>-27.333333333333485</v>
      </c>
      <c r="I110" s="123">
        <f>(E111/6)+R107+S107+T107</f>
        <v>2475.6666666666665</v>
      </c>
      <c r="J110" s="123">
        <f>E110+I110</f>
        <v>2.6666666666665151</v>
      </c>
      <c r="K110" s="369"/>
      <c r="L110" s="102"/>
      <c r="AH110" s="7">
        <f t="shared" si="30"/>
        <v>1.1052702520555392E-2</v>
      </c>
      <c r="AI110" s="13">
        <f t="shared" si="31"/>
        <v>5</v>
      </c>
      <c r="AJ110" s="163"/>
      <c r="AK110" s="325"/>
      <c r="AN110" s="12">
        <f>E111*500</f>
        <v>7337000</v>
      </c>
      <c r="AO110" s="47">
        <f>AN110/1000</f>
        <v>7337</v>
      </c>
    </row>
    <row r="111" spans="1:41" x14ac:dyDescent="0.3">
      <c r="B111" s="6" t="s">
        <v>81</v>
      </c>
      <c r="C111" s="6" t="s">
        <v>82</v>
      </c>
      <c r="D111" s="6" t="s">
        <v>74</v>
      </c>
      <c r="E111" s="343">
        <v>14674</v>
      </c>
      <c r="F111">
        <v>2492525.64</v>
      </c>
      <c r="G111" s="33">
        <f>(E111*500)/1000000</f>
        <v>7.3369999999999997</v>
      </c>
      <c r="L111" s="102"/>
      <c r="AH111" s="7">
        <f t="shared" si="30"/>
        <v>5.0000000000000001E-4</v>
      </c>
      <c r="AI111" s="345">
        <f t="shared" si="31"/>
        <v>169.86</v>
      </c>
      <c r="AJ111" s="163"/>
      <c r="AK111" s="325"/>
      <c r="AL111" s="133">
        <f>AI111*2</f>
        <v>339.72</v>
      </c>
      <c r="AM111" s="106"/>
    </row>
    <row r="112" spans="1:41" ht="15" customHeight="1" x14ac:dyDescent="0.3">
      <c r="A112" s="6" t="s">
        <v>1522</v>
      </c>
      <c r="E112">
        <v>-25094.83</v>
      </c>
      <c r="F112">
        <v>49166.580000000075</v>
      </c>
      <c r="G112" s="13"/>
      <c r="H112" s="123"/>
      <c r="I112" s="123"/>
      <c r="J112" s="123"/>
      <c r="K112" s="369"/>
      <c r="L112" s="251"/>
      <c r="M112" s="37"/>
      <c r="N112" s="37"/>
      <c r="O112" s="37"/>
      <c r="P112" s="37"/>
      <c r="Q112" s="56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116"/>
      <c r="AF112" s="37"/>
      <c r="AG112" s="37"/>
      <c r="AH112" s="37"/>
      <c r="AI112" s="37"/>
      <c r="AJ112" s="265"/>
      <c r="AK112" s="326"/>
      <c r="AL112" s="265"/>
      <c r="AM112" s="116" t="str">
        <f>C111</f>
        <v>GOLD BLEND ALL CAFE'  ขนาด 500 G.</v>
      </c>
    </row>
    <row r="113" spans="1:41" x14ac:dyDescent="0.3">
      <c r="A113" s="6" t="s">
        <v>1505</v>
      </c>
      <c r="B113" s="6" t="s">
        <v>106</v>
      </c>
      <c r="C113" s="6" t="s">
        <v>107</v>
      </c>
      <c r="D113" s="6" t="s">
        <v>102</v>
      </c>
      <c r="E113" s="343">
        <v>-878</v>
      </c>
      <c r="F113">
        <v>-742.58</v>
      </c>
      <c r="G113" s="33">
        <f>E113+E117</f>
        <v>-118</v>
      </c>
      <c r="H113" s="123">
        <f>G116+P113</f>
        <v>0</v>
      </c>
      <c r="I113" s="123"/>
      <c r="J113" s="123"/>
      <c r="K113" s="369">
        <v>101</v>
      </c>
      <c r="L113" s="102" t="s">
        <v>1596</v>
      </c>
      <c r="M113" s="33">
        <v>0</v>
      </c>
      <c r="N113" s="33">
        <v>0</v>
      </c>
      <c r="O113" s="33">
        <v>0</v>
      </c>
      <c r="P113" s="33">
        <f>SUM(N113:O113)/1000</f>
        <v>0</v>
      </c>
      <c r="Q113" s="55">
        <f>P113+G112</f>
        <v>0</v>
      </c>
      <c r="R113" s="36">
        <v>0</v>
      </c>
      <c r="S113" s="90">
        <v>0</v>
      </c>
      <c r="T113" s="36"/>
      <c r="U113" s="36">
        <v>118</v>
      </c>
      <c r="V113" s="36"/>
      <c r="W113" s="33">
        <v>87</v>
      </c>
      <c r="X113" s="33"/>
      <c r="Y113" s="33"/>
      <c r="Z113" s="33">
        <v>31</v>
      </c>
      <c r="AA113" s="33"/>
      <c r="AB113" s="33"/>
      <c r="AC113" s="33"/>
      <c r="AD113" s="33"/>
      <c r="AE113" s="166">
        <f>SUM(W113:AC113)</f>
        <v>118</v>
      </c>
      <c r="AF113" s="33">
        <f>U113-AE113</f>
        <v>0</v>
      </c>
      <c r="AG113" s="33"/>
      <c r="AH113" s="7">
        <f>G113/E113</f>
        <v>0.13439635535307518</v>
      </c>
      <c r="AI113" s="13">
        <f>F113/E113</f>
        <v>0.84576309794988613</v>
      </c>
      <c r="AJ113" s="323">
        <f>100%+AK113</f>
        <v>0</v>
      </c>
      <c r="AK113" s="324">
        <f>(E117*500/1000)/E116</f>
        <v>-1</v>
      </c>
    </row>
    <row r="114" spans="1:41" x14ac:dyDescent="0.3">
      <c r="B114" s="6" t="s">
        <v>126</v>
      </c>
      <c r="C114" s="6" t="s">
        <v>127</v>
      </c>
      <c r="D114" s="6" t="s">
        <v>102</v>
      </c>
      <c r="E114" s="343">
        <v>-38</v>
      </c>
      <c r="F114">
        <v>-836</v>
      </c>
      <c r="G114" s="33">
        <f>(E117/20)+E114</f>
        <v>0</v>
      </c>
      <c r="H114" s="123"/>
      <c r="I114" s="123"/>
      <c r="J114" s="123"/>
      <c r="K114" s="369"/>
      <c r="L114" s="102"/>
      <c r="AH114" s="7">
        <f>G114/E114</f>
        <v>0</v>
      </c>
      <c r="AI114" s="13">
        <f t="shared" ref="AI114:AI117" si="32">F114/E114</f>
        <v>22</v>
      </c>
      <c r="AJ114" s="163"/>
      <c r="AK114" s="325"/>
    </row>
    <row r="115" spans="1:41" x14ac:dyDescent="0.3">
      <c r="B115" s="6" t="s">
        <v>237</v>
      </c>
      <c r="C115" s="6" t="s">
        <v>238</v>
      </c>
      <c r="D115" s="6" t="s">
        <v>102</v>
      </c>
      <c r="E115" s="343">
        <v>-878</v>
      </c>
      <c r="F115">
        <v>-1507.23</v>
      </c>
      <c r="G115" s="33">
        <f>E115+E117</f>
        <v>-118</v>
      </c>
      <c r="H115" s="123"/>
      <c r="I115" s="123"/>
      <c r="J115" s="123"/>
      <c r="K115" s="369"/>
      <c r="L115" s="102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06"/>
      <c r="AH115" s="7">
        <f t="shared" ref="AH115:AH117" si="33">G115/E115</f>
        <v>0.13439635535307518</v>
      </c>
      <c r="AI115" s="13">
        <f t="shared" si="32"/>
        <v>1.7166628701594533</v>
      </c>
      <c r="AJ115" s="163"/>
      <c r="AK115" s="325"/>
    </row>
    <row r="116" spans="1:41" x14ac:dyDescent="0.3">
      <c r="B116" s="6" t="s">
        <v>205</v>
      </c>
      <c r="C116" s="6" t="s">
        <v>206</v>
      </c>
      <c r="D116" s="6" t="s">
        <v>80</v>
      </c>
      <c r="E116" s="343">
        <v>-380</v>
      </c>
      <c r="F116">
        <v>-102478.39999999999</v>
      </c>
      <c r="G116" s="33">
        <f>((E116*2)+E117)/2</f>
        <v>0</v>
      </c>
      <c r="I116" s="123">
        <f>(E117/20)+R113+S113+T113</f>
        <v>38</v>
      </c>
      <c r="J116" s="123">
        <f>E114+I116</f>
        <v>0</v>
      </c>
      <c r="K116" s="369"/>
      <c r="L116" s="102"/>
      <c r="AH116" s="7">
        <f t="shared" si="33"/>
        <v>0</v>
      </c>
      <c r="AI116" s="13">
        <f t="shared" si="32"/>
        <v>269.68</v>
      </c>
      <c r="AJ116" s="163"/>
      <c r="AK116" s="325"/>
      <c r="AN116" s="12">
        <f>E117*500</f>
        <v>380000</v>
      </c>
      <c r="AO116" s="47">
        <f>AN116/1000</f>
        <v>380</v>
      </c>
    </row>
    <row r="117" spans="1:41" x14ac:dyDescent="0.3">
      <c r="B117" s="6" t="s">
        <v>239</v>
      </c>
      <c r="C117" s="6" t="s">
        <v>240</v>
      </c>
      <c r="D117" s="6" t="s">
        <v>74</v>
      </c>
      <c r="E117" s="343">
        <v>760</v>
      </c>
      <c r="F117">
        <v>107623.6</v>
      </c>
      <c r="G117" s="33">
        <f>(E117*500)/1000000</f>
        <v>0.38</v>
      </c>
      <c r="L117" s="102"/>
      <c r="AH117" s="7">
        <f t="shared" si="33"/>
        <v>5.0000000000000001E-4</v>
      </c>
      <c r="AI117" s="345">
        <f t="shared" si="32"/>
        <v>141.61000000000001</v>
      </c>
      <c r="AJ117" s="163"/>
      <c r="AK117" s="325"/>
      <c r="AL117" s="133">
        <f>AI117*2</f>
        <v>283.22000000000003</v>
      </c>
      <c r="AM117" s="106"/>
    </row>
    <row r="118" spans="1:41" x14ac:dyDescent="0.3">
      <c r="A118" s="6" t="s">
        <v>1523</v>
      </c>
      <c r="E118">
        <v>-1414</v>
      </c>
      <c r="F118">
        <v>2059.390000000014</v>
      </c>
      <c r="G118" s="13"/>
      <c r="H118" s="123"/>
      <c r="I118" s="123"/>
      <c r="J118" s="123"/>
      <c r="K118" s="369"/>
      <c r="L118" s="251"/>
      <c r="M118" s="37"/>
      <c r="N118" s="37"/>
      <c r="O118" s="37"/>
      <c r="P118" s="37"/>
      <c r="Q118" s="56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116"/>
      <c r="AF118" s="37"/>
      <c r="AG118" s="37"/>
      <c r="AH118" s="37"/>
      <c r="AI118" s="37"/>
      <c r="AJ118" s="265"/>
      <c r="AK118" s="326"/>
      <c r="AL118" s="265"/>
      <c r="AM118" s="361" t="str">
        <f>C117</f>
        <v>เมล็ดกาแฟ True Tower ขนาด 500 G.</v>
      </c>
    </row>
    <row r="119" spans="1:41" x14ac:dyDescent="0.3">
      <c r="A119" s="6" t="s">
        <v>1829</v>
      </c>
      <c r="B119" s="6" t="s">
        <v>23</v>
      </c>
      <c r="C119" s="6" t="s">
        <v>24</v>
      </c>
      <c r="D119" s="6" t="s">
        <v>80</v>
      </c>
      <c r="E119" s="343">
        <v>-8104.02</v>
      </c>
      <c r="F119">
        <v>-2634941.06</v>
      </c>
      <c r="G119" s="33">
        <f>((E119*2)+E123)/2</f>
        <v>-8.0200000000004366</v>
      </c>
      <c r="H119" s="123">
        <f>G119+P120</f>
        <v>-8.0200000000004366</v>
      </c>
      <c r="I119" s="123"/>
      <c r="J119" s="123"/>
      <c r="K119" s="369"/>
      <c r="L119" s="102" t="s">
        <v>1936</v>
      </c>
      <c r="M119" s="33">
        <v>10</v>
      </c>
      <c r="N119" s="33">
        <v>1600</v>
      </c>
      <c r="O119" s="33">
        <v>6420</v>
      </c>
      <c r="P119" s="33">
        <f>SUM(N119:O119)/1000</f>
        <v>8.02</v>
      </c>
      <c r="Q119" s="55">
        <f>P119+G119</f>
        <v>-4.3698378249246161E-13</v>
      </c>
      <c r="R119" s="36">
        <v>17</v>
      </c>
      <c r="S119" s="36"/>
      <c r="T119" s="36"/>
      <c r="U119" s="36">
        <v>462</v>
      </c>
      <c r="V119" s="36"/>
      <c r="W119" s="33">
        <v>46</v>
      </c>
      <c r="X119" s="33">
        <v>274</v>
      </c>
      <c r="Y119" s="33">
        <v>102</v>
      </c>
      <c r="Z119" s="33">
        <v>40</v>
      </c>
      <c r="AA119" s="33"/>
      <c r="AB119" s="33"/>
      <c r="AC119" s="33"/>
      <c r="AD119" s="33"/>
      <c r="AE119" s="166">
        <f>SUM(W119:AC119)</f>
        <v>462</v>
      </c>
      <c r="AF119" s="33">
        <f>U119-AE119</f>
        <v>0</v>
      </c>
      <c r="AG119" s="33"/>
      <c r="AH119" s="7">
        <f>G119/E119</f>
        <v>9.8963230594204302E-4</v>
      </c>
      <c r="AI119" s="13">
        <f>F119/E119</f>
        <v>325.13999965449244</v>
      </c>
      <c r="AJ119" s="323">
        <f>100%+AK119</f>
        <v>9.8963230594206752E-4</v>
      </c>
      <c r="AK119" s="324">
        <f>(E123*500/1000)/E119</f>
        <v>-0.99901036769405793</v>
      </c>
    </row>
    <row r="120" spans="1:41" x14ac:dyDescent="0.3">
      <c r="B120" s="6" t="s">
        <v>106</v>
      </c>
      <c r="C120" s="6" t="s">
        <v>107</v>
      </c>
      <c r="D120" s="6" t="s">
        <v>102</v>
      </c>
      <c r="E120" s="343">
        <v>-16654</v>
      </c>
      <c r="F120">
        <v>-14085.42</v>
      </c>
      <c r="G120" s="33">
        <f>E120+E123</f>
        <v>-462</v>
      </c>
      <c r="H120" s="13"/>
      <c r="I120" s="123"/>
      <c r="J120" s="123"/>
      <c r="K120" s="369">
        <v>101</v>
      </c>
      <c r="L120" s="102"/>
      <c r="AH120" s="7">
        <f t="shared" ref="AH120:AH123" si="34">G120/E120</f>
        <v>2.7741083223249668E-2</v>
      </c>
      <c r="AI120" s="13">
        <f t="shared" ref="AI120:AI123" si="35">F120/E120</f>
        <v>0.84576798366758732</v>
      </c>
      <c r="AJ120" s="163"/>
      <c r="AK120" s="325"/>
    </row>
    <row r="121" spans="1:41" x14ac:dyDescent="0.3">
      <c r="B121" s="6" t="s">
        <v>119</v>
      </c>
      <c r="C121" s="6" t="s">
        <v>120</v>
      </c>
      <c r="D121" s="6" t="s">
        <v>102</v>
      </c>
      <c r="E121" s="343">
        <v>-16654</v>
      </c>
      <c r="F121">
        <v>-34698.39</v>
      </c>
      <c r="G121" s="33">
        <f>E121+E123</f>
        <v>-462</v>
      </c>
      <c r="H121" s="163"/>
      <c r="I121" s="123"/>
      <c r="J121" s="123"/>
      <c r="K121" s="369"/>
      <c r="L121" s="102"/>
      <c r="T121" s="13"/>
      <c r="U121" s="13"/>
      <c r="V121" s="13"/>
      <c r="AH121" s="7">
        <f t="shared" si="34"/>
        <v>2.7741083223249668E-2</v>
      </c>
      <c r="AI121" s="13">
        <f t="shared" si="35"/>
        <v>2.0834868500060044</v>
      </c>
      <c r="AJ121" s="163"/>
      <c r="AK121" s="325"/>
    </row>
    <row r="122" spans="1:41" x14ac:dyDescent="0.3">
      <c r="B122" s="6" t="s">
        <v>121</v>
      </c>
      <c r="C122" s="6" t="s">
        <v>122</v>
      </c>
      <c r="D122" s="6" t="s">
        <v>102</v>
      </c>
      <c r="E122" s="343">
        <v>-2714</v>
      </c>
      <c r="F122">
        <v>-13570</v>
      </c>
      <c r="G122" s="33">
        <f>(E123/6)+E122</f>
        <v>-15.333333333333485</v>
      </c>
      <c r="H122" s="123"/>
      <c r="I122" s="123">
        <f>(E123/6)+R120+S120+T120</f>
        <v>2698.6666666666665</v>
      </c>
      <c r="J122" s="123">
        <f>E122+I122</f>
        <v>-15.333333333333485</v>
      </c>
      <c r="K122" s="369"/>
      <c r="L122" s="102"/>
      <c r="AH122" s="7">
        <f t="shared" si="34"/>
        <v>5.6497175141243493E-3</v>
      </c>
      <c r="AI122" s="13">
        <f t="shared" si="35"/>
        <v>5</v>
      </c>
      <c r="AJ122" s="163"/>
      <c r="AK122" s="325"/>
      <c r="AN122" s="12">
        <f>E123*500</f>
        <v>8096000</v>
      </c>
      <c r="AO122" s="47">
        <f>AN122/1000</f>
        <v>8096</v>
      </c>
    </row>
    <row r="123" spans="1:41" x14ac:dyDescent="0.3">
      <c r="B123" s="6" t="s">
        <v>81</v>
      </c>
      <c r="C123" s="6" t="s">
        <v>82</v>
      </c>
      <c r="D123" s="6" t="s">
        <v>74</v>
      </c>
      <c r="E123" s="343">
        <v>16192</v>
      </c>
      <c r="F123">
        <v>2750373.12</v>
      </c>
      <c r="G123" s="33">
        <f>(E123*500)/1000000</f>
        <v>8.0960000000000001</v>
      </c>
      <c r="H123" s="123"/>
      <c r="I123" s="123"/>
      <c r="J123" s="123"/>
      <c r="K123" s="369"/>
      <c r="L123" s="102"/>
      <c r="AH123" s="7">
        <f t="shared" si="34"/>
        <v>5.0000000000000001E-4</v>
      </c>
      <c r="AI123" s="345">
        <f t="shared" si="35"/>
        <v>169.86</v>
      </c>
      <c r="AJ123" s="163"/>
      <c r="AK123" s="325"/>
      <c r="AL123" s="133">
        <f>AI123*2</f>
        <v>339.72</v>
      </c>
      <c r="AM123" s="106"/>
    </row>
    <row r="124" spans="1:41" x14ac:dyDescent="0.3">
      <c r="A124" s="6" t="s">
        <v>1930</v>
      </c>
      <c r="E124">
        <v>-27934.020000000004</v>
      </c>
      <c r="F124">
        <v>53078.25</v>
      </c>
      <c r="G124" s="13"/>
      <c r="H124" s="123"/>
      <c r="I124" s="123"/>
      <c r="J124" s="123"/>
      <c r="K124" s="369"/>
      <c r="L124" s="251"/>
      <c r="M124" s="37"/>
      <c r="N124" s="37"/>
      <c r="O124" s="37"/>
      <c r="P124" s="37"/>
      <c r="Q124" s="56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116"/>
      <c r="AF124" s="37"/>
      <c r="AG124" s="37"/>
      <c r="AH124" s="37"/>
      <c r="AI124" s="37"/>
      <c r="AJ124" s="265"/>
      <c r="AK124" s="326"/>
      <c r="AL124" s="265"/>
      <c r="AM124" s="116" t="str">
        <f>C123</f>
        <v>GOLD BLEND ALL CAFE'  ขนาด 500 G.</v>
      </c>
    </row>
    <row r="125" spans="1:41" x14ac:dyDescent="0.3">
      <c r="A125" s="6" t="s">
        <v>1834</v>
      </c>
      <c r="B125" s="6" t="s">
        <v>23</v>
      </c>
      <c r="C125" s="6" t="s">
        <v>24</v>
      </c>
      <c r="D125" s="6" t="s">
        <v>80</v>
      </c>
      <c r="E125" s="343">
        <v>-8882</v>
      </c>
      <c r="F125">
        <v>-2887893.48</v>
      </c>
      <c r="G125" s="33">
        <f>((E125*2)+E129)/2</f>
        <v>-8</v>
      </c>
      <c r="H125" s="123">
        <f>G125+P126</f>
        <v>-8</v>
      </c>
      <c r="I125" s="123"/>
      <c r="J125" s="123"/>
      <c r="K125" s="369"/>
      <c r="L125" s="102" t="s">
        <v>1937</v>
      </c>
      <c r="M125" s="33">
        <v>12</v>
      </c>
      <c r="N125" s="33">
        <v>520</v>
      </c>
      <c r="O125" s="33">
        <v>7480</v>
      </c>
      <c r="P125" s="33">
        <f>SUM(N125:O125)/1000</f>
        <v>8</v>
      </c>
      <c r="Q125" s="55">
        <f>P125+G125</f>
        <v>0</v>
      </c>
      <c r="R125" s="36">
        <v>22</v>
      </c>
      <c r="S125" s="36"/>
      <c r="T125" s="36"/>
      <c r="U125" s="36">
        <v>238</v>
      </c>
      <c r="V125" s="36"/>
      <c r="W125" s="33">
        <v>87</v>
      </c>
      <c r="X125" s="33">
        <v>0</v>
      </c>
      <c r="Y125" s="33">
        <v>92</v>
      </c>
      <c r="Z125" s="33">
        <v>54</v>
      </c>
      <c r="AA125" s="33"/>
      <c r="AB125" s="33">
        <v>5</v>
      </c>
      <c r="AC125" s="33"/>
      <c r="AD125" s="33"/>
      <c r="AE125" s="166">
        <f>SUM(W125:AC125)</f>
        <v>238</v>
      </c>
      <c r="AF125" s="33">
        <f>U125-AE125</f>
        <v>0</v>
      </c>
      <c r="AG125" s="33"/>
      <c r="AH125" s="7">
        <f>G125/E125</f>
        <v>9.0069804098176086E-4</v>
      </c>
      <c r="AI125" s="13">
        <f>F125/E125</f>
        <v>325.14</v>
      </c>
      <c r="AJ125" s="323">
        <f>100%+AK125</f>
        <v>9.0069804098180661E-4</v>
      </c>
      <c r="AK125" s="324">
        <f>(E129*500/1000)/E125</f>
        <v>-0.99909930195901819</v>
      </c>
    </row>
    <row r="126" spans="1:41" x14ac:dyDescent="0.3">
      <c r="B126" s="6" t="s">
        <v>106</v>
      </c>
      <c r="C126" s="6" t="s">
        <v>107</v>
      </c>
      <c r="D126" s="6" t="s">
        <v>102</v>
      </c>
      <c r="E126" s="343">
        <v>-17986</v>
      </c>
      <c r="F126">
        <v>-15211.980000000001</v>
      </c>
      <c r="G126" s="33">
        <f>E126+E129</f>
        <v>-238</v>
      </c>
      <c r="H126" s="13"/>
      <c r="I126" s="123"/>
      <c r="J126" s="123"/>
      <c r="K126" s="369">
        <v>101</v>
      </c>
      <c r="L126" s="102"/>
      <c r="T126" s="13"/>
      <c r="U126" s="13"/>
      <c r="V126" s="13"/>
      <c r="AH126" s="7">
        <f t="shared" ref="AH126:AH129" si="36">G126/E126</f>
        <v>1.3232514177693762E-2</v>
      </c>
      <c r="AI126" s="13">
        <f t="shared" ref="AI126:AI129" si="37">F126/E126</f>
        <v>0.84576781941510071</v>
      </c>
      <c r="AJ126" s="163"/>
      <c r="AK126" s="325"/>
    </row>
    <row r="127" spans="1:41" x14ac:dyDescent="0.3">
      <c r="B127" s="6" t="s">
        <v>119</v>
      </c>
      <c r="C127" s="6" t="s">
        <v>120</v>
      </c>
      <c r="D127" s="6" t="s">
        <v>102</v>
      </c>
      <c r="E127" s="343">
        <v>-17986</v>
      </c>
      <c r="F127">
        <v>-37473.599999999999</v>
      </c>
      <c r="G127" s="33">
        <f>E127+E129</f>
        <v>-238</v>
      </c>
      <c r="H127" s="163"/>
      <c r="I127" s="123"/>
      <c r="J127" s="123"/>
      <c r="K127" s="369"/>
      <c r="L127" s="138"/>
      <c r="T127" s="13"/>
      <c r="U127" s="13"/>
      <c r="V127" s="13"/>
      <c r="AH127" s="7">
        <f t="shared" si="36"/>
        <v>1.3232514177693762E-2</v>
      </c>
      <c r="AI127" s="13">
        <f t="shared" si="37"/>
        <v>2.0834871566774158</v>
      </c>
      <c r="AJ127" s="163"/>
      <c r="AK127" s="325"/>
    </row>
    <row r="128" spans="1:41" x14ac:dyDescent="0.3">
      <c r="B128" s="6" t="s">
        <v>121</v>
      </c>
      <c r="C128" s="6" t="s">
        <v>122</v>
      </c>
      <c r="D128" s="6" t="s">
        <v>102</v>
      </c>
      <c r="E128" s="343">
        <v>-2978</v>
      </c>
      <c r="F128">
        <v>-14890</v>
      </c>
      <c r="G128" s="33">
        <f>(E129/6)+E128</f>
        <v>-20</v>
      </c>
      <c r="H128" s="123"/>
      <c r="I128" s="123">
        <f>(E129/6)+R126+S126+T126</f>
        <v>2958</v>
      </c>
      <c r="J128" s="123">
        <f>E128+I128</f>
        <v>-20</v>
      </c>
      <c r="K128" s="369"/>
      <c r="L128" s="102"/>
      <c r="AH128" s="7">
        <f t="shared" si="36"/>
        <v>6.7159167226326392E-3</v>
      </c>
      <c r="AI128" s="13">
        <f t="shared" si="37"/>
        <v>5</v>
      </c>
      <c r="AJ128" s="163"/>
      <c r="AK128" s="325"/>
      <c r="AN128" s="12">
        <f>E129*500</f>
        <v>8874000</v>
      </c>
      <c r="AO128" s="47">
        <f>AN128/1000</f>
        <v>8874</v>
      </c>
    </row>
    <row r="129" spans="1:41" ht="13" customHeight="1" x14ac:dyDescent="0.3">
      <c r="B129" s="6" t="s">
        <v>81</v>
      </c>
      <c r="C129" s="6" t="s">
        <v>82</v>
      </c>
      <c r="D129" s="6" t="s">
        <v>74</v>
      </c>
      <c r="E129" s="343">
        <v>17748</v>
      </c>
      <c r="F129">
        <v>3014675.28</v>
      </c>
      <c r="G129" s="33">
        <f>(E129*500)/1000000</f>
        <v>8.8740000000000006</v>
      </c>
      <c r="H129" s="123"/>
      <c r="I129" s="123"/>
      <c r="J129" s="123"/>
      <c r="K129" s="369"/>
      <c r="L129" s="102"/>
      <c r="AH129" s="7">
        <f t="shared" si="36"/>
        <v>5.0000000000000001E-4</v>
      </c>
      <c r="AI129" s="345">
        <f t="shared" si="37"/>
        <v>169.85999999999999</v>
      </c>
      <c r="AJ129" s="163"/>
      <c r="AK129" s="325"/>
      <c r="AL129" s="133">
        <f>AI129*2</f>
        <v>339.71999999999997</v>
      </c>
      <c r="AM129" s="106"/>
    </row>
    <row r="130" spans="1:41" ht="13" customHeight="1" x14ac:dyDescent="0.3">
      <c r="A130" s="6" t="s">
        <v>1931</v>
      </c>
      <c r="E130">
        <v>-30084</v>
      </c>
      <c r="F130">
        <v>59206.219999999739</v>
      </c>
      <c r="L130" s="251"/>
      <c r="M130" s="37"/>
      <c r="N130" s="37"/>
      <c r="O130" s="37"/>
      <c r="P130" s="37"/>
      <c r="Q130" s="56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116"/>
      <c r="AF130" s="37"/>
      <c r="AG130" s="37"/>
      <c r="AH130" s="37"/>
      <c r="AI130" s="37"/>
      <c r="AJ130" s="265"/>
      <c r="AK130" s="326"/>
      <c r="AL130" s="265"/>
      <c r="AM130" s="116" t="str">
        <f>C129</f>
        <v>GOLD BLEND ALL CAFE'  ขนาด 500 G.</v>
      </c>
    </row>
    <row r="131" spans="1:41" ht="13" customHeight="1" x14ac:dyDescent="0.3">
      <c r="A131" s="6" t="s">
        <v>1842</v>
      </c>
      <c r="B131" s="6" t="s">
        <v>23</v>
      </c>
      <c r="C131" s="6" t="s">
        <v>24</v>
      </c>
      <c r="D131" s="6" t="s">
        <v>80</v>
      </c>
      <c r="E131" s="343">
        <v>-10426.379999999999</v>
      </c>
      <c r="F131">
        <v>-3390033.19</v>
      </c>
      <c r="G131" s="33">
        <f>((E131*2)+E135)/2</f>
        <v>-4.3799999999991996</v>
      </c>
      <c r="H131" s="123">
        <f>G131+P131</f>
        <v>8.0024875614981283E-13</v>
      </c>
      <c r="I131" s="123"/>
      <c r="J131" s="123"/>
      <c r="K131" s="369"/>
      <c r="L131" s="102" t="s">
        <v>1938</v>
      </c>
      <c r="M131" s="33">
        <v>12</v>
      </c>
      <c r="N131" s="33">
        <v>240</v>
      </c>
      <c r="O131" s="33">
        <v>4140</v>
      </c>
      <c r="P131" s="33">
        <f>SUM(N131:O131)/1000</f>
        <v>4.38</v>
      </c>
      <c r="Q131" s="55">
        <f>P131+G131</f>
        <v>8.0024875614981283E-13</v>
      </c>
      <c r="R131" s="36">
        <v>12</v>
      </c>
      <c r="S131" s="36"/>
      <c r="T131" s="36"/>
      <c r="U131" s="36">
        <v>249</v>
      </c>
      <c r="V131" s="36"/>
      <c r="W131" s="33">
        <v>94</v>
      </c>
      <c r="X131" s="33">
        <v>0</v>
      </c>
      <c r="Y131" s="33">
        <v>93</v>
      </c>
      <c r="Z131" s="33">
        <v>62</v>
      </c>
      <c r="AA131" s="33"/>
      <c r="AB131" s="33">
        <v>0</v>
      </c>
      <c r="AC131" s="33"/>
      <c r="AD131" s="33"/>
      <c r="AE131" s="166">
        <f>SUM(W131:AC131)</f>
        <v>249</v>
      </c>
      <c r="AF131" s="33">
        <f>U131-AE131</f>
        <v>0</v>
      </c>
      <c r="AG131" s="33"/>
      <c r="AH131" s="7">
        <f>G132/E131</f>
        <v>2.388173076369747E-2</v>
      </c>
      <c r="AI131" s="13">
        <f>F131/E131</f>
        <v>325.13999969308622</v>
      </c>
      <c r="AJ131" s="323">
        <f>100%+AK131</f>
        <v>4.2008827608419619E-4</v>
      </c>
      <c r="AK131" s="324">
        <f>(E135*500/1000)/E131</f>
        <v>-0.9995799117239158</v>
      </c>
    </row>
    <row r="132" spans="1:41" ht="13" customHeight="1" x14ac:dyDescent="0.3">
      <c r="B132" s="6" t="s">
        <v>106</v>
      </c>
      <c r="C132" s="6" t="s">
        <v>107</v>
      </c>
      <c r="D132" s="6" t="s">
        <v>102</v>
      </c>
      <c r="E132" s="343">
        <v>-21093</v>
      </c>
      <c r="F132">
        <v>-17839.78</v>
      </c>
      <c r="G132" s="33">
        <f>E132+E135</f>
        <v>-249</v>
      </c>
      <c r="H132" s="13"/>
      <c r="I132" s="123"/>
      <c r="J132" s="123"/>
      <c r="K132" s="369">
        <v>101</v>
      </c>
      <c r="L132" s="102"/>
      <c r="T132" s="13"/>
      <c r="U132" s="13"/>
      <c r="V132" s="13"/>
      <c r="AH132" s="7">
        <f>G133/E132</f>
        <v>1.1804864172948371E-2</v>
      </c>
      <c r="AI132" s="13">
        <f t="shared" ref="AI132:AI135" si="38">F132/E132</f>
        <v>0.84576779026217219</v>
      </c>
      <c r="AJ132" s="163"/>
      <c r="AK132" s="325"/>
    </row>
    <row r="133" spans="1:41" ht="13" customHeight="1" x14ac:dyDescent="0.3">
      <c r="B133" s="6" t="s">
        <v>119</v>
      </c>
      <c r="C133" s="6" t="s">
        <v>120</v>
      </c>
      <c r="D133" s="6" t="s">
        <v>102</v>
      </c>
      <c r="E133" s="343">
        <v>-21093</v>
      </c>
      <c r="F133">
        <v>-43946.99</v>
      </c>
      <c r="G133" s="33">
        <f>E133+E135</f>
        <v>-249</v>
      </c>
      <c r="H133" s="163"/>
      <c r="I133" s="123"/>
      <c r="J133" s="123"/>
      <c r="K133" s="369"/>
      <c r="L133" s="138"/>
      <c r="AH133" s="7">
        <f>G134/E133</f>
        <v>4.7409093064049683E-4</v>
      </c>
      <c r="AI133" s="13">
        <f t="shared" si="38"/>
        <v>2.0834869387948607</v>
      </c>
      <c r="AJ133" s="163"/>
      <c r="AK133" s="325"/>
    </row>
    <row r="134" spans="1:41" ht="13" customHeight="1" x14ac:dyDescent="0.3">
      <c r="B134" s="6" t="s">
        <v>121</v>
      </c>
      <c r="C134" s="6" t="s">
        <v>122</v>
      </c>
      <c r="D134" s="6" t="s">
        <v>102</v>
      </c>
      <c r="E134" s="343">
        <v>-3484</v>
      </c>
      <c r="F134">
        <v>-17420</v>
      </c>
      <c r="G134" s="33">
        <f>(E135/6)+E134</f>
        <v>-10</v>
      </c>
      <c r="H134" s="123"/>
      <c r="I134" s="123">
        <f>(E135/6)+R131+S131+T131</f>
        <v>3486</v>
      </c>
      <c r="J134" s="123">
        <f>E134+I134</f>
        <v>2</v>
      </c>
      <c r="K134" s="369"/>
      <c r="L134" s="102"/>
      <c r="AH134" s="7">
        <f>G135/E134</f>
        <v>-2.9913892078071184E-3</v>
      </c>
      <c r="AI134" s="13">
        <f t="shared" si="38"/>
        <v>5</v>
      </c>
      <c r="AJ134" s="163"/>
      <c r="AK134" s="325"/>
      <c r="AN134" s="12">
        <f>E135*500</f>
        <v>10422000</v>
      </c>
      <c r="AO134" s="47">
        <f>AN134/1000</f>
        <v>10422</v>
      </c>
    </row>
    <row r="135" spans="1:41" ht="13" customHeight="1" x14ac:dyDescent="0.3">
      <c r="B135" s="6" t="s">
        <v>81</v>
      </c>
      <c r="C135" s="6" t="s">
        <v>82</v>
      </c>
      <c r="D135" s="6" t="s">
        <v>74</v>
      </c>
      <c r="E135" s="343">
        <v>20844</v>
      </c>
      <c r="F135">
        <v>3540561.84</v>
      </c>
      <c r="G135" s="33">
        <f>(E135*500)/1000000</f>
        <v>10.422000000000001</v>
      </c>
      <c r="H135" s="123"/>
      <c r="I135" s="123"/>
      <c r="J135" s="123"/>
      <c r="K135" s="369"/>
      <c r="L135" s="102"/>
      <c r="AH135" s="7">
        <f>G136/E135</f>
        <v>0</v>
      </c>
      <c r="AI135" s="345">
        <f t="shared" si="38"/>
        <v>169.85999999999999</v>
      </c>
      <c r="AJ135" s="163"/>
      <c r="AK135" s="325"/>
      <c r="AL135" s="133">
        <f>AI135*2</f>
        <v>339.71999999999997</v>
      </c>
      <c r="AM135" s="106"/>
    </row>
    <row r="136" spans="1:41" ht="13" customHeight="1" x14ac:dyDescent="0.3">
      <c r="A136" s="6" t="s">
        <v>1932</v>
      </c>
      <c r="E136">
        <v>-35252.379999999997</v>
      </c>
      <c r="F136">
        <v>71321.879999999888</v>
      </c>
      <c r="G136" s="13"/>
      <c r="H136" s="123"/>
      <c r="I136" s="123"/>
      <c r="J136" s="123"/>
      <c r="K136" s="369"/>
      <c r="L136" s="251"/>
      <c r="M136" s="37"/>
      <c r="N136" s="37"/>
      <c r="O136" s="37"/>
      <c r="P136" s="37"/>
      <c r="Q136" s="56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116"/>
      <c r="AF136" s="37"/>
      <c r="AG136" s="37"/>
      <c r="AH136" s="37"/>
      <c r="AI136" s="37"/>
      <c r="AJ136" s="265"/>
      <c r="AK136" s="326"/>
      <c r="AL136" s="265"/>
      <c r="AM136" s="116" t="str">
        <f>C135</f>
        <v>GOLD BLEND ALL CAFE'  ขนาด 500 G.</v>
      </c>
      <c r="AN136" s="13"/>
    </row>
    <row r="137" spans="1:41" ht="13" customHeight="1" x14ac:dyDescent="0.3">
      <c r="A137" s="6" t="s">
        <v>1847</v>
      </c>
      <c r="B137" s="6" t="s">
        <v>23</v>
      </c>
      <c r="C137" s="6" t="s">
        <v>24</v>
      </c>
      <c r="D137" s="6" t="s">
        <v>80</v>
      </c>
      <c r="E137" s="343">
        <v>-10625.78</v>
      </c>
      <c r="F137">
        <v>-3454866.11</v>
      </c>
      <c r="G137" s="33">
        <f>((E137*2)+E141)/2</f>
        <v>-38.780000000000655</v>
      </c>
      <c r="H137" s="123">
        <f>G137+P137</f>
        <v>-6.5369931689929217E-13</v>
      </c>
      <c r="I137" s="123"/>
      <c r="J137" s="123"/>
      <c r="K137" s="369">
        <v>101</v>
      </c>
      <c r="L137" s="102" t="s">
        <v>1939</v>
      </c>
      <c r="M137" s="33">
        <v>12</v>
      </c>
      <c r="N137" s="33">
        <v>990</v>
      </c>
      <c r="O137" s="33">
        <v>37790</v>
      </c>
      <c r="P137" s="33">
        <f>SUM(N137:O137)/1000</f>
        <v>38.78</v>
      </c>
      <c r="Q137" s="55">
        <f>P137+G137</f>
        <v>-6.5369931689929217E-13</v>
      </c>
      <c r="R137" s="36">
        <v>9</v>
      </c>
      <c r="S137" s="36"/>
      <c r="T137" s="36"/>
      <c r="U137" s="36">
        <v>259</v>
      </c>
      <c r="V137" s="36"/>
      <c r="W137" s="33">
        <v>116</v>
      </c>
      <c r="X137" s="33">
        <v>0</v>
      </c>
      <c r="Y137" s="33">
        <v>106</v>
      </c>
      <c r="Z137" s="33">
        <v>37</v>
      </c>
      <c r="AA137" s="33"/>
      <c r="AB137" s="33">
        <v>0</v>
      </c>
      <c r="AC137" s="33"/>
      <c r="AD137" s="33"/>
      <c r="AE137" s="166">
        <f>SUM(W137:AC137)</f>
        <v>259</v>
      </c>
      <c r="AF137" s="33">
        <f>U137-AE137</f>
        <v>0</v>
      </c>
      <c r="AG137" s="33"/>
      <c r="AH137" s="7">
        <f>G137/E137</f>
        <v>3.6496144283055601E-3</v>
      </c>
      <c r="AI137" s="13">
        <f>F137/E137</f>
        <v>325.14000007528858</v>
      </c>
      <c r="AJ137" s="323">
        <f>100%+AK137</f>
        <v>3.6496144283055809E-3</v>
      </c>
      <c r="AK137" s="324">
        <f>(E141*500/1000)/E137</f>
        <v>-0.99635038557169442</v>
      </c>
      <c r="AM137" s="106"/>
      <c r="AN137" s="13"/>
    </row>
    <row r="138" spans="1:41" ht="13" customHeight="1" x14ac:dyDescent="0.3">
      <c r="B138" s="6" t="s">
        <v>106</v>
      </c>
      <c r="C138" s="6" t="s">
        <v>107</v>
      </c>
      <c r="D138" s="6" t="s">
        <v>102</v>
      </c>
      <c r="E138" s="343">
        <v>-21433</v>
      </c>
      <c r="F138">
        <v>-18127.34</v>
      </c>
      <c r="G138" s="33">
        <f>E138+E141</f>
        <v>-259</v>
      </c>
      <c r="H138" s="13"/>
      <c r="I138" s="123"/>
      <c r="J138" s="123"/>
      <c r="K138" s="369"/>
      <c r="L138" s="102"/>
      <c r="M138" s="13"/>
      <c r="N138" s="13"/>
      <c r="O138" s="13"/>
      <c r="P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06"/>
      <c r="AF138" s="13"/>
      <c r="AG138" s="13"/>
      <c r="AH138" s="7">
        <f>G138/E138</f>
        <v>1.2084169271683851E-2</v>
      </c>
      <c r="AI138" s="13">
        <f>F138/E138</f>
        <v>0.84576774133345778</v>
      </c>
      <c r="AJ138" s="163"/>
      <c r="AK138" s="325"/>
      <c r="AM138" s="106"/>
      <c r="AN138" s="13"/>
    </row>
    <row r="139" spans="1:41" ht="13" customHeight="1" x14ac:dyDescent="0.3">
      <c r="B139" s="6" t="s">
        <v>119</v>
      </c>
      <c r="C139" s="6" t="s">
        <v>120</v>
      </c>
      <c r="D139" s="6" t="s">
        <v>102</v>
      </c>
      <c r="E139" s="343">
        <v>-21433</v>
      </c>
      <c r="F139">
        <v>-44655.38</v>
      </c>
      <c r="G139" s="33">
        <f>E139+E141</f>
        <v>-259</v>
      </c>
      <c r="H139" s="163"/>
      <c r="I139" s="123"/>
      <c r="J139" s="123"/>
      <c r="K139" s="369"/>
      <c r="L139" s="253"/>
      <c r="M139" s="13"/>
      <c r="N139" s="13"/>
      <c r="O139" s="13"/>
      <c r="P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06"/>
      <c r="AF139" s="13"/>
      <c r="AG139" s="13"/>
      <c r="AH139" s="7">
        <f>G139/E139</f>
        <v>1.2084169271683851E-2</v>
      </c>
      <c r="AI139" s="13">
        <f>F139/E139</f>
        <v>2.0834871459898285</v>
      </c>
      <c r="AJ139" s="163"/>
      <c r="AK139" s="325"/>
      <c r="AM139" s="106"/>
      <c r="AN139" s="13"/>
    </row>
    <row r="140" spans="1:41" ht="13" customHeight="1" x14ac:dyDescent="0.3">
      <c r="B140" s="6" t="s">
        <v>121</v>
      </c>
      <c r="C140" s="6" t="s">
        <v>122</v>
      </c>
      <c r="D140" s="6" t="s">
        <v>102</v>
      </c>
      <c r="E140" s="343">
        <v>-3536</v>
      </c>
      <c r="F140">
        <v>-17680</v>
      </c>
      <c r="G140" s="33">
        <f>(E141/6)+E140</f>
        <v>-7</v>
      </c>
      <c r="H140" s="123"/>
      <c r="I140" s="123">
        <f>(E141/6)+R138+S138+T138</f>
        <v>3529</v>
      </c>
      <c r="J140" s="123">
        <f>E140+I140</f>
        <v>-7</v>
      </c>
      <c r="K140" s="369"/>
      <c r="L140" s="102"/>
      <c r="M140" s="13"/>
      <c r="N140" s="13"/>
      <c r="O140" s="13"/>
      <c r="P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06"/>
      <c r="AF140" s="13"/>
      <c r="AG140" s="13"/>
      <c r="AH140" s="7">
        <f>G140/E140</f>
        <v>1.9796380090497737E-3</v>
      </c>
      <c r="AI140" s="13">
        <f>F140/E140</f>
        <v>5</v>
      </c>
      <c r="AJ140" s="163"/>
      <c r="AK140" s="325"/>
      <c r="AM140" s="106"/>
      <c r="AN140" s="12">
        <f>E141*500</f>
        <v>10587000</v>
      </c>
      <c r="AO140" s="47">
        <f>AN140/1000</f>
        <v>10587</v>
      </c>
    </row>
    <row r="141" spans="1:41" ht="13" customHeight="1" x14ac:dyDescent="0.3">
      <c r="B141" s="6" t="s">
        <v>81</v>
      </c>
      <c r="C141" s="6" t="s">
        <v>82</v>
      </c>
      <c r="D141" s="6" t="s">
        <v>74</v>
      </c>
      <c r="E141" s="343">
        <v>21174</v>
      </c>
      <c r="F141">
        <v>3596615.64</v>
      </c>
      <c r="G141" s="33">
        <f>(E141*500)/1000000</f>
        <v>10.587</v>
      </c>
      <c r="H141" s="123"/>
      <c r="I141" s="123"/>
      <c r="J141" s="123"/>
      <c r="K141" s="369"/>
      <c r="L141" s="102"/>
      <c r="M141" s="13"/>
      <c r="N141" s="13"/>
      <c r="O141" s="13"/>
      <c r="P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06"/>
      <c r="AF141" s="13"/>
      <c r="AG141" s="13"/>
      <c r="AH141" s="7">
        <f>G141/E141</f>
        <v>5.0000000000000001E-4</v>
      </c>
      <c r="AI141" s="345">
        <f>F141/E141</f>
        <v>169.86</v>
      </c>
      <c r="AJ141" s="163"/>
      <c r="AK141" s="325"/>
      <c r="AL141" s="133">
        <f>AI141*2</f>
        <v>339.72</v>
      </c>
      <c r="AM141" s="106"/>
    </row>
    <row r="142" spans="1:41" ht="13" customHeight="1" x14ac:dyDescent="0.3">
      <c r="A142" s="6" t="s">
        <v>1933</v>
      </c>
      <c r="E142">
        <v>-35853.78</v>
      </c>
      <c r="F142">
        <v>61286.810000000522</v>
      </c>
      <c r="G142" s="13"/>
      <c r="H142" s="123"/>
      <c r="I142" s="123"/>
      <c r="J142" s="123"/>
      <c r="K142" s="369"/>
      <c r="L142" s="251"/>
      <c r="M142" s="37"/>
      <c r="N142" s="37"/>
      <c r="O142" s="37"/>
      <c r="P142" s="37"/>
      <c r="Q142" s="56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116"/>
      <c r="AF142" s="37"/>
      <c r="AG142" s="37"/>
      <c r="AH142" s="37"/>
      <c r="AI142" s="37"/>
      <c r="AJ142" s="265"/>
      <c r="AK142" s="326"/>
      <c r="AL142" s="265"/>
      <c r="AM142" s="116" t="str">
        <f>C141</f>
        <v>GOLD BLEND ALL CAFE'  ขนาด 500 G.</v>
      </c>
      <c r="AN142" s="13"/>
    </row>
    <row r="143" spans="1:41" ht="13" customHeight="1" x14ac:dyDescent="0.3">
      <c r="A143" s="6" t="s">
        <v>1852</v>
      </c>
      <c r="B143" s="6" t="s">
        <v>23</v>
      </c>
      <c r="C143" s="6" t="s">
        <v>24</v>
      </c>
      <c r="D143" s="6" t="s">
        <v>80</v>
      </c>
      <c r="E143" s="343">
        <v>-9836.16</v>
      </c>
      <c r="F143">
        <v>-3198129.06</v>
      </c>
      <c r="G143" s="33">
        <f>((E143*2)+E147)/2</f>
        <v>-10.659999999999854</v>
      </c>
      <c r="H143" s="123">
        <f>G143+P143</f>
        <v>1.4566126083082054E-13</v>
      </c>
      <c r="I143" s="123"/>
      <c r="J143" s="123"/>
      <c r="K143" s="369">
        <v>101</v>
      </c>
      <c r="L143" s="102" t="s">
        <v>1940</v>
      </c>
      <c r="M143" s="33">
        <v>13</v>
      </c>
      <c r="N143" s="33">
        <v>2000</v>
      </c>
      <c r="O143" s="33">
        <v>8660</v>
      </c>
      <c r="P143" s="33">
        <f>SUM(N143:O143)/1000</f>
        <v>10.66</v>
      </c>
      <c r="Q143" s="55">
        <f>P143+G143</f>
        <v>1.4566126083082054E-13</v>
      </c>
      <c r="R143" s="36">
        <v>4</v>
      </c>
      <c r="S143" s="36"/>
      <c r="T143" s="36"/>
      <c r="U143" s="36">
        <v>424</v>
      </c>
      <c r="V143" s="36"/>
      <c r="W143" s="33">
        <v>158</v>
      </c>
      <c r="X143" s="33">
        <v>91</v>
      </c>
      <c r="Y143" s="33">
        <v>167</v>
      </c>
      <c r="Z143" s="33">
        <v>8</v>
      </c>
      <c r="AA143" s="33"/>
      <c r="AB143" s="33"/>
      <c r="AC143" s="33"/>
      <c r="AD143" s="33"/>
      <c r="AE143" s="166">
        <f>SUM(W143:AC143)</f>
        <v>424</v>
      </c>
      <c r="AF143" s="33">
        <f>U143-AE143</f>
        <v>0</v>
      </c>
      <c r="AG143" s="33"/>
      <c r="AH143" s="7">
        <f>G143/E143</f>
        <v>1.0837562626065309E-3</v>
      </c>
      <c r="AI143" s="13">
        <f>F143/E143</f>
        <v>325.13999975600234</v>
      </c>
      <c r="AJ143" s="323">
        <f>100%+AK143</f>
        <v>1.0837562626064834E-3</v>
      </c>
      <c r="AK143" s="324">
        <f>(E147*500/1000)/E143</f>
        <v>-0.99891624373739352</v>
      </c>
      <c r="AM143" s="106"/>
      <c r="AN143" s="13"/>
    </row>
    <row r="144" spans="1:41" ht="13" customHeight="1" x14ac:dyDescent="0.3">
      <c r="B144" s="6" t="s">
        <v>106</v>
      </c>
      <c r="C144" s="6" t="s">
        <v>107</v>
      </c>
      <c r="D144" s="6" t="s">
        <v>102</v>
      </c>
      <c r="E144" s="343">
        <v>-20075</v>
      </c>
      <c r="F144">
        <v>-16978.79</v>
      </c>
      <c r="G144" s="33">
        <f>E144+E147</f>
        <v>-424</v>
      </c>
      <c r="H144" s="13"/>
      <c r="I144" s="123"/>
      <c r="J144" s="123"/>
      <c r="K144" s="369"/>
      <c r="L144" s="102"/>
      <c r="M144" s="13"/>
      <c r="N144" s="13"/>
      <c r="O144" s="13"/>
      <c r="P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06"/>
      <c r="AF144" s="13"/>
      <c r="AG144" s="13"/>
      <c r="AH144" s="7">
        <f>G144/E144</f>
        <v>2.1120797011207969E-2</v>
      </c>
      <c r="AI144" s="13">
        <f>F144/E144</f>
        <v>0.8457678704856787</v>
      </c>
      <c r="AJ144" s="163"/>
      <c r="AK144" s="325"/>
      <c r="AM144" s="106"/>
      <c r="AN144" s="13"/>
    </row>
    <row r="145" spans="1:41" ht="13" customHeight="1" x14ac:dyDescent="0.3">
      <c r="B145" s="6" t="s">
        <v>119</v>
      </c>
      <c r="C145" s="6" t="s">
        <v>120</v>
      </c>
      <c r="D145" s="6" t="s">
        <v>102</v>
      </c>
      <c r="E145" s="343">
        <v>-20075</v>
      </c>
      <c r="F145">
        <v>-41826.01</v>
      </c>
      <c r="G145" s="33">
        <f>E145+E147</f>
        <v>-424</v>
      </c>
      <c r="H145" s="163"/>
      <c r="I145" s="123"/>
      <c r="J145" s="123"/>
      <c r="K145" s="369"/>
      <c r="L145" s="253"/>
      <c r="M145" s="13"/>
      <c r="N145" s="13"/>
      <c r="O145" s="13"/>
      <c r="P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06"/>
      <c r="AF145" s="13"/>
      <c r="AG145" s="13"/>
      <c r="AH145" s="7">
        <f>G145/E145</f>
        <v>2.1120797011207969E-2</v>
      </c>
      <c r="AI145" s="13">
        <f>F145/E145</f>
        <v>2.0834874221668742</v>
      </c>
      <c r="AJ145" s="163"/>
      <c r="AK145" s="325"/>
      <c r="AM145" s="106"/>
      <c r="AN145" s="13"/>
    </row>
    <row r="146" spans="1:41" ht="13" customHeight="1" x14ac:dyDescent="0.3">
      <c r="B146" s="6" t="s">
        <v>121</v>
      </c>
      <c r="C146" s="6" t="s">
        <v>122</v>
      </c>
      <c r="D146" s="6" t="s">
        <v>102</v>
      </c>
      <c r="E146" s="343">
        <v>-3277</v>
      </c>
      <c r="F146">
        <v>-16385</v>
      </c>
      <c r="G146" s="33">
        <f>(E147/6)+E146</f>
        <v>-1.8333333333334849</v>
      </c>
      <c r="H146" s="123"/>
      <c r="I146" s="123">
        <f>(E147/6)+R144+S144+T144</f>
        <v>3275.1666666666665</v>
      </c>
      <c r="J146" s="123">
        <f>E146+I146</f>
        <v>-1.8333333333334849</v>
      </c>
      <c r="K146" s="369"/>
      <c r="L146" s="102"/>
      <c r="M146" s="13"/>
      <c r="N146" s="13"/>
      <c r="O146" s="13"/>
      <c r="P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06"/>
      <c r="AF146" s="13"/>
      <c r="AG146" s="13"/>
      <c r="AH146" s="7">
        <f>G146/E146</f>
        <v>5.5945478588144187E-4</v>
      </c>
      <c r="AI146" s="13">
        <f>F146/E146</f>
        <v>5</v>
      </c>
      <c r="AJ146" s="163"/>
      <c r="AK146" s="325"/>
      <c r="AM146" s="106"/>
      <c r="AN146" s="12">
        <f>E147*500</f>
        <v>9825500</v>
      </c>
      <c r="AO146" s="47">
        <f>AN146/1000</f>
        <v>9825.5</v>
      </c>
    </row>
    <row r="147" spans="1:41" ht="13" customHeight="1" x14ac:dyDescent="0.3">
      <c r="B147" s="6" t="s">
        <v>81</v>
      </c>
      <c r="C147" s="6" t="s">
        <v>82</v>
      </c>
      <c r="D147" s="6" t="s">
        <v>74</v>
      </c>
      <c r="E147" s="343">
        <v>19651</v>
      </c>
      <c r="F147">
        <v>3337918.86</v>
      </c>
      <c r="G147" s="33">
        <f>(E147*500)/1000000</f>
        <v>9.8254999999999999</v>
      </c>
      <c r="H147" s="123"/>
      <c r="I147" s="123"/>
      <c r="J147" s="123"/>
      <c r="K147" s="369"/>
      <c r="L147" s="102"/>
      <c r="M147" s="13"/>
      <c r="N147" s="13"/>
      <c r="O147" s="13"/>
      <c r="P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06"/>
      <c r="AF147" s="13"/>
      <c r="AG147" s="13"/>
      <c r="AH147" s="7">
        <f>G147/E147</f>
        <v>5.0000000000000001E-4</v>
      </c>
      <c r="AI147" s="345">
        <f>F147/E147</f>
        <v>169.85999999999999</v>
      </c>
      <c r="AJ147" s="163"/>
      <c r="AK147" s="325"/>
      <c r="AL147" s="133">
        <f>AI147*2</f>
        <v>339.71999999999997</v>
      </c>
      <c r="AM147" s="106"/>
    </row>
    <row r="148" spans="1:41" ht="13" customHeight="1" x14ac:dyDescent="0.3">
      <c r="A148" s="6" t="s">
        <v>1934</v>
      </c>
      <c r="E148">
        <v>-33612.160000000003</v>
      </c>
      <c r="F148">
        <v>64600</v>
      </c>
      <c r="G148" s="13"/>
      <c r="H148" s="123"/>
      <c r="I148" s="123"/>
      <c r="J148" s="123"/>
      <c r="K148" s="369"/>
      <c r="L148" s="251"/>
      <c r="M148" s="37"/>
      <c r="N148" s="37"/>
      <c r="O148" s="37"/>
      <c r="P148" s="37"/>
      <c r="Q148" s="56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116"/>
      <c r="AF148" s="37"/>
      <c r="AG148" s="37"/>
      <c r="AH148" s="37"/>
      <c r="AI148" s="37"/>
      <c r="AJ148" s="265"/>
      <c r="AK148" s="326"/>
      <c r="AL148" s="265"/>
      <c r="AM148" s="116" t="str">
        <f>C147</f>
        <v>GOLD BLEND ALL CAFE'  ขนาด 500 G.</v>
      </c>
      <c r="AN148" s="13"/>
    </row>
    <row r="149" spans="1:41" ht="13" customHeight="1" x14ac:dyDescent="0.3">
      <c r="A149" s="6" t="s">
        <v>1857</v>
      </c>
      <c r="B149" s="6" t="s">
        <v>23</v>
      </c>
      <c r="C149" s="6" t="s">
        <v>24</v>
      </c>
      <c r="D149" s="6" t="s">
        <v>80</v>
      </c>
      <c r="E149" s="343">
        <v>-10220.91</v>
      </c>
      <c r="F149">
        <v>-3323226.68</v>
      </c>
      <c r="G149" s="33">
        <f>((E149*2)+E153)/2</f>
        <v>-8.4099999999998545</v>
      </c>
      <c r="H149" s="123">
        <f>G149+P149</f>
        <v>1.4566126083082054E-13</v>
      </c>
      <c r="I149" s="123"/>
      <c r="J149" s="123"/>
      <c r="K149" s="369">
        <v>101</v>
      </c>
      <c r="L149" s="102" t="s">
        <v>1941</v>
      </c>
      <c r="M149" s="33">
        <v>13</v>
      </c>
      <c r="N149" s="33">
        <v>470</v>
      </c>
      <c r="O149" s="33">
        <v>7940</v>
      </c>
      <c r="P149" s="33">
        <f>SUM(N149:O149)/1000</f>
        <v>8.41</v>
      </c>
      <c r="Q149" s="55">
        <f>P149+G149</f>
        <v>1.4566126083082054E-13</v>
      </c>
      <c r="R149" s="36">
        <v>9</v>
      </c>
      <c r="S149" s="36"/>
      <c r="T149" s="36"/>
      <c r="U149" s="36">
        <v>405</v>
      </c>
      <c r="V149" s="36"/>
      <c r="W149" s="33">
        <v>183</v>
      </c>
      <c r="X149" s="33">
        <v>0</v>
      </c>
      <c r="Y149" s="33">
        <v>182</v>
      </c>
      <c r="Z149" s="33">
        <v>40</v>
      </c>
      <c r="AA149" s="33"/>
      <c r="AB149" s="33"/>
      <c r="AC149" s="33"/>
      <c r="AD149" s="33"/>
      <c r="AE149" s="166">
        <f>SUM(W149:AC149)</f>
        <v>405</v>
      </c>
      <c r="AF149" s="33">
        <f>U149-AE149</f>
        <v>0</v>
      </c>
      <c r="AG149" s="33"/>
      <c r="AH149" s="7">
        <f>G149/E149</f>
        <v>8.2282301673724297E-4</v>
      </c>
      <c r="AI149" s="13">
        <f>F149/E149</f>
        <v>325.14000025438048</v>
      </c>
      <c r="AJ149" s="323">
        <f>100%+AK149</f>
        <v>8.2282301673719527E-4</v>
      </c>
      <c r="AK149" s="324">
        <f>(E153*500/1000)/E149</f>
        <v>-0.9991771769832628</v>
      </c>
      <c r="AM149" s="106"/>
      <c r="AN149" s="13"/>
    </row>
    <row r="150" spans="1:41" ht="13" customHeight="1" x14ac:dyDescent="0.3">
      <c r="B150" s="6" t="s">
        <v>106</v>
      </c>
      <c r="C150" s="6" t="s">
        <v>107</v>
      </c>
      <c r="D150" s="6" t="s">
        <v>102</v>
      </c>
      <c r="E150" s="343">
        <v>-20830</v>
      </c>
      <c r="F150">
        <v>-17617.34</v>
      </c>
      <c r="G150" s="33">
        <f>E150+E153</f>
        <v>-405</v>
      </c>
      <c r="H150" s="13"/>
      <c r="I150" s="123"/>
      <c r="J150" s="123"/>
      <c r="K150" s="369"/>
      <c r="L150" s="102"/>
      <c r="M150" s="13"/>
      <c r="N150" s="13"/>
      <c r="O150" s="13"/>
      <c r="P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06"/>
      <c r="AF150" s="13"/>
      <c r="AG150" s="13"/>
      <c r="AH150" s="7">
        <f>G150/E150</f>
        <v>1.9443110897743639E-2</v>
      </c>
      <c r="AI150" s="13">
        <f>F150/E150</f>
        <v>0.84576764282285166</v>
      </c>
      <c r="AJ150" s="163"/>
      <c r="AK150" s="325"/>
      <c r="AM150" s="106"/>
      <c r="AN150" s="13"/>
    </row>
    <row r="151" spans="1:41" ht="13" customHeight="1" x14ac:dyDescent="0.3">
      <c r="B151" s="6" t="s">
        <v>119</v>
      </c>
      <c r="C151" s="6" t="s">
        <v>120</v>
      </c>
      <c r="D151" s="6" t="s">
        <v>102</v>
      </c>
      <c r="E151" s="343">
        <v>-20830</v>
      </c>
      <c r="F151">
        <v>-43399.03</v>
      </c>
      <c r="G151" s="33">
        <f>E151+E153</f>
        <v>-405</v>
      </c>
      <c r="H151" s="163"/>
      <c r="I151" s="123"/>
      <c r="J151" s="123"/>
      <c r="K151" s="369"/>
      <c r="L151" s="253"/>
      <c r="M151" s="13"/>
      <c r="N151" s="13"/>
      <c r="O151" s="13"/>
      <c r="P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06"/>
      <c r="AF151" s="13"/>
      <c r="AG151" s="13"/>
      <c r="AH151" s="7">
        <f>G151/E151</f>
        <v>1.9443110897743639E-2</v>
      </c>
      <c r="AI151" s="13">
        <f>F151/E151</f>
        <v>2.0834867978876619</v>
      </c>
      <c r="AJ151" s="163"/>
      <c r="AK151" s="325"/>
      <c r="AM151" s="106"/>
      <c r="AN151" s="13"/>
    </row>
    <row r="152" spans="1:41" ht="13" customHeight="1" x14ac:dyDescent="0.3">
      <c r="B152" s="6" t="s">
        <v>121</v>
      </c>
      <c r="C152" s="6" t="s">
        <v>122</v>
      </c>
      <c r="D152" s="6" t="s">
        <v>102</v>
      </c>
      <c r="E152" s="343">
        <v>-3411</v>
      </c>
      <c r="F152">
        <v>-17055</v>
      </c>
      <c r="G152" s="33">
        <f>(E153/6)+E152</f>
        <v>-6.8333333333334849</v>
      </c>
      <c r="H152" s="123"/>
      <c r="I152" s="123">
        <f>(E153/6)+R150+S150+T150</f>
        <v>3404.1666666666665</v>
      </c>
      <c r="J152" s="123">
        <f>E152+I152</f>
        <v>-6.8333333333334849</v>
      </c>
      <c r="K152" s="369"/>
      <c r="L152" s="102"/>
      <c r="M152" s="13"/>
      <c r="N152" s="13"/>
      <c r="O152" s="13"/>
      <c r="P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06"/>
      <c r="AF152" s="13"/>
      <c r="AG152" s="13"/>
      <c r="AH152" s="7">
        <f>G152/E152</f>
        <v>2.0033225837975625E-3</v>
      </c>
      <c r="AI152" s="13">
        <f>F152/E152</f>
        <v>5</v>
      </c>
      <c r="AJ152" s="163"/>
      <c r="AK152" s="325"/>
      <c r="AM152" s="106"/>
      <c r="AN152" s="12">
        <f>E153*500</f>
        <v>10212500</v>
      </c>
      <c r="AO152" s="47">
        <f>AN152/1000</f>
        <v>10212.5</v>
      </c>
    </row>
    <row r="153" spans="1:41" ht="13" customHeight="1" x14ac:dyDescent="0.3">
      <c r="B153" s="6" t="s">
        <v>81</v>
      </c>
      <c r="C153" s="6" t="s">
        <v>82</v>
      </c>
      <c r="D153" s="6" t="s">
        <v>74</v>
      </c>
      <c r="E153" s="343">
        <v>20425</v>
      </c>
      <c r="F153">
        <v>3469390.5</v>
      </c>
      <c r="G153" s="33">
        <f>(E153*500)/1000000</f>
        <v>10.2125</v>
      </c>
      <c r="H153" s="123"/>
      <c r="I153" s="123"/>
      <c r="J153" s="123"/>
      <c r="K153" s="369"/>
      <c r="L153" s="102"/>
      <c r="M153" s="13"/>
      <c r="N153" s="13"/>
      <c r="O153" s="13"/>
      <c r="P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06"/>
      <c r="AF153" s="13"/>
      <c r="AG153" s="13"/>
      <c r="AH153" s="7">
        <f>G153/E153</f>
        <v>5.0000000000000001E-4</v>
      </c>
      <c r="AI153" s="345">
        <f>F153/E153</f>
        <v>169.86</v>
      </c>
      <c r="AJ153" s="163"/>
      <c r="AK153" s="325"/>
      <c r="AL153" s="133">
        <f>AI153*2</f>
        <v>339.72</v>
      </c>
      <c r="AM153" s="106"/>
    </row>
    <row r="154" spans="1:41" ht="13" customHeight="1" x14ac:dyDescent="0.3">
      <c r="A154" s="6" t="s">
        <v>1935</v>
      </c>
      <c r="E154">
        <v>-34866.910000000003</v>
      </c>
      <c r="F154">
        <v>68092.450000000186</v>
      </c>
      <c r="G154" s="13"/>
      <c r="H154" s="123"/>
      <c r="I154" s="123"/>
      <c r="J154" s="123"/>
      <c r="K154" s="369">
        <v>101</v>
      </c>
      <c r="L154" s="251"/>
      <c r="M154" s="37"/>
      <c r="N154" s="37"/>
      <c r="O154" s="37"/>
      <c r="P154" s="37"/>
      <c r="Q154" s="56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116"/>
      <c r="AF154" s="37"/>
      <c r="AG154" s="37"/>
      <c r="AH154" s="37"/>
      <c r="AI154" s="37"/>
      <c r="AJ154" s="265"/>
      <c r="AK154" s="326"/>
      <c r="AL154" s="265"/>
      <c r="AM154" s="116" t="str">
        <f>C153</f>
        <v>GOLD BLEND ALL CAFE'  ขนาด 500 G.</v>
      </c>
      <c r="AN154" s="13"/>
    </row>
    <row r="155" spans="1:41" ht="13" customHeight="1" x14ac:dyDescent="0.3">
      <c r="A155" s="6" t="s">
        <v>1981</v>
      </c>
      <c r="B155" s="6" t="s">
        <v>23</v>
      </c>
      <c r="C155" s="6" t="s">
        <v>24</v>
      </c>
      <c r="D155" s="6" t="s">
        <v>80</v>
      </c>
      <c r="E155" s="343">
        <v>-8849.23</v>
      </c>
      <c r="F155">
        <v>-2877238.64</v>
      </c>
      <c r="G155" s="33">
        <f>((E155*2)+E159)/2</f>
        <v>-13.729999999999563</v>
      </c>
      <c r="H155" s="123">
        <f>G155+P155</f>
        <v>4.3698378249246161E-13</v>
      </c>
      <c r="I155" s="123"/>
      <c r="J155" s="123"/>
      <c r="K155" s="369"/>
      <c r="L155" s="102" t="s">
        <v>2062</v>
      </c>
      <c r="M155" s="33">
        <v>13</v>
      </c>
      <c r="N155" s="33">
        <v>6440</v>
      </c>
      <c r="O155" s="33">
        <v>7290</v>
      </c>
      <c r="P155" s="33">
        <f>SUM(N155:O155)/1000</f>
        <v>13.73</v>
      </c>
      <c r="Q155" s="55">
        <f>P155+G155</f>
        <v>4.3698378249246161E-13</v>
      </c>
      <c r="R155" s="36">
        <v>17</v>
      </c>
      <c r="S155" s="36"/>
      <c r="T155" s="36"/>
      <c r="U155" s="36">
        <v>276</v>
      </c>
      <c r="V155" s="36"/>
      <c r="W155" s="33">
        <v>175</v>
      </c>
      <c r="X155" s="33">
        <v>13</v>
      </c>
      <c r="Y155" s="33">
        <v>88</v>
      </c>
      <c r="Z155" s="33">
        <v>0</v>
      </c>
      <c r="AA155" s="33"/>
      <c r="AB155" s="33"/>
      <c r="AC155" s="33"/>
      <c r="AD155" s="33"/>
      <c r="AE155" s="166">
        <f>SUM(W155:AC155)</f>
        <v>276</v>
      </c>
      <c r="AF155" s="33">
        <f>U155-AE155</f>
        <v>0</v>
      </c>
      <c r="AG155" s="33"/>
      <c r="AH155" s="7">
        <f>G155/E155</f>
        <v>1.5515474227700676E-3</v>
      </c>
      <c r="AI155" s="13">
        <f>F155/E155</f>
        <v>325.1399997513908</v>
      </c>
      <c r="AJ155" s="323">
        <f>100%+AK155</f>
        <v>1.5515474227700832E-3</v>
      </c>
      <c r="AK155" s="324">
        <f>(E159*500/1000)/E155</f>
        <v>-0.99844845257722992</v>
      </c>
      <c r="AM155" s="106"/>
      <c r="AN155" s="13"/>
    </row>
    <row r="156" spans="1:41" ht="13" customHeight="1" x14ac:dyDescent="0.3">
      <c r="B156" s="6" t="s">
        <v>106</v>
      </c>
      <c r="C156" s="6" t="s">
        <v>107</v>
      </c>
      <c r="D156" s="6" t="s">
        <v>102</v>
      </c>
      <c r="E156" s="343">
        <v>-17947</v>
      </c>
      <c r="F156">
        <v>-15178.99</v>
      </c>
      <c r="G156" s="33">
        <f>E156+E159</f>
        <v>-276</v>
      </c>
      <c r="H156" s="13"/>
      <c r="I156" s="123"/>
      <c r="J156" s="123"/>
      <c r="K156" s="369"/>
      <c r="L156" s="102"/>
      <c r="M156" s="13"/>
      <c r="N156" s="13"/>
      <c r="O156" s="13"/>
      <c r="P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06"/>
      <c r="AF156" s="13"/>
      <c r="AG156" s="13"/>
      <c r="AH156" s="7">
        <f>G156/E156</f>
        <v>1.5378614810274699E-2</v>
      </c>
      <c r="AI156" s="13">
        <f>F156/E156</f>
        <v>0.84576753775004176</v>
      </c>
      <c r="AJ156" s="163"/>
      <c r="AK156" s="325"/>
      <c r="AM156" s="106"/>
      <c r="AN156" s="13"/>
    </row>
    <row r="157" spans="1:41" ht="13" customHeight="1" x14ac:dyDescent="0.3">
      <c r="B157" s="6" t="s">
        <v>119</v>
      </c>
      <c r="C157" s="6" t="s">
        <v>120</v>
      </c>
      <c r="D157" s="6" t="s">
        <v>102</v>
      </c>
      <c r="E157" s="343">
        <v>-17947</v>
      </c>
      <c r="F157">
        <v>-37392.339999999997</v>
      </c>
      <c r="G157" s="33">
        <f>E157+E159</f>
        <v>-276</v>
      </c>
      <c r="H157" s="163"/>
      <c r="I157" s="123"/>
      <c r="J157" s="123"/>
      <c r="K157" s="369"/>
      <c r="L157" s="253"/>
      <c r="M157" s="13"/>
      <c r="N157" s="13"/>
      <c r="O157" s="13"/>
      <c r="P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06"/>
      <c r="AF157" s="13"/>
      <c r="AG157" s="13"/>
      <c r="AH157" s="7">
        <f>G157/E157</f>
        <v>1.5378614810274699E-2</v>
      </c>
      <c r="AI157" s="13">
        <f>F157/E157</f>
        <v>2.0834869337493731</v>
      </c>
      <c r="AJ157" s="163"/>
      <c r="AK157" s="325"/>
      <c r="AM157" s="106"/>
      <c r="AN157" s="13"/>
    </row>
    <row r="158" spans="1:41" ht="13" customHeight="1" x14ac:dyDescent="0.3">
      <c r="B158" s="6" t="s">
        <v>121</v>
      </c>
      <c r="C158" s="6" t="s">
        <v>122</v>
      </c>
      <c r="D158" s="6" t="s">
        <v>102</v>
      </c>
      <c r="E158" s="343">
        <v>-2960</v>
      </c>
      <c r="F158">
        <v>-14800</v>
      </c>
      <c r="G158" s="33">
        <f>(E159/6)+E158</f>
        <v>-14.833333333333485</v>
      </c>
      <c r="H158" s="123"/>
      <c r="I158" s="123">
        <f>(E159/6)+R156+S156+T156</f>
        <v>2945.1666666666665</v>
      </c>
      <c r="J158" s="123">
        <f>E158+I158</f>
        <v>-14.833333333333485</v>
      </c>
      <c r="K158" s="369"/>
      <c r="L158" s="102"/>
      <c r="M158" s="13"/>
      <c r="N158" s="13"/>
      <c r="O158" s="13"/>
      <c r="P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06"/>
      <c r="AF158" s="13"/>
      <c r="AG158" s="13"/>
      <c r="AH158" s="7">
        <f>G158/E158</f>
        <v>5.0112612612613124E-3</v>
      </c>
      <c r="AI158" s="13">
        <f>F158/E158</f>
        <v>5</v>
      </c>
      <c r="AJ158" s="163"/>
      <c r="AK158" s="325"/>
      <c r="AM158" s="106"/>
      <c r="AN158" s="12">
        <f>E159*500</f>
        <v>8835500</v>
      </c>
      <c r="AO158" s="47">
        <f>AN158/1000</f>
        <v>8835.5</v>
      </c>
    </row>
    <row r="159" spans="1:41" ht="13" customHeight="1" x14ac:dyDescent="0.3">
      <c r="B159" s="6" t="s">
        <v>81</v>
      </c>
      <c r="C159" s="6" t="s">
        <v>82</v>
      </c>
      <c r="D159" s="6" t="s">
        <v>74</v>
      </c>
      <c r="E159" s="343">
        <v>17671</v>
      </c>
      <c r="F159">
        <v>3001596.06</v>
      </c>
      <c r="G159" s="33">
        <f>(E159*500)/1000000</f>
        <v>8.8354999999999997</v>
      </c>
      <c r="H159" s="123"/>
      <c r="I159" s="123"/>
      <c r="J159" s="123"/>
      <c r="K159" s="369"/>
      <c r="L159" s="102"/>
      <c r="M159" s="13"/>
      <c r="N159" s="13"/>
      <c r="O159" s="13"/>
      <c r="P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06"/>
      <c r="AF159" s="13"/>
      <c r="AG159" s="13"/>
      <c r="AH159" s="7">
        <f>G159/E159</f>
        <v>5.0000000000000001E-4</v>
      </c>
      <c r="AI159" s="345">
        <f>F159/E159</f>
        <v>169.86</v>
      </c>
      <c r="AJ159" s="163"/>
      <c r="AK159" s="325"/>
      <c r="AL159" s="133">
        <f>AI159*2</f>
        <v>339.72</v>
      </c>
      <c r="AM159" s="106"/>
    </row>
    <row r="160" spans="1:41" ht="13" customHeight="1" x14ac:dyDescent="0.3">
      <c r="A160" s="6" t="s">
        <v>2017</v>
      </c>
      <c r="E160">
        <v>-30032.229999999996</v>
      </c>
      <c r="F160">
        <v>56986.089999999851</v>
      </c>
      <c r="G160" s="13"/>
      <c r="H160" s="123"/>
      <c r="I160" s="123"/>
      <c r="J160" s="123"/>
      <c r="K160" s="369"/>
      <c r="L160" s="251"/>
      <c r="M160" s="37"/>
      <c r="N160" s="37"/>
      <c r="O160" s="37"/>
      <c r="P160" s="37"/>
      <c r="Q160" s="56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116"/>
      <c r="AF160" s="37"/>
      <c r="AG160" s="37"/>
      <c r="AH160" s="37"/>
      <c r="AI160" s="37"/>
      <c r="AJ160" s="265"/>
      <c r="AK160" s="326"/>
      <c r="AL160" s="265"/>
      <c r="AM160" s="116" t="str">
        <f>C159</f>
        <v>GOLD BLEND ALL CAFE'  ขนาด 500 G.</v>
      </c>
      <c r="AN160" s="13"/>
    </row>
    <row r="161" spans="1:43" ht="13" customHeight="1" x14ac:dyDescent="0.3">
      <c r="A161" s="6" t="s">
        <v>2031</v>
      </c>
      <c r="B161" s="6" t="s">
        <v>23</v>
      </c>
      <c r="C161" s="6" t="s">
        <v>24</v>
      </c>
      <c r="D161" s="6" t="s">
        <v>80</v>
      </c>
      <c r="E161" s="343">
        <v>-8647.75</v>
      </c>
      <c r="F161">
        <v>-2811729.44</v>
      </c>
      <c r="G161" s="33">
        <f>((E161*2)+E165)/2</f>
        <v>-8.75</v>
      </c>
      <c r="H161" s="123">
        <f>G161+P161</f>
        <v>0</v>
      </c>
      <c r="I161" s="123"/>
      <c r="J161" s="123"/>
      <c r="K161" s="369">
        <v>101</v>
      </c>
      <c r="L161" s="102" t="s">
        <v>2063</v>
      </c>
      <c r="M161" s="33">
        <v>10</v>
      </c>
      <c r="N161" s="33">
        <v>680</v>
      </c>
      <c r="O161" s="33">
        <v>8070</v>
      </c>
      <c r="P161" s="33">
        <f>SUM(N161:O161)/1000</f>
        <v>8.75</v>
      </c>
      <c r="Q161" s="55">
        <f>P161+G161</f>
        <v>0</v>
      </c>
      <c r="R161" s="36">
        <v>5</v>
      </c>
      <c r="S161" s="36"/>
      <c r="T161" s="36"/>
      <c r="U161" s="36">
        <v>557</v>
      </c>
      <c r="V161" s="36"/>
      <c r="W161" s="33">
        <v>274</v>
      </c>
      <c r="X161" s="33">
        <v>28</v>
      </c>
      <c r="Y161" s="33">
        <v>201</v>
      </c>
      <c r="Z161" s="33">
        <v>54</v>
      </c>
      <c r="AA161" s="33"/>
      <c r="AB161" s="33"/>
      <c r="AC161" s="33"/>
      <c r="AD161" s="33"/>
      <c r="AE161" s="166">
        <f>SUM(W161:AC161)</f>
        <v>557</v>
      </c>
      <c r="AF161" s="33">
        <f>U161-AE161</f>
        <v>0</v>
      </c>
      <c r="AG161" s="33"/>
      <c r="AH161" s="7">
        <f>G161/E161</f>
        <v>1.0118238848255327E-3</v>
      </c>
      <c r="AI161" s="13">
        <f>F161/E161</f>
        <v>325.1400005781851</v>
      </c>
      <c r="AJ161" s="323">
        <f>100%+AK161</f>
        <v>1.011823884825569E-3</v>
      </c>
      <c r="AK161" s="324">
        <f>(E165*500/1000)/E161</f>
        <v>-0.99898817611517443</v>
      </c>
      <c r="AM161" s="106"/>
      <c r="AN161" s="13"/>
    </row>
    <row r="162" spans="1:43" ht="13" customHeight="1" x14ac:dyDescent="0.3">
      <c r="B162" s="6" t="s">
        <v>106</v>
      </c>
      <c r="C162" s="6" t="s">
        <v>107</v>
      </c>
      <c r="D162" s="6" t="s">
        <v>102</v>
      </c>
      <c r="E162" s="343">
        <v>-17835</v>
      </c>
      <c r="F162">
        <v>-15084.27</v>
      </c>
      <c r="G162" s="33">
        <f>E162+E165</f>
        <v>-557</v>
      </c>
      <c r="H162" s="13"/>
      <c r="I162" s="123"/>
      <c r="J162" s="123"/>
      <c r="K162" s="369"/>
      <c r="L162" s="102"/>
      <c r="M162" s="13"/>
      <c r="N162" s="13"/>
      <c r="O162" s="13"/>
      <c r="P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06"/>
      <c r="AF162" s="13"/>
      <c r="AG162" s="13"/>
      <c r="AH162" s="7">
        <f>G162/E162</f>
        <v>3.1230726100364453E-2</v>
      </c>
      <c r="AI162" s="13">
        <f>F162/E162</f>
        <v>0.84576787216148031</v>
      </c>
      <c r="AJ162" s="163"/>
      <c r="AK162" s="325"/>
      <c r="AM162" s="106"/>
      <c r="AN162" s="13"/>
    </row>
    <row r="163" spans="1:43" ht="13" customHeight="1" x14ac:dyDescent="0.3">
      <c r="B163" s="6" t="s">
        <v>119</v>
      </c>
      <c r="C163" s="6" t="s">
        <v>120</v>
      </c>
      <c r="D163" s="6" t="s">
        <v>102</v>
      </c>
      <c r="E163" s="343">
        <v>-17835</v>
      </c>
      <c r="F163">
        <v>-37158.99</v>
      </c>
      <c r="G163" s="33">
        <f>E163+E165</f>
        <v>-557</v>
      </c>
      <c r="H163" s="163"/>
      <c r="I163" s="123"/>
      <c r="J163" s="123"/>
      <c r="K163" s="369"/>
      <c r="L163" s="253"/>
      <c r="M163" s="13"/>
      <c r="N163" s="13"/>
      <c r="O163" s="13"/>
      <c r="P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06"/>
      <c r="AF163" s="13"/>
      <c r="AG163" s="13"/>
      <c r="AH163" s="7">
        <f>G163/E163</f>
        <v>3.1230726100364453E-2</v>
      </c>
      <c r="AI163" s="13">
        <f>F163/E163</f>
        <v>2.0834869638351554</v>
      </c>
      <c r="AJ163" s="163"/>
      <c r="AK163" s="325"/>
      <c r="AM163" s="106"/>
      <c r="AN163" s="13"/>
    </row>
    <row r="164" spans="1:43" ht="13" customHeight="1" x14ac:dyDescent="0.3">
      <c r="B164" s="6" t="s">
        <v>121</v>
      </c>
      <c r="C164" s="6" t="s">
        <v>122</v>
      </c>
      <c r="D164" s="6" t="s">
        <v>102</v>
      </c>
      <c r="E164" s="343">
        <v>-2883</v>
      </c>
      <c r="F164">
        <v>-14415</v>
      </c>
      <c r="G164" s="33">
        <f>(E165/6)+E164</f>
        <v>-3.3333333333334849</v>
      </c>
      <c r="H164" s="123"/>
      <c r="I164" s="123">
        <f>(E165/6)+R162+S162+T162</f>
        <v>2879.6666666666665</v>
      </c>
      <c r="J164" s="123">
        <f>E164+I164</f>
        <v>-3.3333333333334849</v>
      </c>
      <c r="K164" s="369"/>
      <c r="L164" s="102"/>
      <c r="M164" s="13"/>
      <c r="N164" s="13"/>
      <c r="O164" s="13"/>
      <c r="P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06"/>
      <c r="AF164" s="13"/>
      <c r="AG164" s="13"/>
      <c r="AH164" s="7">
        <f>G164/E164</f>
        <v>1.1562030292519892E-3</v>
      </c>
      <c r="AI164" s="13">
        <f>F164/E164</f>
        <v>5</v>
      </c>
      <c r="AJ164" s="163"/>
      <c r="AK164" s="325"/>
      <c r="AM164" s="106"/>
      <c r="AN164" s="12">
        <f>E165*500</f>
        <v>8639000</v>
      </c>
      <c r="AO164" s="47">
        <f>AN164/1000</f>
        <v>8639</v>
      </c>
    </row>
    <row r="165" spans="1:43" ht="13" customHeight="1" x14ac:dyDescent="0.3">
      <c r="B165" s="6" t="s">
        <v>81</v>
      </c>
      <c r="C165" s="6" t="s">
        <v>82</v>
      </c>
      <c r="D165" s="6" t="s">
        <v>74</v>
      </c>
      <c r="E165" s="343">
        <v>17278</v>
      </c>
      <c r="F165">
        <v>2934841.08</v>
      </c>
      <c r="G165" s="33">
        <f>(E165*500)/1000000</f>
        <v>8.6389999999999993</v>
      </c>
      <c r="H165" s="123"/>
      <c r="I165" s="123"/>
      <c r="J165" s="123"/>
      <c r="K165" s="369"/>
      <c r="L165" s="102"/>
      <c r="M165" s="13"/>
      <c r="N165" s="13"/>
      <c r="O165" s="13"/>
      <c r="P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06"/>
      <c r="AF165" s="13"/>
      <c r="AG165" s="13"/>
      <c r="AH165" s="7">
        <f>G165/E165</f>
        <v>5.0000000000000001E-4</v>
      </c>
      <c r="AI165" s="345">
        <f>F165/E165</f>
        <v>169.86</v>
      </c>
      <c r="AJ165" s="163"/>
      <c r="AK165" s="325"/>
      <c r="AL165" s="133">
        <f>AI165*2</f>
        <v>339.72</v>
      </c>
      <c r="AM165" s="106"/>
    </row>
    <row r="166" spans="1:43" ht="13" customHeight="1" x14ac:dyDescent="0.3">
      <c r="A166" s="6" t="s">
        <v>2061</v>
      </c>
      <c r="E166">
        <v>-29922.75</v>
      </c>
      <c r="F166">
        <v>56453.379999999888</v>
      </c>
      <c r="G166" s="13"/>
      <c r="H166" s="123"/>
      <c r="I166" s="123"/>
      <c r="J166" s="123"/>
      <c r="K166" s="369"/>
      <c r="L166" s="251"/>
      <c r="M166" s="37"/>
      <c r="N166" s="37"/>
      <c r="O166" s="37"/>
      <c r="P166" s="37"/>
      <c r="Q166" s="56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116"/>
      <c r="AF166" s="37"/>
      <c r="AG166" s="37"/>
      <c r="AH166" s="37"/>
      <c r="AI166" s="37"/>
      <c r="AJ166" s="265"/>
      <c r="AK166" s="326"/>
      <c r="AL166" s="265"/>
      <c r="AM166" s="116" t="str">
        <f>C165</f>
        <v>GOLD BLEND ALL CAFE'  ขนาด 500 G.</v>
      </c>
      <c r="AN166" s="13"/>
    </row>
    <row r="167" spans="1:43" ht="13" customHeight="1" x14ac:dyDescent="0.3">
      <c r="A167" s="6" t="s">
        <v>145</v>
      </c>
      <c r="E167">
        <v>-720779.21000000008</v>
      </c>
      <c r="F167">
        <v>1410879.9300000013</v>
      </c>
      <c r="G167" s="13"/>
      <c r="H167" s="123"/>
      <c r="I167" s="123"/>
      <c r="J167" s="123"/>
      <c r="K167" s="369"/>
      <c r="L167" s="104"/>
      <c r="M167" s="13"/>
      <c r="N167" s="13"/>
      <c r="O167" s="13"/>
      <c r="P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06"/>
      <c r="AF167" s="13"/>
      <c r="AG167" s="13"/>
      <c r="AH167" s="13"/>
      <c r="AI167" s="13"/>
      <c r="AJ167" s="163"/>
      <c r="AK167" s="325"/>
      <c r="AL167" s="163"/>
      <c r="AM167" s="106"/>
      <c r="AN167" s="13"/>
    </row>
    <row r="168" spans="1:43" ht="13" customHeight="1" x14ac:dyDescent="0.3">
      <c r="E168" s="13"/>
      <c r="F168" s="13"/>
      <c r="G168" s="13"/>
      <c r="H168" s="123"/>
      <c r="I168" s="123"/>
      <c r="J168" s="123"/>
      <c r="K168" s="369"/>
      <c r="L168" s="104"/>
      <c r="M168" s="13"/>
      <c r="N168" s="13"/>
      <c r="O168" s="13"/>
      <c r="P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06"/>
      <c r="AF168" s="13"/>
      <c r="AG168" s="13"/>
      <c r="AH168" s="13"/>
      <c r="AI168" s="13"/>
      <c r="AJ168" s="163"/>
      <c r="AK168" s="325"/>
      <c r="AL168" s="163"/>
      <c r="AM168" s="106"/>
      <c r="AN168" s="13"/>
    </row>
    <row r="169" spans="1:43" ht="13" customHeight="1" x14ac:dyDescent="0.3">
      <c r="E169" s="13"/>
      <c r="F169" s="13"/>
      <c r="G169" s="13"/>
      <c r="H169" s="123"/>
      <c r="I169" s="123"/>
      <c r="J169" s="123"/>
      <c r="K169" s="369"/>
      <c r="L169" s="104"/>
      <c r="M169" s="13"/>
      <c r="N169" s="13"/>
      <c r="O169" s="13"/>
      <c r="P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06"/>
      <c r="AF169" s="13"/>
      <c r="AG169" s="13"/>
      <c r="AH169" s="13"/>
      <c r="AI169" s="13"/>
      <c r="AJ169" s="163"/>
      <c r="AK169" s="325"/>
      <c r="AL169" s="163"/>
      <c r="AM169" s="106"/>
      <c r="AN169" s="13"/>
    </row>
    <row r="170" spans="1:43" ht="13" customHeight="1" x14ac:dyDescent="0.3">
      <c r="E170" s="13"/>
      <c r="F170" s="13"/>
      <c r="G170" s="13"/>
      <c r="H170" s="123"/>
      <c r="I170" s="123"/>
      <c r="J170" s="123"/>
      <c r="K170" s="369"/>
      <c r="L170" s="104"/>
      <c r="M170" s="13"/>
      <c r="N170" s="13"/>
      <c r="O170" s="13"/>
      <c r="P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06"/>
      <c r="AF170" s="13"/>
      <c r="AG170" s="13"/>
      <c r="AH170" s="13"/>
      <c r="AI170" s="13"/>
      <c r="AJ170" s="163"/>
      <c r="AK170" s="325"/>
      <c r="AL170" s="163"/>
      <c r="AM170" s="106"/>
      <c r="AN170" s="13"/>
    </row>
    <row r="171" spans="1:43" ht="13" customHeight="1" x14ac:dyDescent="0.3">
      <c r="E171" s="13"/>
      <c r="F171" s="13"/>
      <c r="G171" s="13"/>
      <c r="H171" s="123"/>
      <c r="I171" s="123"/>
      <c r="J171" s="123"/>
      <c r="K171" s="369"/>
      <c r="L171" s="104"/>
      <c r="M171" s="13"/>
      <c r="N171" s="13"/>
      <c r="O171" s="13"/>
      <c r="P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06"/>
      <c r="AF171" s="13"/>
      <c r="AG171" s="13"/>
      <c r="AH171" s="13"/>
      <c r="AI171" s="13"/>
      <c r="AJ171" s="163"/>
      <c r="AK171" s="325"/>
      <c r="AL171" s="163"/>
      <c r="AM171" s="106"/>
      <c r="AN171" s="13"/>
    </row>
    <row r="172" spans="1:43" x14ac:dyDescent="0.3">
      <c r="A172" s="101" t="s">
        <v>200</v>
      </c>
      <c r="B172" s="99"/>
      <c r="C172" s="99"/>
      <c r="D172" s="99"/>
      <c r="E172" s="36"/>
      <c r="F172" s="36"/>
      <c r="G172" s="36"/>
      <c r="H172" s="36"/>
      <c r="I172" s="67"/>
      <c r="J172" s="67"/>
      <c r="K172" s="370"/>
      <c r="L172" s="102"/>
      <c r="M172" s="133">
        <f t="shared" ref="M172:AF172" si="39">SUM(M9:M142)</f>
        <v>202</v>
      </c>
      <c r="N172" s="133">
        <f t="shared" si="39"/>
        <v>15830</v>
      </c>
      <c r="O172" s="133">
        <f t="shared" si="39"/>
        <v>119830</v>
      </c>
      <c r="P172" s="133">
        <f t="shared" si="39"/>
        <v>135.65999999999997</v>
      </c>
      <c r="Q172" s="260">
        <f t="shared" si="39"/>
        <v>1.5094592242803628E-12</v>
      </c>
      <c r="R172" s="133">
        <f t="shared" si="39"/>
        <v>347</v>
      </c>
      <c r="S172" s="133">
        <f t="shared" si="39"/>
        <v>0</v>
      </c>
      <c r="T172" s="133">
        <f t="shared" si="39"/>
        <v>0</v>
      </c>
      <c r="U172" s="133">
        <f t="shared" si="39"/>
        <v>5760</v>
      </c>
      <c r="V172" s="133">
        <f t="shared" si="39"/>
        <v>0</v>
      </c>
      <c r="W172" s="133">
        <f t="shared" si="39"/>
        <v>3084</v>
      </c>
      <c r="X172" s="133">
        <f t="shared" si="39"/>
        <v>600</v>
      </c>
      <c r="Y172" s="133">
        <f t="shared" si="39"/>
        <v>1116</v>
      </c>
      <c r="Z172" s="133">
        <f t="shared" si="39"/>
        <v>629</v>
      </c>
      <c r="AA172" s="133">
        <f t="shared" si="39"/>
        <v>0</v>
      </c>
      <c r="AB172" s="133">
        <f t="shared" si="39"/>
        <v>331</v>
      </c>
      <c r="AC172" s="133">
        <f t="shared" si="39"/>
        <v>0</v>
      </c>
      <c r="AD172" s="133">
        <f t="shared" si="39"/>
        <v>0</v>
      </c>
      <c r="AE172" s="133">
        <f t="shared" si="39"/>
        <v>5760</v>
      </c>
      <c r="AF172" s="133">
        <f t="shared" si="39"/>
        <v>0</v>
      </c>
      <c r="AG172" s="133"/>
      <c r="AH172" s="133"/>
      <c r="AI172" s="133"/>
      <c r="AJ172" s="315">
        <f>AVERAGE(AJ9:AJ142)</f>
        <v>6.9052579272510517E-4</v>
      </c>
      <c r="AK172" s="315">
        <f>AVERAGE(AK9:AK142)</f>
        <v>-0.99930947420727489</v>
      </c>
      <c r="AL172" s="133"/>
      <c r="AM172" s="169"/>
      <c r="AP172" s="16"/>
      <c r="AQ172" s="16"/>
    </row>
    <row r="173" spans="1:43" x14ac:dyDescent="0.3">
      <c r="H173" s="173"/>
      <c r="I173" s="123"/>
      <c r="J173" s="123"/>
      <c r="K173" s="369"/>
    </row>
    <row r="174" spans="1:43" x14ac:dyDescent="0.3">
      <c r="G174" s="132"/>
      <c r="H174" s="174"/>
      <c r="I174" s="123"/>
      <c r="J174" s="123"/>
      <c r="K174" s="369"/>
    </row>
    <row r="175" spans="1:43" x14ac:dyDescent="0.3">
      <c r="A175" s="171" t="s">
        <v>285</v>
      </c>
      <c r="B175" s="150" t="s">
        <v>25</v>
      </c>
      <c r="C175" s="150" t="s">
        <v>26</v>
      </c>
      <c r="D175" s="150" t="s">
        <v>50</v>
      </c>
      <c r="E175" s="151" t="s">
        <v>211</v>
      </c>
      <c r="F175" s="151" t="s">
        <v>213</v>
      </c>
      <c r="G175" s="149" t="s">
        <v>155</v>
      </c>
      <c r="AH175" s="149"/>
      <c r="AI175" s="149" t="s">
        <v>171</v>
      </c>
      <c r="AJ175" s="149" t="s">
        <v>221</v>
      </c>
      <c r="AK175" s="149" t="s">
        <v>275</v>
      </c>
      <c r="AL175" s="149" t="s">
        <v>191</v>
      </c>
      <c r="AM175" s="149"/>
    </row>
    <row r="176" spans="1:43" x14ac:dyDescent="0.3">
      <c r="B176" s="110" t="s">
        <v>23</v>
      </c>
      <c r="C176" s="6" t="s">
        <v>24</v>
      </c>
      <c r="D176" s="6" t="s">
        <v>80</v>
      </c>
      <c r="E176" s="7">
        <f t="shared" ref="E176:F180" si="40">+E16+E29+E35+E41+E47+E53+E59+E65+E71+E77+E83+E89+E95+E101+E107+E119+E125+E131+E137+E143+E149+E155+E161</f>
        <v>-208017.56</v>
      </c>
      <c r="F176" s="7">
        <f t="shared" si="40"/>
        <v>-67621388.049999982</v>
      </c>
      <c r="G176" s="33">
        <f>((E176*2)+E180)/2</f>
        <v>-176.05999999999767</v>
      </c>
      <c r="AH176" s="7">
        <f>G176/E176</f>
        <v>8.463708544605449E-4</v>
      </c>
      <c r="AI176" s="7">
        <f>F176/E176</f>
        <v>325.07538329937137</v>
      </c>
      <c r="AJ176" s="323">
        <f>100%+AK176</f>
        <v>8.4637085446059857E-4</v>
      </c>
      <c r="AK176" s="324">
        <f>(E180*500/1000)/E176</f>
        <v>-0.9991536291455394</v>
      </c>
    </row>
    <row r="177" spans="1:40" x14ac:dyDescent="0.3">
      <c r="B177" s="110" t="s">
        <v>106</v>
      </c>
      <c r="C177" s="6" t="s">
        <v>107</v>
      </c>
      <c r="D177" s="6" t="s">
        <v>102</v>
      </c>
      <c r="E177" s="7">
        <f t="shared" si="40"/>
        <v>-422610</v>
      </c>
      <c r="F177" s="7">
        <f t="shared" si="40"/>
        <v>-357429.90000000008</v>
      </c>
      <c r="G177" s="33">
        <f>E177+E180</f>
        <v>-6927</v>
      </c>
      <c r="AH177" s="7">
        <f>G177/E177</f>
        <v>1.6390998793213603E-2</v>
      </c>
      <c r="AI177" s="7">
        <f>F177/E177</f>
        <v>0.84576772911194742</v>
      </c>
    </row>
    <row r="178" spans="1:40" x14ac:dyDescent="0.3">
      <c r="B178" s="110" t="s">
        <v>119</v>
      </c>
      <c r="C178" s="6" t="s">
        <v>120</v>
      </c>
      <c r="D178" s="6" t="s">
        <v>102</v>
      </c>
      <c r="E178" s="7">
        <f t="shared" si="40"/>
        <v>-422610</v>
      </c>
      <c r="F178" s="7">
        <f t="shared" si="40"/>
        <v>-880505.30999999994</v>
      </c>
      <c r="G178" s="33">
        <f>E178+E180</f>
        <v>-6927</v>
      </c>
      <c r="AH178" s="7">
        <f>G178/E178</f>
        <v>1.6390998793213603E-2</v>
      </c>
      <c r="AI178" s="7">
        <f>F178/E178</f>
        <v>2.0834937885994176</v>
      </c>
    </row>
    <row r="179" spans="1:40" x14ac:dyDescent="0.3">
      <c r="B179" s="110" t="s">
        <v>121</v>
      </c>
      <c r="C179" s="6" t="s">
        <v>122</v>
      </c>
      <c r="D179" s="6" t="s">
        <v>102</v>
      </c>
      <c r="E179" s="7">
        <f t="shared" si="40"/>
        <v>-69619</v>
      </c>
      <c r="F179" s="7">
        <f t="shared" si="40"/>
        <v>-348095</v>
      </c>
      <c r="G179" s="33">
        <f>(E180/6)+E179</f>
        <v>-338.5</v>
      </c>
      <c r="AH179" s="7">
        <f>G179/E179</f>
        <v>4.8621784283026182E-3</v>
      </c>
      <c r="AI179" s="7">
        <f>F179/E179</f>
        <v>5</v>
      </c>
    </row>
    <row r="180" spans="1:40" x14ac:dyDescent="0.3">
      <c r="B180" s="264" t="s">
        <v>81</v>
      </c>
      <c r="C180" s="255" t="s">
        <v>82</v>
      </c>
      <c r="D180" s="6" t="s">
        <v>74</v>
      </c>
      <c r="E180" s="7">
        <f t="shared" si="40"/>
        <v>415683</v>
      </c>
      <c r="F180" s="7">
        <f t="shared" si="40"/>
        <v>70593090.059999987</v>
      </c>
      <c r="G180" s="33">
        <f>(E180*500)/1000000</f>
        <v>207.8415</v>
      </c>
      <c r="H180" s="12"/>
      <c r="I180" s="48"/>
      <c r="J180" s="48"/>
      <c r="AH180" s="7">
        <f>G180/E180</f>
        <v>5.0000000000000001E-4</v>
      </c>
      <c r="AI180" s="7">
        <f>F180/E180</f>
        <v>169.82433743982793</v>
      </c>
      <c r="AL180" s="133">
        <f>AI180*2</f>
        <v>339.64867487965586</v>
      </c>
      <c r="AM180" s="106"/>
    </row>
    <row r="181" spans="1:40" x14ac:dyDescent="0.3">
      <c r="E181" s="145">
        <f>SUM(E176:E180)</f>
        <v>-707173.56</v>
      </c>
      <c r="F181" s="145">
        <f>SUM(F176:F180)</f>
        <v>1385671.799999997</v>
      </c>
    </row>
    <row r="184" spans="1:40" x14ac:dyDescent="0.3">
      <c r="A184" s="363" t="s">
        <v>1383</v>
      </c>
      <c r="B184" s="110" t="s">
        <v>106</v>
      </c>
      <c r="C184" s="6" t="s">
        <v>107</v>
      </c>
      <c r="D184" s="6" t="s">
        <v>102</v>
      </c>
      <c r="E184" s="13">
        <f t="shared" ref="E184:F188" si="41">E4</f>
        <v>-1617</v>
      </c>
      <c r="F184" s="13">
        <f t="shared" si="41"/>
        <v>-1367.61</v>
      </c>
      <c r="G184" s="33">
        <f>E184+E187</f>
        <v>-97</v>
      </c>
      <c r="AH184" s="7">
        <f>G184/E184</f>
        <v>5.9987631416202843E-2</v>
      </c>
      <c r="AI184" s="7">
        <f>F184/E184</f>
        <v>0.84576994434137287</v>
      </c>
      <c r="AJ184" s="323">
        <f>100%+AK184</f>
        <v>0</v>
      </c>
      <c r="AK184" s="324">
        <f>(E187*500/1000)/E188</f>
        <v>-1</v>
      </c>
    </row>
    <row r="185" spans="1:40" x14ac:dyDescent="0.3">
      <c r="B185" s="110" t="s">
        <v>126</v>
      </c>
      <c r="C185" s="6" t="s">
        <v>127</v>
      </c>
      <c r="D185" s="6" t="s">
        <v>102</v>
      </c>
      <c r="E185" s="13">
        <f t="shared" si="41"/>
        <v>-76</v>
      </c>
      <c r="F185" s="13">
        <f t="shared" si="41"/>
        <v>-1672</v>
      </c>
      <c r="G185" s="33">
        <f>(E187/20)+E185</f>
        <v>0</v>
      </c>
      <c r="AH185" s="7">
        <f>G185/E185</f>
        <v>0</v>
      </c>
      <c r="AI185" s="7">
        <f>F185/E185</f>
        <v>22</v>
      </c>
    </row>
    <row r="186" spans="1:40" x14ac:dyDescent="0.3">
      <c r="B186" s="110" t="s">
        <v>237</v>
      </c>
      <c r="C186" s="6" t="s">
        <v>238</v>
      </c>
      <c r="D186" s="6" t="s">
        <v>102</v>
      </c>
      <c r="E186" s="13">
        <f t="shared" si="41"/>
        <v>-1617</v>
      </c>
      <c r="F186" s="13">
        <f t="shared" si="41"/>
        <v>-2775.85</v>
      </c>
      <c r="G186" s="33">
        <f>E187+E186</f>
        <v>-97</v>
      </c>
      <c r="AH186" s="7">
        <f>G186/E186</f>
        <v>5.9987631416202843E-2</v>
      </c>
      <c r="AI186" s="7">
        <f>F186/E186</f>
        <v>1.7166666666666666</v>
      </c>
    </row>
    <row r="187" spans="1:40" x14ac:dyDescent="0.3">
      <c r="B187" s="264" t="s">
        <v>75</v>
      </c>
      <c r="C187" s="255" t="s">
        <v>76</v>
      </c>
      <c r="D187" s="6" t="s">
        <v>74</v>
      </c>
      <c r="E187" s="13">
        <f t="shared" si="41"/>
        <v>1520</v>
      </c>
      <c r="F187" s="13">
        <f t="shared" si="41"/>
        <v>217466.4</v>
      </c>
      <c r="G187" s="33">
        <f>(E187*500)/1000000</f>
        <v>0.76</v>
      </c>
      <c r="AH187" s="7">
        <f>G187/E187</f>
        <v>5.0000000000000001E-4</v>
      </c>
      <c r="AI187" s="7">
        <f>F187/E187</f>
        <v>143.07</v>
      </c>
    </row>
    <row r="188" spans="1:40" x14ac:dyDescent="0.3">
      <c r="B188" s="110" t="s">
        <v>205</v>
      </c>
      <c r="C188" s="6" t="s">
        <v>206</v>
      </c>
      <c r="D188" s="6" t="s">
        <v>80</v>
      </c>
      <c r="E188" s="13">
        <f t="shared" si="41"/>
        <v>-760</v>
      </c>
      <c r="F188" s="13">
        <f t="shared" si="41"/>
        <v>-204956.79999999999</v>
      </c>
      <c r="G188" s="33">
        <f>((E188*2)+E187)/2</f>
        <v>0</v>
      </c>
      <c r="H188" s="12"/>
      <c r="I188" s="48"/>
      <c r="J188" s="48"/>
      <c r="AH188" s="7">
        <f>G188/E188</f>
        <v>0</v>
      </c>
      <c r="AI188" s="7">
        <f>F188/E188</f>
        <v>269.68</v>
      </c>
      <c r="AL188" s="133">
        <f>AI187*2</f>
        <v>286.14</v>
      </c>
    </row>
    <row r="189" spans="1:40" x14ac:dyDescent="0.3">
      <c r="E189" s="145">
        <f>SUM(E184:E188)</f>
        <v>-2550</v>
      </c>
      <c r="F189" s="145">
        <f>SUM(F184:F188)</f>
        <v>6694.140000000014</v>
      </c>
      <c r="G189" s="13"/>
      <c r="H189" s="13"/>
      <c r="L189" s="104"/>
      <c r="M189" s="13"/>
      <c r="N189" s="13"/>
      <c r="O189" s="13"/>
      <c r="P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06"/>
      <c r="AF189" s="13"/>
      <c r="AG189" s="13"/>
      <c r="AH189" s="13"/>
      <c r="AI189" s="13"/>
      <c r="AJ189" s="163"/>
      <c r="AK189" s="325"/>
      <c r="AL189" s="163"/>
      <c r="AM189" s="106"/>
      <c r="AN189" s="13"/>
    </row>
    <row r="190" spans="1:40" x14ac:dyDescent="0.3">
      <c r="E190" s="163"/>
      <c r="F190" s="163"/>
      <c r="G190" s="13"/>
      <c r="H190" s="13"/>
      <c r="L190" s="104"/>
      <c r="M190" s="13"/>
      <c r="N190" s="13"/>
      <c r="O190" s="13"/>
      <c r="P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06"/>
      <c r="AF190" s="13"/>
      <c r="AG190" s="13"/>
      <c r="AH190" s="13"/>
      <c r="AI190" s="13"/>
      <c r="AJ190" s="163"/>
      <c r="AK190" s="325"/>
      <c r="AL190" s="163"/>
      <c r="AM190" s="106"/>
      <c r="AN190" s="13"/>
    </row>
    <row r="191" spans="1:40" x14ac:dyDescent="0.3">
      <c r="E191" s="163"/>
      <c r="F191" s="163"/>
      <c r="G191" s="13"/>
      <c r="H191" s="13"/>
      <c r="L191" s="104"/>
      <c r="M191" s="13"/>
      <c r="N191" s="13"/>
      <c r="O191" s="13"/>
      <c r="P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06"/>
      <c r="AF191" s="13"/>
      <c r="AG191" s="13"/>
      <c r="AH191" s="13"/>
      <c r="AI191" s="13"/>
      <c r="AJ191" s="163"/>
      <c r="AK191" s="325"/>
      <c r="AL191" s="163"/>
      <c r="AM191" s="106"/>
      <c r="AN191" s="13"/>
    </row>
    <row r="192" spans="1:40" x14ac:dyDescent="0.3">
      <c r="A192" s="362" t="s">
        <v>1384</v>
      </c>
      <c r="B192" s="110" t="s">
        <v>207</v>
      </c>
      <c r="C192" s="6" t="s">
        <v>208</v>
      </c>
      <c r="D192" s="6" t="s">
        <v>80</v>
      </c>
      <c r="E192" s="364">
        <f t="shared" ref="E192:F196" si="42">+E10</f>
        <v>-2349.65</v>
      </c>
      <c r="F192" s="364">
        <f t="shared" si="42"/>
        <v>-761921.01</v>
      </c>
      <c r="G192" s="33">
        <f>((E192*2)+E196)/2</f>
        <v>-1.1500000000000909</v>
      </c>
      <c r="AH192" s="7">
        <f>G192/E192</f>
        <v>4.8943459664209171E-4</v>
      </c>
      <c r="AI192" s="13">
        <f>F192/E192</f>
        <v>324.27000191517885</v>
      </c>
      <c r="AJ192" s="323">
        <f>100%+AK192</f>
        <v>4.8943459664207989E-4</v>
      </c>
      <c r="AK192" s="324">
        <f>(E196*500/1000)/E192</f>
        <v>-0.99951056540335792</v>
      </c>
      <c r="AL192" s="13"/>
      <c r="AM192" s="106"/>
      <c r="AN192" s="13"/>
    </row>
    <row r="193" spans="1:40" x14ac:dyDescent="0.3">
      <c r="B193" s="110" t="s">
        <v>106</v>
      </c>
      <c r="C193" s="6" t="s">
        <v>107</v>
      </c>
      <c r="D193" s="6" t="s">
        <v>102</v>
      </c>
      <c r="E193" s="364">
        <f t="shared" si="42"/>
        <v>-4994</v>
      </c>
      <c r="F193" s="364">
        <f t="shared" si="42"/>
        <v>-4223.76</v>
      </c>
      <c r="G193" s="33">
        <f>E193+E196</f>
        <v>-297</v>
      </c>
      <c r="AH193" s="7">
        <f t="shared" ref="AH193:AH196" si="43">G193/E193</f>
        <v>5.9471365638766517E-2</v>
      </c>
      <c r="AI193" s="13">
        <f>F193/E193</f>
        <v>0.84576692030436529</v>
      </c>
      <c r="AJ193" s="163"/>
      <c r="AK193" s="325"/>
      <c r="AL193" s="13"/>
      <c r="AM193" s="106"/>
      <c r="AN193" s="13"/>
    </row>
    <row r="194" spans="1:40" x14ac:dyDescent="0.3">
      <c r="B194" s="110" t="s">
        <v>196</v>
      </c>
      <c r="C194" s="6" t="s">
        <v>197</v>
      </c>
      <c r="D194" s="6" t="s">
        <v>102</v>
      </c>
      <c r="E194" s="364">
        <f t="shared" si="42"/>
        <v>-4994</v>
      </c>
      <c r="F194" s="364">
        <f t="shared" si="42"/>
        <v>-10280.880000000001</v>
      </c>
      <c r="G194" s="33">
        <f>E194+E196</f>
        <v>-297</v>
      </c>
      <c r="AH194" s="7">
        <f t="shared" si="43"/>
        <v>5.9471365638766517E-2</v>
      </c>
      <c r="AI194" s="13">
        <f>F194/E194</f>
        <v>2.0586463756507811</v>
      </c>
      <c r="AJ194" s="163"/>
      <c r="AK194" s="325"/>
      <c r="AL194" s="13"/>
      <c r="AM194" s="106"/>
      <c r="AN194" s="13"/>
    </row>
    <row r="195" spans="1:40" x14ac:dyDescent="0.3">
      <c r="B195" s="110" t="s">
        <v>104</v>
      </c>
      <c r="C195" s="6" t="s">
        <v>105</v>
      </c>
      <c r="D195" s="6" t="s">
        <v>102</v>
      </c>
      <c r="E195" s="364">
        <f t="shared" si="42"/>
        <v>-784</v>
      </c>
      <c r="F195" s="364">
        <f t="shared" si="42"/>
        <v>-3920</v>
      </c>
      <c r="G195" s="33">
        <f>(E196/6)+E195</f>
        <v>-1.1666666666666288</v>
      </c>
      <c r="AH195" s="7">
        <f t="shared" si="43"/>
        <v>1.4880952380951897E-3</v>
      </c>
      <c r="AI195" s="13">
        <f>F195/E195</f>
        <v>5</v>
      </c>
      <c r="AJ195" s="323"/>
      <c r="AK195" s="163"/>
      <c r="AL195" s="145">
        <f>AI196*2</f>
        <v>338.72</v>
      </c>
      <c r="AM195" s="106"/>
      <c r="AN195" s="13"/>
    </row>
    <row r="196" spans="1:40" x14ac:dyDescent="0.3">
      <c r="B196" s="264" t="s">
        <v>62</v>
      </c>
      <c r="C196" s="255" t="s">
        <v>63</v>
      </c>
      <c r="D196" s="6" t="s">
        <v>74</v>
      </c>
      <c r="E196" s="364">
        <f t="shared" si="42"/>
        <v>4697</v>
      </c>
      <c r="F196" s="364">
        <f t="shared" si="42"/>
        <v>795483.92</v>
      </c>
      <c r="G196" s="33">
        <f>(E196*500)/1000000</f>
        <v>2.3485</v>
      </c>
      <c r="H196" s="12"/>
      <c r="I196" s="48"/>
      <c r="J196" s="48"/>
      <c r="AH196" s="7">
        <f t="shared" si="43"/>
        <v>5.0000000000000001E-4</v>
      </c>
      <c r="AI196" s="345">
        <f>F196/E196</f>
        <v>169.36</v>
      </c>
      <c r="AM196" s="106"/>
      <c r="AN196" s="13"/>
    </row>
    <row r="197" spans="1:40" x14ac:dyDescent="0.3">
      <c r="E197" s="145">
        <f>SUM(E192:E196)</f>
        <v>-8424.65</v>
      </c>
      <c r="F197" s="145">
        <f>SUM(F192:F196)</f>
        <v>15138.270000000019</v>
      </c>
      <c r="G197" s="13"/>
      <c r="H197" s="13"/>
      <c r="L197" s="104"/>
      <c r="M197" s="13"/>
      <c r="N197" s="13"/>
      <c r="O197" s="13"/>
      <c r="P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06"/>
      <c r="AF197" s="13"/>
      <c r="AG197" s="13"/>
      <c r="AH197" s="13"/>
      <c r="AI197" s="13"/>
      <c r="AJ197" s="163"/>
      <c r="AK197" s="325"/>
      <c r="AL197" s="163"/>
      <c r="AM197" s="106"/>
      <c r="AN197" s="13"/>
    </row>
    <row r="198" spans="1:40" x14ac:dyDescent="0.3">
      <c r="E198" s="163"/>
      <c r="F198" s="163"/>
      <c r="G198" s="13"/>
      <c r="H198" s="13"/>
      <c r="L198" s="104"/>
      <c r="M198" s="13"/>
      <c r="N198" s="13"/>
      <c r="O198" s="13"/>
      <c r="P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06"/>
      <c r="AF198" s="13"/>
      <c r="AG198" s="13"/>
      <c r="AH198" s="13"/>
      <c r="AI198" s="13"/>
      <c r="AJ198" s="163"/>
      <c r="AK198" s="325"/>
      <c r="AL198" s="163"/>
      <c r="AM198" s="106"/>
      <c r="AN198" s="13"/>
    </row>
    <row r="199" spans="1:40" x14ac:dyDescent="0.3">
      <c r="A199" s="71" t="s">
        <v>1385</v>
      </c>
      <c r="B199" s="110" t="s">
        <v>106</v>
      </c>
      <c r="C199" s="6" t="s">
        <v>107</v>
      </c>
      <c r="D199" s="6" t="s">
        <v>102</v>
      </c>
      <c r="E199" s="364">
        <f t="shared" ref="E199:F204" si="44">+E22</f>
        <v>-495</v>
      </c>
      <c r="F199" s="364">
        <f t="shared" si="44"/>
        <v>-418.66</v>
      </c>
      <c r="G199" s="33">
        <f>E199+E202</f>
        <v>-83</v>
      </c>
      <c r="H199" s="13"/>
      <c r="L199" s="104"/>
      <c r="M199" s="13"/>
      <c r="N199" s="13"/>
      <c r="O199" s="13"/>
      <c r="P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06"/>
      <c r="AF199" s="13"/>
      <c r="AG199" s="13"/>
      <c r="AH199" s="7">
        <f>G199/E199</f>
        <v>0.16767676767676767</v>
      </c>
      <c r="AI199" s="13">
        <f>F199/E199</f>
        <v>0.84577777777777785</v>
      </c>
      <c r="AJ199" s="323">
        <f>100%+AK199</f>
        <v>0</v>
      </c>
      <c r="AK199" s="324">
        <f>(E202*500/1000)/E203</f>
        <v>-1</v>
      </c>
      <c r="AM199" s="106"/>
      <c r="AN199" s="13"/>
    </row>
    <row r="200" spans="1:40" x14ac:dyDescent="0.3">
      <c r="B200" s="110" t="s">
        <v>126</v>
      </c>
      <c r="C200" s="6" t="s">
        <v>127</v>
      </c>
      <c r="D200" s="6" t="s">
        <v>102</v>
      </c>
      <c r="E200" s="364">
        <f t="shared" si="44"/>
        <v>-21</v>
      </c>
      <c r="F200" s="364">
        <f t="shared" si="44"/>
        <v>-462</v>
      </c>
      <c r="G200" s="33">
        <f>(E202/20)+E200</f>
        <v>-0.39999999999999858</v>
      </c>
      <c r="H200" s="13"/>
      <c r="L200" s="104"/>
      <c r="M200" s="13"/>
      <c r="N200" s="13"/>
      <c r="O200" s="13"/>
      <c r="P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06"/>
      <c r="AF200" s="13"/>
      <c r="AG200" s="13"/>
      <c r="AH200" s="7">
        <f t="shared" ref="AH200:AH204" si="45">G200/E200</f>
        <v>1.904761904761898E-2</v>
      </c>
      <c r="AI200" s="13">
        <f t="shared" ref="AI200:AI204" si="46">F200/E200</f>
        <v>22</v>
      </c>
      <c r="AJ200" s="163"/>
      <c r="AK200" s="325"/>
      <c r="AM200" s="106"/>
      <c r="AN200" s="13"/>
    </row>
    <row r="201" spans="1:40" x14ac:dyDescent="0.3">
      <c r="B201" s="110" t="s">
        <v>237</v>
      </c>
      <c r="C201" s="6" t="s">
        <v>238</v>
      </c>
      <c r="D201" s="6" t="s">
        <v>102</v>
      </c>
      <c r="E201" s="364">
        <f t="shared" si="44"/>
        <v>-495</v>
      </c>
      <c r="F201" s="364">
        <f t="shared" si="44"/>
        <v>-849.75</v>
      </c>
      <c r="G201" s="33">
        <f>E201+E202</f>
        <v>-83</v>
      </c>
      <c r="H201" s="13"/>
      <c r="L201" s="104"/>
      <c r="M201" s="13"/>
      <c r="N201" s="13"/>
      <c r="O201" s="13"/>
      <c r="P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06"/>
      <c r="AF201" s="13"/>
      <c r="AG201" s="13"/>
      <c r="AH201" s="7">
        <f t="shared" si="45"/>
        <v>0.16767676767676767</v>
      </c>
      <c r="AI201" s="13">
        <f t="shared" si="46"/>
        <v>1.7166666666666666</v>
      </c>
      <c r="AJ201" s="163"/>
      <c r="AK201" s="325"/>
      <c r="AM201" s="106"/>
      <c r="AN201" s="13"/>
    </row>
    <row r="202" spans="1:40" x14ac:dyDescent="0.3">
      <c r="B202" s="264" t="s">
        <v>644</v>
      </c>
      <c r="C202" s="255" t="s">
        <v>645</v>
      </c>
      <c r="D202" s="6" t="s">
        <v>74</v>
      </c>
      <c r="E202" s="364">
        <f t="shared" si="44"/>
        <v>412</v>
      </c>
      <c r="F202" s="364">
        <f t="shared" si="44"/>
        <v>75948.08</v>
      </c>
      <c r="G202" s="33">
        <f>(E202*500)/1000000</f>
        <v>0.20599999999999999</v>
      </c>
      <c r="H202" s="13"/>
      <c r="L202" s="104"/>
      <c r="M202" s="13"/>
      <c r="N202" s="13"/>
      <c r="O202" s="13"/>
      <c r="P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06"/>
      <c r="AF202" s="13"/>
      <c r="AG202" s="13"/>
      <c r="AH202" s="7">
        <f t="shared" si="45"/>
        <v>5.0000000000000001E-4</v>
      </c>
      <c r="AI202" s="345">
        <f t="shared" si="46"/>
        <v>184.34</v>
      </c>
      <c r="AJ202" s="163"/>
      <c r="AK202" s="325"/>
      <c r="AM202" s="106"/>
      <c r="AN202" s="13"/>
    </row>
    <row r="203" spans="1:40" x14ac:dyDescent="0.3">
      <c r="B203" s="110" t="s">
        <v>637</v>
      </c>
      <c r="C203" s="6" t="s">
        <v>259</v>
      </c>
      <c r="D203" s="6" t="s">
        <v>80</v>
      </c>
      <c r="E203" s="364">
        <f t="shared" si="44"/>
        <v>-206</v>
      </c>
      <c r="F203" s="364">
        <f t="shared" si="44"/>
        <v>-72423.42</v>
      </c>
      <c r="G203" s="33">
        <f>((E203*2)+E202)/2</f>
        <v>0</v>
      </c>
      <c r="H203" s="13"/>
      <c r="L203" s="104"/>
      <c r="M203" s="13"/>
      <c r="N203" s="13"/>
      <c r="O203" s="13"/>
      <c r="P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06"/>
      <c r="AF203" s="13"/>
      <c r="AG203" s="13"/>
      <c r="AH203" s="7">
        <f t="shared" si="45"/>
        <v>0</v>
      </c>
      <c r="AI203" s="13">
        <f t="shared" si="46"/>
        <v>351.57</v>
      </c>
      <c r="AJ203" s="163"/>
      <c r="AK203" s="325"/>
      <c r="AL203" s="133">
        <f>AI202*2</f>
        <v>368.68</v>
      </c>
      <c r="AM203" s="106"/>
      <c r="AN203" s="13"/>
    </row>
    <row r="204" spans="1:40" x14ac:dyDescent="0.3">
      <c r="B204" s="110" t="s">
        <v>333</v>
      </c>
      <c r="C204" s="6" t="s">
        <v>334</v>
      </c>
      <c r="D204" s="6" t="s">
        <v>241</v>
      </c>
      <c r="E204" s="364">
        <f t="shared" si="44"/>
        <v>-412</v>
      </c>
      <c r="F204" s="364">
        <f t="shared" si="44"/>
        <v>-477.92</v>
      </c>
      <c r="G204" s="33">
        <f>E204+E202</f>
        <v>0</v>
      </c>
      <c r="H204" s="13"/>
      <c r="L204" s="104"/>
      <c r="M204" s="13"/>
      <c r="N204" s="13"/>
      <c r="O204" s="13"/>
      <c r="P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06"/>
      <c r="AF204" s="13"/>
      <c r="AG204" s="13"/>
      <c r="AH204" s="7">
        <f t="shared" si="45"/>
        <v>0</v>
      </c>
      <c r="AI204" s="13">
        <f t="shared" si="46"/>
        <v>1.1600000000000001</v>
      </c>
      <c r="AM204" s="106"/>
      <c r="AN204" s="13"/>
    </row>
    <row r="205" spans="1:40" x14ac:dyDescent="0.3">
      <c r="E205" s="145">
        <f>SUM(E199:E204)</f>
        <v>-1217</v>
      </c>
      <c r="F205" s="145">
        <f>SUM(F199:F204)</f>
        <v>1316.33</v>
      </c>
      <c r="G205" s="13"/>
      <c r="H205" s="13"/>
      <c r="L205" s="104"/>
      <c r="M205" s="13"/>
      <c r="N205" s="13"/>
      <c r="O205" s="13"/>
      <c r="P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06"/>
      <c r="AF205" s="13"/>
      <c r="AG205" s="13"/>
      <c r="AH205" s="13"/>
      <c r="AI205" s="13"/>
      <c r="AJ205" s="163"/>
      <c r="AK205" s="325"/>
      <c r="AL205" s="163"/>
      <c r="AM205" s="106"/>
      <c r="AN205" s="13"/>
    </row>
    <row r="206" spans="1:40" x14ac:dyDescent="0.3">
      <c r="E206" s="163"/>
      <c r="F206" s="163"/>
      <c r="G206" s="13"/>
      <c r="H206" s="13"/>
      <c r="L206" s="104"/>
      <c r="M206" s="13"/>
      <c r="N206" s="13"/>
      <c r="O206" s="13"/>
      <c r="P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06"/>
      <c r="AF206" s="13"/>
      <c r="AG206" s="13"/>
      <c r="AH206" s="13"/>
      <c r="AI206" s="13"/>
      <c r="AJ206" s="163"/>
      <c r="AK206" s="325"/>
      <c r="AL206" s="163"/>
      <c r="AM206" s="106"/>
      <c r="AN206" s="13"/>
    </row>
    <row r="207" spans="1:40" x14ac:dyDescent="0.3">
      <c r="A207" s="71" t="s">
        <v>1597</v>
      </c>
      <c r="B207" s="110" t="s">
        <v>106</v>
      </c>
      <c r="C207" s="6" t="s">
        <v>107</v>
      </c>
      <c r="D207" s="6" t="s">
        <v>102</v>
      </c>
      <c r="E207" s="377">
        <f>+E113</f>
        <v>-878</v>
      </c>
      <c r="F207" s="377">
        <f>+F113</f>
        <v>-742.58</v>
      </c>
      <c r="G207" s="33">
        <f>E207+E211</f>
        <v>-118</v>
      </c>
      <c r="H207" s="13"/>
      <c r="L207" s="104"/>
      <c r="M207" s="13"/>
      <c r="N207" s="13"/>
      <c r="O207" s="13"/>
      <c r="P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06"/>
      <c r="AF207" s="13"/>
      <c r="AG207" s="13"/>
      <c r="AH207" s="7">
        <f>G207/E207</f>
        <v>0.13439635535307518</v>
      </c>
      <c r="AI207" s="13">
        <f>F207/E207</f>
        <v>0.84576309794988613</v>
      </c>
      <c r="AJ207" s="323">
        <f>100%+AK207</f>
        <v>0</v>
      </c>
      <c r="AK207" s="324">
        <f>(E211*500/1000)/E210</f>
        <v>-1</v>
      </c>
      <c r="AM207" s="106"/>
      <c r="AN207" s="13"/>
    </row>
    <row r="208" spans="1:40" x14ac:dyDescent="0.3">
      <c r="B208" s="110" t="s">
        <v>126</v>
      </c>
      <c r="C208" s="6" t="s">
        <v>127</v>
      </c>
      <c r="D208" s="6" t="s">
        <v>102</v>
      </c>
      <c r="E208" s="377">
        <f>+E114</f>
        <v>-38</v>
      </c>
      <c r="F208" s="377">
        <f>+F114</f>
        <v>-836</v>
      </c>
      <c r="G208" s="33">
        <f>(E211/20)+E208</f>
        <v>0</v>
      </c>
      <c r="H208" s="13"/>
      <c r="L208" s="104"/>
      <c r="M208" s="13"/>
      <c r="N208" s="13"/>
      <c r="O208" s="13"/>
      <c r="P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06"/>
      <c r="AF208" s="13"/>
      <c r="AG208" s="13"/>
      <c r="AH208" s="7">
        <f t="shared" ref="AH208:AH211" si="47">G208/E208</f>
        <v>0</v>
      </c>
      <c r="AI208" s="13">
        <f t="shared" ref="AI208:AI211" si="48">F208/E208</f>
        <v>22</v>
      </c>
      <c r="AJ208" s="163"/>
      <c r="AK208" s="325"/>
      <c r="AM208" s="106"/>
      <c r="AN208" s="13"/>
    </row>
    <row r="209" spans="2:41" x14ac:dyDescent="0.3">
      <c r="B209" s="110" t="s">
        <v>237</v>
      </c>
      <c r="C209" s="6" t="s">
        <v>238</v>
      </c>
      <c r="D209" s="6" t="s">
        <v>102</v>
      </c>
      <c r="E209" s="377">
        <f t="shared" ref="E209:F209" si="49">+E115</f>
        <v>-878</v>
      </c>
      <c r="F209" s="377">
        <f t="shared" si="49"/>
        <v>-1507.23</v>
      </c>
      <c r="G209" s="33">
        <f>E209+E211</f>
        <v>-118</v>
      </c>
      <c r="H209" s="13"/>
      <c r="L209" s="104"/>
      <c r="M209" s="13"/>
      <c r="N209" s="13"/>
      <c r="O209" s="13"/>
      <c r="P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06"/>
      <c r="AF209" s="13"/>
      <c r="AG209" s="13"/>
      <c r="AH209" s="7">
        <f t="shared" si="47"/>
        <v>0.13439635535307518</v>
      </c>
      <c r="AI209" s="13">
        <f t="shared" si="48"/>
        <v>1.7166628701594533</v>
      </c>
      <c r="AJ209" s="163"/>
      <c r="AK209" s="325"/>
      <c r="AM209" s="106"/>
      <c r="AN209" s="13"/>
    </row>
    <row r="210" spans="2:41" x14ac:dyDescent="0.3">
      <c r="B210" s="110" t="s">
        <v>205</v>
      </c>
      <c r="C210" s="6" t="s">
        <v>206</v>
      </c>
      <c r="D210" s="6" t="s">
        <v>80</v>
      </c>
      <c r="E210" s="377">
        <f t="shared" ref="E210:F210" si="50">+E116</f>
        <v>-380</v>
      </c>
      <c r="F210" s="377">
        <f t="shared" si="50"/>
        <v>-102478.39999999999</v>
      </c>
      <c r="G210" s="33">
        <f>((E210*2)+E211)/2</f>
        <v>0</v>
      </c>
      <c r="H210" s="13"/>
      <c r="L210" s="104"/>
      <c r="M210" s="13"/>
      <c r="N210" s="13"/>
      <c r="O210" s="13"/>
      <c r="P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06"/>
      <c r="AF210" s="13"/>
      <c r="AG210" s="13"/>
      <c r="AH210" s="7">
        <f t="shared" si="47"/>
        <v>0</v>
      </c>
      <c r="AI210" s="13">
        <f t="shared" si="48"/>
        <v>269.68</v>
      </c>
      <c r="AJ210" s="163"/>
      <c r="AK210" s="325"/>
      <c r="AM210" s="106"/>
      <c r="AN210" s="13"/>
    </row>
    <row r="211" spans="2:41" x14ac:dyDescent="0.3">
      <c r="B211" s="264" t="s">
        <v>239</v>
      </c>
      <c r="C211" s="255" t="s">
        <v>240</v>
      </c>
      <c r="D211" s="6" t="s">
        <v>74</v>
      </c>
      <c r="E211" s="377">
        <f t="shared" ref="E211:F211" si="51">+E117</f>
        <v>760</v>
      </c>
      <c r="F211" s="377">
        <f t="shared" si="51"/>
        <v>107623.6</v>
      </c>
      <c r="G211" s="33">
        <f>(E211*500)/1000000</f>
        <v>0.38</v>
      </c>
      <c r="H211" s="13"/>
      <c r="L211" s="104"/>
      <c r="M211" s="13"/>
      <c r="N211" s="13"/>
      <c r="O211" s="13"/>
      <c r="P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06"/>
      <c r="AF211" s="13"/>
      <c r="AG211" s="13"/>
      <c r="AH211" s="7">
        <f t="shared" si="47"/>
        <v>5.0000000000000001E-4</v>
      </c>
      <c r="AI211" s="345">
        <f t="shared" si="48"/>
        <v>141.61000000000001</v>
      </c>
      <c r="AJ211" s="163"/>
      <c r="AK211" s="325"/>
      <c r="AL211" s="133">
        <f>AI211*2</f>
        <v>283.22000000000003</v>
      </c>
      <c r="AM211" s="106"/>
      <c r="AN211" s="13"/>
    </row>
    <row r="212" spans="2:41" x14ac:dyDescent="0.3">
      <c r="E212" s="145">
        <f>SUM(E207:E211)</f>
        <v>-1414</v>
      </c>
      <c r="F212" s="145">
        <f>SUM(F207:F211)</f>
        <v>2059.390000000014</v>
      </c>
      <c r="G212" s="13"/>
      <c r="H212" s="13"/>
      <c r="L212" s="104"/>
      <c r="M212" s="13"/>
      <c r="N212" s="13"/>
      <c r="O212" s="13"/>
      <c r="P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06"/>
      <c r="AF212" s="13"/>
      <c r="AG212" s="13"/>
      <c r="AH212" s="13"/>
      <c r="AI212" s="13"/>
      <c r="AJ212" s="163"/>
      <c r="AK212" s="325"/>
      <c r="AL212" s="163"/>
      <c r="AM212" s="106"/>
      <c r="AN212" s="13"/>
    </row>
    <row r="213" spans="2:41" x14ac:dyDescent="0.3">
      <c r="E213" s="163"/>
      <c r="F213" s="163"/>
      <c r="G213" s="13"/>
      <c r="H213" s="13"/>
      <c r="L213" s="104"/>
      <c r="M213" s="13"/>
      <c r="N213" s="13"/>
      <c r="O213" s="13"/>
      <c r="P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06"/>
      <c r="AF213" s="13"/>
      <c r="AG213" s="13"/>
      <c r="AH213" s="13"/>
      <c r="AI213" s="13"/>
      <c r="AJ213" s="163"/>
      <c r="AK213" s="325"/>
      <c r="AL213" s="163"/>
      <c r="AM213" s="106"/>
      <c r="AN213" s="13"/>
    </row>
    <row r="214" spans="2:41" x14ac:dyDescent="0.3">
      <c r="E214" s="163"/>
      <c r="F214" s="163"/>
      <c r="G214" s="13"/>
      <c r="H214" s="13"/>
      <c r="L214" s="104"/>
      <c r="M214" s="13"/>
      <c r="N214" s="13"/>
      <c r="O214" s="13"/>
      <c r="P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06"/>
      <c r="AF214" s="13"/>
      <c r="AG214" s="13"/>
      <c r="AH214" s="13"/>
      <c r="AI214" s="13"/>
      <c r="AJ214" s="163"/>
      <c r="AK214" s="325"/>
      <c r="AL214" s="163"/>
      <c r="AM214" s="106"/>
      <c r="AN214" s="13"/>
    </row>
    <row r="215" spans="2:41" x14ac:dyDescent="0.3">
      <c r="E215" s="163"/>
      <c r="F215" s="163"/>
      <c r="G215" s="13"/>
      <c r="H215" s="13"/>
      <c r="L215" s="104"/>
      <c r="M215" s="13"/>
      <c r="N215" s="13"/>
      <c r="O215" s="13"/>
      <c r="P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06"/>
      <c r="AF215" s="13"/>
      <c r="AG215" s="13"/>
      <c r="AH215" s="13"/>
      <c r="AI215" s="13"/>
      <c r="AJ215" s="163"/>
      <c r="AK215" s="325"/>
      <c r="AL215" s="163"/>
      <c r="AM215" s="106"/>
    </row>
    <row r="216" spans="2:41" x14ac:dyDescent="0.3">
      <c r="E216" s="266"/>
      <c r="F216" s="266"/>
      <c r="G216" s="13"/>
      <c r="H216" s="13"/>
      <c r="L216" s="104"/>
      <c r="M216" s="13"/>
      <c r="N216" s="13"/>
      <c r="O216" s="13"/>
      <c r="P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06"/>
      <c r="AF216" s="13"/>
      <c r="AG216" s="13"/>
      <c r="AH216" s="13"/>
      <c r="AI216" s="13"/>
      <c r="AJ216" s="163"/>
      <c r="AK216" s="325"/>
      <c r="AL216" s="163"/>
      <c r="AM216" s="106"/>
      <c r="AO216" s="7"/>
    </row>
    <row r="217" spans="2:41" s="7" customFormat="1" x14ac:dyDescent="0.3">
      <c r="E217" s="164">
        <f>E181+E189+E197+E205+E212</f>
        <v>-720779.21000000008</v>
      </c>
      <c r="F217" s="164">
        <f>F181+F189+F197+F205+F212</f>
        <v>1410879.9299999974</v>
      </c>
      <c r="I217" s="55"/>
      <c r="J217" s="55"/>
      <c r="K217" s="367"/>
      <c r="L217" s="76"/>
      <c r="Q217" s="55"/>
      <c r="R217" s="13"/>
      <c r="S217" s="13"/>
      <c r="AE217" s="117"/>
      <c r="AJ217" s="12"/>
      <c r="AK217" s="12"/>
      <c r="AL217" s="12"/>
      <c r="AM217" s="117"/>
      <c r="AO217"/>
    </row>
    <row r="218" spans="2:41" x14ac:dyDescent="0.3">
      <c r="E218" s="68">
        <f>E167-E217</f>
        <v>0</v>
      </c>
      <c r="F218" s="68">
        <f>F167-F217</f>
        <v>3.9581209421157837E-9</v>
      </c>
    </row>
    <row r="219" spans="2:41" x14ac:dyDescent="0.3">
      <c r="E219" s="12"/>
      <c r="F219" s="12"/>
    </row>
    <row r="221" spans="2:41" x14ac:dyDescent="0.3">
      <c r="E221" s="12"/>
      <c r="F221" s="12"/>
    </row>
  </sheetData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887A-0ACF-45A2-BB15-5310E76BABB6}">
  <sheetPr codeName="Sheet12">
    <tabColor rgb="FFFF0000"/>
  </sheetPr>
  <dimension ref="A1:AO59"/>
  <sheetViews>
    <sheetView showGridLines="0" zoomScale="60" zoomScaleNormal="60" workbookViewId="0">
      <pane ySplit="3" topLeftCell="A4" activePane="bottomLeft" state="frozen"/>
      <selection pane="bottomLeft" activeCell="AO26" sqref="AO26"/>
    </sheetView>
  </sheetViews>
  <sheetFormatPr defaultRowHeight="14" outlineLevelCol="1" x14ac:dyDescent="0.3"/>
  <cols>
    <col min="1" max="1" width="19.6640625" bestFit="1" customWidth="1"/>
    <col min="2" max="2" width="12.25" bestFit="1" customWidth="1"/>
    <col min="3" max="3" width="35.75" bestFit="1" customWidth="1"/>
    <col min="4" max="4" width="7.58203125" bestFit="1" customWidth="1"/>
    <col min="5" max="5" width="8" style="7" bestFit="1" customWidth="1"/>
    <col min="6" max="6" width="22.5" style="7" bestFit="1" customWidth="1"/>
    <col min="7" max="7" width="22.33203125" style="7" bestFit="1" customWidth="1"/>
    <col min="8" max="8" width="6.9140625" style="7" customWidth="1"/>
    <col min="9" max="9" width="4.75" style="13" customWidth="1"/>
    <col min="10" max="10" width="8.4140625" style="13" bestFit="1" customWidth="1"/>
    <col min="11" max="11" width="12.5" style="76" customWidth="1" outlineLevel="1"/>
    <col min="12" max="12" width="14.6640625" style="7" customWidth="1" outlineLevel="1"/>
    <col min="13" max="13" width="8" style="44" customWidth="1" outlineLevel="1"/>
    <col min="14" max="14" width="12.83203125" style="44" customWidth="1" outlineLevel="1"/>
    <col min="15" max="15" width="8.6640625" customWidth="1" outlineLevel="1"/>
    <col min="16" max="16" width="5.9140625" style="58" customWidth="1" outlineLevel="1"/>
    <col min="17" max="17" width="10.08203125" customWidth="1" outlineLevel="1"/>
    <col min="18" max="18" width="12.1640625" customWidth="1" outlineLevel="1"/>
    <col min="19" max="19" width="9" customWidth="1" outlineLevel="1"/>
    <col min="20" max="21" width="13.1640625" customWidth="1" outlineLevel="1"/>
    <col min="22" max="22" width="8.6640625" customWidth="1" outlineLevel="1"/>
    <col min="23" max="23" width="7.58203125" customWidth="1" outlineLevel="1"/>
    <col min="24" max="24" width="13" customWidth="1" outlineLevel="1"/>
    <col min="25" max="25" width="8.6640625" customWidth="1" outlineLevel="1"/>
    <col min="26" max="26" width="11.33203125" customWidth="1" outlineLevel="1"/>
    <col min="27" max="27" width="8.6640625" customWidth="1" outlineLevel="1"/>
    <col min="31" max="31" width="8.83203125" bestFit="1" customWidth="1"/>
    <col min="32" max="32" width="2.5" customWidth="1"/>
    <col min="33" max="33" width="14.6640625" style="16" bestFit="1" customWidth="1"/>
    <col min="34" max="34" width="10.58203125" style="16" bestFit="1" customWidth="1"/>
    <col min="35" max="35" width="12.33203125" style="16" customWidth="1"/>
    <col min="39" max="39" width="9.1640625" bestFit="1" customWidth="1"/>
  </cols>
  <sheetData>
    <row r="1" spans="1:39" x14ac:dyDescent="0.3">
      <c r="A1" s="5" t="s">
        <v>58</v>
      </c>
      <c r="B1" t="s">
        <v>291</v>
      </c>
    </row>
    <row r="3" spans="1:39" ht="25" x14ac:dyDescent="0.3">
      <c r="A3" s="5" t="s">
        <v>135</v>
      </c>
      <c r="B3" s="5" t="s">
        <v>25</v>
      </c>
      <c r="C3" s="5" t="s">
        <v>26</v>
      </c>
      <c r="D3" s="5" t="s">
        <v>50</v>
      </c>
      <c r="E3" s="5" t="s">
        <v>28</v>
      </c>
      <c r="F3" t="s">
        <v>211</v>
      </c>
      <c r="G3" t="s">
        <v>213</v>
      </c>
      <c r="H3" s="49" t="s">
        <v>155</v>
      </c>
      <c r="I3" s="72"/>
      <c r="J3" s="368" t="s">
        <v>1162</v>
      </c>
      <c r="K3" s="49" t="s">
        <v>157</v>
      </c>
      <c r="L3" s="50" t="s">
        <v>158</v>
      </c>
      <c r="M3" s="49" t="s">
        <v>159</v>
      </c>
      <c r="N3" s="49" t="s">
        <v>160</v>
      </c>
      <c r="O3" s="49" t="s">
        <v>161</v>
      </c>
      <c r="P3" s="57"/>
      <c r="Q3" s="49" t="s">
        <v>162</v>
      </c>
      <c r="R3" s="49" t="s">
        <v>163</v>
      </c>
      <c r="S3" s="49" t="s">
        <v>164</v>
      </c>
      <c r="T3" s="51" t="s">
        <v>165</v>
      </c>
      <c r="U3" s="51" t="s">
        <v>282</v>
      </c>
      <c r="V3" s="51" t="s">
        <v>166</v>
      </c>
      <c r="W3" s="51" t="s">
        <v>167</v>
      </c>
      <c r="X3" s="51" t="s">
        <v>168</v>
      </c>
      <c r="Y3" s="52" t="s">
        <v>169</v>
      </c>
      <c r="Z3" s="51" t="s">
        <v>170</v>
      </c>
      <c r="AA3" s="261" t="s">
        <v>156</v>
      </c>
      <c r="AB3" s="53"/>
      <c r="AC3" s="53" t="s">
        <v>171</v>
      </c>
      <c r="AD3" s="54" t="s">
        <v>151</v>
      </c>
      <c r="AE3" s="30"/>
      <c r="AG3" s="40" t="s">
        <v>265</v>
      </c>
      <c r="AH3" s="40" t="s">
        <v>80</v>
      </c>
    </row>
    <row r="4" spans="1:39" ht="15" x14ac:dyDescent="0.3">
      <c r="A4" s="6" t="s">
        <v>377</v>
      </c>
      <c r="B4" s="6" t="s">
        <v>62</v>
      </c>
      <c r="C4" s="6" t="s">
        <v>63</v>
      </c>
      <c r="D4" s="339" t="s">
        <v>74</v>
      </c>
      <c r="E4" s="6" t="s">
        <v>77</v>
      </c>
      <c r="F4" s="9">
        <v>-9</v>
      </c>
      <c r="G4" s="9">
        <v>-1524.24</v>
      </c>
      <c r="H4" s="13"/>
      <c r="J4" s="393">
        <v>101</v>
      </c>
      <c r="K4" s="102"/>
      <c r="L4" s="33"/>
      <c r="M4" s="33"/>
      <c r="N4" s="33"/>
      <c r="O4" s="74">
        <f>SUM(M4:N4)/1000</f>
        <v>0</v>
      </c>
      <c r="P4" s="48"/>
      <c r="Q4" s="33"/>
      <c r="R4" s="33"/>
      <c r="S4" s="36"/>
      <c r="T4" s="33"/>
      <c r="U4" s="33"/>
      <c r="V4" s="33"/>
      <c r="W4" s="33"/>
      <c r="X4" s="33"/>
      <c r="Y4" s="33"/>
      <c r="Z4" s="36">
        <f>SUM(T4:Y4)</f>
        <v>0</v>
      </c>
      <c r="AA4" s="33">
        <f>Z4-S4</f>
        <v>0</v>
      </c>
      <c r="AB4" s="7">
        <f>H4/F4</f>
        <v>0</v>
      </c>
      <c r="AC4" s="13">
        <f>G4/F4</f>
        <v>169.36</v>
      </c>
      <c r="AD4" s="42">
        <f>(F5)/F4</f>
        <v>-1</v>
      </c>
      <c r="AE4" s="7"/>
      <c r="AJ4" s="41"/>
      <c r="AL4" s="4"/>
      <c r="AM4" s="9"/>
    </row>
    <row r="5" spans="1:39" x14ac:dyDescent="0.3">
      <c r="B5" s="339" t="s">
        <v>113</v>
      </c>
      <c r="C5" s="339" t="s">
        <v>114</v>
      </c>
      <c r="D5" s="6" t="s">
        <v>74</v>
      </c>
      <c r="E5" s="339" t="s">
        <v>115</v>
      </c>
      <c r="F5" s="127">
        <v>9</v>
      </c>
      <c r="G5" s="127">
        <v>1524.24</v>
      </c>
      <c r="H5" s="13"/>
      <c r="K5" s="102"/>
      <c r="L5" s="13"/>
      <c r="M5" s="13"/>
      <c r="N5" s="13"/>
      <c r="O5" s="13"/>
      <c r="P5" s="48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7">
        <f>H5/F5</f>
        <v>0</v>
      </c>
      <c r="AC5" s="13">
        <f>G5/F5</f>
        <v>169.36</v>
      </c>
      <c r="AD5" s="10"/>
      <c r="AE5" s="254">
        <f>AC5*2</f>
        <v>338.72</v>
      </c>
      <c r="AG5" s="262">
        <f>F5*500</f>
        <v>4500</v>
      </c>
      <c r="AH5" s="262">
        <f>AG5/1000</f>
        <v>4.5</v>
      </c>
      <c r="AI5" s="263" t="s">
        <v>271</v>
      </c>
    </row>
    <row r="6" spans="1:39" x14ac:dyDescent="0.3">
      <c r="A6" s="6" t="s">
        <v>741</v>
      </c>
      <c r="E6"/>
      <c r="F6" s="9">
        <v>0</v>
      </c>
      <c r="G6" s="9">
        <v>0</v>
      </c>
      <c r="H6" s="13"/>
      <c r="K6" s="251"/>
      <c r="L6" s="37"/>
      <c r="M6" s="37"/>
      <c r="N6" s="37"/>
      <c r="O6" s="37"/>
      <c r="P6" s="13"/>
      <c r="Q6" s="39"/>
      <c r="R6" s="37"/>
      <c r="S6" s="37"/>
      <c r="T6" s="37"/>
      <c r="U6" s="37"/>
      <c r="V6" s="37"/>
      <c r="W6" s="37"/>
      <c r="X6" s="37"/>
      <c r="Y6" s="37"/>
      <c r="Z6" s="37"/>
      <c r="AA6" s="13"/>
      <c r="AB6" s="37"/>
      <c r="AC6" s="37"/>
      <c r="AD6" s="37"/>
      <c r="AE6" s="34"/>
    </row>
    <row r="7" spans="1:39" x14ac:dyDescent="0.3">
      <c r="A7" s="6" t="s">
        <v>513</v>
      </c>
      <c r="B7" s="6" t="s">
        <v>62</v>
      </c>
      <c r="C7" s="6" t="s">
        <v>63</v>
      </c>
      <c r="D7" s="339" t="s">
        <v>74</v>
      </c>
      <c r="E7" s="6" t="s">
        <v>77</v>
      </c>
      <c r="F7" s="9">
        <v>-5</v>
      </c>
      <c r="G7" s="9">
        <v>-846.8</v>
      </c>
      <c r="H7" s="13"/>
      <c r="I7" s="123"/>
      <c r="J7" s="393">
        <v>101</v>
      </c>
      <c r="K7" s="102"/>
      <c r="L7" s="33">
        <v>0</v>
      </c>
      <c r="M7" s="33">
        <v>0</v>
      </c>
      <c r="N7" s="33">
        <v>0</v>
      </c>
      <c r="O7" s="74">
        <f>SUM(M7:N7)/1000</f>
        <v>0</v>
      </c>
      <c r="P7" s="170"/>
      <c r="Q7" s="33"/>
      <c r="R7" s="33"/>
      <c r="S7" s="36"/>
      <c r="T7" s="33"/>
      <c r="U7" s="33"/>
      <c r="V7" s="33"/>
      <c r="W7" s="33"/>
      <c r="X7" s="33"/>
      <c r="Y7" s="33"/>
      <c r="Z7" s="36">
        <f>SUM(T7:Y7)</f>
        <v>0</v>
      </c>
      <c r="AA7" s="33">
        <f>Z7-S7</f>
        <v>0</v>
      </c>
      <c r="AB7" s="7">
        <f>H7/F7</f>
        <v>0</v>
      </c>
      <c r="AC7" s="13">
        <f>G7/F7</f>
        <v>169.35999999999999</v>
      </c>
      <c r="AD7" s="42">
        <f>(F8)/F7</f>
        <v>-1</v>
      </c>
      <c r="AE7" s="7"/>
    </row>
    <row r="8" spans="1:39" x14ac:dyDescent="0.3">
      <c r="B8" s="339" t="s">
        <v>113</v>
      </c>
      <c r="C8" s="339" t="s">
        <v>114</v>
      </c>
      <c r="D8" s="6" t="s">
        <v>74</v>
      </c>
      <c r="E8" s="339" t="s">
        <v>115</v>
      </c>
      <c r="F8" s="127">
        <v>5</v>
      </c>
      <c r="G8" s="127">
        <v>846.8</v>
      </c>
      <c r="H8" s="13"/>
      <c r="K8" s="102"/>
      <c r="AB8" s="7">
        <f>H8/F8</f>
        <v>0</v>
      </c>
      <c r="AC8" s="13">
        <f>G8/F8</f>
        <v>169.35999999999999</v>
      </c>
      <c r="AD8" s="10"/>
      <c r="AE8" s="254">
        <f>AC8*2</f>
        <v>338.71999999999997</v>
      </c>
      <c r="AG8" s="262">
        <f>F8*500</f>
        <v>2500</v>
      </c>
      <c r="AH8" s="262">
        <f>AG8/1000</f>
        <v>2.5</v>
      </c>
      <c r="AI8" s="263" t="s">
        <v>271</v>
      </c>
    </row>
    <row r="9" spans="1:39" x14ac:dyDescent="0.3">
      <c r="A9" s="6" t="s">
        <v>746</v>
      </c>
      <c r="E9"/>
      <c r="F9" s="9">
        <v>0</v>
      </c>
      <c r="G9" s="9">
        <v>0</v>
      </c>
      <c r="H9" s="13"/>
      <c r="K9" s="251"/>
      <c r="L9" s="37"/>
      <c r="M9" s="37"/>
      <c r="N9" s="37"/>
      <c r="O9" s="37"/>
      <c r="Q9" s="37"/>
      <c r="R9" s="37"/>
      <c r="S9" s="37"/>
      <c r="T9" s="37"/>
      <c r="U9" s="37"/>
      <c r="V9" s="37"/>
      <c r="W9" s="37"/>
      <c r="X9" s="37"/>
      <c r="Y9" s="37"/>
      <c r="Z9" s="37"/>
      <c r="AB9" s="37"/>
      <c r="AC9" s="37"/>
      <c r="AD9" s="37"/>
      <c r="AE9" s="34"/>
    </row>
    <row r="10" spans="1:39" x14ac:dyDescent="0.3">
      <c r="A10" s="6" t="s">
        <v>608</v>
      </c>
      <c r="B10" s="6" t="s">
        <v>62</v>
      </c>
      <c r="C10" s="6" t="s">
        <v>63</v>
      </c>
      <c r="D10" s="339" t="s">
        <v>74</v>
      </c>
      <c r="E10" s="6" t="s">
        <v>77</v>
      </c>
      <c r="F10" s="9">
        <v>-4200</v>
      </c>
      <c r="G10" s="9">
        <v>-711312</v>
      </c>
      <c r="H10" s="13"/>
      <c r="J10" s="393">
        <v>101</v>
      </c>
      <c r="K10" s="102"/>
      <c r="L10" s="33">
        <v>0</v>
      </c>
      <c r="M10" s="33">
        <v>0</v>
      </c>
      <c r="N10" s="33">
        <v>0</v>
      </c>
      <c r="O10" s="74">
        <f>SUM(M10:N10)/1000</f>
        <v>0</v>
      </c>
      <c r="P10" s="170"/>
      <c r="Q10" s="33"/>
      <c r="R10" s="33"/>
      <c r="S10" s="36"/>
      <c r="T10" s="33"/>
      <c r="U10" s="33"/>
      <c r="V10" s="33"/>
      <c r="W10" s="33"/>
      <c r="X10" s="33"/>
      <c r="Y10" s="33"/>
      <c r="Z10" s="36">
        <f>SUM(T10:Y10)</f>
        <v>0</v>
      </c>
      <c r="AA10" s="33">
        <f>Z10-S10</f>
        <v>0</v>
      </c>
      <c r="AB10" s="7">
        <f>H10/F10</f>
        <v>0</v>
      </c>
      <c r="AC10" s="13">
        <f>G10/F10</f>
        <v>169.36</v>
      </c>
      <c r="AD10" s="42">
        <f>(F11)/F10</f>
        <v>-1</v>
      </c>
      <c r="AE10" s="7"/>
    </row>
    <row r="11" spans="1:39" x14ac:dyDescent="0.3">
      <c r="B11" s="339" t="s">
        <v>113</v>
      </c>
      <c r="C11" s="339" t="s">
        <v>114</v>
      </c>
      <c r="D11" s="6" t="s">
        <v>74</v>
      </c>
      <c r="E11" s="339" t="s">
        <v>115</v>
      </c>
      <c r="F11" s="127">
        <v>4200</v>
      </c>
      <c r="G11" s="127">
        <v>711312</v>
      </c>
      <c r="H11" s="13"/>
      <c r="K11" s="102"/>
      <c r="AB11" s="7">
        <f>H11/F11</f>
        <v>0</v>
      </c>
      <c r="AC11" s="13">
        <f>G11/F11</f>
        <v>169.36</v>
      </c>
      <c r="AD11" s="10"/>
      <c r="AE11" s="254">
        <f>AC11*2</f>
        <v>338.72</v>
      </c>
      <c r="AG11" s="262">
        <f>F11*500</f>
        <v>2100000</v>
      </c>
      <c r="AH11" s="262">
        <f>AG11/1000</f>
        <v>2100</v>
      </c>
      <c r="AI11" s="263" t="s">
        <v>271</v>
      </c>
    </row>
    <row r="12" spans="1:39" x14ac:dyDescent="0.3">
      <c r="A12" s="6" t="s">
        <v>750</v>
      </c>
      <c r="E12"/>
      <c r="F12" s="9">
        <v>0</v>
      </c>
      <c r="G12" s="9">
        <v>0</v>
      </c>
      <c r="H12" s="13"/>
      <c r="K12" s="251"/>
      <c r="L12" s="37"/>
      <c r="M12" s="37"/>
      <c r="N12" s="37"/>
      <c r="O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B12" s="37"/>
      <c r="AC12" s="37"/>
      <c r="AD12" s="37"/>
      <c r="AE12" s="34"/>
    </row>
    <row r="13" spans="1:39" x14ac:dyDescent="0.3">
      <c r="A13" s="6" t="s">
        <v>1512</v>
      </c>
      <c r="B13" s="6" t="s">
        <v>62</v>
      </c>
      <c r="C13" s="6" t="s">
        <v>63</v>
      </c>
      <c r="D13" s="339" t="s">
        <v>74</v>
      </c>
      <c r="E13" s="6" t="s">
        <v>77</v>
      </c>
      <c r="F13" s="9">
        <v>-603</v>
      </c>
      <c r="G13" s="9">
        <v>-102401.46</v>
      </c>
      <c r="H13" s="13"/>
      <c r="I13" s="86"/>
      <c r="J13" s="393">
        <v>101</v>
      </c>
      <c r="K13" s="102"/>
      <c r="L13" s="33"/>
      <c r="M13" s="33"/>
      <c r="N13" s="33"/>
      <c r="O13" s="74">
        <f>SUM(M13:N13)/1000</f>
        <v>0</v>
      </c>
      <c r="P13" s="170"/>
      <c r="Q13" s="33"/>
      <c r="R13" s="33"/>
      <c r="S13" s="36"/>
      <c r="T13" s="33"/>
      <c r="U13" s="33"/>
      <c r="V13" s="33"/>
      <c r="W13" s="33"/>
      <c r="X13" s="33"/>
      <c r="Y13" s="33"/>
      <c r="Z13" s="36">
        <f>SUM(T13:Y13)</f>
        <v>0</v>
      </c>
      <c r="AA13" s="33">
        <f>Z13-S13</f>
        <v>0</v>
      </c>
      <c r="AB13" s="7">
        <f>H13/F13</f>
        <v>0</v>
      </c>
      <c r="AC13" s="13">
        <f>G13/F13</f>
        <v>169.82000000000002</v>
      </c>
      <c r="AD13" s="42">
        <f>(F14)/F13</f>
        <v>-1</v>
      </c>
      <c r="AE13" s="7"/>
    </row>
    <row r="14" spans="1:39" x14ac:dyDescent="0.3">
      <c r="B14" s="339" t="s">
        <v>113</v>
      </c>
      <c r="C14" s="339" t="s">
        <v>114</v>
      </c>
      <c r="D14" s="6" t="s">
        <v>74</v>
      </c>
      <c r="E14" s="339" t="s">
        <v>115</v>
      </c>
      <c r="F14" s="127">
        <v>603</v>
      </c>
      <c r="G14" s="127">
        <v>102401.46</v>
      </c>
      <c r="H14" s="13"/>
      <c r="AB14" s="7">
        <f>H14/F14</f>
        <v>0</v>
      </c>
      <c r="AC14" s="13">
        <f>G14/F14</f>
        <v>169.82000000000002</v>
      </c>
      <c r="AD14" s="10"/>
      <c r="AE14" s="254">
        <f>AC14*2</f>
        <v>339.64000000000004</v>
      </c>
      <c r="AG14" s="262">
        <f>F14*500</f>
        <v>301500</v>
      </c>
      <c r="AH14" s="262">
        <f>AG14/1000</f>
        <v>301.5</v>
      </c>
      <c r="AI14" s="263" t="s">
        <v>271</v>
      </c>
    </row>
    <row r="15" spans="1:39" x14ac:dyDescent="0.3">
      <c r="A15" s="6" t="s">
        <v>1524</v>
      </c>
      <c r="E15"/>
      <c r="F15" s="9">
        <v>0</v>
      </c>
      <c r="G15" s="9">
        <v>0</v>
      </c>
      <c r="H15" s="13"/>
      <c r="I15" s="123"/>
      <c r="J15" s="123"/>
      <c r="K15" s="251"/>
      <c r="L15" s="37"/>
      <c r="M15" s="37"/>
      <c r="N15" s="37"/>
      <c r="O15" s="37"/>
      <c r="P15" s="13"/>
      <c r="Q15" s="39"/>
      <c r="R15" s="152"/>
      <c r="S15" s="152"/>
      <c r="T15" s="152"/>
      <c r="U15" s="152"/>
      <c r="V15" s="152"/>
      <c r="W15" s="152"/>
      <c r="X15" s="152"/>
      <c r="Y15" s="152"/>
      <c r="Z15" s="152"/>
      <c r="AA15" s="13"/>
      <c r="AB15" s="37"/>
      <c r="AC15" s="37"/>
      <c r="AD15" s="37"/>
      <c r="AE15" s="34"/>
    </row>
    <row r="16" spans="1:39" x14ac:dyDescent="0.3">
      <c r="A16" s="6" t="s">
        <v>1764</v>
      </c>
      <c r="B16" s="6" t="s">
        <v>62</v>
      </c>
      <c r="C16" s="6" t="s">
        <v>63</v>
      </c>
      <c r="D16" s="339" t="s">
        <v>74</v>
      </c>
      <c r="E16" s="6" t="s">
        <v>77</v>
      </c>
      <c r="F16" s="9">
        <v>-1295</v>
      </c>
      <c r="G16" s="9">
        <v>-219916.9</v>
      </c>
      <c r="H16" s="13"/>
      <c r="J16" s="393">
        <v>101</v>
      </c>
      <c r="K16" s="102"/>
      <c r="L16" s="33">
        <v>0</v>
      </c>
      <c r="M16" s="33">
        <v>0</v>
      </c>
      <c r="N16" s="33">
        <v>0</v>
      </c>
      <c r="O16" s="74">
        <f>SUM(M16:N16)/1000</f>
        <v>0</v>
      </c>
      <c r="P16" s="170"/>
      <c r="Q16" s="33">
        <v>0</v>
      </c>
      <c r="R16" s="33">
        <v>0</v>
      </c>
      <c r="S16" s="36"/>
      <c r="T16" s="33">
        <v>0</v>
      </c>
      <c r="U16" s="33"/>
      <c r="V16" s="33">
        <v>0</v>
      </c>
      <c r="W16" s="33">
        <v>0</v>
      </c>
      <c r="X16" s="33">
        <v>0</v>
      </c>
      <c r="Y16" s="33">
        <v>0</v>
      </c>
      <c r="Z16" s="36">
        <f>SUM(T16:Y16)</f>
        <v>0</v>
      </c>
      <c r="AA16" s="33">
        <f>Z16-S16</f>
        <v>0</v>
      </c>
      <c r="AB16" s="7">
        <f>H16/F16</f>
        <v>0</v>
      </c>
      <c r="AC16" s="13">
        <f>G16/F16</f>
        <v>169.82</v>
      </c>
      <c r="AD16" s="42">
        <f>(F17)/F16</f>
        <v>-1</v>
      </c>
      <c r="AE16" s="7"/>
    </row>
    <row r="17" spans="1:35" x14ac:dyDescent="0.3">
      <c r="B17" s="339" t="s">
        <v>113</v>
      </c>
      <c r="C17" s="339" t="s">
        <v>114</v>
      </c>
      <c r="D17" s="6" t="s">
        <v>74</v>
      </c>
      <c r="E17" s="339" t="s">
        <v>115</v>
      </c>
      <c r="F17" s="127">
        <v>1295</v>
      </c>
      <c r="G17" s="127">
        <v>219916.9</v>
      </c>
      <c r="H17" s="13"/>
      <c r="K17" s="102"/>
      <c r="AB17" s="7">
        <f>H17/F17</f>
        <v>0</v>
      </c>
      <c r="AC17" s="13">
        <f>G17/F17</f>
        <v>169.82</v>
      </c>
      <c r="AD17" s="10"/>
      <c r="AE17" s="254">
        <f>AC17*2</f>
        <v>339.64</v>
      </c>
      <c r="AG17" s="262">
        <f>F17*500</f>
        <v>647500</v>
      </c>
      <c r="AH17" s="262">
        <f>AG17/1000</f>
        <v>647.5</v>
      </c>
      <c r="AI17" s="263" t="s">
        <v>271</v>
      </c>
    </row>
    <row r="18" spans="1:35" x14ac:dyDescent="0.3">
      <c r="A18" s="6" t="s">
        <v>1922</v>
      </c>
      <c r="E18"/>
      <c r="F18" s="9">
        <v>0</v>
      </c>
      <c r="G18" s="9">
        <v>0</v>
      </c>
      <c r="H18" s="13"/>
      <c r="K18" s="251"/>
      <c r="L18" s="37"/>
      <c r="M18" s="37"/>
      <c r="N18" s="37"/>
      <c r="O18" s="37"/>
      <c r="P18" s="13"/>
      <c r="Q18" s="39"/>
      <c r="R18" s="152"/>
      <c r="S18" s="152"/>
      <c r="T18" s="152"/>
      <c r="U18" s="152"/>
      <c r="V18" s="152"/>
      <c r="W18" s="152"/>
      <c r="X18" s="152"/>
      <c r="Y18" s="152"/>
      <c r="Z18" s="152"/>
      <c r="AA18" s="13"/>
      <c r="AB18" s="37"/>
      <c r="AC18" s="37"/>
      <c r="AD18" s="37"/>
      <c r="AE18" s="34"/>
    </row>
    <row r="19" spans="1:35" x14ac:dyDescent="0.3">
      <c r="A19" s="6" t="s">
        <v>1767</v>
      </c>
      <c r="B19" s="6" t="s">
        <v>62</v>
      </c>
      <c r="C19" s="6" t="s">
        <v>63</v>
      </c>
      <c r="D19" s="339" t="s">
        <v>74</v>
      </c>
      <c r="E19" s="6" t="s">
        <v>77</v>
      </c>
      <c r="F19" s="9">
        <v>-497</v>
      </c>
      <c r="G19" s="9">
        <v>-84400.54</v>
      </c>
      <c r="H19" s="13"/>
      <c r="J19" s="393">
        <v>101</v>
      </c>
      <c r="K19" s="102"/>
      <c r="L19" s="33">
        <v>0</v>
      </c>
      <c r="M19" s="33">
        <v>0</v>
      </c>
      <c r="N19" s="33">
        <v>0</v>
      </c>
      <c r="O19" s="74">
        <f>SUM(M19:N19)/1000</f>
        <v>0</v>
      </c>
      <c r="P19" s="170"/>
      <c r="Q19" s="33">
        <v>0</v>
      </c>
      <c r="R19" s="33">
        <v>0</v>
      </c>
      <c r="S19" s="36"/>
      <c r="T19" s="33"/>
      <c r="U19" s="33"/>
      <c r="V19" s="33">
        <v>0</v>
      </c>
      <c r="W19" s="33">
        <v>0</v>
      </c>
      <c r="X19" s="33">
        <v>0</v>
      </c>
      <c r="Y19" s="33">
        <v>0</v>
      </c>
      <c r="Z19" s="36">
        <f>SUM(T19:Y19)</f>
        <v>0</v>
      </c>
      <c r="AA19" s="33">
        <f>Z19-S19</f>
        <v>0</v>
      </c>
      <c r="AB19" s="7">
        <f>H19/F19</f>
        <v>0</v>
      </c>
      <c r="AC19" s="13">
        <f>G19/F19</f>
        <v>169.82</v>
      </c>
      <c r="AD19" s="42">
        <f>(F20)/F19</f>
        <v>-1</v>
      </c>
      <c r="AE19" s="7"/>
    </row>
    <row r="20" spans="1:35" ht="16.5" customHeight="1" x14ac:dyDescent="0.3">
      <c r="B20" s="339" t="s">
        <v>113</v>
      </c>
      <c r="C20" s="339" t="s">
        <v>114</v>
      </c>
      <c r="D20" s="6" t="s">
        <v>74</v>
      </c>
      <c r="E20" s="339" t="s">
        <v>115</v>
      </c>
      <c r="F20" s="127">
        <v>497</v>
      </c>
      <c r="G20" s="127">
        <v>84400.54</v>
      </c>
      <c r="H20" s="13"/>
      <c r="K20" s="102"/>
      <c r="AB20" s="7">
        <f>H20/F20</f>
        <v>0</v>
      </c>
      <c r="AC20" s="13">
        <f>G20/F20</f>
        <v>169.82</v>
      </c>
      <c r="AD20" s="10"/>
      <c r="AE20" s="254">
        <f>AC20*2</f>
        <v>339.64</v>
      </c>
      <c r="AG20" s="262">
        <f>F20*500</f>
        <v>248500</v>
      </c>
      <c r="AH20" s="262">
        <f>AG20/1000</f>
        <v>248.5</v>
      </c>
      <c r="AI20" s="263" t="s">
        <v>271</v>
      </c>
    </row>
    <row r="21" spans="1:35" x14ac:dyDescent="0.3">
      <c r="A21" s="6" t="s">
        <v>1923</v>
      </c>
      <c r="E21"/>
      <c r="F21" s="9">
        <v>0</v>
      </c>
      <c r="G21" s="9">
        <v>0</v>
      </c>
      <c r="H21" s="13"/>
      <c r="K21" s="251"/>
      <c r="L21" s="37"/>
      <c r="M21" s="37"/>
      <c r="N21" s="37"/>
      <c r="O21" s="37"/>
      <c r="P21" s="13"/>
      <c r="Q21" s="39">
        <f ca="1">SUM(Q12:Q23)</f>
        <v>0</v>
      </c>
      <c r="R21" s="152">
        <f ca="1">SUM(R12:R23)</f>
        <v>0</v>
      </c>
      <c r="S21" s="152">
        <f ca="1">SUM(S12:S23)</f>
        <v>0</v>
      </c>
      <c r="T21" s="152">
        <f ca="1">SUM(T12:T23)</f>
        <v>0</v>
      </c>
      <c r="U21" s="152"/>
      <c r="V21" s="152">
        <f ca="1">SUM(V12:V23)</f>
        <v>0</v>
      </c>
      <c r="W21" s="152">
        <f ca="1">SUM(W12:W23)</f>
        <v>0</v>
      </c>
      <c r="X21" s="152">
        <f ca="1">SUM(X12:X23)</f>
        <v>0</v>
      </c>
      <c r="Y21" s="152">
        <f ca="1">SUM(Y12:Y23)</f>
        <v>0</v>
      </c>
      <c r="Z21" s="152">
        <f ca="1">SUM(Z12:Z23)</f>
        <v>0</v>
      </c>
      <c r="AA21" s="13"/>
      <c r="AB21" s="37"/>
      <c r="AC21" s="37"/>
      <c r="AD21" s="37"/>
      <c r="AE21" s="34"/>
    </row>
    <row r="22" spans="1:35" x14ac:dyDescent="0.3">
      <c r="A22" s="6" t="s">
        <v>145</v>
      </c>
      <c r="E22"/>
      <c r="F22" s="9">
        <v>0</v>
      </c>
      <c r="G22" s="9">
        <v>0</v>
      </c>
      <c r="H22" s="13"/>
      <c r="K22" s="104"/>
      <c r="L22" s="13"/>
      <c r="M22" s="129"/>
      <c r="N22" s="129"/>
      <c r="Q22" s="58"/>
      <c r="AB22" s="13"/>
      <c r="AC22" s="13"/>
      <c r="AD22" s="10"/>
      <c r="AE22" s="13"/>
      <c r="AG22" s="47"/>
      <c r="AH22" s="47"/>
    </row>
    <row r="23" spans="1:35" x14ac:dyDescent="0.3">
      <c r="E23"/>
      <c r="F23"/>
      <c r="G23"/>
      <c r="H23" s="13"/>
      <c r="K23" s="104"/>
      <c r="L23" s="13"/>
      <c r="M23" s="129"/>
      <c r="N23" s="129"/>
      <c r="Q23" s="58"/>
      <c r="AB23" s="13"/>
      <c r="AC23" s="13"/>
      <c r="AD23" s="10"/>
      <c r="AE23" s="13"/>
    </row>
    <row r="24" spans="1:35" x14ac:dyDescent="0.3">
      <c r="E24"/>
      <c r="F24"/>
      <c r="G24"/>
      <c r="K24" s="104"/>
      <c r="L24" s="13"/>
      <c r="M24" s="129"/>
      <c r="N24" s="129"/>
    </row>
    <row r="25" spans="1:35" x14ac:dyDescent="0.3">
      <c r="E25"/>
      <c r="F25"/>
      <c r="G25"/>
    </row>
    <row r="26" spans="1:35" x14ac:dyDescent="0.3">
      <c r="E26"/>
      <c r="F26"/>
      <c r="G26"/>
    </row>
    <row r="27" spans="1:35" x14ac:dyDescent="0.3">
      <c r="E27"/>
      <c r="F27"/>
      <c r="G27"/>
    </row>
    <row r="28" spans="1:35" x14ac:dyDescent="0.3">
      <c r="E28"/>
      <c r="F28"/>
      <c r="G28"/>
    </row>
    <row r="29" spans="1:35" x14ac:dyDescent="0.3">
      <c r="E29"/>
      <c r="F29"/>
      <c r="G29"/>
    </row>
    <row r="30" spans="1:35" x14ac:dyDescent="0.3">
      <c r="E30"/>
      <c r="F30"/>
      <c r="G30"/>
      <c r="H30" s="13"/>
    </row>
    <row r="31" spans="1:35" x14ac:dyDescent="0.3">
      <c r="E31"/>
      <c r="F31"/>
      <c r="G31"/>
      <c r="H31" s="13"/>
    </row>
    <row r="32" spans="1:35" x14ac:dyDescent="0.3">
      <c r="E32"/>
      <c r="F32"/>
      <c r="G32"/>
      <c r="H32" s="13"/>
    </row>
    <row r="33" spans="1:41" x14ac:dyDescent="0.3">
      <c r="E33"/>
      <c r="F33"/>
      <c r="G33"/>
      <c r="H33" s="13"/>
    </row>
    <row r="34" spans="1:41" x14ac:dyDescent="0.3">
      <c r="E34"/>
      <c r="F34"/>
      <c r="G34"/>
      <c r="H34" s="13"/>
    </row>
    <row r="35" spans="1:41" s="16" customFormat="1" x14ac:dyDescent="0.3">
      <c r="AL35"/>
      <c r="AM35"/>
      <c r="AN35"/>
      <c r="AO35"/>
    </row>
    <row r="36" spans="1:41" x14ac:dyDescent="0.3">
      <c r="B36" s="114"/>
      <c r="E36"/>
      <c r="F36"/>
      <c r="G36"/>
      <c r="H36" s="13"/>
    </row>
    <row r="37" spans="1:41" x14ac:dyDescent="0.3">
      <c r="A37" s="71"/>
      <c r="B37" s="71"/>
      <c r="C37" s="71"/>
      <c r="D37" s="71"/>
      <c r="E37" s="71"/>
      <c r="F37" s="71"/>
      <c r="G37" s="71"/>
      <c r="H37" s="145"/>
      <c r="I37" s="145"/>
      <c r="J37" s="145"/>
      <c r="K37" s="256"/>
      <c r="L37" s="145">
        <f t="shared" ref="L37:T37" si="0">SUM(L4:L36)</f>
        <v>0</v>
      </c>
      <c r="M37" s="145">
        <f t="shared" si="0"/>
        <v>0</v>
      </c>
      <c r="N37" s="145">
        <f t="shared" si="0"/>
        <v>0</v>
      </c>
      <c r="O37" s="145">
        <f t="shared" si="0"/>
        <v>0</v>
      </c>
      <c r="P37" s="145">
        <f t="shared" si="0"/>
        <v>0</v>
      </c>
      <c r="Q37" s="145">
        <f t="shared" ca="1" si="0"/>
        <v>0</v>
      </c>
      <c r="R37" s="145">
        <f t="shared" ca="1" si="0"/>
        <v>0</v>
      </c>
      <c r="S37" s="145">
        <f t="shared" ca="1" si="0"/>
        <v>0</v>
      </c>
      <c r="T37" s="145">
        <f t="shared" ca="1" si="0"/>
        <v>0</v>
      </c>
      <c r="U37" s="145"/>
      <c r="V37" s="145">
        <f ca="1">SUM(V4:V36)</f>
        <v>0</v>
      </c>
      <c r="W37" s="145">
        <f ca="1">SUM(W4:W36)</f>
        <v>0</v>
      </c>
      <c r="X37" s="145">
        <f ca="1">SUM(X4:X36)</f>
        <v>0</v>
      </c>
      <c r="Y37" s="145">
        <f ca="1">SUM(Y4:Y36)</f>
        <v>0</v>
      </c>
      <c r="Z37" s="145">
        <f ca="1">SUM(Z4:Z36)</f>
        <v>0</v>
      </c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</row>
    <row r="38" spans="1:41" x14ac:dyDescent="0.3">
      <c r="E38" s="13"/>
      <c r="F38" s="13"/>
      <c r="G38" s="13"/>
      <c r="H38" s="13"/>
    </row>
    <row r="40" spans="1:41" ht="17.5" x14ac:dyDescent="0.35">
      <c r="A40" s="148" t="s">
        <v>283</v>
      </c>
      <c r="B40" s="110" t="s">
        <v>106</v>
      </c>
      <c r="C40" s="6" t="s">
        <v>107</v>
      </c>
      <c r="D40" s="110" t="s">
        <v>102</v>
      </c>
      <c r="E40" s="6" t="s">
        <v>77</v>
      </c>
      <c r="F40" s="13"/>
      <c r="G40" s="13"/>
      <c r="H40" s="33">
        <f>(F44/20)+F40</f>
        <v>0</v>
      </c>
    </row>
    <row r="41" spans="1:41" x14ac:dyDescent="0.3">
      <c r="B41" s="110" t="s">
        <v>196</v>
      </c>
      <c r="C41" s="6" t="s">
        <v>197</v>
      </c>
      <c r="D41" s="110" t="s">
        <v>102</v>
      </c>
      <c r="E41" s="6" t="s">
        <v>77</v>
      </c>
      <c r="F41" s="13"/>
      <c r="G41" s="13"/>
      <c r="H41" s="33">
        <f>F41+F44</f>
        <v>0</v>
      </c>
    </row>
    <row r="42" spans="1:41" x14ac:dyDescent="0.3">
      <c r="B42" s="110" t="s">
        <v>104</v>
      </c>
      <c r="C42" s="6" t="s">
        <v>105</v>
      </c>
      <c r="D42" s="110" t="s">
        <v>102</v>
      </c>
      <c r="E42" s="6" t="s">
        <v>77</v>
      </c>
      <c r="F42" s="13"/>
      <c r="G42" s="13"/>
      <c r="H42" s="33">
        <f>((F42)+F44)/2</f>
        <v>0</v>
      </c>
    </row>
    <row r="43" spans="1:41" x14ac:dyDescent="0.3">
      <c r="B43" s="110" t="s">
        <v>62</v>
      </c>
      <c r="C43" s="6" t="s">
        <v>63</v>
      </c>
      <c r="D43" s="110" t="s">
        <v>74</v>
      </c>
      <c r="E43" s="6" t="s">
        <v>115</v>
      </c>
      <c r="F43" s="13"/>
      <c r="G43" s="13"/>
      <c r="H43" s="33">
        <f>F43+F44</f>
        <v>0</v>
      </c>
    </row>
    <row r="44" spans="1:41" x14ac:dyDescent="0.3">
      <c r="B44" s="110" t="s">
        <v>81</v>
      </c>
      <c r="C44" s="6" t="s">
        <v>82</v>
      </c>
      <c r="D44" s="110" t="s">
        <v>74</v>
      </c>
      <c r="E44" s="6" t="s">
        <v>77</v>
      </c>
      <c r="F44" s="13"/>
      <c r="G44" s="13"/>
      <c r="H44" s="33">
        <f>(F44*500)/1000000</f>
        <v>0</v>
      </c>
    </row>
    <row r="45" spans="1:41" x14ac:dyDescent="0.3">
      <c r="B45" s="99"/>
      <c r="C45" s="99"/>
      <c r="D45" s="99"/>
      <c r="E45" s="133"/>
      <c r="F45" s="133">
        <f>SUM(F40:F44)</f>
        <v>0</v>
      </c>
      <c r="G45" s="133">
        <f>SUM(G40:G44)</f>
        <v>0</v>
      </c>
    </row>
    <row r="46" spans="1:41" x14ac:dyDescent="0.3">
      <c r="E46" s="163"/>
      <c r="F46" s="163"/>
      <c r="G46" s="163"/>
      <c r="H46" s="13"/>
      <c r="K46" s="104"/>
      <c r="L46" s="13"/>
      <c r="M46" s="129"/>
      <c r="N46" s="129"/>
    </row>
    <row r="47" spans="1:41" ht="17.5" x14ac:dyDescent="0.35">
      <c r="A47" s="148" t="s">
        <v>224</v>
      </c>
      <c r="B47" s="150" t="s">
        <v>25</v>
      </c>
      <c r="C47" s="150" t="s">
        <v>26</v>
      </c>
      <c r="D47" s="150" t="s">
        <v>50</v>
      </c>
      <c r="E47" s="150" t="s">
        <v>28</v>
      </c>
      <c r="F47" s="150" t="s">
        <v>211</v>
      </c>
      <c r="G47" s="150" t="s">
        <v>213</v>
      </c>
      <c r="H47" s="49" t="s">
        <v>155</v>
      </c>
    </row>
    <row r="48" spans="1:41" x14ac:dyDescent="0.3">
      <c r="B48" s="110" t="s">
        <v>106</v>
      </c>
      <c r="C48" s="6" t="s">
        <v>107</v>
      </c>
      <c r="D48" s="110" t="s">
        <v>102</v>
      </c>
      <c r="E48" s="6" t="s">
        <v>77</v>
      </c>
      <c r="F48" s="13"/>
      <c r="G48" s="13"/>
      <c r="H48" s="33">
        <f>F48+F52</f>
        <v>0</v>
      </c>
    </row>
    <row r="49" spans="2:35" x14ac:dyDescent="0.3">
      <c r="B49" s="110" t="s">
        <v>196</v>
      </c>
      <c r="C49" s="6" t="s">
        <v>197</v>
      </c>
      <c r="D49" s="110" t="s">
        <v>102</v>
      </c>
      <c r="E49" s="6" t="s">
        <v>77</v>
      </c>
      <c r="F49" s="13"/>
      <c r="G49" s="13"/>
      <c r="H49" s="33">
        <f>F49+F52</f>
        <v>0</v>
      </c>
    </row>
    <row r="50" spans="2:35" x14ac:dyDescent="0.3">
      <c r="B50" s="110" t="s">
        <v>104</v>
      </c>
      <c r="C50" s="6" t="s">
        <v>105</v>
      </c>
      <c r="D50" s="110" t="s">
        <v>102</v>
      </c>
      <c r="E50" s="6" t="s">
        <v>77</v>
      </c>
      <c r="F50" s="13"/>
      <c r="G50" s="13"/>
      <c r="H50" s="33">
        <f>(F52/6)+F50</f>
        <v>0</v>
      </c>
    </row>
    <row r="51" spans="2:35" x14ac:dyDescent="0.3">
      <c r="B51" s="110" t="s">
        <v>81</v>
      </c>
      <c r="C51" s="6" t="s">
        <v>82</v>
      </c>
      <c r="D51" s="110" t="s">
        <v>74</v>
      </c>
      <c r="E51" s="6" t="s">
        <v>77</v>
      </c>
      <c r="F51" s="13"/>
      <c r="G51" s="13"/>
      <c r="H51" s="33">
        <f>((F51)+F52)/2</f>
        <v>0</v>
      </c>
    </row>
    <row r="52" spans="2:35" x14ac:dyDescent="0.3">
      <c r="B52" s="110" t="s">
        <v>113</v>
      </c>
      <c r="C52" s="6" t="s">
        <v>114</v>
      </c>
      <c r="D52" s="110" t="s">
        <v>74</v>
      </c>
      <c r="E52" s="6" t="s">
        <v>115</v>
      </c>
      <c r="F52" s="13"/>
      <c r="G52" s="13"/>
      <c r="H52" s="33">
        <f>(F52*500)/1000000</f>
        <v>0</v>
      </c>
    </row>
    <row r="53" spans="2:35" x14ac:dyDescent="0.3">
      <c r="B53" s="99"/>
      <c r="C53" s="99"/>
      <c r="D53" s="99"/>
      <c r="E53" s="133">
        <f>SUM(E48:E52)</f>
        <v>0</v>
      </c>
      <c r="F53" s="133">
        <f>SUM(F48:F52)</f>
        <v>0</v>
      </c>
      <c r="G53" s="133">
        <f>SUM(G48:G52)</f>
        <v>0</v>
      </c>
      <c r="H53" s="13"/>
    </row>
    <row r="56" spans="2:35" x14ac:dyDescent="0.3">
      <c r="E56" s="13"/>
      <c r="F56" s="165">
        <f>F53+F45</f>
        <v>0</v>
      </c>
      <c r="G56" s="165">
        <f>G53+G45</f>
        <v>0</v>
      </c>
    </row>
    <row r="57" spans="2:35" s="66" customFormat="1" x14ac:dyDescent="0.3">
      <c r="E57" s="55"/>
      <c r="F57" s="48">
        <f>F56-F19</f>
        <v>497</v>
      </c>
      <c r="G57" s="48">
        <f>G56-G19</f>
        <v>84400.54</v>
      </c>
      <c r="H57" s="68" t="s">
        <v>156</v>
      </c>
      <c r="I57" s="55"/>
      <c r="J57" s="55"/>
      <c r="K57" s="257"/>
      <c r="L57" s="69"/>
      <c r="M57" s="69"/>
      <c r="N57" s="69"/>
      <c r="P57" s="58"/>
      <c r="AG57" s="58"/>
      <c r="AH57" s="58"/>
      <c r="AI57" s="58"/>
    </row>
    <row r="58" spans="2:35" x14ac:dyDescent="0.3">
      <c r="E58" s="163"/>
      <c r="F58" s="163"/>
      <c r="G58" s="163"/>
    </row>
    <row r="59" spans="2:35" x14ac:dyDescent="0.3">
      <c r="E59" s="142"/>
      <c r="F59" s="142"/>
      <c r="G59" s="142"/>
    </row>
  </sheetData>
  <pageMargins left="0.7" right="0.7" top="0.75" bottom="0.75" header="0.3" footer="0.3"/>
  <pageSetup paperSize="9" orientation="portrait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0CB15-9293-48A0-A63D-77271BCB3DF3}">
  <sheetPr>
    <tabColor rgb="FFFF0000"/>
  </sheetPr>
  <dimension ref="A1:G418"/>
  <sheetViews>
    <sheetView showGridLines="0" zoomScale="80" zoomScaleNormal="80" workbookViewId="0">
      <selection activeCell="H394" sqref="H394"/>
    </sheetView>
  </sheetViews>
  <sheetFormatPr defaultRowHeight="12.5" x14ac:dyDescent="0.25"/>
  <cols>
    <col min="1" max="2" width="16.25" style="294" bestFit="1" customWidth="1"/>
    <col min="3" max="3" width="36.75" style="294" bestFit="1" customWidth="1"/>
    <col min="4" max="4" width="11.5" style="355" bestFit="1" customWidth="1"/>
    <col min="5" max="5" width="9.08203125" style="355" bestFit="1" customWidth="1"/>
    <col min="6" max="6" width="19.1640625" style="295" bestFit="1" customWidth="1"/>
    <col min="7" max="7" width="19.4140625" style="295" bestFit="1" customWidth="1"/>
    <col min="8" max="16384" width="8.6640625" style="294"/>
  </cols>
  <sheetData>
    <row r="1" spans="1:7" s="296" customFormat="1" x14ac:dyDescent="0.25">
      <c r="A1" s="386" t="s">
        <v>58</v>
      </c>
      <c r="B1" s="294" t="s">
        <v>212</v>
      </c>
      <c r="D1" s="354"/>
      <c r="E1" s="354"/>
      <c r="F1" s="297"/>
      <c r="G1" s="297"/>
    </row>
    <row r="3" spans="1:7" x14ac:dyDescent="0.25">
      <c r="A3" s="386" t="s">
        <v>135</v>
      </c>
      <c r="B3" s="386" t="s">
        <v>25</v>
      </c>
      <c r="C3" s="386" t="s">
        <v>26</v>
      </c>
      <c r="D3" s="390" t="s">
        <v>32</v>
      </c>
      <c r="E3" s="390" t="s">
        <v>50</v>
      </c>
      <c r="F3" s="294" t="s">
        <v>211</v>
      </c>
      <c r="G3" s="294" t="s">
        <v>213</v>
      </c>
    </row>
    <row r="4" spans="1:7" x14ac:dyDescent="0.25">
      <c r="A4" s="387" t="s">
        <v>377</v>
      </c>
      <c r="B4" s="387" t="s">
        <v>62</v>
      </c>
      <c r="C4" s="387" t="s">
        <v>63</v>
      </c>
      <c r="D4" s="387" t="s">
        <v>287</v>
      </c>
      <c r="E4" s="387" t="s">
        <v>74</v>
      </c>
      <c r="F4" s="294">
        <v>-9</v>
      </c>
      <c r="G4" s="294">
        <v>-1524.24</v>
      </c>
    </row>
    <row r="5" spans="1:7" x14ac:dyDescent="0.25">
      <c r="B5" s="387" t="s">
        <v>113</v>
      </c>
      <c r="C5" s="387" t="s">
        <v>114</v>
      </c>
      <c r="D5" s="387" t="s">
        <v>287</v>
      </c>
      <c r="E5" s="387" t="s">
        <v>74</v>
      </c>
      <c r="F5" s="294">
        <v>9</v>
      </c>
      <c r="G5" s="294">
        <v>1524.24</v>
      </c>
    </row>
    <row r="6" spans="1:7" x14ac:dyDescent="0.25">
      <c r="A6" s="388" t="s">
        <v>741</v>
      </c>
      <c r="B6" s="389"/>
      <c r="C6" s="389"/>
      <c r="D6" s="389"/>
      <c r="E6" s="389"/>
      <c r="F6" s="389">
        <v>0</v>
      </c>
      <c r="G6" s="389">
        <v>0</v>
      </c>
    </row>
    <row r="7" spans="1:7" x14ac:dyDescent="0.25">
      <c r="A7" s="387" t="s">
        <v>384</v>
      </c>
      <c r="B7" s="387" t="s">
        <v>205</v>
      </c>
      <c r="C7" s="387" t="s">
        <v>206</v>
      </c>
      <c r="D7" s="387" t="s">
        <v>602</v>
      </c>
      <c r="E7" s="387" t="s">
        <v>80</v>
      </c>
      <c r="F7" s="294">
        <v>-760</v>
      </c>
      <c r="G7" s="294">
        <v>-204956.79999999999</v>
      </c>
    </row>
    <row r="8" spans="1:7" x14ac:dyDescent="0.25">
      <c r="B8" s="387" t="s">
        <v>106</v>
      </c>
      <c r="C8" s="387" t="s">
        <v>107</v>
      </c>
      <c r="D8" s="387" t="s">
        <v>286</v>
      </c>
      <c r="E8" s="387" t="s">
        <v>102</v>
      </c>
      <c r="F8" s="294">
        <v>-1617</v>
      </c>
      <c r="G8" s="294">
        <v>-1367.61</v>
      </c>
    </row>
    <row r="9" spans="1:7" x14ac:dyDescent="0.25">
      <c r="B9" s="387" t="s">
        <v>126</v>
      </c>
      <c r="C9" s="387" t="s">
        <v>127</v>
      </c>
      <c r="D9" s="387" t="s">
        <v>230</v>
      </c>
      <c r="E9" s="387" t="s">
        <v>102</v>
      </c>
      <c r="F9" s="294">
        <v>-76</v>
      </c>
      <c r="G9" s="294">
        <v>-1672</v>
      </c>
    </row>
    <row r="10" spans="1:7" x14ac:dyDescent="0.25">
      <c r="B10" s="387" t="s">
        <v>237</v>
      </c>
      <c r="C10" s="387" t="s">
        <v>238</v>
      </c>
      <c r="D10" s="387" t="s">
        <v>295</v>
      </c>
      <c r="E10" s="387" t="s">
        <v>102</v>
      </c>
      <c r="F10" s="294">
        <v>-1617</v>
      </c>
      <c r="G10" s="294">
        <v>-2775.85</v>
      </c>
    </row>
    <row r="11" spans="1:7" x14ac:dyDescent="0.25">
      <c r="B11" s="387" t="s">
        <v>75</v>
      </c>
      <c r="C11" s="387" t="s">
        <v>76</v>
      </c>
      <c r="D11" s="387" t="s">
        <v>383</v>
      </c>
      <c r="E11" s="387" t="s">
        <v>74</v>
      </c>
      <c r="F11" s="294">
        <v>1520</v>
      </c>
      <c r="G11" s="294">
        <v>217466.4</v>
      </c>
    </row>
    <row r="12" spans="1:7" x14ac:dyDescent="0.25">
      <c r="A12" s="388" t="s">
        <v>742</v>
      </c>
      <c r="B12" s="389"/>
      <c r="C12" s="389"/>
      <c r="D12" s="389"/>
      <c r="E12" s="389"/>
      <c r="F12" s="389">
        <v>-2550</v>
      </c>
      <c r="G12" s="389">
        <v>6694.140000000014</v>
      </c>
    </row>
    <row r="13" spans="1:7" x14ac:dyDescent="0.25">
      <c r="A13" s="387" t="s">
        <v>451</v>
      </c>
      <c r="B13" s="387" t="s">
        <v>9</v>
      </c>
      <c r="C13" s="387" t="s">
        <v>10</v>
      </c>
      <c r="D13" s="387" t="s">
        <v>327</v>
      </c>
      <c r="E13" s="387" t="s">
        <v>80</v>
      </c>
      <c r="F13" s="294">
        <v>-10030.5</v>
      </c>
      <c r="G13" s="294">
        <v>-2646750.23</v>
      </c>
    </row>
    <row r="14" spans="1:7" x14ac:dyDescent="0.25">
      <c r="B14" s="387" t="s">
        <v>13</v>
      </c>
      <c r="C14" s="387" t="s">
        <v>14</v>
      </c>
      <c r="D14" s="387" t="s">
        <v>327</v>
      </c>
      <c r="E14" s="387" t="s">
        <v>80</v>
      </c>
      <c r="F14" s="294">
        <v>9853.2000000000007</v>
      </c>
      <c r="G14" s="294">
        <v>2658294.83</v>
      </c>
    </row>
    <row r="15" spans="1:7" x14ac:dyDescent="0.25">
      <c r="B15" s="387" t="s">
        <v>15</v>
      </c>
      <c r="C15" s="387" t="s">
        <v>233</v>
      </c>
      <c r="D15" s="387" t="s">
        <v>327</v>
      </c>
      <c r="E15" s="387" t="s">
        <v>80</v>
      </c>
      <c r="F15" s="294">
        <v>171.8</v>
      </c>
      <c r="G15" s="294">
        <v>46349.919999999998</v>
      </c>
    </row>
    <row r="16" spans="1:7" x14ac:dyDescent="0.25">
      <c r="A16" s="388" t="s">
        <v>743</v>
      </c>
      <c r="B16" s="389"/>
      <c r="C16" s="389"/>
      <c r="D16" s="389"/>
      <c r="E16" s="389"/>
      <c r="F16" s="389">
        <v>-5.499999999999261</v>
      </c>
      <c r="G16" s="389">
        <v>57894.520000000091</v>
      </c>
    </row>
    <row r="17" spans="1:7" x14ac:dyDescent="0.25">
      <c r="A17" s="387" t="s">
        <v>462</v>
      </c>
      <c r="B17" s="387" t="s">
        <v>17</v>
      </c>
      <c r="C17" s="387" t="s">
        <v>18</v>
      </c>
      <c r="D17" s="387" t="s">
        <v>311</v>
      </c>
      <c r="E17" s="387" t="s">
        <v>80</v>
      </c>
      <c r="F17" s="294">
        <v>-229.31</v>
      </c>
      <c r="G17" s="294">
        <v>-35726.33</v>
      </c>
    </row>
    <row r="18" spans="1:7" x14ac:dyDescent="0.25">
      <c r="D18" s="387" t="s">
        <v>304</v>
      </c>
      <c r="E18" s="387" t="s">
        <v>80</v>
      </c>
      <c r="F18" s="294">
        <v>-9816.49</v>
      </c>
      <c r="G18" s="294">
        <v>-1529401.98</v>
      </c>
    </row>
    <row r="19" spans="1:7" x14ac:dyDescent="0.25">
      <c r="B19" s="387" t="s">
        <v>19</v>
      </c>
      <c r="C19" s="387" t="s">
        <v>20</v>
      </c>
      <c r="D19" s="387" t="s">
        <v>304</v>
      </c>
      <c r="E19" s="387" t="s">
        <v>80</v>
      </c>
      <c r="F19" s="294">
        <v>9891</v>
      </c>
      <c r="G19" s="294">
        <v>1588692.42</v>
      </c>
    </row>
    <row r="20" spans="1:7" x14ac:dyDescent="0.25">
      <c r="B20" s="387" t="s">
        <v>21</v>
      </c>
      <c r="C20" s="387" t="s">
        <v>234</v>
      </c>
      <c r="D20" s="387" t="s">
        <v>304</v>
      </c>
      <c r="E20" s="387" t="s">
        <v>80</v>
      </c>
      <c r="F20" s="294">
        <v>139.19999999999999</v>
      </c>
      <c r="G20" s="294">
        <v>22358.3</v>
      </c>
    </row>
    <row r="21" spans="1:7" x14ac:dyDescent="0.25">
      <c r="A21" s="388" t="s">
        <v>744</v>
      </c>
      <c r="B21" s="389"/>
      <c r="C21" s="389"/>
      <c r="D21" s="389"/>
      <c r="E21" s="389"/>
      <c r="F21" s="389">
        <v>-15.599999999999284</v>
      </c>
      <c r="G21" s="389">
        <v>45922.409999999873</v>
      </c>
    </row>
    <row r="22" spans="1:7" x14ac:dyDescent="0.25">
      <c r="A22" s="387" t="s">
        <v>477</v>
      </c>
      <c r="B22" s="387" t="s">
        <v>9</v>
      </c>
      <c r="C22" s="387" t="s">
        <v>10</v>
      </c>
      <c r="D22" s="387" t="s">
        <v>319</v>
      </c>
      <c r="E22" s="387" t="s">
        <v>80</v>
      </c>
      <c r="F22" s="294">
        <v>-168.55</v>
      </c>
      <c r="G22" s="294">
        <v>-44475.33</v>
      </c>
    </row>
    <row r="23" spans="1:7" x14ac:dyDescent="0.25">
      <c r="D23" s="387" t="s">
        <v>327</v>
      </c>
      <c r="E23" s="387" t="s">
        <v>80</v>
      </c>
      <c r="F23" s="294">
        <v>-14947.65</v>
      </c>
      <c r="G23" s="294">
        <v>-3944239.68</v>
      </c>
    </row>
    <row r="24" spans="1:7" x14ac:dyDescent="0.25">
      <c r="B24" s="387" t="s">
        <v>13</v>
      </c>
      <c r="C24" s="387" t="s">
        <v>14</v>
      </c>
      <c r="D24" s="387" t="s">
        <v>327</v>
      </c>
      <c r="E24" s="387" t="s">
        <v>80</v>
      </c>
      <c r="F24" s="294">
        <v>14667.22</v>
      </c>
      <c r="G24" s="294">
        <v>3957069.28</v>
      </c>
    </row>
    <row r="25" spans="1:7" x14ac:dyDescent="0.25">
      <c r="B25" s="387" t="s">
        <v>15</v>
      </c>
      <c r="C25" s="387" t="s">
        <v>233</v>
      </c>
      <c r="D25" s="387" t="s">
        <v>327</v>
      </c>
      <c r="E25" s="387" t="s">
        <v>80</v>
      </c>
      <c r="F25" s="294">
        <v>374.9</v>
      </c>
      <c r="G25" s="294">
        <v>101144.27</v>
      </c>
    </row>
    <row r="26" spans="1:7" x14ac:dyDescent="0.25">
      <c r="A26" s="388" t="s">
        <v>745</v>
      </c>
      <c r="B26" s="389"/>
      <c r="C26" s="389"/>
      <c r="D26" s="389"/>
      <c r="E26" s="389"/>
      <c r="F26" s="389">
        <v>-74.079999999999586</v>
      </c>
      <c r="G26" s="389">
        <v>69498.539999999557</v>
      </c>
    </row>
    <row r="27" spans="1:7" x14ac:dyDescent="0.25">
      <c r="A27" s="387" t="s">
        <v>513</v>
      </c>
      <c r="B27" s="387" t="s">
        <v>62</v>
      </c>
      <c r="C27" s="387" t="s">
        <v>63</v>
      </c>
      <c r="D27" s="387" t="s">
        <v>287</v>
      </c>
      <c r="E27" s="387" t="s">
        <v>74</v>
      </c>
      <c r="F27" s="294">
        <v>-5</v>
      </c>
      <c r="G27" s="294">
        <v>-846.8</v>
      </c>
    </row>
    <row r="28" spans="1:7" x14ac:dyDescent="0.25">
      <c r="B28" s="387" t="s">
        <v>113</v>
      </c>
      <c r="C28" s="387" t="s">
        <v>114</v>
      </c>
      <c r="D28" s="387" t="s">
        <v>287</v>
      </c>
      <c r="E28" s="387" t="s">
        <v>74</v>
      </c>
      <c r="F28" s="294">
        <v>5</v>
      </c>
      <c r="G28" s="294">
        <v>846.8</v>
      </c>
    </row>
    <row r="29" spans="1:7" x14ac:dyDescent="0.25">
      <c r="A29" s="388" t="s">
        <v>746</v>
      </c>
      <c r="B29" s="389"/>
      <c r="C29" s="389"/>
      <c r="D29" s="389"/>
      <c r="E29" s="389"/>
      <c r="F29" s="389">
        <v>0</v>
      </c>
      <c r="G29" s="389">
        <v>0</v>
      </c>
    </row>
    <row r="30" spans="1:7" x14ac:dyDescent="0.25">
      <c r="A30" s="387" t="s">
        <v>589</v>
      </c>
      <c r="B30" s="387" t="s">
        <v>9</v>
      </c>
      <c r="C30" s="387" t="s">
        <v>10</v>
      </c>
      <c r="D30" s="387" t="s">
        <v>561</v>
      </c>
      <c r="E30" s="387" t="s">
        <v>80</v>
      </c>
      <c r="F30" s="294">
        <v>-14936.9</v>
      </c>
      <c r="G30" s="294">
        <v>-3941403.08</v>
      </c>
    </row>
    <row r="31" spans="1:7" x14ac:dyDescent="0.25">
      <c r="B31" s="387" t="s">
        <v>13</v>
      </c>
      <c r="C31" s="387" t="s">
        <v>14</v>
      </c>
      <c r="D31" s="387" t="s">
        <v>662</v>
      </c>
      <c r="E31" s="387" t="s">
        <v>80</v>
      </c>
      <c r="F31" s="294">
        <v>14889.54</v>
      </c>
      <c r="G31" s="294">
        <v>4017049</v>
      </c>
    </row>
    <row r="32" spans="1:7" x14ac:dyDescent="0.25">
      <c r="A32" s="388" t="s">
        <v>747</v>
      </c>
      <c r="B32" s="389"/>
      <c r="C32" s="389"/>
      <c r="D32" s="389"/>
      <c r="E32" s="389"/>
      <c r="F32" s="389">
        <v>-47.359999999998763</v>
      </c>
      <c r="G32" s="389">
        <v>75645.919999999925</v>
      </c>
    </row>
    <row r="33" spans="1:7" x14ac:dyDescent="0.25">
      <c r="A33" s="387" t="s">
        <v>599</v>
      </c>
      <c r="B33" s="387" t="s">
        <v>13</v>
      </c>
      <c r="C33" s="387" t="s">
        <v>14</v>
      </c>
      <c r="D33" s="387" t="s">
        <v>327</v>
      </c>
      <c r="E33" s="387" t="s">
        <v>80</v>
      </c>
      <c r="F33" s="294">
        <v>-2244.1999999999998</v>
      </c>
      <c r="G33" s="294">
        <v>-605462.72</v>
      </c>
    </row>
    <row r="34" spans="1:7" x14ac:dyDescent="0.25">
      <c r="B34" s="387" t="s">
        <v>15</v>
      </c>
      <c r="C34" s="387" t="s">
        <v>233</v>
      </c>
      <c r="D34" s="387" t="s">
        <v>293</v>
      </c>
      <c r="E34" s="387" t="s">
        <v>80</v>
      </c>
      <c r="F34" s="294">
        <v>-60.04</v>
      </c>
      <c r="G34" s="294">
        <v>-16198.19</v>
      </c>
    </row>
    <row r="35" spans="1:7" x14ac:dyDescent="0.25">
      <c r="B35" s="387" t="s">
        <v>19</v>
      </c>
      <c r="C35" s="387" t="s">
        <v>20</v>
      </c>
      <c r="D35" s="387" t="s">
        <v>296</v>
      </c>
      <c r="E35" s="387" t="s">
        <v>80</v>
      </c>
      <c r="F35" s="294">
        <v>-580.84</v>
      </c>
      <c r="G35" s="294">
        <v>-93294.52</v>
      </c>
    </row>
    <row r="36" spans="1:7" x14ac:dyDescent="0.25">
      <c r="B36" s="387" t="s">
        <v>207</v>
      </c>
      <c r="C36" s="387" t="s">
        <v>208</v>
      </c>
      <c r="D36" s="387" t="s">
        <v>602</v>
      </c>
      <c r="E36" s="387" t="s">
        <v>80</v>
      </c>
      <c r="F36" s="294">
        <v>2349.65</v>
      </c>
      <c r="G36" s="294">
        <v>761921.01</v>
      </c>
    </row>
    <row r="37" spans="1:7" x14ac:dyDescent="0.25">
      <c r="A37" s="388" t="s">
        <v>748</v>
      </c>
      <c r="B37" s="389"/>
      <c r="C37" s="389"/>
      <c r="D37" s="389"/>
      <c r="E37" s="389"/>
      <c r="F37" s="389">
        <v>-535.42999999999984</v>
      </c>
      <c r="G37" s="389">
        <v>46965.580000000075</v>
      </c>
    </row>
    <row r="38" spans="1:7" x14ac:dyDescent="0.25">
      <c r="A38" s="387" t="s">
        <v>604</v>
      </c>
      <c r="B38" s="387" t="s">
        <v>207</v>
      </c>
      <c r="C38" s="387" t="s">
        <v>208</v>
      </c>
      <c r="D38" s="387" t="s">
        <v>602</v>
      </c>
      <c r="E38" s="387" t="s">
        <v>80</v>
      </c>
      <c r="F38" s="294">
        <v>-2349.65</v>
      </c>
      <c r="G38" s="294">
        <v>-761921.01</v>
      </c>
    </row>
    <row r="39" spans="1:7" x14ac:dyDescent="0.25">
      <c r="B39" s="387" t="s">
        <v>106</v>
      </c>
      <c r="C39" s="387" t="s">
        <v>107</v>
      </c>
      <c r="D39" s="387" t="s">
        <v>286</v>
      </c>
      <c r="E39" s="387" t="s">
        <v>102</v>
      </c>
      <c r="F39" s="294">
        <v>-4994</v>
      </c>
      <c r="G39" s="294">
        <v>-4223.76</v>
      </c>
    </row>
    <row r="40" spans="1:7" x14ac:dyDescent="0.25">
      <c r="B40" s="387" t="s">
        <v>196</v>
      </c>
      <c r="C40" s="387" t="s">
        <v>197</v>
      </c>
      <c r="D40" s="387" t="s">
        <v>302</v>
      </c>
      <c r="E40" s="387" t="s">
        <v>102</v>
      </c>
      <c r="F40" s="294">
        <v>-1477</v>
      </c>
      <c r="G40" s="294">
        <v>-3040.62</v>
      </c>
    </row>
    <row r="41" spans="1:7" x14ac:dyDescent="0.25">
      <c r="D41" s="387" t="s">
        <v>316</v>
      </c>
      <c r="E41" s="387" t="s">
        <v>102</v>
      </c>
      <c r="F41" s="294">
        <v>-3517</v>
      </c>
      <c r="G41" s="294">
        <v>-7240.26</v>
      </c>
    </row>
    <row r="42" spans="1:7" x14ac:dyDescent="0.25">
      <c r="B42" s="387" t="s">
        <v>104</v>
      </c>
      <c r="C42" s="387" t="s">
        <v>105</v>
      </c>
      <c r="D42" s="387" t="s">
        <v>277</v>
      </c>
      <c r="E42" s="387" t="s">
        <v>102</v>
      </c>
      <c r="F42" s="294">
        <v>-269</v>
      </c>
      <c r="G42" s="294">
        <v>-1345</v>
      </c>
    </row>
    <row r="43" spans="1:7" x14ac:dyDescent="0.25">
      <c r="D43" s="387" t="s">
        <v>303</v>
      </c>
      <c r="E43" s="387" t="s">
        <v>102</v>
      </c>
      <c r="F43" s="294">
        <v>-515</v>
      </c>
      <c r="G43" s="294">
        <v>-2575</v>
      </c>
    </row>
    <row r="44" spans="1:7" x14ac:dyDescent="0.25">
      <c r="B44" s="387" t="s">
        <v>62</v>
      </c>
      <c r="C44" s="387" t="s">
        <v>63</v>
      </c>
      <c r="D44" s="387" t="s">
        <v>602</v>
      </c>
      <c r="E44" s="387" t="s">
        <v>74</v>
      </c>
      <c r="F44" s="294">
        <v>4697</v>
      </c>
      <c r="G44" s="294">
        <v>795483.92</v>
      </c>
    </row>
    <row r="45" spans="1:7" x14ac:dyDescent="0.25">
      <c r="A45" s="388" t="s">
        <v>749</v>
      </c>
      <c r="B45" s="389"/>
      <c r="C45" s="389"/>
      <c r="D45" s="389"/>
      <c r="E45" s="389"/>
      <c r="F45" s="389">
        <v>-8424.65</v>
      </c>
      <c r="G45" s="389">
        <v>15138.270000000019</v>
      </c>
    </row>
    <row r="46" spans="1:7" x14ac:dyDescent="0.25">
      <c r="A46" s="387" t="s">
        <v>608</v>
      </c>
      <c r="B46" s="387" t="s">
        <v>62</v>
      </c>
      <c r="C46" s="387" t="s">
        <v>63</v>
      </c>
      <c r="D46" s="387" t="s">
        <v>602</v>
      </c>
      <c r="E46" s="387" t="s">
        <v>74</v>
      </c>
      <c r="F46" s="294">
        <v>-4200</v>
      </c>
      <c r="G46" s="294">
        <v>-711312</v>
      </c>
    </row>
    <row r="47" spans="1:7" x14ac:dyDescent="0.25">
      <c r="B47" s="387" t="s">
        <v>113</v>
      </c>
      <c r="C47" s="387" t="s">
        <v>114</v>
      </c>
      <c r="D47" s="387" t="s">
        <v>287</v>
      </c>
      <c r="E47" s="387" t="s">
        <v>74</v>
      </c>
      <c r="F47" s="294">
        <v>4200</v>
      </c>
      <c r="G47" s="294">
        <v>711312</v>
      </c>
    </row>
    <row r="48" spans="1:7" x14ac:dyDescent="0.25">
      <c r="A48" s="388" t="s">
        <v>750</v>
      </c>
      <c r="B48" s="389"/>
      <c r="C48" s="389"/>
      <c r="D48" s="389"/>
      <c r="E48" s="389"/>
      <c r="F48" s="389">
        <v>0</v>
      </c>
      <c r="G48" s="389">
        <v>0</v>
      </c>
    </row>
    <row r="49" spans="1:7" x14ac:dyDescent="0.25">
      <c r="A49" s="387" t="s">
        <v>614</v>
      </c>
      <c r="B49" s="387" t="s">
        <v>13</v>
      </c>
      <c r="C49" s="387" t="s">
        <v>14</v>
      </c>
      <c r="D49" s="387" t="s">
        <v>327</v>
      </c>
      <c r="E49" s="387" t="s">
        <v>80</v>
      </c>
      <c r="F49" s="294">
        <v>-5184.8</v>
      </c>
      <c r="G49" s="294">
        <v>-1398807.19</v>
      </c>
    </row>
    <row r="50" spans="1:7" x14ac:dyDescent="0.25">
      <c r="B50" s="387" t="s">
        <v>19</v>
      </c>
      <c r="C50" s="387" t="s">
        <v>20</v>
      </c>
      <c r="D50" s="387" t="s">
        <v>296</v>
      </c>
      <c r="E50" s="387" t="s">
        <v>80</v>
      </c>
      <c r="F50" s="294">
        <v>-440.38</v>
      </c>
      <c r="G50" s="294">
        <v>-70733.84</v>
      </c>
    </row>
    <row r="51" spans="1:7" x14ac:dyDescent="0.25">
      <c r="D51" s="387" t="s">
        <v>304</v>
      </c>
      <c r="E51" s="387" t="s">
        <v>80</v>
      </c>
      <c r="F51" s="294">
        <v>-856.89</v>
      </c>
      <c r="G51" s="294">
        <v>-137633.67000000001</v>
      </c>
    </row>
    <row r="52" spans="1:7" x14ac:dyDescent="0.25">
      <c r="B52" s="387" t="s">
        <v>23</v>
      </c>
      <c r="C52" s="387" t="s">
        <v>24</v>
      </c>
      <c r="D52" s="387" t="s">
        <v>617</v>
      </c>
      <c r="E52" s="387" t="s">
        <v>80</v>
      </c>
      <c r="F52" s="294">
        <v>5211.9799999999996</v>
      </c>
      <c r="G52" s="294">
        <v>1690088.75</v>
      </c>
    </row>
    <row r="53" spans="1:7" x14ac:dyDescent="0.25">
      <c r="A53" s="388" t="s">
        <v>751</v>
      </c>
      <c r="B53" s="389"/>
      <c r="C53" s="389"/>
      <c r="D53" s="389"/>
      <c r="E53" s="389"/>
      <c r="F53" s="389">
        <v>-1270.0900000000011</v>
      </c>
      <c r="G53" s="389">
        <v>82914.050000000047</v>
      </c>
    </row>
    <row r="54" spans="1:7" x14ac:dyDescent="0.25">
      <c r="A54" s="387" t="s">
        <v>625</v>
      </c>
      <c r="B54" s="387" t="s">
        <v>23</v>
      </c>
      <c r="C54" s="387" t="s">
        <v>24</v>
      </c>
      <c r="D54" s="387" t="s">
        <v>617</v>
      </c>
      <c r="E54" s="387" t="s">
        <v>80</v>
      </c>
      <c r="F54" s="294">
        <v>-5211.9799999999996</v>
      </c>
      <c r="G54" s="294">
        <v>-1690088.75</v>
      </c>
    </row>
    <row r="55" spans="1:7" x14ac:dyDescent="0.25">
      <c r="B55" s="387" t="s">
        <v>106</v>
      </c>
      <c r="C55" s="387" t="s">
        <v>107</v>
      </c>
      <c r="D55" s="387" t="s">
        <v>286</v>
      </c>
      <c r="E55" s="387" t="s">
        <v>102</v>
      </c>
      <c r="F55" s="294">
        <v>-10573</v>
      </c>
      <c r="G55" s="294">
        <v>-8942.2999999999993</v>
      </c>
    </row>
    <row r="56" spans="1:7" x14ac:dyDescent="0.25">
      <c r="B56" s="387" t="s">
        <v>119</v>
      </c>
      <c r="C56" s="387" t="s">
        <v>120</v>
      </c>
      <c r="D56" s="387" t="s">
        <v>302</v>
      </c>
      <c r="E56" s="387" t="s">
        <v>102</v>
      </c>
      <c r="F56" s="294">
        <v>-10573</v>
      </c>
      <c r="G56" s="294">
        <v>-22029.68</v>
      </c>
    </row>
    <row r="57" spans="1:7" x14ac:dyDescent="0.25">
      <c r="B57" s="387" t="s">
        <v>121</v>
      </c>
      <c r="C57" s="387" t="s">
        <v>122</v>
      </c>
      <c r="D57" s="387" t="s">
        <v>314</v>
      </c>
      <c r="E57" s="387" t="s">
        <v>102</v>
      </c>
      <c r="F57" s="294">
        <v>-1744</v>
      </c>
      <c r="G57" s="294">
        <v>-8720</v>
      </c>
    </row>
    <row r="58" spans="1:7" x14ac:dyDescent="0.25">
      <c r="B58" s="387" t="s">
        <v>81</v>
      </c>
      <c r="C58" s="387" t="s">
        <v>82</v>
      </c>
      <c r="D58" s="387" t="s">
        <v>617</v>
      </c>
      <c r="E58" s="387" t="s">
        <v>74</v>
      </c>
      <c r="F58" s="294">
        <v>10418</v>
      </c>
      <c r="G58" s="294">
        <v>1764600.84</v>
      </c>
    </row>
    <row r="59" spans="1:7" x14ac:dyDescent="0.25">
      <c r="A59" s="388" t="s">
        <v>752</v>
      </c>
      <c r="B59" s="389"/>
      <c r="C59" s="389"/>
      <c r="D59" s="389"/>
      <c r="E59" s="389"/>
      <c r="F59" s="389">
        <v>-17683.98</v>
      </c>
      <c r="G59" s="389">
        <v>34820.110000000102</v>
      </c>
    </row>
    <row r="60" spans="1:7" x14ac:dyDescent="0.25">
      <c r="A60" s="387" t="s">
        <v>629</v>
      </c>
      <c r="B60" s="387" t="s">
        <v>9</v>
      </c>
      <c r="C60" s="387" t="s">
        <v>10</v>
      </c>
      <c r="D60" s="387" t="s">
        <v>327</v>
      </c>
      <c r="E60" s="387" t="s">
        <v>80</v>
      </c>
      <c r="F60" s="294">
        <v>-4012.2</v>
      </c>
      <c r="G60" s="294">
        <v>-1058854.23</v>
      </c>
    </row>
    <row r="61" spans="1:7" x14ac:dyDescent="0.25">
      <c r="B61" s="387" t="s">
        <v>13</v>
      </c>
      <c r="C61" s="387" t="s">
        <v>14</v>
      </c>
      <c r="D61" s="387" t="s">
        <v>327</v>
      </c>
      <c r="E61" s="387" t="s">
        <v>80</v>
      </c>
      <c r="F61" s="294">
        <v>3861</v>
      </c>
      <c r="G61" s="294">
        <v>1041556.0800000001</v>
      </c>
    </row>
    <row r="62" spans="1:7" x14ac:dyDescent="0.25">
      <c r="B62" s="387" t="s">
        <v>15</v>
      </c>
      <c r="C62" s="387" t="s">
        <v>233</v>
      </c>
      <c r="D62" s="387" t="s">
        <v>327</v>
      </c>
      <c r="E62" s="387" t="s">
        <v>80</v>
      </c>
      <c r="F62" s="294">
        <v>98.2</v>
      </c>
      <c r="G62" s="294">
        <v>26595.51</v>
      </c>
    </row>
    <row r="63" spans="1:7" x14ac:dyDescent="0.25">
      <c r="A63" s="388" t="s">
        <v>753</v>
      </c>
      <c r="B63" s="389"/>
      <c r="C63" s="389"/>
      <c r="D63" s="389"/>
      <c r="E63" s="389"/>
      <c r="F63" s="389">
        <v>-52.999999999999815</v>
      </c>
      <c r="G63" s="389">
        <v>9297.3600000000915</v>
      </c>
    </row>
    <row r="64" spans="1:7" x14ac:dyDescent="0.25">
      <c r="A64" s="387" t="s">
        <v>633</v>
      </c>
      <c r="B64" s="387" t="s">
        <v>13</v>
      </c>
      <c r="C64" s="387" t="s">
        <v>14</v>
      </c>
      <c r="D64" s="387" t="s">
        <v>327</v>
      </c>
      <c r="E64" s="387" t="s">
        <v>80</v>
      </c>
      <c r="F64" s="294">
        <v>-120</v>
      </c>
      <c r="G64" s="294">
        <v>-32374.799999999999</v>
      </c>
    </row>
    <row r="65" spans="1:7" x14ac:dyDescent="0.25">
      <c r="B65" s="387" t="s">
        <v>15</v>
      </c>
      <c r="C65" s="387" t="s">
        <v>233</v>
      </c>
      <c r="D65" s="387" t="s">
        <v>293</v>
      </c>
      <c r="E65" s="387" t="s">
        <v>80</v>
      </c>
      <c r="F65" s="294">
        <v>-104.4</v>
      </c>
      <c r="G65" s="294">
        <v>-28166.080000000002</v>
      </c>
    </row>
    <row r="66" spans="1:7" x14ac:dyDescent="0.25">
      <c r="D66" s="387" t="s">
        <v>636</v>
      </c>
      <c r="E66" s="387" t="s">
        <v>80</v>
      </c>
      <c r="F66" s="294">
        <v>-15.6</v>
      </c>
      <c r="G66" s="294">
        <v>-4208.72</v>
      </c>
    </row>
    <row r="67" spans="1:7" x14ac:dyDescent="0.25">
      <c r="B67" s="387" t="s">
        <v>637</v>
      </c>
      <c r="C67" s="387" t="s">
        <v>259</v>
      </c>
      <c r="D67" s="387" t="s">
        <v>638</v>
      </c>
      <c r="E67" s="387" t="s">
        <v>80</v>
      </c>
      <c r="F67" s="294">
        <v>206</v>
      </c>
      <c r="G67" s="294">
        <v>72423.42</v>
      </c>
    </row>
    <row r="68" spans="1:7" x14ac:dyDescent="0.25">
      <c r="A68" s="388" t="s">
        <v>754</v>
      </c>
      <c r="B68" s="389"/>
      <c r="C68" s="389"/>
      <c r="D68" s="389"/>
      <c r="E68" s="389"/>
      <c r="F68" s="389">
        <v>-34</v>
      </c>
      <c r="G68" s="389">
        <v>7673.8199999999924</v>
      </c>
    </row>
    <row r="69" spans="1:7" x14ac:dyDescent="0.25">
      <c r="A69" s="387" t="s">
        <v>640</v>
      </c>
      <c r="B69" s="387" t="s">
        <v>637</v>
      </c>
      <c r="C69" s="387" t="s">
        <v>259</v>
      </c>
      <c r="D69" s="387" t="s">
        <v>638</v>
      </c>
      <c r="E69" s="387" t="s">
        <v>80</v>
      </c>
      <c r="F69" s="294">
        <v>-206</v>
      </c>
      <c r="G69" s="294">
        <v>-72423.42</v>
      </c>
    </row>
    <row r="70" spans="1:7" x14ac:dyDescent="0.25">
      <c r="B70" s="387" t="s">
        <v>106</v>
      </c>
      <c r="C70" s="387" t="s">
        <v>107</v>
      </c>
      <c r="D70" s="387" t="s">
        <v>286</v>
      </c>
      <c r="E70" s="387" t="s">
        <v>102</v>
      </c>
      <c r="F70" s="294">
        <v>-495</v>
      </c>
      <c r="G70" s="294">
        <v>-418.66</v>
      </c>
    </row>
    <row r="71" spans="1:7" x14ac:dyDescent="0.25">
      <c r="B71" s="387" t="s">
        <v>126</v>
      </c>
      <c r="C71" s="387" t="s">
        <v>127</v>
      </c>
      <c r="D71" s="387" t="s">
        <v>230</v>
      </c>
      <c r="E71" s="387" t="s">
        <v>102</v>
      </c>
      <c r="F71" s="294">
        <v>-21</v>
      </c>
      <c r="G71" s="294">
        <v>-462</v>
      </c>
    </row>
    <row r="72" spans="1:7" x14ac:dyDescent="0.25">
      <c r="B72" s="387" t="s">
        <v>237</v>
      </c>
      <c r="C72" s="387" t="s">
        <v>238</v>
      </c>
      <c r="D72" s="387" t="s">
        <v>295</v>
      </c>
      <c r="E72" s="387" t="s">
        <v>102</v>
      </c>
      <c r="F72" s="294">
        <v>-495</v>
      </c>
      <c r="G72" s="294">
        <v>-849.75</v>
      </c>
    </row>
    <row r="73" spans="1:7" x14ac:dyDescent="0.25">
      <c r="B73" s="387" t="s">
        <v>644</v>
      </c>
      <c r="C73" s="387" t="s">
        <v>645</v>
      </c>
      <c r="D73" s="387" t="s">
        <v>638</v>
      </c>
      <c r="E73" s="387" t="s">
        <v>74</v>
      </c>
      <c r="F73" s="294">
        <v>412</v>
      </c>
      <c r="G73" s="294">
        <v>75948.08</v>
      </c>
    </row>
    <row r="74" spans="1:7" x14ac:dyDescent="0.25">
      <c r="B74" s="387" t="s">
        <v>333</v>
      </c>
      <c r="C74" s="387" t="s">
        <v>334</v>
      </c>
      <c r="D74" s="387" t="s">
        <v>335</v>
      </c>
      <c r="E74" s="387" t="s">
        <v>241</v>
      </c>
      <c r="F74" s="294">
        <v>-125</v>
      </c>
      <c r="G74" s="294">
        <v>-145</v>
      </c>
    </row>
    <row r="75" spans="1:7" x14ac:dyDescent="0.25">
      <c r="D75" s="387" t="s">
        <v>643</v>
      </c>
      <c r="E75" s="387" t="s">
        <v>241</v>
      </c>
      <c r="F75" s="294">
        <v>-287</v>
      </c>
      <c r="G75" s="294">
        <v>-332.92</v>
      </c>
    </row>
    <row r="76" spans="1:7" x14ac:dyDescent="0.25">
      <c r="A76" s="388" t="s">
        <v>755</v>
      </c>
      <c r="B76" s="389"/>
      <c r="C76" s="389"/>
      <c r="D76" s="389"/>
      <c r="E76" s="389"/>
      <c r="F76" s="389">
        <v>-1217</v>
      </c>
      <c r="G76" s="389">
        <v>1316.33</v>
      </c>
    </row>
    <row r="77" spans="1:7" x14ac:dyDescent="0.25">
      <c r="A77" s="387" t="s">
        <v>647</v>
      </c>
      <c r="B77" s="387" t="s">
        <v>13</v>
      </c>
      <c r="C77" s="387" t="s">
        <v>14</v>
      </c>
      <c r="D77" s="387" t="s">
        <v>327</v>
      </c>
      <c r="E77" s="387" t="s">
        <v>80</v>
      </c>
      <c r="F77" s="294">
        <v>-10176.200000000001</v>
      </c>
      <c r="G77" s="294">
        <v>-2745437</v>
      </c>
    </row>
    <row r="78" spans="1:7" x14ac:dyDescent="0.25">
      <c r="B78" s="387" t="s">
        <v>19</v>
      </c>
      <c r="C78" s="387" t="s">
        <v>20</v>
      </c>
      <c r="D78" s="387" t="s">
        <v>304</v>
      </c>
      <c r="E78" s="387" t="s">
        <v>80</v>
      </c>
      <c r="F78" s="294">
        <v>-2548.4</v>
      </c>
      <c r="G78" s="294">
        <v>-409324.01</v>
      </c>
    </row>
    <row r="79" spans="1:7" x14ac:dyDescent="0.25">
      <c r="B79" s="387" t="s">
        <v>23</v>
      </c>
      <c r="C79" s="387" t="s">
        <v>24</v>
      </c>
      <c r="D79" s="387" t="s">
        <v>650</v>
      </c>
      <c r="E79" s="387" t="s">
        <v>80</v>
      </c>
      <c r="F79" s="294">
        <v>10237.93</v>
      </c>
      <c r="G79" s="294">
        <v>3319853.56</v>
      </c>
    </row>
    <row r="80" spans="1:7" x14ac:dyDescent="0.25">
      <c r="A80" s="388" t="s">
        <v>756</v>
      </c>
      <c r="B80" s="389"/>
      <c r="C80" s="389"/>
      <c r="D80" s="389"/>
      <c r="E80" s="389"/>
      <c r="F80" s="389">
        <v>-2486.67</v>
      </c>
      <c r="G80" s="389">
        <v>165092.55000000028</v>
      </c>
    </row>
    <row r="81" spans="1:7" x14ac:dyDescent="0.25">
      <c r="A81" s="387" t="s">
        <v>652</v>
      </c>
      <c r="B81" s="387" t="s">
        <v>23</v>
      </c>
      <c r="C81" s="387" t="s">
        <v>24</v>
      </c>
      <c r="D81" s="387" t="s">
        <v>650</v>
      </c>
      <c r="E81" s="387" t="s">
        <v>80</v>
      </c>
      <c r="F81" s="294">
        <v>-10237.93</v>
      </c>
      <c r="G81" s="294">
        <v>-3319853.56</v>
      </c>
    </row>
    <row r="82" spans="1:7" x14ac:dyDescent="0.25">
      <c r="B82" s="387" t="s">
        <v>106</v>
      </c>
      <c r="C82" s="387" t="s">
        <v>107</v>
      </c>
      <c r="D82" s="387" t="s">
        <v>286</v>
      </c>
      <c r="E82" s="387" t="s">
        <v>102</v>
      </c>
      <c r="F82" s="294">
        <v>-20697</v>
      </c>
      <c r="G82" s="294">
        <v>-17504.86</v>
      </c>
    </row>
    <row r="83" spans="1:7" x14ac:dyDescent="0.25">
      <c r="B83" s="387" t="s">
        <v>119</v>
      </c>
      <c r="C83" s="387" t="s">
        <v>120</v>
      </c>
      <c r="D83" s="387" t="s">
        <v>302</v>
      </c>
      <c r="E83" s="387" t="s">
        <v>102</v>
      </c>
      <c r="F83" s="294">
        <v>-20697</v>
      </c>
      <c r="G83" s="294">
        <v>-43123.82</v>
      </c>
    </row>
    <row r="84" spans="1:7" x14ac:dyDescent="0.25">
      <c r="B84" s="387" t="s">
        <v>121</v>
      </c>
      <c r="C84" s="387" t="s">
        <v>122</v>
      </c>
      <c r="D84" s="387" t="s">
        <v>314</v>
      </c>
      <c r="E84" s="387" t="s">
        <v>102</v>
      </c>
      <c r="F84" s="294">
        <v>-3432</v>
      </c>
      <c r="G84" s="294">
        <v>-17160</v>
      </c>
    </row>
    <row r="85" spans="1:7" x14ac:dyDescent="0.25">
      <c r="B85" s="387" t="s">
        <v>81</v>
      </c>
      <c r="C85" s="387" t="s">
        <v>82</v>
      </c>
      <c r="D85" s="387" t="s">
        <v>655</v>
      </c>
      <c r="E85" s="387" t="s">
        <v>74</v>
      </c>
      <c r="F85" s="294">
        <v>20466</v>
      </c>
      <c r="G85" s="294">
        <v>3466531.08</v>
      </c>
    </row>
    <row r="86" spans="1:7" x14ac:dyDescent="0.25">
      <c r="A86" s="388" t="s">
        <v>757</v>
      </c>
      <c r="B86" s="389"/>
      <c r="C86" s="389"/>
      <c r="D86" s="389"/>
      <c r="E86" s="389"/>
      <c r="F86" s="389">
        <v>-34597.93</v>
      </c>
      <c r="G86" s="389">
        <v>68888.840000000317</v>
      </c>
    </row>
    <row r="87" spans="1:7" x14ac:dyDescent="0.25">
      <c r="A87" s="387" t="s">
        <v>657</v>
      </c>
      <c r="B87" s="387" t="s">
        <v>13</v>
      </c>
      <c r="C87" s="387" t="s">
        <v>14</v>
      </c>
      <c r="D87" s="387" t="s">
        <v>327</v>
      </c>
      <c r="E87" s="387" t="s">
        <v>80</v>
      </c>
      <c r="F87" s="294">
        <v>-8599.2000000000007</v>
      </c>
      <c r="G87" s="294">
        <v>-2319978.17</v>
      </c>
    </row>
    <row r="88" spans="1:7" x14ac:dyDescent="0.25">
      <c r="B88" s="387" t="s">
        <v>15</v>
      </c>
      <c r="C88" s="387" t="s">
        <v>233</v>
      </c>
      <c r="D88" s="387" t="s">
        <v>636</v>
      </c>
      <c r="E88" s="387" t="s">
        <v>80</v>
      </c>
      <c r="F88" s="294">
        <v>-1001.7</v>
      </c>
      <c r="G88" s="294">
        <v>-270248.64</v>
      </c>
    </row>
    <row r="89" spans="1:7" x14ac:dyDescent="0.25">
      <c r="B89" s="387" t="s">
        <v>19</v>
      </c>
      <c r="C89" s="387" t="s">
        <v>20</v>
      </c>
      <c r="D89" s="387" t="s">
        <v>304</v>
      </c>
      <c r="E89" s="387" t="s">
        <v>80</v>
      </c>
      <c r="F89" s="294">
        <v>-2404.08</v>
      </c>
      <c r="G89" s="294">
        <v>-386143.33</v>
      </c>
    </row>
    <row r="90" spans="1:7" x14ac:dyDescent="0.25">
      <c r="B90" s="387" t="s">
        <v>23</v>
      </c>
      <c r="C90" s="387" t="s">
        <v>24</v>
      </c>
      <c r="D90" s="387" t="s">
        <v>660</v>
      </c>
      <c r="E90" s="387" t="s">
        <v>80</v>
      </c>
      <c r="F90" s="294">
        <v>9645.9599999999991</v>
      </c>
      <c r="G90" s="294">
        <v>3127895.45</v>
      </c>
    </row>
    <row r="91" spans="1:7" x14ac:dyDescent="0.25">
      <c r="A91" s="388" t="s">
        <v>758</v>
      </c>
      <c r="B91" s="389"/>
      <c r="C91" s="389"/>
      <c r="D91" s="389"/>
      <c r="E91" s="389"/>
      <c r="F91" s="389">
        <v>-2359.0200000000023</v>
      </c>
      <c r="G91" s="389">
        <v>151525.31000000006</v>
      </c>
    </row>
    <row r="92" spans="1:7" x14ac:dyDescent="0.25">
      <c r="A92" s="387" t="s">
        <v>663</v>
      </c>
      <c r="B92" s="387" t="s">
        <v>13</v>
      </c>
      <c r="C92" s="387" t="s">
        <v>14</v>
      </c>
      <c r="D92" s="387" t="s">
        <v>319</v>
      </c>
      <c r="E92" s="387" t="s">
        <v>80</v>
      </c>
      <c r="F92" s="294">
        <v>-6859.22</v>
      </c>
      <c r="G92" s="294">
        <v>-1850548.96</v>
      </c>
    </row>
    <row r="93" spans="1:7" x14ac:dyDescent="0.25">
      <c r="D93" s="387" t="s">
        <v>662</v>
      </c>
      <c r="E93" s="387" t="s">
        <v>80</v>
      </c>
      <c r="F93" s="294">
        <v>-822.68</v>
      </c>
      <c r="G93" s="294">
        <v>-221950.84</v>
      </c>
    </row>
    <row r="94" spans="1:7" x14ac:dyDescent="0.25">
      <c r="B94" s="387" t="s">
        <v>19</v>
      </c>
      <c r="C94" s="387" t="s">
        <v>20</v>
      </c>
      <c r="D94" s="387" t="s">
        <v>304</v>
      </c>
      <c r="E94" s="387" t="s">
        <v>80</v>
      </c>
      <c r="F94" s="294">
        <v>-1923.44</v>
      </c>
      <c r="G94" s="294">
        <v>-308942.93</v>
      </c>
    </row>
    <row r="95" spans="1:7" x14ac:dyDescent="0.25">
      <c r="B95" s="387" t="s">
        <v>23</v>
      </c>
      <c r="C95" s="387" t="s">
        <v>24</v>
      </c>
      <c r="D95" s="387" t="s">
        <v>666</v>
      </c>
      <c r="E95" s="387" t="s">
        <v>80</v>
      </c>
      <c r="F95" s="294">
        <v>7753.17</v>
      </c>
      <c r="G95" s="294">
        <v>2514120.44</v>
      </c>
    </row>
    <row r="96" spans="1:7" x14ac:dyDescent="0.25">
      <c r="A96" s="388" t="s">
        <v>759</v>
      </c>
      <c r="B96" s="389"/>
      <c r="C96" s="389"/>
      <c r="D96" s="389"/>
      <c r="E96" s="389"/>
      <c r="F96" s="389">
        <v>-1852.17</v>
      </c>
      <c r="G96" s="389">
        <v>132677.70999999996</v>
      </c>
    </row>
    <row r="97" spans="1:7" x14ac:dyDescent="0.25">
      <c r="A97" s="387" t="s">
        <v>777</v>
      </c>
      <c r="B97" s="387" t="s">
        <v>17</v>
      </c>
      <c r="C97" s="387" t="s">
        <v>18</v>
      </c>
      <c r="D97" s="387" t="s">
        <v>304</v>
      </c>
      <c r="E97" s="387" t="s">
        <v>80</v>
      </c>
      <c r="F97" s="294">
        <v>-9988.2000000000007</v>
      </c>
      <c r="G97" s="294">
        <v>-1556154.27</v>
      </c>
    </row>
    <row r="98" spans="1:7" x14ac:dyDescent="0.25">
      <c r="B98" s="387" t="s">
        <v>19</v>
      </c>
      <c r="C98" s="387" t="s">
        <v>20</v>
      </c>
      <c r="D98" s="387" t="s">
        <v>304</v>
      </c>
      <c r="E98" s="387" t="s">
        <v>80</v>
      </c>
      <c r="F98" s="294">
        <v>9776.02</v>
      </c>
      <c r="G98" s="294">
        <v>1570224.33</v>
      </c>
    </row>
    <row r="99" spans="1:7" x14ac:dyDescent="0.25">
      <c r="B99" s="387" t="s">
        <v>21</v>
      </c>
      <c r="C99" s="387" t="s">
        <v>234</v>
      </c>
      <c r="D99" s="387" t="s">
        <v>304</v>
      </c>
      <c r="E99" s="387" t="s">
        <v>80</v>
      </c>
      <c r="F99" s="294">
        <v>147.69999999999999</v>
      </c>
      <c r="G99" s="294">
        <v>23723.57</v>
      </c>
    </row>
    <row r="100" spans="1:7" x14ac:dyDescent="0.25">
      <c r="A100" s="388" t="s">
        <v>861</v>
      </c>
      <c r="B100" s="389"/>
      <c r="C100" s="389"/>
      <c r="D100" s="389"/>
      <c r="E100" s="389"/>
      <c r="F100" s="389">
        <v>-64.480000000000302</v>
      </c>
      <c r="G100" s="389">
        <v>37793.630000000056</v>
      </c>
    </row>
    <row r="101" spans="1:7" x14ac:dyDescent="0.25">
      <c r="A101" s="387" t="s">
        <v>814</v>
      </c>
      <c r="B101" s="387" t="s">
        <v>9</v>
      </c>
      <c r="C101" s="387" t="s">
        <v>10</v>
      </c>
      <c r="D101" s="387" t="s">
        <v>327</v>
      </c>
      <c r="E101" s="387" t="s">
        <v>80</v>
      </c>
      <c r="F101" s="294">
        <v>-15059.5</v>
      </c>
      <c r="G101" s="294">
        <v>-3973753.57</v>
      </c>
    </row>
    <row r="102" spans="1:7" x14ac:dyDescent="0.25">
      <c r="B102" s="387" t="s">
        <v>13</v>
      </c>
      <c r="C102" s="387" t="s">
        <v>14</v>
      </c>
      <c r="D102" s="387" t="s">
        <v>327</v>
      </c>
      <c r="E102" s="387" t="s">
        <v>80</v>
      </c>
      <c r="F102" s="294">
        <v>14863.74</v>
      </c>
      <c r="G102" s="294">
        <v>4025695.34</v>
      </c>
    </row>
    <row r="103" spans="1:7" x14ac:dyDescent="0.25">
      <c r="B103" s="387" t="s">
        <v>15</v>
      </c>
      <c r="C103" s="387" t="s">
        <v>233</v>
      </c>
      <c r="D103" s="387" t="s">
        <v>327</v>
      </c>
      <c r="E103" s="387" t="s">
        <v>80</v>
      </c>
      <c r="F103" s="294">
        <v>167.2</v>
      </c>
      <c r="G103" s="294">
        <v>45282.78</v>
      </c>
    </row>
    <row r="104" spans="1:7" x14ac:dyDescent="0.25">
      <c r="A104" s="388" t="s">
        <v>862</v>
      </c>
      <c r="B104" s="389"/>
      <c r="C104" s="389"/>
      <c r="D104" s="389"/>
      <c r="E104" s="389"/>
      <c r="F104" s="389">
        <v>-28.56000000000023</v>
      </c>
      <c r="G104" s="389">
        <v>97224.550000000017</v>
      </c>
    </row>
    <row r="105" spans="1:7" x14ac:dyDescent="0.25">
      <c r="A105" s="387" t="s">
        <v>947</v>
      </c>
      <c r="B105" s="387" t="s">
        <v>9</v>
      </c>
      <c r="C105" s="387" t="s">
        <v>10</v>
      </c>
      <c r="D105" s="387" t="s">
        <v>561</v>
      </c>
      <c r="E105" s="387" t="s">
        <v>80</v>
      </c>
      <c r="F105" s="294">
        <v>-13021.2</v>
      </c>
      <c r="G105" s="294">
        <v>-3436411.93</v>
      </c>
    </row>
    <row r="106" spans="1:7" x14ac:dyDescent="0.25">
      <c r="B106" s="387" t="s">
        <v>13</v>
      </c>
      <c r="C106" s="387" t="s">
        <v>14</v>
      </c>
      <c r="D106" s="387" t="s">
        <v>561</v>
      </c>
      <c r="E106" s="387" t="s">
        <v>80</v>
      </c>
      <c r="F106" s="294">
        <v>13008.94</v>
      </c>
      <c r="G106" s="294">
        <v>3523341.31</v>
      </c>
    </row>
    <row r="107" spans="1:7" x14ac:dyDescent="0.25">
      <c r="A107" s="388" t="s">
        <v>1110</v>
      </c>
      <c r="B107" s="389"/>
      <c r="C107" s="389"/>
      <c r="D107" s="389"/>
      <c r="E107" s="389"/>
      <c r="F107" s="389">
        <v>-12.260000000000218</v>
      </c>
      <c r="G107" s="389">
        <v>86929.379999999888</v>
      </c>
    </row>
    <row r="108" spans="1:7" x14ac:dyDescent="0.25">
      <c r="A108" s="387" t="s">
        <v>951</v>
      </c>
      <c r="B108" s="387" t="s">
        <v>9</v>
      </c>
      <c r="C108" s="387" t="s">
        <v>10</v>
      </c>
      <c r="D108" s="387" t="s">
        <v>327</v>
      </c>
      <c r="E108" s="387" t="s">
        <v>80</v>
      </c>
      <c r="F108" s="294">
        <v>-5017.3</v>
      </c>
      <c r="G108" s="294">
        <v>-1324110.6499999999</v>
      </c>
    </row>
    <row r="109" spans="1:7" x14ac:dyDescent="0.25">
      <c r="B109" s="387" t="s">
        <v>13</v>
      </c>
      <c r="C109" s="387" t="s">
        <v>14</v>
      </c>
      <c r="D109" s="387" t="s">
        <v>327</v>
      </c>
      <c r="E109" s="387" t="s">
        <v>80</v>
      </c>
      <c r="F109" s="294">
        <v>4806</v>
      </c>
      <c r="G109" s="294">
        <v>1301657.04</v>
      </c>
    </row>
    <row r="110" spans="1:7" x14ac:dyDescent="0.25">
      <c r="B110" s="387" t="s">
        <v>15</v>
      </c>
      <c r="C110" s="387" t="s">
        <v>233</v>
      </c>
      <c r="D110" s="387" t="s">
        <v>327</v>
      </c>
      <c r="E110" s="387" t="s">
        <v>80</v>
      </c>
      <c r="F110" s="294">
        <v>171.72</v>
      </c>
      <c r="G110" s="294">
        <v>46506.93</v>
      </c>
    </row>
    <row r="111" spans="1:7" x14ac:dyDescent="0.25">
      <c r="A111" s="388" t="s">
        <v>1111</v>
      </c>
      <c r="B111" s="389"/>
      <c r="C111" s="389"/>
      <c r="D111" s="389"/>
      <c r="E111" s="389"/>
      <c r="F111" s="389">
        <v>-39.580000000000183</v>
      </c>
      <c r="G111" s="389">
        <v>24053.320000000131</v>
      </c>
    </row>
    <row r="112" spans="1:7" x14ac:dyDescent="0.25">
      <c r="A112" s="387" t="s">
        <v>955</v>
      </c>
      <c r="B112" s="387" t="s">
        <v>9</v>
      </c>
      <c r="C112" s="387" t="s">
        <v>10</v>
      </c>
      <c r="D112" s="387" t="s">
        <v>944</v>
      </c>
      <c r="E112" s="387" t="s">
        <v>80</v>
      </c>
      <c r="F112" s="294">
        <v>-3069.7</v>
      </c>
      <c r="G112" s="294">
        <v>-810121.47</v>
      </c>
    </row>
    <row r="113" spans="1:7" x14ac:dyDescent="0.25">
      <c r="B113" s="387" t="s">
        <v>13</v>
      </c>
      <c r="C113" s="387" t="s">
        <v>14</v>
      </c>
      <c r="D113" s="387" t="s">
        <v>944</v>
      </c>
      <c r="E113" s="387" t="s">
        <v>80</v>
      </c>
      <c r="F113" s="294">
        <v>3015.1800000000003</v>
      </c>
      <c r="G113" s="294">
        <v>816631.35</v>
      </c>
    </row>
    <row r="114" spans="1:7" x14ac:dyDescent="0.25">
      <c r="B114" s="387" t="s">
        <v>15</v>
      </c>
      <c r="C114" s="387" t="s">
        <v>233</v>
      </c>
      <c r="D114" s="387" t="s">
        <v>944</v>
      </c>
      <c r="E114" s="387" t="s">
        <v>80</v>
      </c>
      <c r="F114" s="294">
        <v>35.880000000000003</v>
      </c>
      <c r="G114" s="294">
        <v>9717.3799999999992</v>
      </c>
    </row>
    <row r="115" spans="1:7" x14ac:dyDescent="0.25">
      <c r="A115" s="388" t="s">
        <v>1112</v>
      </c>
      <c r="B115" s="389"/>
      <c r="C115" s="389"/>
      <c r="D115" s="389"/>
      <c r="E115" s="389"/>
      <c r="F115" s="389">
        <v>-18.639999999999525</v>
      </c>
      <c r="G115" s="389">
        <v>16227.260000000004</v>
      </c>
    </row>
    <row r="116" spans="1:7" x14ac:dyDescent="0.25">
      <c r="A116" s="387" t="s">
        <v>986</v>
      </c>
      <c r="B116" s="387" t="s">
        <v>23</v>
      </c>
      <c r="C116" s="387" t="s">
        <v>24</v>
      </c>
      <c r="D116" s="387" t="s">
        <v>660</v>
      </c>
      <c r="E116" s="387" t="s">
        <v>80</v>
      </c>
      <c r="F116" s="294">
        <v>-9645.9599999999991</v>
      </c>
      <c r="G116" s="294">
        <v>-3136287.44</v>
      </c>
    </row>
    <row r="117" spans="1:7" x14ac:dyDescent="0.25">
      <c r="B117" s="387" t="s">
        <v>106</v>
      </c>
      <c r="C117" s="387" t="s">
        <v>107</v>
      </c>
      <c r="D117" s="387" t="s">
        <v>286</v>
      </c>
      <c r="E117" s="387" t="s">
        <v>102</v>
      </c>
      <c r="F117" s="294">
        <v>-19639</v>
      </c>
      <c r="G117" s="294">
        <v>-16610.03</v>
      </c>
    </row>
    <row r="118" spans="1:7" x14ac:dyDescent="0.25">
      <c r="B118" s="387" t="s">
        <v>119</v>
      </c>
      <c r="C118" s="387" t="s">
        <v>120</v>
      </c>
      <c r="D118" s="387" t="s">
        <v>302</v>
      </c>
      <c r="E118" s="387" t="s">
        <v>102</v>
      </c>
      <c r="F118" s="294">
        <v>-19639</v>
      </c>
      <c r="G118" s="294">
        <v>-40917.599999999999</v>
      </c>
    </row>
    <row r="119" spans="1:7" x14ac:dyDescent="0.25">
      <c r="B119" s="387" t="s">
        <v>121</v>
      </c>
      <c r="C119" s="387" t="s">
        <v>122</v>
      </c>
      <c r="D119" s="387" t="s">
        <v>314</v>
      </c>
      <c r="E119" s="387" t="s">
        <v>102</v>
      </c>
      <c r="F119" s="294">
        <v>-2578</v>
      </c>
      <c r="G119" s="294">
        <v>-12890</v>
      </c>
    </row>
    <row r="120" spans="1:7" x14ac:dyDescent="0.25">
      <c r="D120" s="387" t="s">
        <v>316</v>
      </c>
      <c r="E120" s="387" t="s">
        <v>102</v>
      </c>
      <c r="F120" s="294">
        <v>-666</v>
      </c>
      <c r="G120" s="294">
        <v>-3330</v>
      </c>
    </row>
    <row r="121" spans="1:7" x14ac:dyDescent="0.25">
      <c r="B121" s="387" t="s">
        <v>81</v>
      </c>
      <c r="C121" s="387" t="s">
        <v>82</v>
      </c>
      <c r="D121" s="387" t="s">
        <v>989</v>
      </c>
      <c r="E121" s="387" t="s">
        <v>74</v>
      </c>
      <c r="F121" s="294">
        <v>19284</v>
      </c>
      <c r="G121" s="294">
        <v>3275580.24</v>
      </c>
    </row>
    <row r="122" spans="1:7" x14ac:dyDescent="0.25">
      <c r="A122" s="388" t="s">
        <v>1113</v>
      </c>
      <c r="B122" s="389"/>
      <c r="C122" s="389"/>
      <c r="D122" s="389"/>
      <c r="E122" s="389"/>
      <c r="F122" s="389">
        <v>-32883.96</v>
      </c>
      <c r="G122" s="389">
        <v>65545.170000000391</v>
      </c>
    </row>
    <row r="123" spans="1:7" x14ac:dyDescent="0.25">
      <c r="A123" s="387" t="s">
        <v>991</v>
      </c>
      <c r="B123" s="387" t="s">
        <v>23</v>
      </c>
      <c r="C123" s="387" t="s">
        <v>24</v>
      </c>
      <c r="D123" s="387" t="s">
        <v>666</v>
      </c>
      <c r="E123" s="387" t="s">
        <v>80</v>
      </c>
      <c r="F123" s="294">
        <v>-7753.17</v>
      </c>
      <c r="G123" s="294">
        <v>-2520865.69</v>
      </c>
    </row>
    <row r="124" spans="1:7" x14ac:dyDescent="0.25">
      <c r="B124" s="387" t="s">
        <v>106</v>
      </c>
      <c r="C124" s="387" t="s">
        <v>107</v>
      </c>
      <c r="D124" s="387" t="s">
        <v>286</v>
      </c>
      <c r="E124" s="387" t="s">
        <v>102</v>
      </c>
      <c r="F124" s="294">
        <v>-15701</v>
      </c>
      <c r="G124" s="294">
        <v>-13279.4</v>
      </c>
    </row>
    <row r="125" spans="1:7" x14ac:dyDescent="0.25">
      <c r="B125" s="387" t="s">
        <v>119</v>
      </c>
      <c r="C125" s="387" t="s">
        <v>120</v>
      </c>
      <c r="D125" s="387" t="s">
        <v>302</v>
      </c>
      <c r="E125" s="387" t="s">
        <v>102</v>
      </c>
      <c r="F125" s="294">
        <v>-15701</v>
      </c>
      <c r="G125" s="294">
        <v>-32712.83</v>
      </c>
    </row>
    <row r="126" spans="1:7" x14ac:dyDescent="0.25">
      <c r="B126" s="387" t="s">
        <v>121</v>
      </c>
      <c r="C126" s="387" t="s">
        <v>122</v>
      </c>
      <c r="D126" s="387" t="s">
        <v>316</v>
      </c>
      <c r="E126" s="387" t="s">
        <v>102</v>
      </c>
      <c r="F126" s="294">
        <v>-2595</v>
      </c>
      <c r="G126" s="294">
        <v>-12975</v>
      </c>
    </row>
    <row r="127" spans="1:7" x14ac:dyDescent="0.25">
      <c r="B127" s="387" t="s">
        <v>81</v>
      </c>
      <c r="C127" s="387" t="s">
        <v>82</v>
      </c>
      <c r="D127" s="387" t="s">
        <v>994</v>
      </c>
      <c r="E127" s="387" t="s">
        <v>74</v>
      </c>
      <c r="F127" s="294">
        <v>15487</v>
      </c>
      <c r="G127" s="294">
        <v>2630621.8199999998</v>
      </c>
    </row>
    <row r="128" spans="1:7" x14ac:dyDescent="0.25">
      <c r="A128" s="388" t="s">
        <v>1114</v>
      </c>
      <c r="B128" s="389"/>
      <c r="C128" s="389"/>
      <c r="D128" s="389"/>
      <c r="E128" s="389"/>
      <c r="F128" s="389">
        <v>-26263.17</v>
      </c>
      <c r="G128" s="389">
        <v>50788.899999999907</v>
      </c>
    </row>
    <row r="129" spans="1:7" x14ac:dyDescent="0.25">
      <c r="A129" s="387" t="s">
        <v>996</v>
      </c>
      <c r="B129" s="387" t="s">
        <v>13</v>
      </c>
      <c r="C129" s="387" t="s">
        <v>14</v>
      </c>
      <c r="D129" s="387" t="s">
        <v>662</v>
      </c>
      <c r="E129" s="387" t="s">
        <v>80</v>
      </c>
      <c r="F129" s="294">
        <v>-9299.5</v>
      </c>
      <c r="G129" s="294">
        <v>-2518676.58</v>
      </c>
    </row>
    <row r="130" spans="1:7" x14ac:dyDescent="0.25">
      <c r="B130" s="387" t="s">
        <v>15</v>
      </c>
      <c r="C130" s="387" t="s">
        <v>233</v>
      </c>
      <c r="D130" s="387" t="s">
        <v>636</v>
      </c>
      <c r="E130" s="387" t="s">
        <v>80</v>
      </c>
      <c r="F130" s="294">
        <v>-247.7</v>
      </c>
      <c r="G130" s="294">
        <v>-67084.59</v>
      </c>
    </row>
    <row r="131" spans="1:7" x14ac:dyDescent="0.25">
      <c r="D131" s="387" t="s">
        <v>999</v>
      </c>
      <c r="E131" s="387" t="s">
        <v>80</v>
      </c>
      <c r="F131" s="294">
        <v>-52.3</v>
      </c>
      <c r="G131" s="294">
        <v>-14164.41</v>
      </c>
    </row>
    <row r="132" spans="1:7" x14ac:dyDescent="0.25">
      <c r="D132" s="387" t="s">
        <v>1010</v>
      </c>
      <c r="E132" s="387" t="s">
        <v>80</v>
      </c>
      <c r="F132" s="294">
        <v>-0.56000000000000005</v>
      </c>
      <c r="G132" s="294">
        <v>-151.66</v>
      </c>
    </row>
    <row r="133" spans="1:7" x14ac:dyDescent="0.25">
      <c r="B133" s="387" t="s">
        <v>19</v>
      </c>
      <c r="C133" s="387" t="s">
        <v>20</v>
      </c>
      <c r="D133" s="387" t="s">
        <v>304</v>
      </c>
      <c r="E133" s="387" t="s">
        <v>80</v>
      </c>
      <c r="F133" s="294">
        <v>-2403.58</v>
      </c>
      <c r="G133" s="294">
        <v>-384404.55</v>
      </c>
    </row>
    <row r="134" spans="1:7" x14ac:dyDescent="0.25">
      <c r="B134" s="387" t="s">
        <v>23</v>
      </c>
      <c r="C134" s="387" t="s">
        <v>24</v>
      </c>
      <c r="D134" s="387" t="s">
        <v>1000</v>
      </c>
      <c r="E134" s="387" t="s">
        <v>80</v>
      </c>
      <c r="F134" s="294">
        <v>9676.26</v>
      </c>
      <c r="G134" s="294">
        <v>3146139.18</v>
      </c>
    </row>
    <row r="135" spans="1:7" x14ac:dyDescent="0.25">
      <c r="A135" s="388" t="s">
        <v>1115</v>
      </c>
      <c r="B135" s="389"/>
      <c r="C135" s="389"/>
      <c r="D135" s="389"/>
      <c r="E135" s="389"/>
      <c r="F135" s="389">
        <v>-2327.3799999999992</v>
      </c>
      <c r="G135" s="389">
        <v>161657.39000000013</v>
      </c>
    </row>
    <row r="136" spans="1:7" x14ac:dyDescent="0.25">
      <c r="A136" s="387" t="s">
        <v>1002</v>
      </c>
      <c r="B136" s="387" t="s">
        <v>23</v>
      </c>
      <c r="C136" s="387" t="s">
        <v>24</v>
      </c>
      <c r="D136" s="387" t="s">
        <v>1000</v>
      </c>
      <c r="E136" s="387" t="s">
        <v>80</v>
      </c>
      <c r="F136" s="294">
        <v>-9676.26</v>
      </c>
      <c r="G136" s="294">
        <v>-3146139.18</v>
      </c>
    </row>
    <row r="137" spans="1:7" x14ac:dyDescent="0.25">
      <c r="B137" s="387" t="s">
        <v>106</v>
      </c>
      <c r="C137" s="387" t="s">
        <v>107</v>
      </c>
      <c r="D137" s="387" t="s">
        <v>286</v>
      </c>
      <c r="E137" s="387" t="s">
        <v>102</v>
      </c>
      <c r="F137" s="294">
        <v>-19609</v>
      </c>
      <c r="G137" s="294">
        <v>-16584.66</v>
      </c>
    </row>
    <row r="138" spans="1:7" x14ac:dyDescent="0.25">
      <c r="B138" s="387" t="s">
        <v>119</v>
      </c>
      <c r="C138" s="387" t="s">
        <v>120</v>
      </c>
      <c r="D138" s="387" t="s">
        <v>302</v>
      </c>
      <c r="E138" s="387" t="s">
        <v>102</v>
      </c>
      <c r="F138" s="294">
        <v>-19609</v>
      </c>
      <c r="G138" s="294">
        <v>-40855.1</v>
      </c>
    </row>
    <row r="139" spans="1:7" x14ac:dyDescent="0.25">
      <c r="B139" s="387" t="s">
        <v>121</v>
      </c>
      <c r="C139" s="387" t="s">
        <v>122</v>
      </c>
      <c r="D139" s="387" t="s">
        <v>316</v>
      </c>
      <c r="E139" s="387" t="s">
        <v>102</v>
      </c>
      <c r="F139" s="294">
        <v>-3235</v>
      </c>
      <c r="G139" s="294">
        <v>-16175</v>
      </c>
    </row>
    <row r="140" spans="1:7" x14ac:dyDescent="0.25">
      <c r="B140" s="387" t="s">
        <v>81</v>
      </c>
      <c r="C140" s="387" t="s">
        <v>82</v>
      </c>
      <c r="D140" s="387" t="s">
        <v>1005</v>
      </c>
      <c r="E140" s="387" t="s">
        <v>74</v>
      </c>
      <c r="F140" s="294">
        <v>19344</v>
      </c>
      <c r="G140" s="294">
        <v>3285771.84</v>
      </c>
    </row>
    <row r="141" spans="1:7" x14ac:dyDescent="0.25">
      <c r="A141" s="388" t="s">
        <v>1116</v>
      </c>
      <c r="B141" s="389"/>
      <c r="C141" s="389"/>
      <c r="D141" s="389"/>
      <c r="E141" s="389"/>
      <c r="F141" s="389">
        <v>-32785.26</v>
      </c>
      <c r="G141" s="389">
        <v>66017.899999999441</v>
      </c>
    </row>
    <row r="142" spans="1:7" x14ac:dyDescent="0.25">
      <c r="A142" s="387" t="s">
        <v>1007</v>
      </c>
      <c r="B142" s="387" t="s">
        <v>13</v>
      </c>
      <c r="C142" s="387" t="s">
        <v>14</v>
      </c>
      <c r="D142" s="387" t="s">
        <v>327</v>
      </c>
      <c r="E142" s="387" t="s">
        <v>80</v>
      </c>
      <c r="F142" s="294">
        <v>-8942.2000000000007</v>
      </c>
      <c r="G142" s="294">
        <v>-2421905.4500000002</v>
      </c>
    </row>
    <row r="143" spans="1:7" x14ac:dyDescent="0.25">
      <c r="B143" s="387" t="s">
        <v>15</v>
      </c>
      <c r="C143" s="387" t="s">
        <v>233</v>
      </c>
      <c r="D143" s="387" t="s">
        <v>999</v>
      </c>
      <c r="E143" s="387" t="s">
        <v>80</v>
      </c>
      <c r="F143" s="294">
        <v>-222.9</v>
      </c>
      <c r="G143" s="294">
        <v>-60368.01</v>
      </c>
    </row>
    <row r="144" spans="1:7" x14ac:dyDescent="0.25">
      <c r="D144" s="387" t="s">
        <v>1010</v>
      </c>
      <c r="E144" s="387" t="s">
        <v>80</v>
      </c>
      <c r="F144" s="294">
        <v>-820.68</v>
      </c>
      <c r="G144" s="294">
        <v>-222264.76</v>
      </c>
    </row>
    <row r="145" spans="1:7" x14ac:dyDescent="0.25">
      <c r="B145" s="387" t="s">
        <v>19</v>
      </c>
      <c r="C145" s="387" t="s">
        <v>20</v>
      </c>
      <c r="D145" s="387" t="s">
        <v>304</v>
      </c>
      <c r="E145" s="387" t="s">
        <v>80</v>
      </c>
      <c r="F145" s="294">
        <v>-2497.64</v>
      </c>
      <c r="G145" s="294">
        <v>-399447.57</v>
      </c>
    </row>
    <row r="146" spans="1:7" x14ac:dyDescent="0.25">
      <c r="B146" s="387" t="s">
        <v>23</v>
      </c>
      <c r="C146" s="387" t="s">
        <v>24</v>
      </c>
      <c r="D146" s="387" t="s">
        <v>1011</v>
      </c>
      <c r="E146" s="387" t="s">
        <v>80</v>
      </c>
      <c r="F146" s="294">
        <v>10060.59</v>
      </c>
      <c r="G146" s="294">
        <v>3271100.23</v>
      </c>
    </row>
    <row r="147" spans="1:7" x14ac:dyDescent="0.25">
      <c r="A147" s="388" t="s">
        <v>1117</v>
      </c>
      <c r="B147" s="389"/>
      <c r="C147" s="389"/>
      <c r="D147" s="389"/>
      <c r="E147" s="389"/>
      <c r="F147" s="389">
        <v>-2422.83</v>
      </c>
      <c r="G147" s="389">
        <v>167114.44000000041</v>
      </c>
    </row>
    <row r="148" spans="1:7" x14ac:dyDescent="0.25">
      <c r="A148" s="387" t="s">
        <v>1013</v>
      </c>
      <c r="B148" s="387" t="s">
        <v>13</v>
      </c>
      <c r="C148" s="387" t="s">
        <v>14</v>
      </c>
      <c r="D148" s="387" t="s">
        <v>327</v>
      </c>
      <c r="E148" s="387" t="s">
        <v>80</v>
      </c>
      <c r="F148" s="294">
        <v>-8601</v>
      </c>
      <c r="G148" s="294">
        <v>-2329494.84</v>
      </c>
    </row>
    <row r="149" spans="1:7" x14ac:dyDescent="0.25">
      <c r="B149" s="387" t="s">
        <v>15</v>
      </c>
      <c r="C149" s="387" t="s">
        <v>233</v>
      </c>
      <c r="D149" s="387" t="s">
        <v>1010</v>
      </c>
      <c r="E149" s="387" t="s">
        <v>80</v>
      </c>
      <c r="F149" s="294">
        <v>-1003.08</v>
      </c>
      <c r="G149" s="294">
        <v>-271664.15999999997</v>
      </c>
    </row>
    <row r="150" spans="1:7" x14ac:dyDescent="0.25">
      <c r="B150" s="387" t="s">
        <v>19</v>
      </c>
      <c r="C150" s="387" t="s">
        <v>20</v>
      </c>
      <c r="D150" s="387" t="s">
        <v>304</v>
      </c>
      <c r="E150" s="387" t="s">
        <v>80</v>
      </c>
      <c r="F150" s="294">
        <v>-2402.7199999999998</v>
      </c>
      <c r="G150" s="294">
        <v>-384267.01</v>
      </c>
    </row>
    <row r="151" spans="1:7" x14ac:dyDescent="0.25">
      <c r="B151" s="387" t="s">
        <v>23</v>
      </c>
      <c r="C151" s="387" t="s">
        <v>24</v>
      </c>
      <c r="D151" s="387" t="s">
        <v>1016</v>
      </c>
      <c r="E151" s="387" t="s">
        <v>80</v>
      </c>
      <c r="F151" s="294">
        <v>9645.68</v>
      </c>
      <c r="G151" s="294">
        <v>3136196.4</v>
      </c>
    </row>
    <row r="152" spans="1:7" x14ac:dyDescent="0.25">
      <c r="A152" s="388" t="s">
        <v>1118</v>
      </c>
      <c r="B152" s="389"/>
      <c r="C152" s="389"/>
      <c r="D152" s="389"/>
      <c r="E152" s="389"/>
      <c r="F152" s="389">
        <v>-2361.119999999999</v>
      </c>
      <c r="G152" s="389">
        <v>150770.39000000013</v>
      </c>
    </row>
    <row r="153" spans="1:7" x14ac:dyDescent="0.25">
      <c r="A153" s="387" t="s">
        <v>1018</v>
      </c>
      <c r="B153" s="387" t="s">
        <v>13</v>
      </c>
      <c r="C153" s="387" t="s">
        <v>14</v>
      </c>
      <c r="D153" s="387" t="s">
        <v>561</v>
      </c>
      <c r="E153" s="387" t="s">
        <v>80</v>
      </c>
      <c r="F153" s="294">
        <v>-4641.9399999999996</v>
      </c>
      <c r="G153" s="294">
        <v>-1257223.03</v>
      </c>
    </row>
    <row r="154" spans="1:7" x14ac:dyDescent="0.25">
      <c r="D154" s="387" t="s">
        <v>662</v>
      </c>
      <c r="E154" s="387" t="s">
        <v>80</v>
      </c>
      <c r="F154" s="294">
        <v>-4767.3599999999997</v>
      </c>
      <c r="G154" s="294">
        <v>-1291191.78</v>
      </c>
    </row>
    <row r="155" spans="1:7" x14ac:dyDescent="0.25">
      <c r="B155" s="387" t="s">
        <v>19</v>
      </c>
      <c r="C155" s="387" t="s">
        <v>20</v>
      </c>
      <c r="D155" s="387" t="s">
        <v>304</v>
      </c>
      <c r="E155" s="387" t="s">
        <v>80</v>
      </c>
      <c r="F155" s="294">
        <v>-2359.12</v>
      </c>
      <c r="G155" s="294">
        <v>-377294.06</v>
      </c>
    </row>
    <row r="156" spans="1:7" x14ac:dyDescent="0.25">
      <c r="B156" s="387" t="s">
        <v>23</v>
      </c>
      <c r="C156" s="387" t="s">
        <v>24</v>
      </c>
      <c r="D156" s="387" t="s">
        <v>1021</v>
      </c>
      <c r="E156" s="387" t="s">
        <v>80</v>
      </c>
      <c r="F156" s="294">
        <v>9465.5499999999993</v>
      </c>
      <c r="G156" s="294">
        <v>3077628.93</v>
      </c>
    </row>
    <row r="157" spans="1:7" x14ac:dyDescent="0.25">
      <c r="A157" s="388" t="s">
        <v>1119</v>
      </c>
      <c r="B157" s="389"/>
      <c r="C157" s="389"/>
      <c r="D157" s="389"/>
      <c r="E157" s="389"/>
      <c r="F157" s="389">
        <v>-2302.869999999999</v>
      </c>
      <c r="G157" s="389">
        <v>151920.06000000006</v>
      </c>
    </row>
    <row r="158" spans="1:7" x14ac:dyDescent="0.25">
      <c r="A158" s="387" t="s">
        <v>1023</v>
      </c>
      <c r="B158" s="387" t="s">
        <v>23</v>
      </c>
      <c r="C158" s="387" t="s">
        <v>24</v>
      </c>
      <c r="D158" s="387" t="s">
        <v>1011</v>
      </c>
      <c r="E158" s="387" t="s">
        <v>80</v>
      </c>
      <c r="F158" s="294">
        <v>-10060.59</v>
      </c>
      <c r="G158" s="294">
        <v>-3271100.23</v>
      </c>
    </row>
    <row r="159" spans="1:7" x14ac:dyDescent="0.25">
      <c r="B159" s="387" t="s">
        <v>106</v>
      </c>
      <c r="C159" s="387" t="s">
        <v>107</v>
      </c>
      <c r="D159" s="387" t="s">
        <v>286</v>
      </c>
      <c r="E159" s="387" t="s">
        <v>102</v>
      </c>
      <c r="F159" s="294">
        <v>-20454</v>
      </c>
      <c r="G159" s="294">
        <v>-17299.330000000002</v>
      </c>
    </row>
    <row r="160" spans="1:7" x14ac:dyDescent="0.25">
      <c r="B160" s="387" t="s">
        <v>119</v>
      </c>
      <c r="C160" s="387" t="s">
        <v>120</v>
      </c>
      <c r="D160" s="387" t="s">
        <v>302</v>
      </c>
      <c r="E160" s="387" t="s">
        <v>102</v>
      </c>
      <c r="F160" s="294">
        <v>-20454</v>
      </c>
      <c r="G160" s="294">
        <v>-42615.64</v>
      </c>
    </row>
    <row r="161" spans="1:7" x14ac:dyDescent="0.25">
      <c r="B161" s="387" t="s">
        <v>121</v>
      </c>
      <c r="C161" s="387" t="s">
        <v>122</v>
      </c>
      <c r="D161" s="387" t="s">
        <v>316</v>
      </c>
      <c r="E161" s="387" t="s">
        <v>102</v>
      </c>
      <c r="F161" s="294">
        <v>-3363</v>
      </c>
      <c r="G161" s="294">
        <v>-16815</v>
      </c>
    </row>
    <row r="162" spans="1:7" x14ac:dyDescent="0.25">
      <c r="B162" s="387" t="s">
        <v>81</v>
      </c>
      <c r="C162" s="387" t="s">
        <v>82</v>
      </c>
      <c r="D162" s="387" t="s">
        <v>1026</v>
      </c>
      <c r="E162" s="387" t="s">
        <v>74</v>
      </c>
      <c r="F162" s="294">
        <v>20106</v>
      </c>
      <c r="G162" s="294">
        <v>3415205.16</v>
      </c>
    </row>
    <row r="163" spans="1:7" x14ac:dyDescent="0.25">
      <c r="A163" s="388" t="s">
        <v>1120</v>
      </c>
      <c r="B163" s="389"/>
      <c r="C163" s="389"/>
      <c r="D163" s="389"/>
      <c r="E163" s="389"/>
      <c r="F163" s="389">
        <v>-34225.589999999997</v>
      </c>
      <c r="G163" s="389">
        <v>67374.959999999963</v>
      </c>
    </row>
    <row r="164" spans="1:7" x14ac:dyDescent="0.25">
      <c r="A164" s="387" t="s">
        <v>1028</v>
      </c>
      <c r="B164" s="387" t="s">
        <v>23</v>
      </c>
      <c r="C164" s="387" t="s">
        <v>24</v>
      </c>
      <c r="D164" s="387" t="s">
        <v>1016</v>
      </c>
      <c r="E164" s="387" t="s">
        <v>80</v>
      </c>
      <c r="F164" s="294">
        <v>-9645.68</v>
      </c>
      <c r="G164" s="294">
        <v>-3136196.4</v>
      </c>
    </row>
    <row r="165" spans="1:7" x14ac:dyDescent="0.25">
      <c r="B165" s="387" t="s">
        <v>106</v>
      </c>
      <c r="C165" s="387" t="s">
        <v>107</v>
      </c>
      <c r="D165" s="387" t="s">
        <v>286</v>
      </c>
      <c r="E165" s="387" t="s">
        <v>102</v>
      </c>
      <c r="F165" s="294">
        <v>-19555</v>
      </c>
      <c r="G165" s="294">
        <v>-16538.990000000002</v>
      </c>
    </row>
    <row r="166" spans="1:7" x14ac:dyDescent="0.25">
      <c r="B166" s="387" t="s">
        <v>119</v>
      </c>
      <c r="C166" s="387" t="s">
        <v>120</v>
      </c>
      <c r="D166" s="387" t="s">
        <v>302</v>
      </c>
      <c r="E166" s="387" t="s">
        <v>102</v>
      </c>
      <c r="F166" s="294">
        <v>-616</v>
      </c>
      <c r="G166" s="294">
        <v>-1283.43</v>
      </c>
    </row>
    <row r="167" spans="1:7" x14ac:dyDescent="0.25">
      <c r="D167" s="387" t="s">
        <v>307</v>
      </c>
      <c r="E167" s="387" t="s">
        <v>102</v>
      </c>
      <c r="F167" s="294">
        <v>-18939</v>
      </c>
      <c r="G167" s="294">
        <v>-39459.160000000003</v>
      </c>
    </row>
    <row r="168" spans="1:7" x14ac:dyDescent="0.25">
      <c r="B168" s="387" t="s">
        <v>121</v>
      </c>
      <c r="C168" s="387" t="s">
        <v>122</v>
      </c>
      <c r="D168" s="387" t="s">
        <v>316</v>
      </c>
      <c r="E168" s="387" t="s">
        <v>102</v>
      </c>
      <c r="F168" s="294">
        <v>-3225</v>
      </c>
      <c r="G168" s="294">
        <v>-16125</v>
      </c>
    </row>
    <row r="169" spans="1:7" x14ac:dyDescent="0.25">
      <c r="B169" s="387" t="s">
        <v>81</v>
      </c>
      <c r="C169" s="387" t="s">
        <v>82</v>
      </c>
      <c r="D169" s="387" t="s">
        <v>1031</v>
      </c>
      <c r="E169" s="387" t="s">
        <v>74</v>
      </c>
      <c r="F169" s="294">
        <v>19284</v>
      </c>
      <c r="G169" s="294">
        <v>3275580.24</v>
      </c>
    </row>
    <row r="170" spans="1:7" x14ac:dyDescent="0.25">
      <c r="A170" s="388" t="s">
        <v>1121</v>
      </c>
      <c r="B170" s="389"/>
      <c r="C170" s="389"/>
      <c r="D170" s="389"/>
      <c r="E170" s="389"/>
      <c r="F170" s="389">
        <v>-32696.68</v>
      </c>
      <c r="G170" s="389">
        <v>65977.259999999776</v>
      </c>
    </row>
    <row r="171" spans="1:7" x14ac:dyDescent="0.25">
      <c r="A171" s="387" t="s">
        <v>1033</v>
      </c>
      <c r="B171" s="387" t="s">
        <v>23</v>
      </c>
      <c r="C171" s="387" t="s">
        <v>24</v>
      </c>
      <c r="D171" s="387" t="s">
        <v>1021</v>
      </c>
      <c r="E171" s="387" t="s">
        <v>80</v>
      </c>
      <c r="F171" s="294">
        <v>-9465.5499999999993</v>
      </c>
      <c r="G171" s="294">
        <v>-3077628.93</v>
      </c>
    </row>
    <row r="172" spans="1:7" x14ac:dyDescent="0.25">
      <c r="B172" s="387" t="s">
        <v>106</v>
      </c>
      <c r="C172" s="387" t="s">
        <v>107</v>
      </c>
      <c r="D172" s="387" t="s">
        <v>286</v>
      </c>
      <c r="E172" s="387" t="s">
        <v>102</v>
      </c>
      <c r="F172" s="294">
        <v>-8283</v>
      </c>
      <c r="G172" s="294">
        <v>-7005.49</v>
      </c>
    </row>
    <row r="173" spans="1:7" x14ac:dyDescent="0.25">
      <c r="D173" s="387" t="s">
        <v>220</v>
      </c>
      <c r="E173" s="387" t="s">
        <v>102</v>
      </c>
      <c r="F173" s="294">
        <v>-10925</v>
      </c>
      <c r="G173" s="294">
        <v>-9240.01</v>
      </c>
    </row>
    <row r="174" spans="1:7" x14ac:dyDescent="0.25">
      <c r="B174" s="387" t="s">
        <v>119</v>
      </c>
      <c r="C174" s="387" t="s">
        <v>120</v>
      </c>
      <c r="D174" s="387" t="s">
        <v>307</v>
      </c>
      <c r="E174" s="387" t="s">
        <v>102</v>
      </c>
      <c r="F174" s="294">
        <v>-19208</v>
      </c>
      <c r="G174" s="294">
        <v>-40019.620000000003</v>
      </c>
    </row>
    <row r="175" spans="1:7" x14ac:dyDescent="0.25">
      <c r="B175" s="387" t="s">
        <v>121</v>
      </c>
      <c r="C175" s="387" t="s">
        <v>122</v>
      </c>
      <c r="D175" s="387" t="s">
        <v>316</v>
      </c>
      <c r="E175" s="387" t="s">
        <v>102</v>
      </c>
      <c r="F175" s="294">
        <v>-1916</v>
      </c>
      <c r="G175" s="294">
        <v>-9580</v>
      </c>
    </row>
    <row r="176" spans="1:7" x14ac:dyDescent="0.25">
      <c r="D176" s="387" t="s">
        <v>772</v>
      </c>
      <c r="E176" s="387" t="s">
        <v>102</v>
      </c>
      <c r="F176" s="294">
        <v>-1272</v>
      </c>
      <c r="G176" s="294">
        <v>-6360</v>
      </c>
    </row>
    <row r="177" spans="1:7" x14ac:dyDescent="0.25">
      <c r="B177" s="387" t="s">
        <v>81</v>
      </c>
      <c r="C177" s="387" t="s">
        <v>82</v>
      </c>
      <c r="D177" s="387" t="s">
        <v>1036</v>
      </c>
      <c r="E177" s="387" t="s">
        <v>74</v>
      </c>
      <c r="F177" s="294">
        <v>18925</v>
      </c>
      <c r="G177" s="294">
        <v>3214600.5</v>
      </c>
    </row>
    <row r="178" spans="1:7" x14ac:dyDescent="0.25">
      <c r="A178" s="388" t="s">
        <v>1122</v>
      </c>
      <c r="B178" s="389"/>
      <c r="C178" s="389"/>
      <c r="D178" s="389"/>
      <c r="E178" s="389"/>
      <c r="F178" s="389">
        <v>-32144.550000000003</v>
      </c>
      <c r="G178" s="389">
        <v>64766.449999999721</v>
      </c>
    </row>
    <row r="179" spans="1:7" x14ac:dyDescent="0.25">
      <c r="A179" s="387" t="s">
        <v>1055</v>
      </c>
      <c r="B179" s="387" t="s">
        <v>17</v>
      </c>
      <c r="C179" s="387" t="s">
        <v>18</v>
      </c>
      <c r="D179" s="387" t="s">
        <v>304</v>
      </c>
      <c r="E179" s="387" t="s">
        <v>80</v>
      </c>
      <c r="F179" s="294">
        <v>-8983.2999999999993</v>
      </c>
      <c r="G179" s="294">
        <v>-1399591.58</v>
      </c>
    </row>
    <row r="180" spans="1:7" x14ac:dyDescent="0.25">
      <c r="B180" s="387" t="s">
        <v>19</v>
      </c>
      <c r="C180" s="387" t="s">
        <v>20</v>
      </c>
      <c r="D180" s="387" t="s">
        <v>304</v>
      </c>
      <c r="E180" s="387" t="s">
        <v>80</v>
      </c>
      <c r="F180" s="294">
        <v>8833.9</v>
      </c>
      <c r="G180" s="294">
        <v>1412805.63</v>
      </c>
    </row>
    <row r="181" spans="1:7" x14ac:dyDescent="0.25">
      <c r="B181" s="387" t="s">
        <v>21</v>
      </c>
      <c r="C181" s="387" t="s">
        <v>234</v>
      </c>
      <c r="D181" s="387" t="s">
        <v>304</v>
      </c>
      <c r="E181" s="387" t="s">
        <v>80</v>
      </c>
      <c r="F181" s="294">
        <v>112.4</v>
      </c>
      <c r="G181" s="294">
        <v>17976.13</v>
      </c>
    </row>
    <row r="182" spans="1:7" x14ac:dyDescent="0.25">
      <c r="A182" s="388" t="s">
        <v>1123</v>
      </c>
      <c r="B182" s="389"/>
      <c r="C182" s="389"/>
      <c r="D182" s="389"/>
      <c r="E182" s="389"/>
      <c r="F182" s="389">
        <v>-36.999999999999631</v>
      </c>
      <c r="G182" s="389">
        <v>31190.179999999815</v>
      </c>
    </row>
    <row r="183" spans="1:7" x14ac:dyDescent="0.25">
      <c r="A183" s="387" t="s">
        <v>1206</v>
      </c>
      <c r="B183" s="387" t="s">
        <v>13</v>
      </c>
      <c r="C183" s="387" t="s">
        <v>14</v>
      </c>
      <c r="D183" s="387" t="s">
        <v>327</v>
      </c>
      <c r="E183" s="387" t="s">
        <v>80</v>
      </c>
      <c r="F183" s="294">
        <v>-200.04</v>
      </c>
      <c r="G183" s="294">
        <v>-54178.83</v>
      </c>
    </row>
    <row r="184" spans="1:7" x14ac:dyDescent="0.25">
      <c r="B184" s="387" t="s">
        <v>15</v>
      </c>
      <c r="C184" s="387" t="s">
        <v>233</v>
      </c>
      <c r="D184" s="387" t="s">
        <v>1010</v>
      </c>
      <c r="E184" s="387" t="s">
        <v>80</v>
      </c>
      <c r="F184" s="294">
        <v>-9.08</v>
      </c>
      <c r="G184" s="294">
        <v>-2459.14</v>
      </c>
    </row>
    <row r="185" spans="1:7" x14ac:dyDescent="0.25">
      <c r="D185" s="387" t="s">
        <v>1236</v>
      </c>
      <c r="E185" s="387" t="s">
        <v>80</v>
      </c>
      <c r="F185" s="294">
        <v>-175.86</v>
      </c>
      <c r="G185" s="294">
        <v>-47628.160000000003</v>
      </c>
    </row>
    <row r="186" spans="1:7" x14ac:dyDescent="0.25">
      <c r="B186" s="387" t="s">
        <v>19</v>
      </c>
      <c r="C186" s="387" t="s">
        <v>20</v>
      </c>
      <c r="D186" s="387" t="s">
        <v>304</v>
      </c>
      <c r="E186" s="387" t="s">
        <v>80</v>
      </c>
      <c r="F186" s="294">
        <v>-287.26</v>
      </c>
      <c r="G186" s="294">
        <v>-45941.49</v>
      </c>
    </row>
    <row r="187" spans="1:7" x14ac:dyDescent="0.25">
      <c r="B187" s="387" t="s">
        <v>21</v>
      </c>
      <c r="C187" s="387" t="s">
        <v>234</v>
      </c>
      <c r="D187" s="387" t="s">
        <v>1237</v>
      </c>
      <c r="E187" s="387" t="s">
        <v>80</v>
      </c>
      <c r="F187" s="294">
        <v>-64.78</v>
      </c>
      <c r="G187" s="294">
        <v>-10360.27</v>
      </c>
    </row>
    <row r="188" spans="1:7" x14ac:dyDescent="0.25">
      <c r="D188" s="387" t="s">
        <v>1238</v>
      </c>
      <c r="E188" s="387" t="s">
        <v>80</v>
      </c>
      <c r="F188" s="294">
        <v>-224.22</v>
      </c>
      <c r="G188" s="294">
        <v>-35859.5</v>
      </c>
    </row>
    <row r="189" spans="1:7" x14ac:dyDescent="0.25">
      <c r="B189" s="387" t="s">
        <v>205</v>
      </c>
      <c r="C189" s="387" t="s">
        <v>206</v>
      </c>
      <c r="D189" s="387" t="s">
        <v>602</v>
      </c>
      <c r="E189" s="387" t="s">
        <v>80</v>
      </c>
      <c r="F189" s="294">
        <v>760</v>
      </c>
      <c r="G189" s="294">
        <v>204956.79999999999</v>
      </c>
    </row>
    <row r="190" spans="1:7" x14ac:dyDescent="0.25">
      <c r="A190" s="388" t="s">
        <v>1297</v>
      </c>
      <c r="B190" s="389"/>
      <c r="C190" s="389"/>
      <c r="D190" s="389"/>
      <c r="E190" s="389"/>
      <c r="F190" s="389">
        <v>-201.24</v>
      </c>
      <c r="G190" s="389">
        <v>8529.4100000000035</v>
      </c>
    </row>
    <row r="191" spans="1:7" x14ac:dyDescent="0.25">
      <c r="A191" s="387" t="s">
        <v>1243</v>
      </c>
      <c r="B191" s="387" t="s">
        <v>13</v>
      </c>
      <c r="C191" s="387" t="s">
        <v>14</v>
      </c>
      <c r="D191" s="387" t="s">
        <v>327</v>
      </c>
      <c r="E191" s="387" t="s">
        <v>80</v>
      </c>
      <c r="F191" s="294">
        <v>-853.6</v>
      </c>
      <c r="G191" s="294">
        <v>-231189.02</v>
      </c>
    </row>
    <row r="192" spans="1:7" x14ac:dyDescent="0.25">
      <c r="D192" s="387" t="s">
        <v>561</v>
      </c>
      <c r="E192" s="387" t="s">
        <v>80</v>
      </c>
      <c r="F192" s="294">
        <v>-8367</v>
      </c>
      <c r="G192" s="294">
        <v>-2266118.2799999998</v>
      </c>
    </row>
    <row r="193" spans="1:7" x14ac:dyDescent="0.25">
      <c r="B193" s="387" t="s">
        <v>15</v>
      </c>
      <c r="C193" s="387" t="s">
        <v>233</v>
      </c>
      <c r="D193" s="387" t="s">
        <v>1236</v>
      </c>
      <c r="E193" s="387" t="s">
        <v>80</v>
      </c>
      <c r="F193" s="294">
        <v>-747.54</v>
      </c>
      <c r="G193" s="294">
        <v>-202456.26</v>
      </c>
    </row>
    <row r="194" spans="1:7" x14ac:dyDescent="0.25">
      <c r="D194" s="387" t="s">
        <v>1246</v>
      </c>
      <c r="E194" s="387" t="s">
        <v>80</v>
      </c>
      <c r="F194" s="294">
        <v>-16.260000000000002</v>
      </c>
      <c r="G194" s="294">
        <v>-4403.7</v>
      </c>
    </row>
    <row r="195" spans="1:7" x14ac:dyDescent="0.25">
      <c r="B195" s="387" t="s">
        <v>19</v>
      </c>
      <c r="C195" s="387" t="s">
        <v>20</v>
      </c>
      <c r="D195" s="387" t="s">
        <v>304</v>
      </c>
      <c r="E195" s="387" t="s">
        <v>80</v>
      </c>
      <c r="F195" s="294">
        <v>-2496.34</v>
      </c>
      <c r="G195" s="294">
        <v>-399239.66</v>
      </c>
    </row>
    <row r="196" spans="1:7" x14ac:dyDescent="0.25">
      <c r="B196" s="387" t="s">
        <v>23</v>
      </c>
      <c r="C196" s="387" t="s">
        <v>24</v>
      </c>
      <c r="D196" s="387" t="s">
        <v>1247</v>
      </c>
      <c r="E196" s="387" t="s">
        <v>80</v>
      </c>
      <c r="F196" s="294">
        <v>10041.99</v>
      </c>
      <c r="G196" s="294">
        <v>3265052.63</v>
      </c>
    </row>
    <row r="197" spans="1:7" x14ac:dyDescent="0.25">
      <c r="A197" s="388" t="s">
        <v>1298</v>
      </c>
      <c r="B197" s="389"/>
      <c r="C197" s="389"/>
      <c r="D197" s="389"/>
      <c r="E197" s="389"/>
      <c r="F197" s="389">
        <v>-2438.75</v>
      </c>
      <c r="G197" s="389">
        <v>161645.70999999996</v>
      </c>
    </row>
    <row r="198" spans="1:7" x14ac:dyDescent="0.25">
      <c r="A198" s="387" t="s">
        <v>1249</v>
      </c>
      <c r="B198" s="387" t="s">
        <v>13</v>
      </c>
      <c r="C198" s="387" t="s">
        <v>14</v>
      </c>
      <c r="D198" s="387" t="s">
        <v>327</v>
      </c>
      <c r="E198" s="387" t="s">
        <v>80</v>
      </c>
      <c r="F198" s="294">
        <v>-7740.2</v>
      </c>
      <c r="G198" s="294">
        <v>-2096355.77</v>
      </c>
    </row>
    <row r="199" spans="1:7" x14ac:dyDescent="0.25">
      <c r="B199" s="387" t="s">
        <v>15</v>
      </c>
      <c r="C199" s="387" t="s">
        <v>233</v>
      </c>
      <c r="D199" s="387" t="s">
        <v>1246</v>
      </c>
      <c r="E199" s="387" t="s">
        <v>80</v>
      </c>
      <c r="F199" s="294">
        <v>-349.94</v>
      </c>
      <c r="G199" s="294">
        <v>-94774.25</v>
      </c>
    </row>
    <row r="200" spans="1:7" x14ac:dyDescent="0.25">
      <c r="D200" s="387" t="s">
        <v>1252</v>
      </c>
      <c r="E200" s="387" t="s">
        <v>80</v>
      </c>
      <c r="F200" s="294">
        <v>-551.55999999999995</v>
      </c>
      <c r="G200" s="294">
        <v>-149378.99</v>
      </c>
    </row>
    <row r="201" spans="1:7" x14ac:dyDescent="0.25">
      <c r="B201" s="387" t="s">
        <v>19</v>
      </c>
      <c r="C201" s="387" t="s">
        <v>20</v>
      </c>
      <c r="D201" s="387" t="s">
        <v>304</v>
      </c>
      <c r="E201" s="387" t="s">
        <v>80</v>
      </c>
      <c r="F201" s="294">
        <v>-2160.04</v>
      </c>
      <c r="G201" s="294">
        <v>-345455.2</v>
      </c>
    </row>
    <row r="202" spans="1:7" x14ac:dyDescent="0.25">
      <c r="B202" s="387" t="s">
        <v>23</v>
      </c>
      <c r="C202" s="387" t="s">
        <v>24</v>
      </c>
      <c r="D202" s="387" t="s">
        <v>1253</v>
      </c>
      <c r="E202" s="387" t="s">
        <v>80</v>
      </c>
      <c r="F202" s="294">
        <v>8701.74</v>
      </c>
      <c r="G202" s="294">
        <v>2829283.74</v>
      </c>
    </row>
    <row r="203" spans="1:7" x14ac:dyDescent="0.25">
      <c r="A203" s="388" t="s">
        <v>1299</v>
      </c>
      <c r="B203" s="389"/>
      <c r="C203" s="389"/>
      <c r="D203" s="389"/>
      <c r="E203" s="389"/>
      <c r="F203" s="389">
        <v>-2099.9999999999982</v>
      </c>
      <c r="G203" s="389">
        <v>143319.53000000026</v>
      </c>
    </row>
    <row r="204" spans="1:7" x14ac:dyDescent="0.25">
      <c r="A204" s="387" t="s">
        <v>1255</v>
      </c>
      <c r="B204" s="387" t="s">
        <v>9</v>
      </c>
      <c r="C204" s="387" t="s">
        <v>10</v>
      </c>
      <c r="D204" s="387" t="s">
        <v>327</v>
      </c>
      <c r="E204" s="387" t="s">
        <v>80</v>
      </c>
      <c r="F204" s="294">
        <v>-158.05000000000001</v>
      </c>
      <c r="G204" s="294">
        <v>-41710.76</v>
      </c>
    </row>
    <row r="205" spans="1:7" x14ac:dyDescent="0.25">
      <c r="D205" s="387" t="s">
        <v>944</v>
      </c>
      <c r="E205" s="387" t="s">
        <v>80</v>
      </c>
      <c r="F205" s="294">
        <v>-13882.95</v>
      </c>
      <c r="G205" s="294">
        <v>-3663830.41</v>
      </c>
    </row>
    <row r="206" spans="1:7" x14ac:dyDescent="0.25">
      <c r="B206" s="387" t="s">
        <v>13</v>
      </c>
      <c r="C206" s="387" t="s">
        <v>14</v>
      </c>
      <c r="D206" s="387" t="s">
        <v>944</v>
      </c>
      <c r="E206" s="387" t="s">
        <v>80</v>
      </c>
      <c r="F206" s="294">
        <v>13588.54</v>
      </c>
      <c r="G206" s="294">
        <v>3680320.17</v>
      </c>
    </row>
    <row r="207" spans="1:7" x14ac:dyDescent="0.25">
      <c r="B207" s="387" t="s">
        <v>15</v>
      </c>
      <c r="C207" s="387" t="s">
        <v>233</v>
      </c>
      <c r="D207" s="387" t="s">
        <v>944</v>
      </c>
      <c r="E207" s="387" t="s">
        <v>80</v>
      </c>
      <c r="F207" s="294">
        <v>385.1</v>
      </c>
      <c r="G207" s="294">
        <v>104296.63</v>
      </c>
    </row>
    <row r="208" spans="1:7" x14ac:dyDescent="0.25">
      <c r="A208" s="388" t="s">
        <v>1300</v>
      </c>
      <c r="B208" s="389"/>
      <c r="C208" s="389"/>
      <c r="D208" s="389"/>
      <c r="E208" s="389"/>
      <c r="F208" s="389">
        <v>-67.359999999999104</v>
      </c>
      <c r="G208" s="389">
        <v>79075.63</v>
      </c>
    </row>
    <row r="209" spans="1:7" x14ac:dyDescent="0.25">
      <c r="A209" s="387" t="s">
        <v>1259</v>
      </c>
      <c r="B209" s="387" t="s">
        <v>23</v>
      </c>
      <c r="C209" s="387" t="s">
        <v>24</v>
      </c>
      <c r="D209" s="387" t="s">
        <v>1247</v>
      </c>
      <c r="E209" s="387" t="s">
        <v>80</v>
      </c>
      <c r="F209" s="294">
        <v>-10041.99</v>
      </c>
      <c r="G209" s="294">
        <v>-3265052.63</v>
      </c>
    </row>
    <row r="210" spans="1:7" x14ac:dyDescent="0.25">
      <c r="B210" s="387" t="s">
        <v>106</v>
      </c>
      <c r="C210" s="387" t="s">
        <v>107</v>
      </c>
      <c r="D210" s="387" t="s">
        <v>286</v>
      </c>
      <c r="E210" s="387" t="s">
        <v>102</v>
      </c>
      <c r="F210" s="294">
        <v>-20452</v>
      </c>
      <c r="G210" s="294">
        <v>-17297.64</v>
      </c>
    </row>
    <row r="211" spans="1:7" x14ac:dyDescent="0.25">
      <c r="B211" s="387" t="s">
        <v>119</v>
      </c>
      <c r="C211" s="387" t="s">
        <v>120</v>
      </c>
      <c r="D211" s="387" t="s">
        <v>307</v>
      </c>
      <c r="E211" s="387" t="s">
        <v>102</v>
      </c>
      <c r="F211" s="294">
        <v>-20452</v>
      </c>
      <c r="G211" s="294">
        <v>-42611.48</v>
      </c>
    </row>
    <row r="212" spans="1:7" x14ac:dyDescent="0.25">
      <c r="B212" s="387" t="s">
        <v>121</v>
      </c>
      <c r="C212" s="387" t="s">
        <v>122</v>
      </c>
      <c r="D212" s="387" t="s">
        <v>772</v>
      </c>
      <c r="E212" s="387" t="s">
        <v>102</v>
      </c>
      <c r="F212" s="294">
        <v>-3358</v>
      </c>
      <c r="G212" s="294">
        <v>-16790</v>
      </c>
    </row>
    <row r="213" spans="1:7" x14ac:dyDescent="0.25">
      <c r="B213" s="387" t="s">
        <v>81</v>
      </c>
      <c r="C213" s="387" t="s">
        <v>82</v>
      </c>
      <c r="D213" s="387" t="s">
        <v>1262</v>
      </c>
      <c r="E213" s="387" t="s">
        <v>74</v>
      </c>
      <c r="F213" s="294">
        <v>20077</v>
      </c>
      <c r="G213" s="294">
        <v>3410279.22</v>
      </c>
    </row>
    <row r="214" spans="1:7" x14ac:dyDescent="0.25">
      <c r="A214" s="388" t="s">
        <v>1301</v>
      </c>
      <c r="B214" s="389"/>
      <c r="C214" s="389"/>
      <c r="D214" s="389"/>
      <c r="E214" s="389"/>
      <c r="F214" s="389">
        <v>-34226.99</v>
      </c>
      <c r="G214" s="389">
        <v>68527.470000000205</v>
      </c>
    </row>
    <row r="215" spans="1:7" x14ac:dyDescent="0.25">
      <c r="A215" s="387" t="s">
        <v>1264</v>
      </c>
      <c r="B215" s="387" t="s">
        <v>9</v>
      </c>
      <c r="C215" s="387" t="s">
        <v>10</v>
      </c>
      <c r="D215" s="387" t="s">
        <v>561</v>
      </c>
      <c r="E215" s="387" t="s">
        <v>80</v>
      </c>
      <c r="F215" s="294">
        <v>-15064.9</v>
      </c>
      <c r="G215" s="294">
        <v>-3975757.23</v>
      </c>
    </row>
    <row r="216" spans="1:7" x14ac:dyDescent="0.25">
      <c r="B216" s="387" t="s">
        <v>13</v>
      </c>
      <c r="C216" s="387" t="s">
        <v>14</v>
      </c>
      <c r="D216" s="387" t="s">
        <v>561</v>
      </c>
      <c r="E216" s="387" t="s">
        <v>80</v>
      </c>
      <c r="F216" s="294">
        <v>15026</v>
      </c>
      <c r="G216" s="294">
        <v>4069641.84</v>
      </c>
    </row>
    <row r="217" spans="1:7" x14ac:dyDescent="0.25">
      <c r="A217" s="388" t="s">
        <v>1302</v>
      </c>
      <c r="B217" s="389"/>
      <c r="C217" s="389"/>
      <c r="D217" s="389"/>
      <c r="E217" s="389"/>
      <c r="F217" s="389">
        <v>-38.899999999999636</v>
      </c>
      <c r="G217" s="389">
        <v>93884.60999999987</v>
      </c>
    </row>
    <row r="218" spans="1:7" x14ac:dyDescent="0.25">
      <c r="A218" s="387" t="s">
        <v>1268</v>
      </c>
      <c r="B218" s="387" t="s">
        <v>23</v>
      </c>
      <c r="C218" s="387" t="s">
        <v>24</v>
      </c>
      <c r="D218" s="387" t="s">
        <v>1253</v>
      </c>
      <c r="E218" s="387" t="s">
        <v>80</v>
      </c>
      <c r="F218" s="294">
        <v>-8701.74</v>
      </c>
      <c r="G218" s="294">
        <v>-2829283.74</v>
      </c>
    </row>
    <row r="219" spans="1:7" x14ac:dyDescent="0.25">
      <c r="B219" s="387" t="s">
        <v>106</v>
      </c>
      <c r="C219" s="387" t="s">
        <v>107</v>
      </c>
      <c r="D219" s="387" t="s">
        <v>286</v>
      </c>
      <c r="E219" s="387" t="s">
        <v>102</v>
      </c>
      <c r="F219" s="294">
        <v>-17689</v>
      </c>
      <c r="G219" s="294">
        <v>-14960.79</v>
      </c>
    </row>
    <row r="220" spans="1:7" x14ac:dyDescent="0.25">
      <c r="B220" s="387" t="s">
        <v>119</v>
      </c>
      <c r="C220" s="387" t="s">
        <v>120</v>
      </c>
      <c r="D220" s="387" t="s">
        <v>307</v>
      </c>
      <c r="E220" s="387" t="s">
        <v>102</v>
      </c>
      <c r="F220" s="294">
        <v>-17689</v>
      </c>
      <c r="G220" s="294">
        <v>-36854.800000000003</v>
      </c>
    </row>
    <row r="221" spans="1:7" x14ac:dyDescent="0.25">
      <c r="B221" s="387" t="s">
        <v>121</v>
      </c>
      <c r="C221" s="387" t="s">
        <v>122</v>
      </c>
      <c r="D221" s="387" t="s">
        <v>772</v>
      </c>
      <c r="E221" s="387" t="s">
        <v>102</v>
      </c>
      <c r="F221" s="294">
        <v>-2915</v>
      </c>
      <c r="G221" s="294">
        <v>-14575</v>
      </c>
    </row>
    <row r="222" spans="1:7" x14ac:dyDescent="0.25">
      <c r="B222" s="387" t="s">
        <v>81</v>
      </c>
      <c r="C222" s="387" t="s">
        <v>82</v>
      </c>
      <c r="D222" s="387" t="s">
        <v>1271</v>
      </c>
      <c r="E222" s="387" t="s">
        <v>74</v>
      </c>
      <c r="F222" s="294">
        <v>17390</v>
      </c>
      <c r="G222" s="294">
        <v>2953865.4</v>
      </c>
    </row>
    <row r="223" spans="1:7" x14ac:dyDescent="0.25">
      <c r="A223" s="388" t="s">
        <v>1303</v>
      </c>
      <c r="B223" s="389"/>
      <c r="C223" s="389"/>
      <c r="D223" s="389"/>
      <c r="E223" s="389"/>
      <c r="F223" s="389">
        <v>-29604.739999999998</v>
      </c>
      <c r="G223" s="389">
        <v>58191.069999999832</v>
      </c>
    </row>
    <row r="224" spans="1:7" x14ac:dyDescent="0.25">
      <c r="A224" s="387" t="s">
        <v>1273</v>
      </c>
      <c r="B224" s="387" t="s">
        <v>9</v>
      </c>
      <c r="C224" s="387" t="s">
        <v>10</v>
      </c>
      <c r="D224" s="387" t="s">
        <v>944</v>
      </c>
      <c r="E224" s="387" t="s">
        <v>80</v>
      </c>
      <c r="F224" s="294">
        <v>-7017.2</v>
      </c>
      <c r="G224" s="294">
        <v>-1851899.69</v>
      </c>
    </row>
    <row r="225" spans="1:7" x14ac:dyDescent="0.25">
      <c r="B225" s="387" t="s">
        <v>13</v>
      </c>
      <c r="C225" s="387" t="s">
        <v>14</v>
      </c>
      <c r="D225" s="387" t="s">
        <v>944</v>
      </c>
      <c r="E225" s="387" t="s">
        <v>80</v>
      </c>
      <c r="F225" s="294">
        <v>6966.9</v>
      </c>
      <c r="G225" s="294">
        <v>1886915.2</v>
      </c>
    </row>
    <row r="226" spans="1:7" x14ac:dyDescent="0.25">
      <c r="A226" s="388" t="s">
        <v>1304</v>
      </c>
      <c r="B226" s="389"/>
      <c r="C226" s="389"/>
      <c r="D226" s="389"/>
      <c r="E226" s="389"/>
      <c r="F226" s="389">
        <v>-50.300000000000182</v>
      </c>
      <c r="G226" s="389">
        <v>35015.510000000009</v>
      </c>
    </row>
    <row r="227" spans="1:7" x14ac:dyDescent="0.25">
      <c r="A227" s="387" t="s">
        <v>1387</v>
      </c>
      <c r="B227" s="387" t="s">
        <v>13</v>
      </c>
      <c r="C227" s="387" t="s">
        <v>14</v>
      </c>
      <c r="D227" s="387" t="s">
        <v>327</v>
      </c>
      <c r="E227" s="387" t="s">
        <v>80</v>
      </c>
      <c r="F227" s="294">
        <v>-246.9</v>
      </c>
      <c r="G227" s="294">
        <v>-66870.399999999994</v>
      </c>
    </row>
    <row r="228" spans="1:7" x14ac:dyDescent="0.25">
      <c r="D228" s="387" t="s">
        <v>944</v>
      </c>
      <c r="E228" s="387" t="s">
        <v>80</v>
      </c>
      <c r="F228" s="294">
        <v>-8008.6</v>
      </c>
      <c r="G228" s="294">
        <v>-2169049.2200000002</v>
      </c>
    </row>
    <row r="229" spans="1:7" x14ac:dyDescent="0.25">
      <c r="B229" s="387" t="s">
        <v>15</v>
      </c>
      <c r="C229" s="387" t="s">
        <v>233</v>
      </c>
      <c r="D229" s="387" t="s">
        <v>1390</v>
      </c>
      <c r="E229" s="387" t="s">
        <v>80</v>
      </c>
      <c r="F229" s="294">
        <v>-962.08</v>
      </c>
      <c r="G229" s="294">
        <v>-260560.13</v>
      </c>
    </row>
    <row r="230" spans="1:7" x14ac:dyDescent="0.25">
      <c r="B230" s="387" t="s">
        <v>19</v>
      </c>
      <c r="C230" s="387" t="s">
        <v>20</v>
      </c>
      <c r="D230" s="387" t="s">
        <v>304</v>
      </c>
      <c r="E230" s="387" t="s">
        <v>80</v>
      </c>
      <c r="F230" s="294">
        <v>-2316.8200000000002</v>
      </c>
      <c r="G230" s="294">
        <v>-370529.02</v>
      </c>
    </row>
    <row r="231" spans="1:7" x14ac:dyDescent="0.25">
      <c r="B231" s="387" t="s">
        <v>23</v>
      </c>
      <c r="C231" s="387" t="s">
        <v>24</v>
      </c>
      <c r="D231" s="387" t="s">
        <v>1391</v>
      </c>
      <c r="E231" s="387" t="s">
        <v>80</v>
      </c>
      <c r="F231" s="294">
        <v>9310.76</v>
      </c>
      <c r="G231" s="294">
        <v>3027300.51</v>
      </c>
    </row>
    <row r="232" spans="1:7" x14ac:dyDescent="0.25">
      <c r="A232" s="388" t="s">
        <v>1453</v>
      </c>
      <c r="B232" s="389"/>
      <c r="C232" s="389"/>
      <c r="D232" s="389"/>
      <c r="E232" s="389"/>
      <c r="F232" s="389">
        <v>-2223.6399999999994</v>
      </c>
      <c r="G232" s="389">
        <v>160291.73999999976</v>
      </c>
    </row>
    <row r="233" spans="1:7" x14ac:dyDescent="0.25">
      <c r="A233" s="387" t="s">
        <v>1393</v>
      </c>
      <c r="B233" s="387" t="s">
        <v>23</v>
      </c>
      <c r="C233" s="387" t="s">
        <v>24</v>
      </c>
      <c r="D233" s="387" t="s">
        <v>1391</v>
      </c>
      <c r="E233" s="387" t="s">
        <v>80</v>
      </c>
      <c r="F233" s="294">
        <v>-9310.76</v>
      </c>
      <c r="G233" s="294">
        <v>-3027300.51</v>
      </c>
    </row>
    <row r="234" spans="1:7" x14ac:dyDescent="0.25">
      <c r="B234" s="387" t="s">
        <v>106</v>
      </c>
      <c r="C234" s="387" t="s">
        <v>107</v>
      </c>
      <c r="D234" s="387" t="s">
        <v>286</v>
      </c>
      <c r="E234" s="387" t="s">
        <v>102</v>
      </c>
      <c r="F234" s="294">
        <v>-18767</v>
      </c>
      <c r="G234" s="294">
        <v>-15872.52</v>
      </c>
    </row>
    <row r="235" spans="1:7" x14ac:dyDescent="0.25">
      <c r="B235" s="387" t="s">
        <v>119</v>
      </c>
      <c r="C235" s="387" t="s">
        <v>120</v>
      </c>
      <c r="D235" s="387" t="s">
        <v>307</v>
      </c>
      <c r="E235" s="387" t="s">
        <v>102</v>
      </c>
      <c r="F235" s="294">
        <v>-18767</v>
      </c>
      <c r="G235" s="294">
        <v>-39100.800000000003</v>
      </c>
    </row>
    <row r="236" spans="1:7" x14ac:dyDescent="0.25">
      <c r="B236" s="387" t="s">
        <v>121</v>
      </c>
      <c r="C236" s="387" t="s">
        <v>122</v>
      </c>
      <c r="D236" s="387" t="s">
        <v>772</v>
      </c>
      <c r="E236" s="387" t="s">
        <v>102</v>
      </c>
      <c r="F236" s="294">
        <v>-3112</v>
      </c>
      <c r="G236" s="294">
        <v>-15560</v>
      </c>
    </row>
    <row r="237" spans="1:7" x14ac:dyDescent="0.25">
      <c r="B237" s="387" t="s">
        <v>81</v>
      </c>
      <c r="C237" s="387" t="s">
        <v>82</v>
      </c>
      <c r="D237" s="387" t="s">
        <v>1396</v>
      </c>
      <c r="E237" s="387" t="s">
        <v>74</v>
      </c>
      <c r="F237" s="294">
        <v>18615</v>
      </c>
      <c r="G237" s="294">
        <v>3161943.9</v>
      </c>
    </row>
    <row r="238" spans="1:7" x14ac:dyDescent="0.25">
      <c r="A238" s="388" t="s">
        <v>1454</v>
      </c>
      <c r="B238" s="389"/>
      <c r="C238" s="389"/>
      <c r="D238" s="389"/>
      <c r="E238" s="389"/>
      <c r="F238" s="389">
        <v>-31341.760000000002</v>
      </c>
      <c r="G238" s="389">
        <v>64110.070000000298</v>
      </c>
    </row>
    <row r="239" spans="1:7" x14ac:dyDescent="0.25">
      <c r="A239" s="387" t="s">
        <v>1398</v>
      </c>
      <c r="B239" s="387" t="s">
        <v>13</v>
      </c>
      <c r="C239" s="387" t="s">
        <v>14</v>
      </c>
      <c r="D239" s="387" t="s">
        <v>561</v>
      </c>
      <c r="E239" s="387" t="s">
        <v>80</v>
      </c>
      <c r="F239" s="294">
        <v>-8256.4</v>
      </c>
      <c r="G239" s="294">
        <v>-2236163.38</v>
      </c>
    </row>
    <row r="240" spans="1:7" x14ac:dyDescent="0.25">
      <c r="B240" s="387" t="s">
        <v>19</v>
      </c>
      <c r="C240" s="387" t="s">
        <v>20</v>
      </c>
      <c r="D240" s="387" t="s">
        <v>304</v>
      </c>
      <c r="E240" s="387" t="s">
        <v>80</v>
      </c>
      <c r="F240" s="294">
        <v>-2064.7399999999998</v>
      </c>
      <c r="G240" s="294">
        <v>-330213.87</v>
      </c>
    </row>
    <row r="241" spans="1:7" x14ac:dyDescent="0.25">
      <c r="B241" s="387" t="s">
        <v>23</v>
      </c>
      <c r="C241" s="387" t="s">
        <v>24</v>
      </c>
      <c r="D241" s="387" t="s">
        <v>1401</v>
      </c>
      <c r="E241" s="387" t="s">
        <v>80</v>
      </c>
      <c r="F241" s="294">
        <v>8330.9699999999993</v>
      </c>
      <c r="G241" s="294">
        <v>2708731.59</v>
      </c>
    </row>
    <row r="242" spans="1:7" x14ac:dyDescent="0.25">
      <c r="A242" s="388" t="s">
        <v>1455</v>
      </c>
      <c r="B242" s="389"/>
      <c r="C242" s="389"/>
      <c r="D242" s="389"/>
      <c r="E242" s="389"/>
      <c r="F242" s="389">
        <v>-1990.17</v>
      </c>
      <c r="G242" s="389">
        <v>142354.33999999985</v>
      </c>
    </row>
    <row r="243" spans="1:7" x14ac:dyDescent="0.25">
      <c r="A243" s="387" t="s">
        <v>1403</v>
      </c>
      <c r="B243" s="387" t="s">
        <v>23</v>
      </c>
      <c r="C243" s="387" t="s">
        <v>24</v>
      </c>
      <c r="D243" s="387" t="s">
        <v>1401</v>
      </c>
      <c r="E243" s="387" t="s">
        <v>80</v>
      </c>
      <c r="F243" s="294">
        <v>-8330.9699999999993</v>
      </c>
      <c r="G243" s="294">
        <v>-2708731.59</v>
      </c>
    </row>
    <row r="244" spans="1:7" x14ac:dyDescent="0.25">
      <c r="B244" s="387" t="s">
        <v>106</v>
      </c>
      <c r="C244" s="387" t="s">
        <v>107</v>
      </c>
      <c r="D244" s="387" t="s">
        <v>286</v>
      </c>
      <c r="E244" s="387" t="s">
        <v>102</v>
      </c>
      <c r="F244" s="294">
        <v>-16889</v>
      </c>
      <c r="G244" s="294">
        <v>-14284.17</v>
      </c>
    </row>
    <row r="245" spans="1:7" x14ac:dyDescent="0.25">
      <c r="B245" s="387" t="s">
        <v>119</v>
      </c>
      <c r="C245" s="387" t="s">
        <v>120</v>
      </c>
      <c r="D245" s="387" t="s">
        <v>307</v>
      </c>
      <c r="E245" s="387" t="s">
        <v>102</v>
      </c>
      <c r="F245" s="294">
        <v>-16889</v>
      </c>
      <c r="G245" s="294">
        <v>-35188.01</v>
      </c>
    </row>
    <row r="246" spans="1:7" x14ac:dyDescent="0.25">
      <c r="B246" s="387" t="s">
        <v>121</v>
      </c>
      <c r="C246" s="387" t="s">
        <v>122</v>
      </c>
      <c r="D246" s="387" t="s">
        <v>772</v>
      </c>
      <c r="E246" s="387" t="s">
        <v>102</v>
      </c>
      <c r="F246" s="294">
        <v>-2802</v>
      </c>
      <c r="G246" s="294">
        <v>-14010</v>
      </c>
    </row>
    <row r="247" spans="1:7" x14ac:dyDescent="0.25">
      <c r="B247" s="387" t="s">
        <v>81</v>
      </c>
      <c r="C247" s="387" t="s">
        <v>82</v>
      </c>
      <c r="D247" s="387" t="s">
        <v>1406</v>
      </c>
      <c r="E247" s="387" t="s">
        <v>74</v>
      </c>
      <c r="F247" s="294">
        <v>16653</v>
      </c>
      <c r="G247" s="294">
        <v>2828678.58</v>
      </c>
    </row>
    <row r="248" spans="1:7" x14ac:dyDescent="0.25">
      <c r="A248" s="388" t="s">
        <v>1456</v>
      </c>
      <c r="B248" s="389"/>
      <c r="C248" s="389"/>
      <c r="D248" s="389"/>
      <c r="E248" s="389"/>
      <c r="F248" s="389">
        <v>-28257.97</v>
      </c>
      <c r="G248" s="389">
        <v>56464.810000000522</v>
      </c>
    </row>
    <row r="249" spans="1:7" x14ac:dyDescent="0.25">
      <c r="A249" s="387" t="s">
        <v>1426</v>
      </c>
      <c r="B249" s="387" t="s">
        <v>17</v>
      </c>
      <c r="C249" s="387" t="s">
        <v>18</v>
      </c>
      <c r="D249" s="387" t="s">
        <v>304</v>
      </c>
      <c r="E249" s="387" t="s">
        <v>80</v>
      </c>
      <c r="F249" s="294">
        <v>-8981.2000000000007</v>
      </c>
      <c r="G249" s="294">
        <v>-1399264.4</v>
      </c>
    </row>
    <row r="250" spans="1:7" x14ac:dyDescent="0.25">
      <c r="B250" s="387" t="s">
        <v>19</v>
      </c>
      <c r="C250" s="387" t="s">
        <v>20</v>
      </c>
      <c r="D250" s="387" t="s">
        <v>304</v>
      </c>
      <c r="E250" s="387" t="s">
        <v>80</v>
      </c>
      <c r="F250" s="294">
        <v>8966</v>
      </c>
      <c r="G250" s="294">
        <v>1433932.38</v>
      </c>
    </row>
    <row r="251" spans="1:7" x14ac:dyDescent="0.25">
      <c r="A251" s="388" t="s">
        <v>1457</v>
      </c>
      <c r="B251" s="389"/>
      <c r="C251" s="389"/>
      <c r="D251" s="389"/>
      <c r="E251" s="389"/>
      <c r="F251" s="389">
        <v>-15.200000000000728</v>
      </c>
      <c r="G251" s="389">
        <v>34667.979999999981</v>
      </c>
    </row>
    <row r="252" spans="1:7" x14ac:dyDescent="0.25">
      <c r="A252" s="387" t="s">
        <v>1459</v>
      </c>
      <c r="B252" s="387" t="s">
        <v>9</v>
      </c>
      <c r="C252" s="387" t="s">
        <v>10</v>
      </c>
      <c r="D252" s="387" t="s">
        <v>561</v>
      </c>
      <c r="E252" s="387" t="s">
        <v>80</v>
      </c>
      <c r="F252" s="294">
        <v>-6972</v>
      </c>
      <c r="G252" s="294">
        <v>-1843566.87</v>
      </c>
    </row>
    <row r="253" spans="1:7" x14ac:dyDescent="0.25">
      <c r="B253" s="387" t="s">
        <v>13</v>
      </c>
      <c r="C253" s="387" t="s">
        <v>14</v>
      </c>
      <c r="D253" s="387" t="s">
        <v>561</v>
      </c>
      <c r="E253" s="387" t="s">
        <v>80</v>
      </c>
      <c r="F253" s="294">
        <v>6938.16</v>
      </c>
      <c r="G253" s="294">
        <v>1879131.25</v>
      </c>
    </row>
    <row r="254" spans="1:7" x14ac:dyDescent="0.25">
      <c r="A254" s="388" t="s">
        <v>1473</v>
      </c>
      <c r="B254" s="389"/>
      <c r="C254" s="389"/>
      <c r="D254" s="389"/>
      <c r="E254" s="389"/>
      <c r="F254" s="389">
        <v>-33.840000000000146</v>
      </c>
      <c r="G254" s="389">
        <v>35564.379999999888</v>
      </c>
    </row>
    <row r="255" spans="1:7" x14ac:dyDescent="0.25">
      <c r="A255" s="387" t="s">
        <v>1463</v>
      </c>
      <c r="B255" s="387" t="s">
        <v>13</v>
      </c>
      <c r="C255" s="387" t="s">
        <v>14</v>
      </c>
      <c r="D255" s="387" t="s">
        <v>561</v>
      </c>
      <c r="E255" s="387" t="s">
        <v>80</v>
      </c>
      <c r="F255" s="294">
        <v>-7571.4</v>
      </c>
      <c r="G255" s="294">
        <v>-2050637.97</v>
      </c>
    </row>
    <row r="256" spans="1:7" x14ac:dyDescent="0.25">
      <c r="B256" s="387" t="s">
        <v>15</v>
      </c>
      <c r="C256" s="387" t="s">
        <v>233</v>
      </c>
      <c r="D256" s="387" t="s">
        <v>1390</v>
      </c>
      <c r="E256" s="387" t="s">
        <v>80</v>
      </c>
      <c r="F256" s="294">
        <v>-300.88</v>
      </c>
      <c r="G256" s="294">
        <v>-81487.33</v>
      </c>
    </row>
    <row r="257" spans="1:7" x14ac:dyDescent="0.25">
      <c r="B257" s="387" t="s">
        <v>19</v>
      </c>
      <c r="C257" s="387" t="s">
        <v>20</v>
      </c>
      <c r="D257" s="387" t="s">
        <v>304</v>
      </c>
      <c r="E257" s="387" t="s">
        <v>80</v>
      </c>
      <c r="F257" s="294">
        <v>-1968.64</v>
      </c>
      <c r="G257" s="294">
        <v>-314844.59999999998</v>
      </c>
    </row>
    <row r="258" spans="1:7" x14ac:dyDescent="0.25">
      <c r="B258" s="387" t="s">
        <v>23</v>
      </c>
      <c r="C258" s="387" t="s">
        <v>24</v>
      </c>
      <c r="D258" s="387" t="s">
        <v>1466</v>
      </c>
      <c r="E258" s="387" t="s">
        <v>80</v>
      </c>
      <c r="F258" s="294">
        <v>7914.58</v>
      </c>
      <c r="G258" s="294">
        <v>2573346.54</v>
      </c>
    </row>
    <row r="259" spans="1:7" x14ac:dyDescent="0.25">
      <c r="A259" s="388" t="s">
        <v>1474</v>
      </c>
      <c r="B259" s="389"/>
      <c r="C259" s="389"/>
      <c r="D259" s="389"/>
      <c r="E259" s="389"/>
      <c r="F259" s="389">
        <v>-1926.3400000000001</v>
      </c>
      <c r="G259" s="389">
        <v>126376.64000000013</v>
      </c>
    </row>
    <row r="260" spans="1:7" x14ac:dyDescent="0.25">
      <c r="A260" s="387" t="s">
        <v>1476</v>
      </c>
      <c r="B260" s="387" t="s">
        <v>23</v>
      </c>
      <c r="C260" s="387" t="s">
        <v>24</v>
      </c>
      <c r="D260" s="387" t="s">
        <v>1466</v>
      </c>
      <c r="E260" s="387" t="s">
        <v>80</v>
      </c>
      <c r="F260" s="294">
        <v>-7914.58</v>
      </c>
      <c r="G260" s="294">
        <v>-2573346.54</v>
      </c>
    </row>
    <row r="261" spans="1:7" x14ac:dyDescent="0.25">
      <c r="B261" s="387" t="s">
        <v>106</v>
      </c>
      <c r="C261" s="387" t="s">
        <v>107</v>
      </c>
      <c r="D261" s="387" t="s">
        <v>286</v>
      </c>
      <c r="E261" s="387" t="s">
        <v>102</v>
      </c>
      <c r="F261" s="294">
        <v>-16159</v>
      </c>
      <c r="G261" s="294">
        <v>-13666.76</v>
      </c>
    </row>
    <row r="262" spans="1:7" x14ac:dyDescent="0.25">
      <c r="B262" s="387" t="s">
        <v>119</v>
      </c>
      <c r="C262" s="387" t="s">
        <v>120</v>
      </c>
      <c r="D262" s="387" t="s">
        <v>307</v>
      </c>
      <c r="E262" s="387" t="s">
        <v>102</v>
      </c>
      <c r="F262" s="294">
        <v>-11056</v>
      </c>
      <c r="G262" s="294">
        <v>-23035.03</v>
      </c>
    </row>
    <row r="263" spans="1:7" x14ac:dyDescent="0.25">
      <c r="D263" s="387" t="s">
        <v>316</v>
      </c>
      <c r="E263" s="387" t="s">
        <v>102</v>
      </c>
      <c r="F263" s="294">
        <v>-5103</v>
      </c>
      <c r="G263" s="294">
        <v>-10632.03</v>
      </c>
    </row>
    <row r="264" spans="1:7" x14ac:dyDescent="0.25">
      <c r="B264" s="387" t="s">
        <v>121</v>
      </c>
      <c r="C264" s="387" t="s">
        <v>122</v>
      </c>
      <c r="D264" s="387" t="s">
        <v>772</v>
      </c>
      <c r="E264" s="387" t="s">
        <v>102</v>
      </c>
      <c r="F264" s="294">
        <v>-1541</v>
      </c>
      <c r="G264" s="294">
        <v>-7705</v>
      </c>
    </row>
    <row r="265" spans="1:7" x14ac:dyDescent="0.25">
      <c r="D265" s="387" t="s">
        <v>704</v>
      </c>
      <c r="E265" s="387" t="s">
        <v>102</v>
      </c>
      <c r="F265" s="294">
        <v>-1112</v>
      </c>
      <c r="G265" s="294">
        <v>-5560</v>
      </c>
    </row>
    <row r="266" spans="1:7" x14ac:dyDescent="0.25">
      <c r="B266" s="387" t="s">
        <v>81</v>
      </c>
      <c r="C266" s="387" t="s">
        <v>82</v>
      </c>
      <c r="D266" s="387" t="s">
        <v>1479</v>
      </c>
      <c r="E266" s="387" t="s">
        <v>74</v>
      </c>
      <c r="F266" s="294">
        <v>15817</v>
      </c>
      <c r="G266" s="294">
        <v>2686675.62</v>
      </c>
    </row>
    <row r="267" spans="1:7" x14ac:dyDescent="0.25">
      <c r="A267" s="388" t="s">
        <v>1517</v>
      </c>
      <c r="B267" s="389"/>
      <c r="C267" s="389"/>
      <c r="D267" s="389"/>
      <c r="E267" s="389"/>
      <c r="F267" s="389">
        <v>-27068.58</v>
      </c>
      <c r="G267" s="389">
        <v>52730.260000000708</v>
      </c>
    </row>
    <row r="268" spans="1:7" x14ac:dyDescent="0.25">
      <c r="A268" s="387" t="s">
        <v>1481</v>
      </c>
      <c r="B268" s="387" t="s">
        <v>13</v>
      </c>
      <c r="C268" s="387" t="s">
        <v>14</v>
      </c>
      <c r="D268" s="387" t="s">
        <v>944</v>
      </c>
      <c r="E268" s="387" t="s">
        <v>80</v>
      </c>
      <c r="F268" s="294">
        <v>-8183.1</v>
      </c>
      <c r="G268" s="294">
        <v>-2216310.7999999998</v>
      </c>
    </row>
    <row r="269" spans="1:7" x14ac:dyDescent="0.25">
      <c r="B269" s="387" t="s">
        <v>15</v>
      </c>
      <c r="C269" s="387" t="s">
        <v>233</v>
      </c>
      <c r="D269" s="387" t="s">
        <v>1390</v>
      </c>
      <c r="E269" s="387" t="s">
        <v>80</v>
      </c>
      <c r="F269" s="294">
        <v>-841.34</v>
      </c>
      <c r="G269" s="294">
        <v>-227860.11</v>
      </c>
    </row>
    <row r="270" spans="1:7" x14ac:dyDescent="0.25">
      <c r="B270" s="387" t="s">
        <v>19</v>
      </c>
      <c r="C270" s="387" t="s">
        <v>20</v>
      </c>
      <c r="D270" s="387" t="s">
        <v>304</v>
      </c>
      <c r="E270" s="387" t="s">
        <v>80</v>
      </c>
      <c r="F270" s="294">
        <v>-2258.2600000000002</v>
      </c>
      <c r="G270" s="294">
        <v>-361163.52000000002</v>
      </c>
    </row>
    <row r="271" spans="1:7" x14ac:dyDescent="0.25">
      <c r="B271" s="387" t="s">
        <v>23</v>
      </c>
      <c r="C271" s="387" t="s">
        <v>24</v>
      </c>
      <c r="D271" s="387" t="s">
        <v>1484</v>
      </c>
      <c r="E271" s="387" t="s">
        <v>80</v>
      </c>
      <c r="F271" s="294">
        <v>9086.34</v>
      </c>
      <c r="G271" s="294">
        <v>2954332.59</v>
      </c>
    </row>
    <row r="272" spans="1:7" x14ac:dyDescent="0.25">
      <c r="A272" s="388" t="s">
        <v>1518</v>
      </c>
      <c r="B272" s="389"/>
      <c r="C272" s="389"/>
      <c r="D272" s="389"/>
      <c r="E272" s="389"/>
      <c r="F272" s="389">
        <v>-2196.3600000000006</v>
      </c>
      <c r="G272" s="389">
        <v>148998.16000000015</v>
      </c>
    </row>
    <row r="273" spans="1:7" x14ac:dyDescent="0.25">
      <c r="A273" s="387" t="s">
        <v>1486</v>
      </c>
      <c r="B273" s="387" t="s">
        <v>13</v>
      </c>
      <c r="C273" s="387" t="s">
        <v>14</v>
      </c>
      <c r="D273" s="387" t="s">
        <v>561</v>
      </c>
      <c r="E273" s="387" t="s">
        <v>80</v>
      </c>
      <c r="F273" s="294">
        <v>-6136.36</v>
      </c>
      <c r="G273" s="294">
        <v>-1661971.74</v>
      </c>
    </row>
    <row r="274" spans="1:7" x14ac:dyDescent="0.25">
      <c r="D274" s="387" t="s">
        <v>944</v>
      </c>
      <c r="E274" s="387" t="s">
        <v>80</v>
      </c>
      <c r="F274" s="294">
        <v>-1160.74</v>
      </c>
      <c r="G274" s="294">
        <v>-314374.82</v>
      </c>
    </row>
    <row r="275" spans="1:7" x14ac:dyDescent="0.25">
      <c r="B275" s="387" t="s">
        <v>19</v>
      </c>
      <c r="C275" s="387" t="s">
        <v>20</v>
      </c>
      <c r="D275" s="387" t="s">
        <v>304</v>
      </c>
      <c r="E275" s="387" t="s">
        <v>80</v>
      </c>
      <c r="F275" s="294">
        <v>-1825.96</v>
      </c>
      <c r="G275" s="294">
        <v>-292025.78000000003</v>
      </c>
    </row>
    <row r="276" spans="1:7" x14ac:dyDescent="0.25">
      <c r="B276" s="387" t="s">
        <v>23</v>
      </c>
      <c r="C276" s="387" t="s">
        <v>24</v>
      </c>
      <c r="D276" s="387" t="s">
        <v>1489</v>
      </c>
      <c r="E276" s="387" t="s">
        <v>80</v>
      </c>
      <c r="F276" s="294">
        <v>7341.83</v>
      </c>
      <c r="G276" s="294">
        <v>2387122.61</v>
      </c>
    </row>
    <row r="277" spans="1:7" x14ac:dyDescent="0.25">
      <c r="A277" s="388" t="s">
        <v>1519</v>
      </c>
      <c r="B277" s="389"/>
      <c r="C277" s="389"/>
      <c r="D277" s="389"/>
      <c r="E277" s="389"/>
      <c r="F277" s="389">
        <v>-1781.2299999999996</v>
      </c>
      <c r="G277" s="389">
        <v>118750.27000000002</v>
      </c>
    </row>
    <row r="278" spans="1:7" x14ac:dyDescent="0.25">
      <c r="A278" s="387" t="s">
        <v>1491</v>
      </c>
      <c r="B278" s="387" t="s">
        <v>15</v>
      </c>
      <c r="C278" s="387" t="s">
        <v>233</v>
      </c>
      <c r="D278" s="387" t="s">
        <v>1390</v>
      </c>
      <c r="E278" s="387" t="s">
        <v>80</v>
      </c>
      <c r="F278" s="294">
        <v>-192</v>
      </c>
      <c r="G278" s="294">
        <v>-51999.360000000001</v>
      </c>
    </row>
    <row r="279" spans="1:7" x14ac:dyDescent="0.25">
      <c r="B279" s="387" t="s">
        <v>21</v>
      </c>
      <c r="C279" s="387" t="s">
        <v>234</v>
      </c>
      <c r="D279" s="387" t="s">
        <v>1238</v>
      </c>
      <c r="E279" s="387" t="s">
        <v>80</v>
      </c>
      <c r="F279" s="294">
        <v>-288.3</v>
      </c>
      <c r="G279" s="294">
        <v>-46107.82</v>
      </c>
    </row>
    <row r="280" spans="1:7" x14ac:dyDescent="0.25">
      <c r="B280" s="387" t="s">
        <v>205</v>
      </c>
      <c r="C280" s="387" t="s">
        <v>206</v>
      </c>
      <c r="D280" s="387" t="s">
        <v>1493</v>
      </c>
      <c r="E280" s="387" t="s">
        <v>80</v>
      </c>
      <c r="F280" s="294">
        <v>380</v>
      </c>
      <c r="G280" s="294">
        <v>102478.39999999999</v>
      </c>
    </row>
    <row r="281" spans="1:7" x14ac:dyDescent="0.25">
      <c r="A281" s="388" t="s">
        <v>1520</v>
      </c>
      <c r="B281" s="389"/>
      <c r="C281" s="389"/>
      <c r="D281" s="389"/>
      <c r="E281" s="389"/>
      <c r="F281" s="389">
        <v>-100.30000000000001</v>
      </c>
      <c r="G281" s="389">
        <v>4371.2200000000012</v>
      </c>
    </row>
    <row r="282" spans="1:7" x14ac:dyDescent="0.25">
      <c r="A282" s="387" t="s">
        <v>1495</v>
      </c>
      <c r="B282" s="387" t="s">
        <v>23</v>
      </c>
      <c r="C282" s="387" t="s">
        <v>24</v>
      </c>
      <c r="D282" s="387" t="s">
        <v>1484</v>
      </c>
      <c r="E282" s="387" t="s">
        <v>80</v>
      </c>
      <c r="F282" s="294">
        <v>-9086.34</v>
      </c>
      <c r="G282" s="294">
        <v>-2954332.59</v>
      </c>
    </row>
    <row r="283" spans="1:7" x14ac:dyDescent="0.25">
      <c r="B283" s="387" t="s">
        <v>106</v>
      </c>
      <c r="C283" s="387" t="s">
        <v>107</v>
      </c>
      <c r="D283" s="387" t="s">
        <v>286</v>
      </c>
      <c r="E283" s="387" t="s">
        <v>102</v>
      </c>
      <c r="F283" s="294">
        <v>-18388</v>
      </c>
      <c r="G283" s="294">
        <v>-15551.98</v>
      </c>
    </row>
    <row r="284" spans="1:7" x14ac:dyDescent="0.25">
      <c r="B284" s="387" t="s">
        <v>119</v>
      </c>
      <c r="C284" s="387" t="s">
        <v>120</v>
      </c>
      <c r="D284" s="387" t="s">
        <v>316</v>
      </c>
      <c r="E284" s="387" t="s">
        <v>102</v>
      </c>
      <c r="F284" s="294">
        <v>-18388</v>
      </c>
      <c r="G284" s="294">
        <v>-38311.160000000003</v>
      </c>
    </row>
    <row r="285" spans="1:7" x14ac:dyDescent="0.25">
      <c r="B285" s="387" t="s">
        <v>121</v>
      </c>
      <c r="C285" s="387" t="s">
        <v>122</v>
      </c>
      <c r="D285" s="387" t="s">
        <v>704</v>
      </c>
      <c r="E285" s="387" t="s">
        <v>102</v>
      </c>
      <c r="F285" s="294">
        <v>-3037</v>
      </c>
      <c r="G285" s="294">
        <v>-15185</v>
      </c>
    </row>
    <row r="286" spans="1:7" x14ac:dyDescent="0.25">
      <c r="B286" s="387" t="s">
        <v>81</v>
      </c>
      <c r="C286" s="387" t="s">
        <v>82</v>
      </c>
      <c r="D286" s="387" t="s">
        <v>1498</v>
      </c>
      <c r="E286" s="387" t="s">
        <v>74</v>
      </c>
      <c r="F286" s="294">
        <v>18160</v>
      </c>
      <c r="G286" s="294">
        <v>3084657.6</v>
      </c>
    </row>
    <row r="287" spans="1:7" x14ac:dyDescent="0.25">
      <c r="A287" s="388" t="s">
        <v>1521</v>
      </c>
      <c r="B287" s="389"/>
      <c r="C287" s="389"/>
      <c r="D287" s="389"/>
      <c r="E287" s="389"/>
      <c r="F287" s="389">
        <v>-30739.339999999997</v>
      </c>
      <c r="G287" s="389">
        <v>61276.870000000112</v>
      </c>
    </row>
    <row r="288" spans="1:7" x14ac:dyDescent="0.25">
      <c r="A288" s="387" t="s">
        <v>1500</v>
      </c>
      <c r="B288" s="387" t="s">
        <v>23</v>
      </c>
      <c r="C288" s="387" t="s">
        <v>24</v>
      </c>
      <c r="D288" s="387" t="s">
        <v>1489</v>
      </c>
      <c r="E288" s="387" t="s">
        <v>80</v>
      </c>
      <c r="F288" s="294">
        <v>-7341.83</v>
      </c>
      <c r="G288" s="294">
        <v>-2387122.61</v>
      </c>
    </row>
    <row r="289" spans="1:7" x14ac:dyDescent="0.25">
      <c r="B289" s="387" t="s">
        <v>106</v>
      </c>
      <c r="C289" s="387" t="s">
        <v>107</v>
      </c>
      <c r="D289" s="387" t="s">
        <v>286</v>
      </c>
      <c r="E289" s="387" t="s">
        <v>102</v>
      </c>
      <c r="F289" s="294">
        <v>-39</v>
      </c>
      <c r="G289" s="294">
        <v>-32.979999999999997</v>
      </c>
    </row>
    <row r="290" spans="1:7" x14ac:dyDescent="0.25">
      <c r="D290" s="387" t="s">
        <v>220</v>
      </c>
      <c r="E290" s="387" t="s">
        <v>102</v>
      </c>
      <c r="F290" s="294">
        <v>-14938</v>
      </c>
      <c r="G290" s="294">
        <v>-12634.08</v>
      </c>
    </row>
    <row r="291" spans="1:7" x14ac:dyDescent="0.25">
      <c r="B291" s="387" t="s">
        <v>119</v>
      </c>
      <c r="C291" s="387" t="s">
        <v>120</v>
      </c>
      <c r="D291" s="387" t="s">
        <v>316</v>
      </c>
      <c r="E291" s="387" t="s">
        <v>102</v>
      </c>
      <c r="F291" s="294">
        <v>-14977</v>
      </c>
      <c r="G291" s="294">
        <v>-31204.39</v>
      </c>
    </row>
    <row r="292" spans="1:7" x14ac:dyDescent="0.25">
      <c r="B292" s="387" t="s">
        <v>121</v>
      </c>
      <c r="C292" s="387" t="s">
        <v>122</v>
      </c>
      <c r="D292" s="387" t="s">
        <v>704</v>
      </c>
      <c r="E292" s="387" t="s">
        <v>102</v>
      </c>
      <c r="F292" s="294">
        <v>-2473</v>
      </c>
      <c r="G292" s="294">
        <v>-12365</v>
      </c>
    </row>
    <row r="293" spans="1:7" x14ac:dyDescent="0.25">
      <c r="B293" s="387" t="s">
        <v>81</v>
      </c>
      <c r="C293" s="387" t="s">
        <v>82</v>
      </c>
      <c r="D293" s="387" t="s">
        <v>1503</v>
      </c>
      <c r="E293" s="387" t="s">
        <v>74</v>
      </c>
      <c r="F293" s="294">
        <v>14674</v>
      </c>
      <c r="G293" s="294">
        <v>2492525.64</v>
      </c>
    </row>
    <row r="294" spans="1:7" x14ac:dyDescent="0.25">
      <c r="A294" s="388" t="s">
        <v>1522</v>
      </c>
      <c r="B294" s="389"/>
      <c r="C294" s="389"/>
      <c r="D294" s="389"/>
      <c r="E294" s="389"/>
      <c r="F294" s="389">
        <v>-25094.83</v>
      </c>
      <c r="G294" s="389">
        <v>49166.580000000075</v>
      </c>
    </row>
    <row r="295" spans="1:7" x14ac:dyDescent="0.25">
      <c r="A295" s="387" t="s">
        <v>1505</v>
      </c>
      <c r="B295" s="387" t="s">
        <v>205</v>
      </c>
      <c r="C295" s="387" t="s">
        <v>206</v>
      </c>
      <c r="D295" s="387" t="s">
        <v>1493</v>
      </c>
      <c r="E295" s="387" t="s">
        <v>80</v>
      </c>
      <c r="F295" s="294">
        <v>-380</v>
      </c>
      <c r="G295" s="294">
        <v>-102478.39999999999</v>
      </c>
    </row>
    <row r="296" spans="1:7" x14ac:dyDescent="0.25">
      <c r="B296" s="387" t="s">
        <v>106</v>
      </c>
      <c r="C296" s="387" t="s">
        <v>107</v>
      </c>
      <c r="D296" s="387" t="s">
        <v>220</v>
      </c>
      <c r="E296" s="387" t="s">
        <v>102</v>
      </c>
      <c r="F296" s="294">
        <v>-878</v>
      </c>
      <c r="G296" s="294">
        <v>-742.58</v>
      </c>
    </row>
    <row r="297" spans="1:7" x14ac:dyDescent="0.25">
      <c r="B297" s="387" t="s">
        <v>126</v>
      </c>
      <c r="C297" s="387" t="s">
        <v>127</v>
      </c>
      <c r="D297" s="387" t="s">
        <v>230</v>
      </c>
      <c r="E297" s="387" t="s">
        <v>102</v>
      </c>
      <c r="F297" s="294">
        <v>-6</v>
      </c>
      <c r="G297" s="294">
        <v>-132</v>
      </c>
    </row>
    <row r="298" spans="1:7" x14ac:dyDescent="0.25">
      <c r="D298" s="387" t="s">
        <v>704</v>
      </c>
      <c r="E298" s="387" t="s">
        <v>102</v>
      </c>
      <c r="F298" s="294">
        <v>-32</v>
      </c>
      <c r="G298" s="294">
        <v>-704</v>
      </c>
    </row>
    <row r="299" spans="1:7" x14ac:dyDescent="0.25">
      <c r="B299" s="387" t="s">
        <v>237</v>
      </c>
      <c r="C299" s="387" t="s">
        <v>238</v>
      </c>
      <c r="D299" s="387" t="s">
        <v>295</v>
      </c>
      <c r="E299" s="387" t="s">
        <v>102</v>
      </c>
      <c r="F299" s="294">
        <v>-878</v>
      </c>
      <c r="G299" s="294">
        <v>-1507.23</v>
      </c>
    </row>
    <row r="300" spans="1:7" x14ac:dyDescent="0.25">
      <c r="B300" s="387" t="s">
        <v>239</v>
      </c>
      <c r="C300" s="387" t="s">
        <v>240</v>
      </c>
      <c r="D300" s="387" t="s">
        <v>1508</v>
      </c>
      <c r="E300" s="387" t="s">
        <v>74</v>
      </c>
      <c r="F300" s="294">
        <v>760</v>
      </c>
      <c r="G300" s="294">
        <v>107623.6</v>
      </c>
    </row>
    <row r="301" spans="1:7" x14ac:dyDescent="0.25">
      <c r="A301" s="388" t="s">
        <v>1523</v>
      </c>
      <c r="B301" s="389"/>
      <c r="C301" s="389"/>
      <c r="D301" s="389"/>
      <c r="E301" s="389"/>
      <c r="F301" s="389">
        <v>-1414</v>
      </c>
      <c r="G301" s="389">
        <v>2059.390000000014</v>
      </c>
    </row>
    <row r="302" spans="1:7" x14ac:dyDescent="0.25">
      <c r="A302" s="387" t="s">
        <v>1512</v>
      </c>
      <c r="B302" s="387" t="s">
        <v>62</v>
      </c>
      <c r="C302" s="387" t="s">
        <v>63</v>
      </c>
      <c r="D302" s="387" t="s">
        <v>287</v>
      </c>
      <c r="E302" s="387" t="s">
        <v>74</v>
      </c>
      <c r="F302" s="294">
        <v>-603</v>
      </c>
      <c r="G302" s="294">
        <v>-102401.46</v>
      </c>
    </row>
    <row r="303" spans="1:7" x14ac:dyDescent="0.25">
      <c r="B303" s="387" t="s">
        <v>113</v>
      </c>
      <c r="C303" s="387" t="s">
        <v>114</v>
      </c>
      <c r="D303" s="387" t="s">
        <v>287</v>
      </c>
      <c r="E303" s="387" t="s">
        <v>74</v>
      </c>
      <c r="F303" s="294">
        <v>603</v>
      </c>
      <c r="G303" s="294">
        <v>102401.46</v>
      </c>
    </row>
    <row r="304" spans="1:7" x14ac:dyDescent="0.25">
      <c r="A304" s="388" t="s">
        <v>1524</v>
      </c>
      <c r="B304" s="389"/>
      <c r="C304" s="389"/>
      <c r="D304" s="389"/>
      <c r="E304" s="389"/>
      <c r="F304" s="389">
        <v>0</v>
      </c>
      <c r="G304" s="389">
        <v>0</v>
      </c>
    </row>
    <row r="305" spans="1:7" x14ac:dyDescent="0.25">
      <c r="A305" s="387" t="s">
        <v>1732</v>
      </c>
      <c r="B305" s="387" t="s">
        <v>9</v>
      </c>
      <c r="C305" s="387" t="s">
        <v>10</v>
      </c>
      <c r="D305" s="387" t="s">
        <v>1709</v>
      </c>
      <c r="E305" s="387" t="s">
        <v>80</v>
      </c>
      <c r="F305" s="294">
        <v>-29996</v>
      </c>
      <c r="G305" s="294">
        <v>-7931674.1100000003</v>
      </c>
    </row>
    <row r="306" spans="1:7" x14ac:dyDescent="0.25">
      <c r="B306" s="387" t="s">
        <v>13</v>
      </c>
      <c r="C306" s="387" t="s">
        <v>14</v>
      </c>
      <c r="D306" s="387" t="s">
        <v>1709</v>
      </c>
      <c r="E306" s="387" t="s">
        <v>80</v>
      </c>
      <c r="F306" s="294">
        <v>29987</v>
      </c>
      <c r="G306" s="294">
        <v>8121679.0800000001</v>
      </c>
    </row>
    <row r="307" spans="1:7" x14ac:dyDescent="0.25">
      <c r="A307" s="388" t="s">
        <v>1919</v>
      </c>
      <c r="B307" s="389"/>
      <c r="C307" s="389"/>
      <c r="D307" s="389"/>
      <c r="E307" s="389"/>
      <c r="F307" s="389">
        <v>-9</v>
      </c>
      <c r="G307" s="389">
        <v>190004.96999999974</v>
      </c>
    </row>
    <row r="308" spans="1:7" x14ac:dyDescent="0.25">
      <c r="A308" s="387" t="s">
        <v>1736</v>
      </c>
      <c r="B308" s="387" t="s">
        <v>17</v>
      </c>
      <c r="C308" s="387" t="s">
        <v>18</v>
      </c>
      <c r="D308" s="387" t="s">
        <v>304</v>
      </c>
      <c r="E308" s="387" t="s">
        <v>80</v>
      </c>
      <c r="F308" s="294">
        <v>-9981.2999999999993</v>
      </c>
      <c r="G308" s="294">
        <v>-1548504.05</v>
      </c>
    </row>
    <row r="309" spans="1:7" x14ac:dyDescent="0.25">
      <c r="B309" s="387" t="s">
        <v>19</v>
      </c>
      <c r="C309" s="387" t="s">
        <v>20</v>
      </c>
      <c r="D309" s="387" t="s">
        <v>304</v>
      </c>
      <c r="E309" s="387" t="s">
        <v>80</v>
      </c>
      <c r="F309" s="294">
        <v>9966</v>
      </c>
      <c r="G309" s="294">
        <v>1593862.38</v>
      </c>
    </row>
    <row r="310" spans="1:7" x14ac:dyDescent="0.25">
      <c r="A310" s="388" t="s">
        <v>1920</v>
      </c>
      <c r="B310" s="389"/>
      <c r="C310" s="389"/>
      <c r="D310" s="389"/>
      <c r="E310" s="389"/>
      <c r="F310" s="389">
        <v>-15.299999999999272</v>
      </c>
      <c r="G310" s="389">
        <v>45358.329999999842</v>
      </c>
    </row>
    <row r="311" spans="1:7" x14ac:dyDescent="0.25">
      <c r="A311" s="387" t="s">
        <v>1760</v>
      </c>
      <c r="B311" s="387" t="s">
        <v>9</v>
      </c>
      <c r="C311" s="387" t="s">
        <v>10</v>
      </c>
      <c r="D311" s="387" t="s">
        <v>1711</v>
      </c>
      <c r="E311" s="387" t="s">
        <v>80</v>
      </c>
      <c r="F311" s="294">
        <v>-40057.599999999999</v>
      </c>
      <c r="G311" s="294">
        <v>-10592206.59</v>
      </c>
    </row>
    <row r="312" spans="1:7" x14ac:dyDescent="0.25">
      <c r="B312" s="387" t="s">
        <v>13</v>
      </c>
      <c r="C312" s="387" t="s">
        <v>14</v>
      </c>
      <c r="D312" s="387" t="s">
        <v>1711</v>
      </c>
      <c r="E312" s="387" t="s">
        <v>80</v>
      </c>
      <c r="F312" s="294">
        <v>39546.480000000003</v>
      </c>
      <c r="G312" s="294">
        <v>10710768.640000001</v>
      </c>
    </row>
    <row r="313" spans="1:7" x14ac:dyDescent="0.25">
      <c r="B313" s="387" t="s">
        <v>15</v>
      </c>
      <c r="C313" s="387" t="s">
        <v>233</v>
      </c>
      <c r="D313" s="387" t="s">
        <v>1711</v>
      </c>
      <c r="E313" s="387" t="s">
        <v>80</v>
      </c>
      <c r="F313" s="294">
        <v>484.4</v>
      </c>
      <c r="G313" s="294">
        <v>131190.04999999999</v>
      </c>
    </row>
    <row r="314" spans="1:7" x14ac:dyDescent="0.25">
      <c r="A314" s="388" t="s">
        <v>1921</v>
      </c>
      <c r="B314" s="389"/>
      <c r="C314" s="389"/>
      <c r="D314" s="389"/>
      <c r="E314" s="389"/>
      <c r="F314" s="389">
        <v>-26.719999999995366</v>
      </c>
      <c r="G314" s="389">
        <v>249752.10000000073</v>
      </c>
    </row>
    <row r="315" spans="1:7" x14ac:dyDescent="0.25">
      <c r="A315" s="387" t="s">
        <v>1764</v>
      </c>
      <c r="B315" s="387" t="s">
        <v>62</v>
      </c>
      <c r="C315" s="387" t="s">
        <v>63</v>
      </c>
      <c r="D315" s="387" t="s">
        <v>287</v>
      </c>
      <c r="E315" s="387" t="s">
        <v>74</v>
      </c>
      <c r="F315" s="294">
        <v>-1295</v>
      </c>
      <c r="G315" s="294">
        <v>-219916.9</v>
      </c>
    </row>
    <row r="316" spans="1:7" x14ac:dyDescent="0.25">
      <c r="B316" s="387" t="s">
        <v>113</v>
      </c>
      <c r="C316" s="387" t="s">
        <v>114</v>
      </c>
      <c r="D316" s="387" t="s">
        <v>287</v>
      </c>
      <c r="E316" s="387" t="s">
        <v>74</v>
      </c>
      <c r="F316" s="294">
        <v>1295</v>
      </c>
      <c r="G316" s="294">
        <v>219916.9</v>
      </c>
    </row>
    <row r="317" spans="1:7" x14ac:dyDescent="0.25">
      <c r="A317" s="388" t="s">
        <v>1922</v>
      </c>
      <c r="B317" s="389"/>
      <c r="C317" s="389"/>
      <c r="D317" s="389"/>
      <c r="E317" s="389"/>
      <c r="F317" s="389">
        <v>0</v>
      </c>
      <c r="G317" s="389">
        <v>0</v>
      </c>
    </row>
    <row r="318" spans="1:7" x14ac:dyDescent="0.25">
      <c r="A318" s="387" t="s">
        <v>1767</v>
      </c>
      <c r="B318" s="387" t="s">
        <v>62</v>
      </c>
      <c r="C318" s="387" t="s">
        <v>63</v>
      </c>
      <c r="D318" s="387" t="s">
        <v>602</v>
      </c>
      <c r="E318" s="387" t="s">
        <v>74</v>
      </c>
      <c r="F318" s="294">
        <v>-497</v>
      </c>
      <c r="G318" s="294">
        <v>-84400.54</v>
      </c>
    </row>
    <row r="319" spans="1:7" x14ac:dyDescent="0.25">
      <c r="B319" s="387" t="s">
        <v>113</v>
      </c>
      <c r="C319" s="387" t="s">
        <v>114</v>
      </c>
      <c r="D319" s="387" t="s">
        <v>602</v>
      </c>
      <c r="E319" s="387" t="s">
        <v>74</v>
      </c>
      <c r="F319" s="294">
        <v>497</v>
      </c>
      <c r="G319" s="294">
        <v>84400.54</v>
      </c>
    </row>
    <row r="320" spans="1:7" x14ac:dyDescent="0.25">
      <c r="A320" s="388" t="s">
        <v>1923</v>
      </c>
      <c r="B320" s="389"/>
      <c r="C320" s="389"/>
      <c r="D320" s="389"/>
      <c r="E320" s="389"/>
      <c r="F320" s="389">
        <v>0</v>
      </c>
      <c r="G320" s="389">
        <v>0</v>
      </c>
    </row>
    <row r="321" spans="1:7" x14ac:dyDescent="0.25">
      <c r="A321" s="387" t="s">
        <v>1794</v>
      </c>
      <c r="B321" s="387" t="s">
        <v>13</v>
      </c>
      <c r="C321" s="387" t="s">
        <v>14</v>
      </c>
      <c r="D321" s="387" t="s">
        <v>1709</v>
      </c>
      <c r="E321" s="387" t="s">
        <v>80</v>
      </c>
      <c r="F321" s="294">
        <v>-8064.3</v>
      </c>
      <c r="G321" s="294">
        <v>-2184135.0099999998</v>
      </c>
    </row>
    <row r="322" spans="1:7" x14ac:dyDescent="0.25">
      <c r="B322" s="387" t="s">
        <v>19</v>
      </c>
      <c r="C322" s="387" t="s">
        <v>20</v>
      </c>
      <c r="D322" s="387" t="s">
        <v>304</v>
      </c>
      <c r="E322" s="387" t="s">
        <v>80</v>
      </c>
      <c r="F322" s="294">
        <v>-2016.56</v>
      </c>
      <c r="G322" s="294">
        <v>-322508.44</v>
      </c>
    </row>
    <row r="323" spans="1:7" x14ac:dyDescent="0.25">
      <c r="B323" s="387" t="s">
        <v>23</v>
      </c>
      <c r="C323" s="387" t="s">
        <v>24</v>
      </c>
      <c r="D323" s="387" t="s">
        <v>1797</v>
      </c>
      <c r="E323" s="387" t="s">
        <v>80</v>
      </c>
      <c r="F323" s="294">
        <v>8104.02</v>
      </c>
      <c r="G323" s="294">
        <v>2634941.06</v>
      </c>
    </row>
    <row r="324" spans="1:7" x14ac:dyDescent="0.25">
      <c r="A324" s="388" t="s">
        <v>1924</v>
      </c>
      <c r="B324" s="389"/>
      <c r="C324" s="389"/>
      <c r="D324" s="389"/>
      <c r="E324" s="389"/>
      <c r="F324" s="389">
        <v>-1976.8400000000001</v>
      </c>
      <c r="G324" s="389">
        <v>128297.61000000034</v>
      </c>
    </row>
    <row r="325" spans="1:7" x14ac:dyDescent="0.25">
      <c r="A325" s="387" t="s">
        <v>1799</v>
      </c>
      <c r="B325" s="387" t="s">
        <v>13</v>
      </c>
      <c r="C325" s="387" t="s">
        <v>14</v>
      </c>
      <c r="D325" s="387" t="s">
        <v>1709</v>
      </c>
      <c r="E325" s="387" t="s">
        <v>80</v>
      </c>
      <c r="F325" s="294">
        <v>-8834</v>
      </c>
      <c r="G325" s="294">
        <v>-2392600.56</v>
      </c>
    </row>
    <row r="326" spans="1:7" x14ac:dyDescent="0.25">
      <c r="B326" s="387" t="s">
        <v>19</v>
      </c>
      <c r="C326" s="387" t="s">
        <v>20</v>
      </c>
      <c r="D326" s="387" t="s">
        <v>304</v>
      </c>
      <c r="E326" s="387" t="s">
        <v>80</v>
      </c>
      <c r="F326" s="294">
        <v>-2211.7199999999998</v>
      </c>
      <c r="G326" s="294">
        <v>-353720.38</v>
      </c>
    </row>
    <row r="327" spans="1:7" x14ac:dyDescent="0.25">
      <c r="B327" s="387" t="s">
        <v>23</v>
      </c>
      <c r="C327" s="387" t="s">
        <v>24</v>
      </c>
      <c r="D327" s="387" t="s">
        <v>1802</v>
      </c>
      <c r="E327" s="387" t="s">
        <v>80</v>
      </c>
      <c r="F327" s="294">
        <v>8882</v>
      </c>
      <c r="G327" s="294">
        <v>2887893.48</v>
      </c>
    </row>
    <row r="328" spans="1:7" x14ac:dyDescent="0.25">
      <c r="A328" s="388" t="s">
        <v>1925</v>
      </c>
      <c r="B328" s="389"/>
      <c r="C328" s="389"/>
      <c r="D328" s="389"/>
      <c r="E328" s="389"/>
      <c r="F328" s="389">
        <v>-2163.7199999999993</v>
      </c>
      <c r="G328" s="389">
        <v>141572.54000000004</v>
      </c>
    </row>
    <row r="329" spans="1:7" x14ac:dyDescent="0.25">
      <c r="A329" s="387" t="s">
        <v>1804</v>
      </c>
      <c r="B329" s="387" t="s">
        <v>13</v>
      </c>
      <c r="C329" s="387" t="s">
        <v>14</v>
      </c>
      <c r="D329" s="387" t="s">
        <v>1709</v>
      </c>
      <c r="E329" s="387" t="s">
        <v>80</v>
      </c>
      <c r="F329" s="294">
        <v>-10368.1</v>
      </c>
      <c r="G329" s="294">
        <v>-2808096.21</v>
      </c>
    </row>
    <row r="330" spans="1:7" x14ac:dyDescent="0.25">
      <c r="B330" s="387" t="s">
        <v>19</v>
      </c>
      <c r="C330" s="387" t="s">
        <v>20</v>
      </c>
      <c r="D330" s="387" t="s">
        <v>304</v>
      </c>
      <c r="E330" s="387" t="s">
        <v>80</v>
      </c>
      <c r="F330" s="294">
        <v>-2594.54</v>
      </c>
      <c r="G330" s="294">
        <v>-414944.78</v>
      </c>
    </row>
    <row r="331" spans="1:7" x14ac:dyDescent="0.25">
      <c r="B331" s="387" t="s">
        <v>23</v>
      </c>
      <c r="C331" s="387" t="s">
        <v>24</v>
      </c>
      <c r="D331" s="387" t="s">
        <v>1807</v>
      </c>
      <c r="E331" s="387" t="s">
        <v>80</v>
      </c>
      <c r="F331" s="294">
        <v>10426.379999999999</v>
      </c>
      <c r="G331" s="294">
        <v>3390033.19</v>
      </c>
    </row>
    <row r="332" spans="1:7" x14ac:dyDescent="0.25">
      <c r="A332" s="388" t="s">
        <v>1926</v>
      </c>
      <c r="B332" s="389"/>
      <c r="C332" s="389"/>
      <c r="D332" s="389"/>
      <c r="E332" s="389"/>
      <c r="F332" s="389">
        <v>-2536.2600000000002</v>
      </c>
      <c r="G332" s="389">
        <v>166992.19999999972</v>
      </c>
    </row>
    <row r="333" spans="1:7" x14ac:dyDescent="0.25">
      <c r="A333" s="387" t="s">
        <v>1809</v>
      </c>
      <c r="B333" s="387" t="s">
        <v>13</v>
      </c>
      <c r="C333" s="387" t="s">
        <v>14</v>
      </c>
      <c r="D333" s="387" t="s">
        <v>1711</v>
      </c>
      <c r="E333" s="387" t="s">
        <v>80</v>
      </c>
      <c r="F333" s="294">
        <v>-7839.9</v>
      </c>
      <c r="G333" s="294">
        <v>-2123358.52</v>
      </c>
    </row>
    <row r="334" spans="1:7" x14ac:dyDescent="0.25">
      <c r="D334" s="387" t="s">
        <v>1709</v>
      </c>
      <c r="E334" s="387" t="s">
        <v>80</v>
      </c>
      <c r="F334" s="294">
        <v>-2720.6</v>
      </c>
      <c r="G334" s="294">
        <v>-736847.3</v>
      </c>
    </row>
    <row r="335" spans="1:7" x14ac:dyDescent="0.25">
      <c r="B335" s="387" t="s">
        <v>19</v>
      </c>
      <c r="C335" s="387" t="s">
        <v>20</v>
      </c>
      <c r="D335" s="387" t="s">
        <v>304</v>
      </c>
      <c r="E335" s="387" t="s">
        <v>80</v>
      </c>
      <c r="F335" s="294">
        <v>-2642.4</v>
      </c>
      <c r="G335" s="294">
        <v>-422599.03</v>
      </c>
    </row>
    <row r="336" spans="1:7" x14ac:dyDescent="0.25">
      <c r="B336" s="387" t="s">
        <v>23</v>
      </c>
      <c r="C336" s="387" t="s">
        <v>24</v>
      </c>
      <c r="D336" s="387" t="s">
        <v>1812</v>
      </c>
      <c r="E336" s="387" t="s">
        <v>80</v>
      </c>
      <c r="F336" s="294">
        <v>10625.78</v>
      </c>
      <c r="G336" s="294">
        <v>3454866.11</v>
      </c>
    </row>
    <row r="337" spans="1:7" x14ac:dyDescent="0.25">
      <c r="A337" s="388" t="s">
        <v>1927</v>
      </c>
      <c r="B337" s="389"/>
      <c r="C337" s="389"/>
      <c r="D337" s="389"/>
      <c r="E337" s="389"/>
      <c r="F337" s="389">
        <v>-2577.119999999999</v>
      </c>
      <c r="G337" s="389">
        <v>172061.25999999931</v>
      </c>
    </row>
    <row r="338" spans="1:7" x14ac:dyDescent="0.25">
      <c r="A338" s="387" t="s">
        <v>1814</v>
      </c>
      <c r="B338" s="387" t="s">
        <v>13</v>
      </c>
      <c r="C338" s="387" t="s">
        <v>14</v>
      </c>
      <c r="D338" s="387" t="s">
        <v>1711</v>
      </c>
      <c r="E338" s="387" t="s">
        <v>80</v>
      </c>
      <c r="F338" s="294">
        <v>-9792.7999999999993</v>
      </c>
      <c r="G338" s="294">
        <v>-2652281.9500000002</v>
      </c>
    </row>
    <row r="339" spans="1:7" x14ac:dyDescent="0.25">
      <c r="B339" s="387" t="s">
        <v>19</v>
      </c>
      <c r="C339" s="387" t="s">
        <v>20</v>
      </c>
      <c r="D339" s="387" t="s">
        <v>304</v>
      </c>
      <c r="E339" s="387" t="s">
        <v>80</v>
      </c>
      <c r="F339" s="294">
        <v>-2460.6</v>
      </c>
      <c r="G339" s="294">
        <v>-393523.76</v>
      </c>
    </row>
    <row r="340" spans="1:7" x14ac:dyDescent="0.25">
      <c r="B340" s="387" t="s">
        <v>23</v>
      </c>
      <c r="C340" s="387" t="s">
        <v>24</v>
      </c>
      <c r="D340" s="387" t="s">
        <v>1817</v>
      </c>
      <c r="E340" s="387" t="s">
        <v>80</v>
      </c>
      <c r="F340" s="294">
        <v>9836.16</v>
      </c>
      <c r="G340" s="294">
        <v>3198129.06</v>
      </c>
    </row>
    <row r="341" spans="1:7" x14ac:dyDescent="0.25">
      <c r="A341" s="388" t="s">
        <v>1928</v>
      </c>
      <c r="B341" s="389"/>
      <c r="C341" s="389"/>
      <c r="D341" s="389"/>
      <c r="E341" s="389"/>
      <c r="F341" s="389">
        <v>-2417.2399999999998</v>
      </c>
      <c r="G341" s="389">
        <v>152323.35000000009</v>
      </c>
    </row>
    <row r="342" spans="1:7" x14ac:dyDescent="0.25">
      <c r="A342" s="387" t="s">
        <v>1824</v>
      </c>
      <c r="B342" s="387" t="s">
        <v>13</v>
      </c>
      <c r="C342" s="387" t="s">
        <v>14</v>
      </c>
      <c r="D342" s="387" t="s">
        <v>1711</v>
      </c>
      <c r="E342" s="387" t="s">
        <v>80</v>
      </c>
      <c r="F342" s="294">
        <v>-10176.799999999999</v>
      </c>
      <c r="G342" s="294">
        <v>-2756284.51</v>
      </c>
    </row>
    <row r="343" spans="1:7" x14ac:dyDescent="0.25">
      <c r="B343" s="387" t="s">
        <v>19</v>
      </c>
      <c r="C343" s="387" t="s">
        <v>20</v>
      </c>
      <c r="D343" s="387" t="s">
        <v>304</v>
      </c>
      <c r="E343" s="387" t="s">
        <v>80</v>
      </c>
      <c r="F343" s="294">
        <v>-2566.64</v>
      </c>
      <c r="G343" s="294">
        <v>-410482.74</v>
      </c>
    </row>
    <row r="344" spans="1:7" x14ac:dyDescent="0.25">
      <c r="B344" s="387" t="s">
        <v>23</v>
      </c>
      <c r="C344" s="387" t="s">
        <v>24</v>
      </c>
      <c r="D344" s="387" t="s">
        <v>1827</v>
      </c>
      <c r="E344" s="387" t="s">
        <v>80</v>
      </c>
      <c r="F344" s="294">
        <v>10220.91</v>
      </c>
      <c r="G344" s="294">
        <v>3323226.68</v>
      </c>
    </row>
    <row r="345" spans="1:7" x14ac:dyDescent="0.25">
      <c r="A345" s="388" t="s">
        <v>1929</v>
      </c>
      <c r="B345" s="389"/>
      <c r="C345" s="389"/>
      <c r="D345" s="389"/>
      <c r="E345" s="389"/>
      <c r="F345" s="389">
        <v>-2522.5299999999988</v>
      </c>
      <c r="G345" s="389">
        <v>156459.43000000017</v>
      </c>
    </row>
    <row r="346" spans="1:7" x14ac:dyDescent="0.25">
      <c r="A346" s="387" t="s">
        <v>1829</v>
      </c>
      <c r="B346" s="387" t="s">
        <v>23</v>
      </c>
      <c r="C346" s="387" t="s">
        <v>24</v>
      </c>
      <c r="D346" s="387" t="s">
        <v>1797</v>
      </c>
      <c r="E346" s="387" t="s">
        <v>80</v>
      </c>
      <c r="F346" s="294">
        <v>-8104.02</v>
      </c>
      <c r="G346" s="294">
        <v>-2634941.06</v>
      </c>
    </row>
    <row r="347" spans="1:7" x14ac:dyDescent="0.25">
      <c r="B347" s="387" t="s">
        <v>106</v>
      </c>
      <c r="C347" s="387" t="s">
        <v>107</v>
      </c>
      <c r="D347" s="387" t="s">
        <v>286</v>
      </c>
      <c r="E347" s="387" t="s">
        <v>102</v>
      </c>
      <c r="F347" s="294">
        <v>-16654</v>
      </c>
      <c r="G347" s="294">
        <v>-14085.42</v>
      </c>
    </row>
    <row r="348" spans="1:7" x14ac:dyDescent="0.25">
      <c r="B348" s="387" t="s">
        <v>119</v>
      </c>
      <c r="C348" s="387" t="s">
        <v>120</v>
      </c>
      <c r="D348" s="387" t="s">
        <v>316</v>
      </c>
      <c r="E348" s="387" t="s">
        <v>102</v>
      </c>
      <c r="F348" s="294">
        <v>-16654</v>
      </c>
      <c r="G348" s="294">
        <v>-34698.39</v>
      </c>
    </row>
    <row r="349" spans="1:7" x14ac:dyDescent="0.25">
      <c r="B349" s="387" t="s">
        <v>121</v>
      </c>
      <c r="C349" s="387" t="s">
        <v>122</v>
      </c>
      <c r="D349" s="387" t="s">
        <v>704</v>
      </c>
      <c r="E349" s="387" t="s">
        <v>102</v>
      </c>
      <c r="F349" s="294">
        <v>-2714</v>
      </c>
      <c r="G349" s="294">
        <v>-13570</v>
      </c>
    </row>
    <row r="350" spans="1:7" x14ac:dyDescent="0.25">
      <c r="B350" s="387" t="s">
        <v>81</v>
      </c>
      <c r="C350" s="387" t="s">
        <v>82</v>
      </c>
      <c r="D350" s="387" t="s">
        <v>1832</v>
      </c>
      <c r="E350" s="387" t="s">
        <v>74</v>
      </c>
      <c r="F350" s="294">
        <v>16192</v>
      </c>
      <c r="G350" s="294">
        <v>2750373.12</v>
      </c>
    </row>
    <row r="351" spans="1:7" x14ac:dyDescent="0.25">
      <c r="A351" s="388" t="s">
        <v>1930</v>
      </c>
      <c r="B351" s="389"/>
      <c r="C351" s="389"/>
      <c r="D351" s="389"/>
      <c r="E351" s="389"/>
      <c r="F351" s="389">
        <v>-27934.020000000004</v>
      </c>
      <c r="G351" s="389">
        <v>53078.25</v>
      </c>
    </row>
    <row r="352" spans="1:7" x14ac:dyDescent="0.25">
      <c r="A352" s="387" t="s">
        <v>1834</v>
      </c>
      <c r="B352" s="387" t="s">
        <v>23</v>
      </c>
      <c r="C352" s="387" t="s">
        <v>24</v>
      </c>
      <c r="D352" s="387" t="s">
        <v>1802</v>
      </c>
      <c r="E352" s="387" t="s">
        <v>80</v>
      </c>
      <c r="F352" s="294">
        <v>-8882</v>
      </c>
      <c r="G352" s="294">
        <v>-2887893.48</v>
      </c>
    </row>
    <row r="353" spans="1:7" x14ac:dyDescent="0.25">
      <c r="B353" s="387" t="s">
        <v>106</v>
      </c>
      <c r="C353" s="387" t="s">
        <v>107</v>
      </c>
      <c r="D353" s="387" t="s">
        <v>286</v>
      </c>
      <c r="E353" s="387" t="s">
        <v>102</v>
      </c>
      <c r="F353" s="294">
        <v>-3346</v>
      </c>
      <c r="G353" s="294">
        <v>-2829.94</v>
      </c>
    </row>
    <row r="354" spans="1:7" x14ac:dyDescent="0.25">
      <c r="D354" s="387" t="s">
        <v>220</v>
      </c>
      <c r="E354" s="387" t="s">
        <v>102</v>
      </c>
      <c r="F354" s="294">
        <v>-14640</v>
      </c>
      <c r="G354" s="294">
        <v>-12382.04</v>
      </c>
    </row>
    <row r="355" spans="1:7" x14ac:dyDescent="0.25">
      <c r="B355" s="387" t="s">
        <v>119</v>
      </c>
      <c r="C355" s="387" t="s">
        <v>120</v>
      </c>
      <c r="D355" s="387" t="s">
        <v>316</v>
      </c>
      <c r="E355" s="387" t="s">
        <v>102</v>
      </c>
      <c r="F355" s="294">
        <v>-17986</v>
      </c>
      <c r="G355" s="294">
        <v>-37473.599999999999</v>
      </c>
    </row>
    <row r="356" spans="1:7" x14ac:dyDescent="0.25">
      <c r="B356" s="387" t="s">
        <v>121</v>
      </c>
      <c r="C356" s="387" t="s">
        <v>122</v>
      </c>
      <c r="D356" s="387" t="s">
        <v>704</v>
      </c>
      <c r="E356" s="387" t="s">
        <v>102</v>
      </c>
      <c r="F356" s="294">
        <v>-2978</v>
      </c>
      <c r="G356" s="294">
        <v>-14890</v>
      </c>
    </row>
    <row r="357" spans="1:7" x14ac:dyDescent="0.25">
      <c r="B357" s="387" t="s">
        <v>81</v>
      </c>
      <c r="C357" s="387" t="s">
        <v>82</v>
      </c>
      <c r="D357" s="387" t="s">
        <v>1837</v>
      </c>
      <c r="E357" s="387" t="s">
        <v>74</v>
      </c>
      <c r="F357" s="294">
        <v>17748</v>
      </c>
      <c r="G357" s="294">
        <v>3014675.28</v>
      </c>
    </row>
    <row r="358" spans="1:7" x14ac:dyDescent="0.25">
      <c r="A358" s="388" t="s">
        <v>1931</v>
      </c>
      <c r="B358" s="389"/>
      <c r="C358" s="389"/>
      <c r="D358" s="389"/>
      <c r="E358" s="389"/>
      <c r="F358" s="389">
        <v>-30084</v>
      </c>
      <c r="G358" s="389">
        <v>59206.219999999739</v>
      </c>
    </row>
    <row r="359" spans="1:7" x14ac:dyDescent="0.25">
      <c r="A359" s="387" t="s">
        <v>1842</v>
      </c>
      <c r="B359" s="387" t="s">
        <v>23</v>
      </c>
      <c r="C359" s="387" t="s">
        <v>24</v>
      </c>
      <c r="D359" s="387" t="s">
        <v>1807</v>
      </c>
      <c r="E359" s="387" t="s">
        <v>80</v>
      </c>
      <c r="F359" s="294">
        <v>-10426.379999999999</v>
      </c>
      <c r="G359" s="294">
        <v>-3390033.19</v>
      </c>
    </row>
    <row r="360" spans="1:7" x14ac:dyDescent="0.25">
      <c r="B360" s="387" t="s">
        <v>106</v>
      </c>
      <c r="C360" s="387" t="s">
        <v>107</v>
      </c>
      <c r="D360" s="387" t="s">
        <v>220</v>
      </c>
      <c r="E360" s="387" t="s">
        <v>102</v>
      </c>
      <c r="F360" s="294">
        <v>-21093</v>
      </c>
      <c r="G360" s="294">
        <v>-17839.78</v>
      </c>
    </row>
    <row r="361" spans="1:7" x14ac:dyDescent="0.25">
      <c r="B361" s="387" t="s">
        <v>119</v>
      </c>
      <c r="C361" s="387" t="s">
        <v>120</v>
      </c>
      <c r="D361" s="387" t="s">
        <v>316</v>
      </c>
      <c r="E361" s="387" t="s">
        <v>102</v>
      </c>
      <c r="F361" s="294">
        <v>-21093</v>
      </c>
      <c r="G361" s="294">
        <v>-43946.99</v>
      </c>
    </row>
    <row r="362" spans="1:7" x14ac:dyDescent="0.25">
      <c r="B362" s="387" t="s">
        <v>121</v>
      </c>
      <c r="C362" s="387" t="s">
        <v>122</v>
      </c>
      <c r="D362" s="387" t="s">
        <v>704</v>
      </c>
      <c r="E362" s="387" t="s">
        <v>102</v>
      </c>
      <c r="F362" s="294">
        <v>-2686</v>
      </c>
      <c r="G362" s="294">
        <v>-13430</v>
      </c>
    </row>
    <row r="363" spans="1:7" x14ac:dyDescent="0.25">
      <c r="D363" s="387" t="s">
        <v>1076</v>
      </c>
      <c r="E363" s="387" t="s">
        <v>102</v>
      </c>
      <c r="F363" s="294">
        <v>-798</v>
      </c>
      <c r="G363" s="294">
        <v>-3990</v>
      </c>
    </row>
    <row r="364" spans="1:7" x14ac:dyDescent="0.25">
      <c r="B364" s="387" t="s">
        <v>81</v>
      </c>
      <c r="C364" s="387" t="s">
        <v>82</v>
      </c>
      <c r="D364" s="387" t="s">
        <v>1845</v>
      </c>
      <c r="E364" s="387" t="s">
        <v>74</v>
      </c>
      <c r="F364" s="294">
        <v>20844</v>
      </c>
      <c r="G364" s="294">
        <v>3540561.84</v>
      </c>
    </row>
    <row r="365" spans="1:7" x14ac:dyDescent="0.25">
      <c r="A365" s="388" t="s">
        <v>1932</v>
      </c>
      <c r="B365" s="389"/>
      <c r="C365" s="389"/>
      <c r="D365" s="389"/>
      <c r="E365" s="389"/>
      <c r="F365" s="389">
        <v>-35252.379999999997</v>
      </c>
      <c r="G365" s="389">
        <v>71321.879999999888</v>
      </c>
    </row>
    <row r="366" spans="1:7" x14ac:dyDescent="0.25">
      <c r="A366" s="387" t="s">
        <v>1847</v>
      </c>
      <c r="B366" s="387" t="s">
        <v>23</v>
      </c>
      <c r="C366" s="387" t="s">
        <v>24</v>
      </c>
      <c r="D366" s="387" t="s">
        <v>1812</v>
      </c>
      <c r="E366" s="387" t="s">
        <v>80</v>
      </c>
      <c r="F366" s="294">
        <v>-10625.78</v>
      </c>
      <c r="G366" s="294">
        <v>-3454866.11</v>
      </c>
    </row>
    <row r="367" spans="1:7" x14ac:dyDescent="0.25">
      <c r="B367" s="387" t="s">
        <v>106</v>
      </c>
      <c r="C367" s="387" t="s">
        <v>107</v>
      </c>
      <c r="D367" s="387" t="s">
        <v>220</v>
      </c>
      <c r="E367" s="387" t="s">
        <v>102</v>
      </c>
      <c r="F367" s="294">
        <v>-21433</v>
      </c>
      <c r="G367" s="294">
        <v>-18127.34</v>
      </c>
    </row>
    <row r="368" spans="1:7" x14ac:dyDescent="0.25">
      <c r="B368" s="387" t="s">
        <v>119</v>
      </c>
      <c r="C368" s="387" t="s">
        <v>120</v>
      </c>
      <c r="D368" s="387" t="s">
        <v>316</v>
      </c>
      <c r="E368" s="387" t="s">
        <v>102</v>
      </c>
      <c r="F368" s="294">
        <v>-21433</v>
      </c>
      <c r="G368" s="294">
        <v>-44655.38</v>
      </c>
    </row>
    <row r="369" spans="1:7" x14ac:dyDescent="0.25">
      <c r="B369" s="387" t="s">
        <v>121</v>
      </c>
      <c r="C369" s="387" t="s">
        <v>122</v>
      </c>
      <c r="D369" s="387" t="s">
        <v>1076</v>
      </c>
      <c r="E369" s="387" t="s">
        <v>102</v>
      </c>
      <c r="F369" s="294">
        <v>-3536</v>
      </c>
      <c r="G369" s="294">
        <v>-17680</v>
      </c>
    </row>
    <row r="370" spans="1:7" x14ac:dyDescent="0.25">
      <c r="B370" s="387" t="s">
        <v>81</v>
      </c>
      <c r="C370" s="387" t="s">
        <v>82</v>
      </c>
      <c r="D370" s="387" t="s">
        <v>1850</v>
      </c>
      <c r="E370" s="387" t="s">
        <v>74</v>
      </c>
      <c r="F370" s="294">
        <v>21174</v>
      </c>
      <c r="G370" s="294">
        <v>3596615.64</v>
      </c>
    </row>
    <row r="371" spans="1:7" x14ac:dyDescent="0.25">
      <c r="A371" s="388" t="s">
        <v>1933</v>
      </c>
      <c r="B371" s="389"/>
      <c r="C371" s="389"/>
      <c r="D371" s="389"/>
      <c r="E371" s="389"/>
      <c r="F371" s="389">
        <v>-35853.78</v>
      </c>
      <c r="G371" s="389">
        <v>61286.810000000522</v>
      </c>
    </row>
    <row r="372" spans="1:7" x14ac:dyDescent="0.25">
      <c r="A372" s="387" t="s">
        <v>1852</v>
      </c>
      <c r="B372" s="387" t="s">
        <v>23</v>
      </c>
      <c r="C372" s="387" t="s">
        <v>24</v>
      </c>
      <c r="D372" s="387" t="s">
        <v>1817</v>
      </c>
      <c r="E372" s="387" t="s">
        <v>80</v>
      </c>
      <c r="F372" s="294">
        <v>-9836.16</v>
      </c>
      <c r="G372" s="294">
        <v>-3198129.06</v>
      </c>
    </row>
    <row r="373" spans="1:7" x14ac:dyDescent="0.25">
      <c r="B373" s="387" t="s">
        <v>106</v>
      </c>
      <c r="C373" s="387" t="s">
        <v>107</v>
      </c>
      <c r="D373" s="387" t="s">
        <v>220</v>
      </c>
      <c r="E373" s="387" t="s">
        <v>102</v>
      </c>
      <c r="F373" s="294">
        <v>-20075</v>
      </c>
      <c r="G373" s="294">
        <v>-16978.79</v>
      </c>
    </row>
    <row r="374" spans="1:7" x14ac:dyDescent="0.25">
      <c r="B374" s="387" t="s">
        <v>119</v>
      </c>
      <c r="C374" s="387" t="s">
        <v>120</v>
      </c>
      <c r="D374" s="387" t="s">
        <v>316</v>
      </c>
      <c r="E374" s="387" t="s">
        <v>102</v>
      </c>
      <c r="F374" s="294">
        <v>-7366</v>
      </c>
      <c r="G374" s="294">
        <v>-15346.97</v>
      </c>
    </row>
    <row r="375" spans="1:7" x14ac:dyDescent="0.25">
      <c r="D375" s="387" t="s">
        <v>772</v>
      </c>
      <c r="E375" s="387" t="s">
        <v>102</v>
      </c>
      <c r="F375" s="294">
        <v>-12709</v>
      </c>
      <c r="G375" s="294">
        <v>-26479.040000000001</v>
      </c>
    </row>
    <row r="376" spans="1:7" x14ac:dyDescent="0.25">
      <c r="B376" s="387" t="s">
        <v>121</v>
      </c>
      <c r="C376" s="387" t="s">
        <v>122</v>
      </c>
      <c r="D376" s="387" t="s">
        <v>1076</v>
      </c>
      <c r="E376" s="387" t="s">
        <v>102</v>
      </c>
      <c r="F376" s="294">
        <v>-3277</v>
      </c>
      <c r="G376" s="294">
        <v>-16385</v>
      </c>
    </row>
    <row r="377" spans="1:7" x14ac:dyDescent="0.25">
      <c r="B377" s="387" t="s">
        <v>81</v>
      </c>
      <c r="C377" s="387" t="s">
        <v>82</v>
      </c>
      <c r="D377" s="387" t="s">
        <v>1855</v>
      </c>
      <c r="E377" s="387" t="s">
        <v>74</v>
      </c>
      <c r="F377" s="294">
        <v>19651</v>
      </c>
      <c r="G377" s="294">
        <v>3337918.86</v>
      </c>
    </row>
    <row r="378" spans="1:7" x14ac:dyDescent="0.25">
      <c r="A378" s="388" t="s">
        <v>1934</v>
      </c>
      <c r="B378" s="389"/>
      <c r="C378" s="389"/>
      <c r="D378" s="389"/>
      <c r="E378" s="389"/>
      <c r="F378" s="389">
        <v>-33612.160000000003</v>
      </c>
      <c r="G378" s="389">
        <v>64599.999999999534</v>
      </c>
    </row>
    <row r="379" spans="1:7" x14ac:dyDescent="0.25">
      <c r="A379" s="387" t="s">
        <v>1857</v>
      </c>
      <c r="B379" s="387" t="s">
        <v>23</v>
      </c>
      <c r="C379" s="387" t="s">
        <v>24</v>
      </c>
      <c r="D379" s="387" t="s">
        <v>1827</v>
      </c>
      <c r="E379" s="387" t="s">
        <v>80</v>
      </c>
      <c r="F379" s="294">
        <v>-10220.91</v>
      </c>
      <c r="G379" s="294">
        <v>-3323226.68</v>
      </c>
    </row>
    <row r="380" spans="1:7" x14ac:dyDescent="0.25">
      <c r="B380" s="387" t="s">
        <v>106</v>
      </c>
      <c r="C380" s="387" t="s">
        <v>107</v>
      </c>
      <c r="D380" s="387" t="s">
        <v>220</v>
      </c>
      <c r="E380" s="387" t="s">
        <v>102</v>
      </c>
      <c r="F380" s="294">
        <v>-20830</v>
      </c>
      <c r="G380" s="294">
        <v>-17617.34</v>
      </c>
    </row>
    <row r="381" spans="1:7" x14ac:dyDescent="0.25">
      <c r="B381" s="387" t="s">
        <v>119</v>
      </c>
      <c r="C381" s="387" t="s">
        <v>120</v>
      </c>
      <c r="D381" s="387" t="s">
        <v>772</v>
      </c>
      <c r="E381" s="387" t="s">
        <v>102</v>
      </c>
      <c r="F381" s="294">
        <v>-20830</v>
      </c>
      <c r="G381" s="294">
        <v>-43399.03</v>
      </c>
    </row>
    <row r="382" spans="1:7" x14ac:dyDescent="0.25">
      <c r="B382" s="387" t="s">
        <v>121</v>
      </c>
      <c r="C382" s="387" t="s">
        <v>122</v>
      </c>
      <c r="D382" s="387" t="s">
        <v>1076</v>
      </c>
      <c r="E382" s="387" t="s">
        <v>102</v>
      </c>
      <c r="F382" s="294">
        <v>-3411</v>
      </c>
      <c r="G382" s="294">
        <v>-17055</v>
      </c>
    </row>
    <row r="383" spans="1:7" x14ac:dyDescent="0.25">
      <c r="B383" s="387" t="s">
        <v>81</v>
      </c>
      <c r="C383" s="387" t="s">
        <v>82</v>
      </c>
      <c r="D383" s="387" t="s">
        <v>1860</v>
      </c>
      <c r="E383" s="387" t="s">
        <v>74</v>
      </c>
      <c r="F383" s="294">
        <v>20425</v>
      </c>
      <c r="G383" s="294">
        <v>3469390.5</v>
      </c>
    </row>
    <row r="384" spans="1:7" x14ac:dyDescent="0.25">
      <c r="A384" s="388" t="s">
        <v>1935</v>
      </c>
      <c r="B384" s="389"/>
      <c r="C384" s="389"/>
      <c r="D384" s="389"/>
      <c r="E384" s="389"/>
      <c r="F384" s="389">
        <v>-34866.910000000003</v>
      </c>
      <c r="G384" s="389">
        <v>68092.450000000186</v>
      </c>
    </row>
    <row r="385" spans="1:7" x14ac:dyDescent="0.25">
      <c r="A385" s="387" t="s">
        <v>1951</v>
      </c>
      <c r="B385" s="387" t="s">
        <v>17</v>
      </c>
      <c r="C385" s="387" t="s">
        <v>18</v>
      </c>
      <c r="D385" s="387" t="s">
        <v>304</v>
      </c>
      <c r="E385" s="387" t="s">
        <v>80</v>
      </c>
      <c r="F385" s="294">
        <v>-220.9</v>
      </c>
      <c r="G385" s="294">
        <v>-34270.54</v>
      </c>
    </row>
    <row r="386" spans="1:7" x14ac:dyDescent="0.25">
      <c r="D386" s="387" t="s">
        <v>1885</v>
      </c>
      <c r="E386" s="387" t="s">
        <v>80</v>
      </c>
      <c r="F386" s="294">
        <v>-9804.5</v>
      </c>
      <c r="G386" s="294">
        <v>-1521075.21</v>
      </c>
    </row>
    <row r="387" spans="1:7" x14ac:dyDescent="0.25">
      <c r="B387" s="387" t="s">
        <v>19</v>
      </c>
      <c r="C387" s="387" t="s">
        <v>20</v>
      </c>
      <c r="D387" s="387" t="s">
        <v>1885</v>
      </c>
      <c r="E387" s="387" t="s">
        <v>80</v>
      </c>
      <c r="F387" s="294">
        <v>10008</v>
      </c>
      <c r="G387" s="294">
        <v>1600579.44</v>
      </c>
    </row>
    <row r="388" spans="1:7" x14ac:dyDescent="0.25">
      <c r="A388" s="388" t="s">
        <v>2014</v>
      </c>
      <c r="B388" s="389"/>
      <c r="C388" s="389"/>
      <c r="D388" s="389"/>
      <c r="E388" s="389"/>
      <c r="F388" s="389">
        <v>-17.399999999999636</v>
      </c>
      <c r="G388" s="389">
        <v>45233.689999999944</v>
      </c>
    </row>
    <row r="389" spans="1:7" x14ac:dyDescent="0.25">
      <c r="A389" s="387" t="s">
        <v>1955</v>
      </c>
      <c r="B389" s="387" t="s">
        <v>9</v>
      </c>
      <c r="C389" s="387" t="s">
        <v>10</v>
      </c>
      <c r="D389" s="387" t="s">
        <v>1711</v>
      </c>
      <c r="E389" s="387" t="s">
        <v>80</v>
      </c>
      <c r="F389" s="294">
        <v>-7975.9</v>
      </c>
      <c r="G389" s="294">
        <v>-2109022.52</v>
      </c>
    </row>
    <row r="390" spans="1:7" x14ac:dyDescent="0.25">
      <c r="B390" s="387" t="s">
        <v>13</v>
      </c>
      <c r="C390" s="387" t="s">
        <v>14</v>
      </c>
      <c r="D390" s="387" t="s">
        <v>1711</v>
      </c>
      <c r="E390" s="387" t="s">
        <v>80</v>
      </c>
      <c r="F390" s="294">
        <v>7716.18</v>
      </c>
      <c r="G390" s="294">
        <v>2089850.19</v>
      </c>
    </row>
    <row r="391" spans="1:7" x14ac:dyDescent="0.25">
      <c r="B391" s="387" t="s">
        <v>15</v>
      </c>
      <c r="C391" s="387" t="s">
        <v>233</v>
      </c>
      <c r="D391" s="387" t="s">
        <v>1711</v>
      </c>
      <c r="E391" s="387" t="s">
        <v>80</v>
      </c>
      <c r="F391" s="294">
        <v>221.8</v>
      </c>
      <c r="G391" s="294">
        <v>60070.09</v>
      </c>
    </row>
    <row r="392" spans="1:7" x14ac:dyDescent="0.25">
      <c r="A392" s="388" t="s">
        <v>2015</v>
      </c>
      <c r="B392" s="389"/>
      <c r="C392" s="389"/>
      <c r="D392" s="389"/>
      <c r="E392" s="389"/>
      <c r="F392" s="389">
        <v>-37.919999999999334</v>
      </c>
      <c r="G392" s="389">
        <v>40897.759999999922</v>
      </c>
    </row>
    <row r="393" spans="1:7" x14ac:dyDescent="0.25">
      <c r="A393" s="387" t="s">
        <v>1974</v>
      </c>
      <c r="B393" s="387" t="s">
        <v>13</v>
      </c>
      <c r="C393" s="387" t="s">
        <v>14</v>
      </c>
      <c r="D393" s="387" t="s">
        <v>1711</v>
      </c>
      <c r="E393" s="387" t="s">
        <v>80</v>
      </c>
      <c r="F393" s="294">
        <v>-8832.42</v>
      </c>
      <c r="G393" s="294">
        <v>-2392172.63</v>
      </c>
    </row>
    <row r="394" spans="1:7" x14ac:dyDescent="0.25">
      <c r="B394" s="387" t="s">
        <v>19</v>
      </c>
      <c r="C394" s="387" t="s">
        <v>20</v>
      </c>
      <c r="D394" s="387" t="s">
        <v>304</v>
      </c>
      <c r="E394" s="387" t="s">
        <v>80</v>
      </c>
      <c r="F394" s="294">
        <v>-166.53</v>
      </c>
      <c r="G394" s="294">
        <v>-26633.14</v>
      </c>
    </row>
    <row r="395" spans="1:7" x14ac:dyDescent="0.25">
      <c r="D395" s="387" t="s">
        <v>1885</v>
      </c>
      <c r="E395" s="387" t="s">
        <v>80</v>
      </c>
      <c r="F395" s="294">
        <v>-2043.63</v>
      </c>
      <c r="G395" s="294">
        <v>-326837.75</v>
      </c>
    </row>
    <row r="396" spans="1:7" x14ac:dyDescent="0.25">
      <c r="B396" s="387" t="s">
        <v>23</v>
      </c>
      <c r="C396" s="387" t="s">
        <v>24</v>
      </c>
      <c r="D396" s="387" t="s">
        <v>1977</v>
      </c>
      <c r="E396" s="387" t="s">
        <v>80</v>
      </c>
      <c r="F396" s="294">
        <v>8849.23</v>
      </c>
      <c r="G396" s="294">
        <v>2877238.64</v>
      </c>
    </row>
    <row r="397" spans="1:7" x14ac:dyDescent="0.25">
      <c r="A397" s="388" t="s">
        <v>2016</v>
      </c>
      <c r="B397" s="389"/>
      <c r="C397" s="389"/>
      <c r="D397" s="389"/>
      <c r="E397" s="389"/>
      <c r="F397" s="389">
        <v>-2193.3500000000022</v>
      </c>
      <c r="G397" s="389">
        <v>131595.12000000011</v>
      </c>
    </row>
    <row r="398" spans="1:7" x14ac:dyDescent="0.25">
      <c r="A398" s="387" t="s">
        <v>1981</v>
      </c>
      <c r="B398" s="387" t="s">
        <v>23</v>
      </c>
      <c r="C398" s="387" t="s">
        <v>24</v>
      </c>
      <c r="D398" s="387" t="s">
        <v>1977</v>
      </c>
      <c r="E398" s="387" t="s">
        <v>80</v>
      </c>
      <c r="F398" s="294">
        <v>-8849.23</v>
      </c>
      <c r="G398" s="294">
        <v>-2877238.64</v>
      </c>
    </row>
    <row r="399" spans="1:7" x14ac:dyDescent="0.25">
      <c r="B399" s="387" t="s">
        <v>106</v>
      </c>
      <c r="C399" s="387" t="s">
        <v>107</v>
      </c>
      <c r="D399" s="387" t="s">
        <v>220</v>
      </c>
      <c r="E399" s="387" t="s">
        <v>102</v>
      </c>
      <c r="F399" s="294">
        <v>-17947</v>
      </c>
      <c r="G399" s="294">
        <v>-15178.99</v>
      </c>
    </row>
    <row r="400" spans="1:7" x14ac:dyDescent="0.25">
      <c r="B400" s="387" t="s">
        <v>119</v>
      </c>
      <c r="C400" s="387" t="s">
        <v>120</v>
      </c>
      <c r="D400" s="387" t="s">
        <v>772</v>
      </c>
      <c r="E400" s="387" t="s">
        <v>102</v>
      </c>
      <c r="F400" s="294">
        <v>-17947</v>
      </c>
      <c r="G400" s="294">
        <v>-37392.339999999997</v>
      </c>
    </row>
    <row r="401" spans="1:7" x14ac:dyDescent="0.25">
      <c r="B401" s="387" t="s">
        <v>121</v>
      </c>
      <c r="C401" s="387" t="s">
        <v>122</v>
      </c>
      <c r="D401" s="387" t="s">
        <v>1076</v>
      </c>
      <c r="E401" s="387" t="s">
        <v>102</v>
      </c>
      <c r="F401" s="294">
        <v>-2960</v>
      </c>
      <c r="G401" s="294">
        <v>-14800</v>
      </c>
    </row>
    <row r="402" spans="1:7" x14ac:dyDescent="0.25">
      <c r="B402" s="387" t="s">
        <v>81</v>
      </c>
      <c r="C402" s="387" t="s">
        <v>82</v>
      </c>
      <c r="D402" s="387" t="s">
        <v>1984</v>
      </c>
      <c r="E402" s="387" t="s">
        <v>74</v>
      </c>
      <c r="F402" s="294">
        <v>17671</v>
      </c>
      <c r="G402" s="294">
        <v>3001596.06</v>
      </c>
    </row>
    <row r="403" spans="1:7" x14ac:dyDescent="0.25">
      <c r="A403" s="388" t="s">
        <v>2017</v>
      </c>
      <c r="B403" s="389"/>
      <c r="C403" s="389"/>
      <c r="D403" s="389"/>
      <c r="E403" s="389"/>
      <c r="F403" s="389">
        <v>-30032.229999999996</v>
      </c>
      <c r="G403" s="389">
        <v>56986.089999999851</v>
      </c>
    </row>
    <row r="404" spans="1:7" x14ac:dyDescent="0.25">
      <c r="A404" s="387" t="s">
        <v>2024</v>
      </c>
      <c r="B404" s="387" t="s">
        <v>13</v>
      </c>
      <c r="C404" s="387" t="s">
        <v>14</v>
      </c>
      <c r="D404" s="387" t="s">
        <v>1711</v>
      </c>
      <c r="E404" s="387" t="s">
        <v>80</v>
      </c>
      <c r="F404" s="294">
        <v>-8640.06</v>
      </c>
      <c r="G404" s="294">
        <v>-2340073.85</v>
      </c>
    </row>
    <row r="405" spans="1:7" x14ac:dyDescent="0.25">
      <c r="B405" s="387" t="s">
        <v>19</v>
      </c>
      <c r="C405" s="387" t="s">
        <v>20</v>
      </c>
      <c r="D405" s="387" t="s">
        <v>1885</v>
      </c>
      <c r="E405" s="387" t="s">
        <v>80</v>
      </c>
      <c r="F405" s="294">
        <v>-2160.92</v>
      </c>
      <c r="G405" s="294">
        <v>-345595.93</v>
      </c>
    </row>
    <row r="406" spans="1:7" x14ac:dyDescent="0.25">
      <c r="B406" s="387" t="s">
        <v>23</v>
      </c>
      <c r="C406" s="387" t="s">
        <v>24</v>
      </c>
      <c r="D406" s="387" t="s">
        <v>2027</v>
      </c>
      <c r="E406" s="387" t="s">
        <v>80</v>
      </c>
      <c r="F406" s="294">
        <v>8647.75</v>
      </c>
      <c r="G406" s="294">
        <v>2811729.44</v>
      </c>
    </row>
    <row r="407" spans="1:7" x14ac:dyDescent="0.25">
      <c r="A407" s="388" t="s">
        <v>2060</v>
      </c>
      <c r="B407" s="389"/>
      <c r="C407" s="389"/>
      <c r="D407" s="389"/>
      <c r="E407" s="389"/>
      <c r="F407" s="389">
        <v>-2153.2299999999996</v>
      </c>
      <c r="G407" s="389">
        <v>126059.65999999968</v>
      </c>
    </row>
    <row r="408" spans="1:7" x14ac:dyDescent="0.25">
      <c r="A408" s="387" t="s">
        <v>2031</v>
      </c>
      <c r="B408" s="387" t="s">
        <v>23</v>
      </c>
      <c r="C408" s="387" t="s">
        <v>24</v>
      </c>
      <c r="D408" s="387" t="s">
        <v>2027</v>
      </c>
      <c r="E408" s="387" t="s">
        <v>80</v>
      </c>
      <c r="F408" s="294">
        <v>-8647.75</v>
      </c>
      <c r="G408" s="294">
        <v>-2811729.44</v>
      </c>
    </row>
    <row r="409" spans="1:7" x14ac:dyDescent="0.25">
      <c r="B409" s="387" t="s">
        <v>106</v>
      </c>
      <c r="C409" s="387" t="s">
        <v>107</v>
      </c>
      <c r="D409" s="387" t="s">
        <v>220</v>
      </c>
      <c r="E409" s="387" t="s">
        <v>102</v>
      </c>
      <c r="F409" s="294">
        <v>-17835</v>
      </c>
      <c r="G409" s="294">
        <v>-15084.27</v>
      </c>
    </row>
    <row r="410" spans="1:7" x14ac:dyDescent="0.25">
      <c r="B410" s="387" t="s">
        <v>119</v>
      </c>
      <c r="C410" s="387" t="s">
        <v>120</v>
      </c>
      <c r="D410" s="387" t="s">
        <v>772</v>
      </c>
      <c r="E410" s="387" t="s">
        <v>102</v>
      </c>
      <c r="F410" s="294">
        <v>-17835</v>
      </c>
      <c r="G410" s="294">
        <v>-37158.99</v>
      </c>
    </row>
    <row r="411" spans="1:7" x14ac:dyDescent="0.25">
      <c r="B411" s="387" t="s">
        <v>121</v>
      </c>
      <c r="C411" s="387" t="s">
        <v>122</v>
      </c>
      <c r="D411" s="387" t="s">
        <v>1076</v>
      </c>
      <c r="E411" s="387" t="s">
        <v>102</v>
      </c>
      <c r="F411" s="294">
        <v>-1018</v>
      </c>
      <c r="G411" s="294">
        <v>-5090</v>
      </c>
    </row>
    <row r="412" spans="1:7" x14ac:dyDescent="0.25">
      <c r="D412" s="387" t="s">
        <v>1378</v>
      </c>
      <c r="E412" s="387" t="s">
        <v>102</v>
      </c>
      <c r="F412" s="294">
        <v>-1865</v>
      </c>
      <c r="G412" s="294">
        <v>-9325</v>
      </c>
    </row>
    <row r="413" spans="1:7" x14ac:dyDescent="0.25">
      <c r="B413" s="387" t="s">
        <v>81</v>
      </c>
      <c r="C413" s="387" t="s">
        <v>82</v>
      </c>
      <c r="D413" s="387" t="s">
        <v>2034</v>
      </c>
      <c r="E413" s="387" t="s">
        <v>74</v>
      </c>
      <c r="F413" s="294">
        <v>17278</v>
      </c>
      <c r="G413" s="294">
        <v>2934841.08</v>
      </c>
    </row>
    <row r="414" spans="1:7" x14ac:dyDescent="0.25">
      <c r="A414" s="388" t="s">
        <v>2061</v>
      </c>
      <c r="B414" s="389"/>
      <c r="C414" s="389"/>
      <c r="D414" s="389"/>
      <c r="E414" s="389"/>
      <c r="F414" s="389">
        <v>-29922.75</v>
      </c>
      <c r="G414" s="389">
        <v>56453.379999999888</v>
      </c>
    </row>
    <row r="415" spans="1:7" x14ac:dyDescent="0.25">
      <c r="A415" s="387" t="s">
        <v>2065</v>
      </c>
      <c r="B415" s="387" t="s">
        <v>9</v>
      </c>
      <c r="C415" s="387" t="s">
        <v>10</v>
      </c>
      <c r="D415" s="387" t="s">
        <v>2059</v>
      </c>
      <c r="E415" s="387" t="s">
        <v>80</v>
      </c>
      <c r="F415" s="294">
        <v>-10006</v>
      </c>
      <c r="G415" s="294">
        <v>-2645830.48</v>
      </c>
    </row>
    <row r="416" spans="1:7" x14ac:dyDescent="0.25">
      <c r="B416" s="387" t="s">
        <v>13</v>
      </c>
      <c r="C416" s="387" t="s">
        <v>14</v>
      </c>
      <c r="D416" s="387" t="s">
        <v>2059</v>
      </c>
      <c r="E416" s="387" t="s">
        <v>80</v>
      </c>
      <c r="F416" s="294">
        <v>9961</v>
      </c>
      <c r="G416" s="294">
        <v>2697837.24</v>
      </c>
    </row>
    <row r="417" spans="1:7" x14ac:dyDescent="0.25">
      <c r="A417" s="388" t="s">
        <v>2075</v>
      </c>
      <c r="B417" s="389"/>
      <c r="C417" s="389"/>
      <c r="D417" s="389"/>
      <c r="E417" s="389"/>
      <c r="F417" s="389">
        <v>-45</v>
      </c>
      <c r="G417" s="389">
        <v>52006.760000000242</v>
      </c>
    </row>
    <row r="418" spans="1:7" x14ac:dyDescent="0.25">
      <c r="A418" s="387" t="s">
        <v>145</v>
      </c>
      <c r="D418" s="294"/>
      <c r="E418" s="294"/>
      <c r="F418" s="294">
        <v>-772982.11000000022</v>
      </c>
      <c r="G418" s="294">
        <v>6272328.209999999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EDE1-DED6-443D-BDF2-473259F18AA5}">
  <dimension ref="B1:G7"/>
  <sheetViews>
    <sheetView showGridLines="0" workbookViewId="0">
      <selection activeCell="J13" sqref="J13"/>
    </sheetView>
  </sheetViews>
  <sheetFormatPr defaultRowHeight="14" x14ac:dyDescent="0.3"/>
  <cols>
    <col min="2" max="2" width="32.6640625" bestFit="1" customWidth="1"/>
    <col min="4" max="4" width="12.33203125" style="7" bestFit="1" customWidth="1"/>
    <col min="5" max="5" width="10.33203125" style="76" customWidth="1"/>
    <col min="6" max="6" width="10.33203125" style="15" customWidth="1"/>
    <col min="7" max="7" width="9.1640625" bestFit="1" customWidth="1"/>
  </cols>
  <sheetData>
    <row r="1" spans="2:7" x14ac:dyDescent="0.3">
      <c r="D1" s="7" t="s">
        <v>257</v>
      </c>
    </row>
    <row r="2" spans="2:7" x14ac:dyDescent="0.3">
      <c r="B2" t="s">
        <v>250</v>
      </c>
      <c r="D2" s="399" t="s">
        <v>248</v>
      </c>
      <c r="E2" s="156" t="s">
        <v>251</v>
      </c>
      <c r="F2" s="140" t="s">
        <v>252</v>
      </c>
    </row>
    <row r="3" spans="2:7" x14ac:dyDescent="0.3">
      <c r="B3" t="s">
        <v>247</v>
      </c>
      <c r="D3" s="399"/>
      <c r="E3" s="156" t="s">
        <v>249</v>
      </c>
      <c r="F3" s="156" t="s">
        <v>249</v>
      </c>
    </row>
    <row r="4" spans="2:7" x14ac:dyDescent="0.3">
      <c r="B4" t="s">
        <v>244</v>
      </c>
      <c r="D4" s="7">
        <v>5310</v>
      </c>
      <c r="E4" s="76">
        <f>D4/12</f>
        <v>442.5</v>
      </c>
      <c r="F4" s="157">
        <f>E4/2</f>
        <v>221.25</v>
      </c>
      <c r="G4" s="9"/>
    </row>
    <row r="5" spans="2:7" x14ac:dyDescent="0.3">
      <c r="B5" t="s">
        <v>245</v>
      </c>
      <c r="D5" s="7" t="s">
        <v>258</v>
      </c>
    </row>
    <row r="6" spans="2:7" ht="42" x14ac:dyDescent="0.3">
      <c r="B6" t="s">
        <v>246</v>
      </c>
      <c r="D6" s="160" t="s">
        <v>253</v>
      </c>
      <c r="E6" s="160" t="s">
        <v>254</v>
      </c>
      <c r="F6" s="161" t="s">
        <v>256</v>
      </c>
      <c r="G6" s="161" t="s">
        <v>255</v>
      </c>
    </row>
    <row r="7" spans="2:7" x14ac:dyDescent="0.3">
      <c r="D7" s="7">
        <f>576*14</f>
        <v>8064</v>
      </c>
      <c r="E7" s="76">
        <f>D7/1000</f>
        <v>8.0640000000000001</v>
      </c>
      <c r="F7" s="158">
        <f>E7*26</f>
        <v>209.66399999999999</v>
      </c>
      <c r="G7" s="159">
        <f>(F7*12)</f>
        <v>2515.9679999999998</v>
      </c>
    </row>
  </sheetData>
  <mergeCells count="1">
    <mergeCell ref="D2:D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910ee5-dd54-421e-836f-1bd4e348e480">
      <Terms xmlns="http://schemas.microsoft.com/office/infopath/2007/PartnerControls"/>
    </lcf76f155ced4ddcb4097134ff3c332f>
    <TaxCatchAll xmlns="0c4e7ee3-e6b9-4a44-bc99-853cd48e078f" xsi:nil="true"/>
    <TaxKeywordTaxHTField xmlns="0c4e7ee3-e6b9-4a44-bc99-853cd48e078f">
      <Terms xmlns="http://schemas.microsoft.com/office/infopath/2007/PartnerControls"/>
    </TaxKeywordTaxHTField>
    <date xmlns="36910ee5-dd54-421e-836f-1bd4e348e4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ADEA9C6F75A74CA131C6B90C6E885D" ma:contentTypeVersion="24" ma:contentTypeDescription="Create a new document." ma:contentTypeScope="" ma:versionID="151961ebd1d98a629d48bdac78643273">
  <xsd:schema xmlns:xsd="http://www.w3.org/2001/XMLSchema" xmlns:xs="http://www.w3.org/2001/XMLSchema" xmlns:p="http://schemas.microsoft.com/office/2006/metadata/properties" xmlns:ns2="36910ee5-dd54-421e-836f-1bd4e348e480" xmlns:ns3="0c4e7ee3-e6b9-4a44-bc99-853cd48e078f" targetNamespace="http://schemas.microsoft.com/office/2006/metadata/properties" ma:root="true" ma:fieldsID="411b91b83e70de68d69e18c1266788c9" ns2:_="" ns3:_="">
    <xsd:import namespace="36910ee5-dd54-421e-836f-1bd4e348e480"/>
    <xsd:import namespace="0c4e7ee3-e6b9-4a44-bc99-853cd48e07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910ee5-dd54-421e-836f-1bd4e348e4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17330478-6e4f-4e24-84b1-b2b7e0a418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9" nillable="true" ma:displayName="date" ma:format="DateTime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e7ee3-e6b9-4a44-bc99-853cd48e07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2" nillable="true" ma:taxonomy="true" ma:internalName="TaxKeywordTaxHTField" ma:taxonomyFieldName="TaxKeyword" ma:displayName="Enterprise Keywords" ma:fieldId="{23f27201-bee3-471e-b2e7-b64fd8b7ca38}" ma:taxonomyMulti="true" ma:sspId="17330478-6e4f-4e24-84b1-b2b7e0a418b4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3" nillable="true" ma:displayName="Taxonomy Catch All Column" ma:hidden="true" ma:list="{a89f0d03-f144-46db-a52d-5d43c2b23ac1}" ma:internalName="TaxCatchAll" ma:showField="CatchAllData" ma:web="0c4e7ee3-e6b9-4a44-bc99-853cd48e07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9F831E-8FCF-4ECE-BFEA-F4B7A01B1983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purl.org/dc/terms/"/>
    <ds:schemaRef ds:uri="426877de-5f15-4476-9ed0-50a5ea773190"/>
    <ds:schemaRef ds:uri="46dd7adc-a8e4-4f4f-a33d-474dbd2adcb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D5DC2A-E1E0-4F58-9B09-6063606387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877540-E0DB-4DD5-A09A-AC4543CEC4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Remake</vt:lpstr>
      <vt:lpstr>สรุป</vt:lpstr>
      <vt:lpstr>PVcode54#301</vt:lpstr>
      <vt:lpstr>Order 301-305 (เรียง)</vt:lpstr>
      <vt:lpstr>Order 301-305</vt:lpstr>
      <vt:lpstr>MB51 328</vt:lpstr>
      <vt:lpstr>GL Name</vt:lpstr>
      <vt:lpstr>301</vt:lpstr>
      <vt:lpstr>302</vt:lpstr>
      <vt:lpstr>303 </vt:lpstr>
      <vt:lpstr>305</vt:lpstr>
      <vt:lpstr>301-305</vt:lpstr>
      <vt:lpstr>เกณฑ์กำลังการผลิต</vt:lpstr>
    </vt:vector>
  </TitlesOfParts>
  <Manager/>
  <Company>CPALL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Sukanya Tosalae</dc:creator>
  <cp:keywords/>
  <dc:description/>
  <cp:lastModifiedBy>Chamaiporn Intawong</cp:lastModifiedBy>
  <cp:revision/>
  <dcterms:created xsi:type="dcterms:W3CDTF">2025-07-26T08:10:52Z</dcterms:created>
  <dcterms:modified xsi:type="dcterms:W3CDTF">2026-08-20T10:56:47Z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0x01010061ADEA9C6F75A74CA131C6B90C6E885D</vt:lpwstr>
  </property>
  <property fmtid="{D5CDD505-2E9C-101B-9397-08002B2CF9AE}" pid="3" name="MediaServiceImageTags">
    <vt:lpwstr/>
  </property>
</Properties>
</file>